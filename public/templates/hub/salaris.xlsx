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tleg" sheetId="1" state="visible" r:id="rId3"/>
    <sheet name="Salar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<sst xmlns="http://schemas.openxmlformats.org/spreadsheetml/2006/main" count="38" uniqueCount="38">
  <si>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Salaris werkblad — Top Tuinen</t>
  </si>
  <si>
    <t xml:space="preserve">Wat is dit — Het vaste aanleverblad per loonperiode voor de salarisadministratie (Hans). Eén regel per medewerker. Dit blad — of een PDF ervan — is de complete overdracht; er hoeft niets bij.</t>
  </si>
  <si>
    <t xml:space="preserve">Zo lees je het blad (van links naar rechts)</t>
  </si>
  <si>
    <t xml:space="preserve">1. GEWERKT — Gewerkte uren zijn alle betaalde uren; reistijd zit daar al in. "waarvan reistijd" is alleen een uitsplitsing ter info en telt dus niet nog een keer mee. Dagen = aantal dagen waarop gewerkt is.</t>
  </si>
  <si>
    <t xml:space="preserve">2. DOORBETAALD AFWEZIG — Verlof, ziekte en feestdag in uren. Deze tellen mee in het totaal. Alleen invullen wat speelde; leeg is prima.</t>
  </si>
  <si>
    <t xml:space="preserve">3. NIET VERLOOND — Pauze. Staat er ter controle bij, telt niet mee in het totaal.</t>
  </si>
  <si>
    <t xml:space="preserve">4. TOTAAL — Totaal verloonde uren = gewerkte uren + verlof + ziekte + feestdag. Dít is het getal waarop verloond wordt.</t>
  </si>
  <si>
    <t xml:space="preserve">5. CONTROLE — Elke regel groen "OK" of een rode melding die zegt wat er mis is. Onderaan één samenvatting.</t>
  </si>
  <si>
    <t xml:space="preserve">Waar moet je kijken</t>
  </si>
  <si>
    <t xml:space="preserve">Eén plek — De cel rechtsonder in de kolom Controle. Staat daar groen "Alles OK", dan kan het blad naar Hans. Staat er rood "LET OP: x regel(s) controleren", loop dan de rode cellen in de kolom Controle langs — de melding zegt precies wat er moet gebeuren.</t>
  </si>
  <si>
    <t xml:space="preserve">Invullen (blauwe cellen)</t>
  </si>
  <si>
    <t xml:space="preserve">Stap 1 — Periode bovenaan, en per medewerker: gewerkte uren, waarvan reistijd, dagen en pauze (komt straks uit de app).</t>
  </si>
  <si>
    <t xml:space="preserve">Stap 2 — Verlof, ziekte en feestdag aanvullen als dat speelde.</t>
  </si>
  <si>
    <t xml:space="preserve">Stap 3 — Bijzonderheden: in- of uitdienst, contractwijziging, declaraties, voorschotten, afspraken over overwerk.</t>
  </si>
  <si>
    <t xml:space="preserve">Stap 4 — Controle groen? Versturen.</t>
  </si>
  <si>
    <t xml:space="preserve">Regels</t>
  </si>
  <si>
    <t xml:space="preserve">Blauw — Invoer. Zwart = formule. Formulekolommen zijn vergrendeld zodat er niet overheen geplakt kan worden; er staat geen wachtwoord op, dus zo nodig is de beveiliging in twee klikken op te heffen (tabblad Controleren &gt; Bladbeveiliging opheffen).</t>
  </si>
  <si>
    <t xml:space="preserve">Ziekte — Ziekte-uren worden vanaf de eerste ziektedag gewoon doorbetaald (er geldt geen wachtdag). Vul dus alle ziekte-uren onder Ziekte in; de percentages (eerste 26 weken 100%, daarna volgens CAO) past de salarisadministratie zelf toe.</t>
  </si>
  <si>
    <t xml:space="preserve">Loonaanlevering — Top Tuinen B.V.</t>
  </si>
  <si>
    <t xml:space="preserve">Periode:</t>
  </si>
  <si>
    <t xml:space="preserve">Aangeleverd door:</t>
  </si>
  <si>
    <t xml:space="preserve">GEWERKT</t>
  </si>
  <si>
    <t xml:space="preserve">DOORBETAALD AFWEZIG</t>
  </si>
  <si>
    <t xml:space="preserve">NIET VERLOOND</t>
  </si>
  <si>
    <t xml:space="preserve">TOTAAL</t>
  </si>
  <si>
    <t xml:space="preserve">Medewerker</t>
  </si>
  <si>
    <t xml:space="preserve">Gewerkte uren</t>
  </si>
  <si>
    <t xml:space="preserve">waarvan reistijd</t>
  </si>
  <si>
    <t xml:space="preserve">Dagen</t>
  </si>
  <si>
    <t xml:space="preserve">Verlof</t>
  </si>
  <si>
    <t xml:space="preserve">Ziekte</t>
  </si>
  <si>
    <t xml:space="preserve">Feestdag</t>
  </si>
  <si>
    <t xml:space="preserve">Pauze (onbetaald)</t>
  </si>
  <si>
    <t xml:space="preserve">Totaal verloonde uren</t>
  </si>
  <si>
    <t xml:space="preserve">Bijzonderheden</t>
  </si>
  <si>
    <t xml:space="preserve">Controle</t>
  </si>
  <si>
    <t xml:space="preserve">Totaal</t>
  </si>
  <si>
    <t xml:space="preserve">Reistijd zit al in de gewerkte uren en telt niet dubbel. Pauze is onbetaald en telt niet mee in het totaal. Ziekte wordt vanaf de eerste dag doorbetaald; er geldt geen wachtdag.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</si>
</sst>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5E2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3D14"/>
        <bgColor rgb="FF333300"/>
      </patternFill>
    </fill>
    <fill>
      <patternFill patternType="solid">
        <fgColor rgb="FF1B5E20"/>
        <bgColor rgb="FF0E3D1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B5E2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71C1C"/>
        <sz val="10"/>
      </font>
      <fill>
        <patternFill>
          <bgColor rgb="FFFFCDD2"/>
        </patternFill>
      </fill>
    </dxf>
    <dxf>
      <font>
        <name val="Arial"/>
        <charset val="1"/>
        <family val="0"/>
        <color rgb="FF2E7D32"/>
        <sz val="10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E3D14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2" customFormat="false" ht="19.7" hidden="false" customHeight="false" outlineLevel="0" collapsed="false">
      <c r="B2" s="1" t="s">
        <v>0</v>
      </c>
    </row>
    <row r="4" customFormat="false" ht="25.5" hidden="false" customHeight="tru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5.5" hidden="false" customHeight="true" outlineLevel="0" collapsed="false">
      <c r="B7" s="2" t="s">
        <v>3</v>
      </c>
    </row>
    <row r="8" customFormat="false" ht="25.5" hidden="false" customHeight="true" outlineLevel="0" collapsed="false">
      <c r="B8" s="2" t="s">
        <v>4</v>
      </c>
    </row>
    <row r="9" customFormat="false" ht="15" hidden="false" customHeight="true" outlineLevel="0" collapsed="false">
      <c r="B9" s="2" t="s">
        <v>5</v>
      </c>
    </row>
    <row r="10" customFormat="false" ht="25.5" hidden="false" customHeight="true" outlineLevel="0" collapsed="false">
      <c r="B10" s="2" t="s">
        <v>6</v>
      </c>
    </row>
    <row r="11" customFormat="false" ht="15" hidden="false" customHeight="true" outlineLevel="0" collapsed="false">
      <c r="B11" s="2" t="s">
        <v>7</v>
      </c>
    </row>
    <row r="13" customFormat="false" ht="15" hidden="false" customHeight="false" outlineLevel="0" collapsed="false">
      <c r="B13" s="3" t="s">
        <v>8</v>
      </c>
    </row>
    <row r="14" customFormat="false" ht="39" hidden="false" customHeight="true" outlineLevel="0" collapsed="false">
      <c r="B14" s="2" t="s">
        <v>9</v>
      </c>
    </row>
    <row r="16" customFormat="false" ht="15" hidden="false" customHeight="false" outlineLevel="0" collapsed="false">
      <c r="B16" s="3" t="s">
        <v>10</v>
      </c>
    </row>
    <row r="17" customFormat="false" ht="25.5" hidden="false" customHeight="true" outlineLevel="0" collapsed="false">
      <c r="B17" s="2" t="s">
        <v>11</v>
      </c>
    </row>
    <row r="18" customFormat="false" ht="15" hidden="false" customHeight="true" outlineLevel="0" collapsed="false">
      <c r="B18" s="2" t="s">
        <v>12</v>
      </c>
    </row>
    <row r="19" customFormat="false" ht="15" hidden="false" customHeight="true" outlineLevel="0" collapsed="false">
      <c r="B19" s="2" t="s">
        <v>13</v>
      </c>
    </row>
    <row r="20" customFormat="false" ht="15" hidden="false" customHeight="true" outlineLevel="0" collapsed="false">
      <c r="B20" s="2" t="s">
        <v>14</v>
      </c>
    </row>
    <row r="22" customFormat="false" ht="15" hidden="false" customHeight="false" outlineLevel="0" collapsed="false">
      <c r="B22" s="3" t="s">
        <v>15</v>
      </c>
    </row>
    <row r="23" customFormat="false" ht="39" hidden="false" customHeight="true" outlineLevel="0" collapsed="false">
      <c r="B23" s="2" t="s">
        <v>16</v>
      </c>
    </row>
    <row r="24" customFormat="false" ht="39" hidden="false" customHeight="true" outlineLevel="0" collapsed="false">
      <c r="B24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46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4" t="s">
        <v>18</v>
      </c>
    </row>
    <row r="2" customFormat="false" ht="15" hidden="false" customHeight="false" outlineLevel="0" collapsed="false">
      <c r="A2" s="5" t="s">
        <v>19</v>
      </c>
      <c r="B2" s="6"/>
      <c r="E2" s="5" t="s">
        <v>20</v>
      </c>
      <c r="G2" s="6"/>
    </row>
    <row r="4" customFormat="false" ht="15.75" hidden="false" customHeight="true" outlineLevel="0" collapsed="false">
      <c r="A4" s="7"/>
      <c r="B4" s="7" t="s">
        <v>21</v>
      </c>
      <c r="C4" s="7"/>
      <c r="D4" s="7"/>
      <c r="E4" s="7" t="s">
        <v>22</v>
      </c>
      <c r="F4" s="7"/>
      <c r="G4" s="7"/>
      <c r="H4" s="7" t="s">
        <v>23</v>
      </c>
      <c r="I4" s="7" t="s">
        <v>24</v>
      </c>
      <c r="J4" s="7"/>
      <c r="K4" s="7"/>
    </row>
    <row r="5" customFormat="false" ht="33.75" hidden="false" customHeight="true" outlineLevel="0" collapsed="false">
      <c r="A5" s="8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</row>
    <row r="6" customFormat="false" ht="15" hidden="false" customHeight="false" outlineLevel="0" collapsed="false">
      <c r="A6" s="9"/>
      <c r="B6" s="10"/>
      <c r="C6" s="10"/>
      <c r="D6" s="11"/>
      <c r="E6" s="10"/>
      <c r="F6" s="10"/>
      <c r="G6" s="10"/>
      <c r="H6" s="10"/>
      <c r="I6" s="12" t="str">
        <f aca="false">IF(A6="","",N(B6)+N(E6)+N(F6)+N(G6))</f>
        <v/>
      </c>
      <c r="J6" s="9"/>
      <c r="K6" s="13" t="str">
        <f aca="false">IF(A6="","",IF(OR(ISTEXT(B6),ISTEXT(C6),ISTEXT(E6),ISTEXT(F6),ISTEXT(G6),ISTEXT(H6)),"Getal staat als tekst",IF(N(B6)&lt;0,"Negatieve uren",IF(AND(N(B6)=0,N(E6)+N(F6)+N(G6)=0),"Geen uren ingevuld",IF(N(C6)&gt;N(B6),"Reistijd hoger dan gewerkte uren",IF(N(H6)&gt;N(B6),"Pauze hoger dan gewerkte uren",IF(N(B6)&gt;320,"Ongewoon veel uren - controleren",IF(AND(N(D6)&gt;0,N(B6)/N(D6)&gt;14),"Meer dan 14 uur per dag - controleren","OK"))))))))</f>
        <v/>
      </c>
    </row>
    <row r="7" customFormat="false" ht="15" hidden="false" customHeight="false" outlineLevel="0" collapsed="false">
      <c r="A7" s="9"/>
      <c r="B7" s="10"/>
      <c r="C7" s="10"/>
      <c r="D7" s="11"/>
      <c r="E7" s="10"/>
      <c r="F7" s="10"/>
      <c r="G7" s="10"/>
      <c r="H7" s="10"/>
      <c r="I7" s="12" t="str">
        <f aca="false">IF(A7="","",N(B7)+N(E7)+N(F7)+N(G7))</f>
        <v/>
      </c>
      <c r="J7" s="9"/>
      <c r="K7" s="13" t="str">
        <f aca="false">IF(A7="","",IF(OR(ISTEXT(B7),ISTEXT(C7),ISTEXT(E7),ISTEXT(F7),ISTEXT(G7),ISTEXT(H7)),"Getal staat als tekst",IF(N(B7)&lt;0,"Negatieve uren",IF(AND(N(B7)=0,N(E7)+N(F7)+N(G7)=0),"Geen uren ingevuld",IF(N(C7)&gt;N(B7),"Reistijd hoger dan gewerkte uren",IF(N(H7)&gt;N(B7),"Pauze hoger dan gewerkte uren",IF(N(B7)&gt;320,"Ongewoon veel uren - controleren",IF(AND(N(D7)&gt;0,N(B7)/N(D7)&gt;14),"Meer dan 14 uur per dag - controleren","OK"))))))))</f>
        <v/>
      </c>
    </row>
    <row r="8" customFormat="false" ht="15" hidden="false" customHeight="false" outlineLevel="0" collapsed="false">
      <c r="A8" s="9"/>
      <c r="B8" s="10"/>
      <c r="C8" s="10"/>
      <c r="D8" s="11"/>
      <c r="E8" s="10"/>
      <c r="F8" s="10"/>
      <c r="G8" s="10"/>
      <c r="H8" s="10"/>
      <c r="I8" s="12" t="str">
        <f aca="false">IF(A8="","",N(B8)+N(E8)+N(F8)+N(G8))</f>
        <v/>
      </c>
      <c r="J8" s="9"/>
      <c r="K8" s="13" t="str">
        <f aca="false">IF(A8="","",IF(OR(ISTEXT(B8),ISTEXT(C8),ISTEXT(E8),ISTEXT(F8),ISTEXT(G8),ISTEXT(H8)),"Getal staat als tekst",IF(N(B8)&lt;0,"Negatieve uren",IF(AND(N(B8)=0,N(E8)+N(F8)+N(G8)=0),"Geen uren ingevuld",IF(N(C8)&gt;N(B8),"Reistijd hoger dan gewerkte uren",IF(N(H8)&gt;N(B8),"Pauze hoger dan gewerkte uren",IF(N(B8)&gt;320,"Ongewoon veel uren - controleren",IF(AND(N(D8)&gt;0,N(B8)/N(D8)&gt;14),"Meer dan 14 uur per dag - controleren","OK"))))))))</f>
        <v/>
      </c>
    </row>
    <row r="9" customFormat="false" ht="15" hidden="false" customHeight="false" outlineLevel="0" collapsed="false">
      <c r="A9" s="9"/>
      <c r="B9" s="10"/>
      <c r="C9" s="10"/>
      <c r="D9" s="11"/>
      <c r="E9" s="10"/>
      <c r="F9" s="10"/>
      <c r="G9" s="10"/>
      <c r="H9" s="10"/>
      <c r="I9" s="12" t="str">
        <f aca="false">IF(A9="","",N(B9)+N(E9)+N(F9)+N(G9))</f>
        <v/>
      </c>
      <c r="J9" s="9"/>
      <c r="K9" s="13" t="str">
        <f aca="false">IF(A9="","",IF(OR(ISTEXT(B9),ISTEXT(C9),ISTEXT(E9),ISTEXT(F9),ISTEXT(G9),ISTEXT(H9)),"Getal staat als tekst",IF(N(B9)&lt;0,"Negatieve uren",IF(AND(N(B9)=0,N(E9)+N(F9)+N(G9)=0),"Geen uren ingevuld",IF(N(C9)&gt;N(B9),"Reistijd hoger dan gewerkte uren",IF(N(H9)&gt;N(B9),"Pauze hoger dan gewerkte uren",IF(N(B9)&gt;320,"Ongewoon veel uren - controleren",IF(AND(N(D9)&gt;0,N(B9)/N(D9)&gt;14),"Meer dan 14 uur per dag - controleren","OK"))))))))</f>
        <v/>
      </c>
    </row>
    <row r="10" customFormat="false" ht="15" hidden="false" customHeight="false" outlineLevel="0" collapsed="false">
      <c r="A10" s="9"/>
      <c r="B10" s="10"/>
      <c r="C10" s="10"/>
      <c r="D10" s="11"/>
      <c r="E10" s="10"/>
      <c r="F10" s="10"/>
      <c r="G10" s="10"/>
      <c r="H10" s="10"/>
      <c r="I10" s="12" t="str">
        <f aca="false">IF(A10="","",N(B10)+N(E10)+N(F10)+N(G10))</f>
        <v/>
      </c>
      <c r="J10" s="9"/>
      <c r="K10" s="13" t="str">
        <f aca="false">IF(A10="","",IF(OR(ISTEXT(B10),ISTEXT(C10),ISTEXT(E10),ISTEXT(F10),ISTEXT(G10),ISTEXT(H10)),"Getal staat als tekst",IF(N(B10)&lt;0,"Negatieve uren",IF(AND(N(B10)=0,N(E10)+N(F10)+N(G10)=0),"Geen uren ingevuld",IF(N(C10)&gt;N(B10),"Reistijd hoger dan gewerkte uren",IF(N(H10)&gt;N(B10),"Pauze hoger dan gewerkte uren",IF(N(B10)&gt;320,"Ongewoon veel uren - controleren",IF(AND(N(D10)&gt;0,N(B10)/N(D10)&gt;14),"Meer dan 14 uur per dag - controleren","OK"))))))))</f>
        <v/>
      </c>
    </row>
    <row r="11" customFormat="false" ht="15" hidden="false" customHeight="false" outlineLevel="0" collapsed="false">
      <c r="A11" s="9"/>
      <c r="B11" s="10"/>
      <c r="C11" s="10"/>
      <c r="D11" s="11"/>
      <c r="E11" s="10"/>
      <c r="F11" s="10"/>
      <c r="G11" s="10"/>
      <c r="H11" s="10"/>
      <c r="I11" s="12" t="str">
        <f aca="false">IF(A11="","",N(B11)+N(E11)+N(F11)+N(G11))</f>
        <v/>
      </c>
      <c r="J11" s="9"/>
      <c r="K11" s="13" t="str">
        <f aca="false">IF(A11="","",IF(OR(ISTEXT(B11),ISTEXT(C11),ISTEXT(E11),ISTEXT(F11),ISTEXT(G11),ISTEXT(H11)),"Getal staat als tekst",IF(N(B11)&lt;0,"Negatieve uren",IF(AND(N(B11)=0,N(E11)+N(F11)+N(G11)=0),"Geen uren ingevuld",IF(N(C11)&gt;N(B11),"Reistijd hoger dan gewerkte uren",IF(N(H11)&gt;N(B11),"Pauze hoger dan gewerkte uren",IF(N(B11)&gt;320,"Ongewoon veel uren - controleren",IF(AND(N(D11)&gt;0,N(B11)/N(D11)&gt;14),"Meer dan 14 uur per dag - controleren","OK"))))))))</f>
        <v/>
      </c>
    </row>
    <row r="12" customFormat="false" ht="15" hidden="false" customHeight="false" outlineLevel="0" collapsed="false">
      <c r="A12" s="9"/>
      <c r="B12" s="10"/>
      <c r="C12" s="10"/>
      <c r="D12" s="11"/>
      <c r="E12" s="10"/>
      <c r="F12" s="10"/>
      <c r="G12" s="10"/>
      <c r="H12" s="10"/>
      <c r="I12" s="12" t="str">
        <f aca="false">IF(A12="","",N(B12)+N(E12)+N(F12)+N(G12))</f>
        <v/>
      </c>
      <c r="J12" s="9"/>
      <c r="K12" s="13" t="str">
        <f aca="false">IF(A12="","",IF(OR(ISTEXT(B12),ISTEXT(C12),ISTEXT(E12),ISTEXT(F12),ISTEXT(G12),ISTEXT(H12)),"Getal staat als tekst",IF(N(B12)&lt;0,"Negatieve uren",IF(AND(N(B12)=0,N(E12)+N(F12)+N(G12)=0),"Geen uren ingevuld",IF(N(C12)&gt;N(B12),"Reistijd hoger dan gewerkte uren",IF(N(H12)&gt;N(B12),"Pauze hoger dan gewerkte uren",IF(N(B12)&gt;320,"Ongewoon veel uren - controleren",IF(AND(N(D12)&gt;0,N(B12)/N(D12)&gt;14),"Meer dan 14 uur per dag - controleren","OK"))))))))</f>
        <v/>
      </c>
    </row>
    <row r="13" customFormat="false" ht="15" hidden="false" customHeight="false" outlineLevel="0" collapsed="false">
      <c r="A13" s="9"/>
      <c r="B13" s="10"/>
      <c r="C13" s="10"/>
      <c r="D13" s="11"/>
      <c r="E13" s="10"/>
      <c r="F13" s="10"/>
      <c r="G13" s="10"/>
      <c r="H13" s="10"/>
      <c r="I13" s="12" t="str">
        <f aca="false">IF(A13="","",N(B13)+N(E13)+N(F13)+N(G13))</f>
        <v/>
      </c>
      <c r="J13" s="9"/>
      <c r="K13" s="13" t="str">
        <f aca="false">IF(A13="","",IF(OR(ISTEXT(B13),ISTEXT(C13),ISTEXT(E13),ISTEXT(F13),ISTEXT(G13),ISTEXT(H13)),"Getal staat als tekst",IF(N(B13)&lt;0,"Negatieve uren",IF(AND(N(B13)=0,N(E13)+N(F13)+N(G13)=0),"Geen uren ingevuld",IF(N(C13)&gt;N(B13),"Reistijd hoger dan gewerkte uren",IF(N(H13)&gt;N(B13),"Pauze hoger dan gewerkte uren",IF(N(B13)&gt;320,"Ongewoon veel uren - controleren",IF(AND(N(D13)&gt;0,N(B13)/N(D13)&gt;14),"Meer dan 14 uur per dag - controleren","OK"))))))))</f>
        <v/>
      </c>
    </row>
    <row r="14" customFormat="false" ht="15" hidden="false" customHeight="false" outlineLevel="0" collapsed="false">
      <c r="A14" s="9"/>
      <c r="B14" s="10"/>
      <c r="C14" s="10"/>
      <c r="D14" s="11"/>
      <c r="E14" s="10"/>
      <c r="F14" s="10"/>
      <c r="G14" s="10"/>
      <c r="H14" s="10"/>
      <c r="I14" s="12" t="str">
        <f aca="false">IF(A14="","",N(B14)+N(E14)+N(F14)+N(G14))</f>
        <v/>
      </c>
      <c r="J14" s="9"/>
      <c r="K14" s="13" t="str">
        <f aca="false">IF(A14="","",IF(OR(ISTEXT(B14),ISTEXT(C14),ISTEXT(E14),ISTEXT(F14),ISTEXT(G14),ISTEXT(H14)),"Getal staat als tekst",IF(N(B14)&lt;0,"Negatieve uren",IF(AND(N(B14)=0,N(E14)+N(F14)+N(G14)=0),"Geen uren ingevuld",IF(N(C14)&gt;N(B14),"Reistijd hoger dan gewerkte uren",IF(N(H14)&gt;N(B14),"Pauze hoger dan gewerkte uren",IF(N(B14)&gt;320,"Ongewoon veel uren - controleren",IF(AND(N(D14)&gt;0,N(B14)/N(D14)&gt;14),"Meer dan 14 uur per dag - controleren","OK"))))))))</f>
        <v/>
      </c>
    </row>
    <row r="15" customFormat="false" ht="15" hidden="false" customHeight="false" outlineLevel="0" collapsed="false">
      <c r="A15" s="9"/>
      <c r="B15" s="10"/>
      <c r="C15" s="10"/>
      <c r="D15" s="11"/>
      <c r="E15" s="10"/>
      <c r="F15" s="10"/>
      <c r="G15" s="10"/>
      <c r="H15" s="10"/>
      <c r="I15" s="12" t="str">
        <f aca="false">IF(A15="","",N(B15)+N(E15)+N(F15)+N(G15))</f>
        <v/>
      </c>
      <c r="J15" s="9"/>
      <c r="K15" s="13" t="str">
        <f aca="false">IF(A15="","",IF(OR(ISTEXT(B15),ISTEXT(C15),ISTEXT(E15),ISTEXT(F15),ISTEXT(G15),ISTEXT(H15)),"Getal staat als tekst",IF(N(B15)&lt;0,"Negatieve uren",IF(AND(N(B15)=0,N(E15)+N(F15)+N(G15)=0),"Geen uren ingevuld",IF(N(C15)&gt;N(B15),"Reistijd hoger dan gewerkte uren",IF(N(H15)&gt;N(B15),"Pauze hoger dan gewerkte uren",IF(N(B15)&gt;320,"Ongewoon veel uren - controleren",IF(AND(N(D15)&gt;0,N(B15)/N(D15)&gt;14),"Meer dan 14 uur per dag - controleren","OK"))))))))</f>
        <v/>
      </c>
    </row>
    <row r="16" customFormat="false" ht="15" hidden="false" customHeight="false" outlineLevel="0" collapsed="false">
      <c r="A16" s="9"/>
      <c r="B16" s="10"/>
      <c r="C16" s="10"/>
      <c r="D16" s="11"/>
      <c r="E16" s="10"/>
      <c r="F16" s="10"/>
      <c r="G16" s="10"/>
      <c r="H16" s="10"/>
      <c r="I16" s="12" t="str">
        <f aca="false">IF(A16="","",N(B16)+N(E16)+N(F16)+N(G16))</f>
        <v/>
      </c>
      <c r="J16" s="9"/>
      <c r="K16" s="13" t="str">
        <f aca="false">IF(A16="","",IF(OR(ISTEXT(B16),ISTEXT(C16),ISTEXT(E16),ISTEXT(F16),ISTEXT(G16),ISTEXT(H16)),"Getal staat als tekst",IF(N(B16)&lt;0,"Negatieve uren",IF(AND(N(B16)=0,N(E16)+N(F16)+N(G16)=0),"Geen uren ingevuld",IF(N(C16)&gt;N(B16),"Reistijd hoger dan gewerkte uren",IF(N(H16)&gt;N(B16),"Pauze hoger dan gewerkte uren",IF(N(B16)&gt;320,"Ongewoon veel uren - controleren",IF(AND(N(D16)&gt;0,N(B16)/N(D16)&gt;14),"Meer dan 14 uur per dag - controleren","OK"))))))))</f>
        <v/>
      </c>
    </row>
    <row r="17" customFormat="false" ht="15" hidden="false" customHeight="false" outlineLevel="0" collapsed="false">
      <c r="A17" s="9"/>
      <c r="B17" s="10"/>
      <c r="C17" s="10"/>
      <c r="D17" s="11"/>
      <c r="E17" s="10"/>
      <c r="F17" s="10"/>
      <c r="G17" s="10"/>
      <c r="H17" s="10"/>
      <c r="I17" s="12" t="str">
        <f aca="false">IF(A17="","",N(B17)+N(E17)+N(F17)+N(G17))</f>
        <v/>
      </c>
      <c r="J17" s="9"/>
      <c r="K17" s="13" t="str">
        <f aca="false">IF(A17="","",IF(OR(ISTEXT(B17),ISTEXT(C17),ISTEXT(E17),ISTEXT(F17),ISTEXT(G17),ISTEXT(H17)),"Getal staat als tekst",IF(N(B17)&lt;0,"Negatieve uren",IF(AND(N(B17)=0,N(E17)+N(F17)+N(G17)=0),"Geen uren ingevuld",IF(N(C17)&gt;N(B17),"Reistijd hoger dan gewerkte uren",IF(N(H17)&gt;N(B17),"Pauze hoger dan gewerkte uren",IF(N(B17)&gt;320,"Ongewoon veel uren - controleren",IF(AND(N(D17)&gt;0,N(B17)/N(D17)&gt;14),"Meer dan 14 uur per dag - controleren","OK"))))))))</f>
        <v/>
      </c>
    </row>
    <row r="18" customFormat="false" ht="15" hidden="false" customHeight="false" outlineLevel="0" collapsed="false">
      <c r="A18" s="9"/>
      <c r="B18" s="10"/>
      <c r="C18" s="10"/>
      <c r="D18" s="11"/>
      <c r="E18" s="10"/>
      <c r="F18" s="10"/>
      <c r="G18" s="10"/>
      <c r="H18" s="10"/>
      <c r="I18" s="12" t="str">
        <f aca="false">IF(A18="","",N(B18)+N(E18)+N(F18)+N(G18))</f>
        <v/>
      </c>
      <c r="J18" s="9"/>
      <c r="K18" s="13" t="str">
        <f aca="false">IF(A18="","",IF(OR(ISTEXT(B18),ISTEXT(C18),ISTEXT(E18),ISTEXT(F18),ISTEXT(G18),ISTEXT(H18)),"Getal staat als tekst",IF(N(B18)&lt;0,"Negatieve uren",IF(AND(N(B18)=0,N(E18)+N(F18)+N(G18)=0),"Geen uren ingevuld",IF(N(C18)&gt;N(B18),"Reistijd hoger dan gewerkte uren",IF(N(H18)&gt;N(B18),"Pauze hoger dan gewerkte uren",IF(N(B18)&gt;320,"Ongewoon veel uren - controleren",IF(AND(N(D18)&gt;0,N(B18)/N(D18)&gt;14),"Meer dan 14 uur per dag - controleren","OK"))))))))</f>
        <v/>
      </c>
    </row>
    <row r="19" customFormat="false" ht="15" hidden="false" customHeight="false" outlineLevel="0" collapsed="false">
      <c r="A19" s="9"/>
      <c r="B19" s="10"/>
      <c r="C19" s="10"/>
      <c r="D19" s="11"/>
      <c r="E19" s="10"/>
      <c r="F19" s="10"/>
      <c r="G19" s="10"/>
      <c r="H19" s="10"/>
      <c r="I19" s="12" t="str">
        <f aca="false">IF(A19="","",N(B19)+N(E19)+N(F19)+N(G19))</f>
        <v/>
      </c>
      <c r="J19" s="9"/>
      <c r="K19" s="13" t="str">
        <f aca="false">IF(A19="","",IF(OR(ISTEXT(B19),ISTEXT(C19),ISTEXT(E19),ISTEXT(F19),ISTEXT(G19),ISTEXT(H19)),"Getal staat als tekst",IF(N(B19)&lt;0,"Negatieve uren",IF(AND(N(B19)=0,N(E19)+N(F19)+N(G19)=0),"Geen uren ingevuld",IF(N(C19)&gt;N(B19),"Reistijd hoger dan gewerkte uren",IF(N(H19)&gt;N(B19),"Pauze hoger dan gewerkte uren",IF(N(B19)&gt;320,"Ongewoon veel uren - controleren",IF(AND(N(D19)&gt;0,N(B19)/N(D19)&gt;14),"Meer dan 14 uur per dag - controleren","OK"))))))))</f>
        <v/>
      </c>
    </row>
    <row r="20" customFormat="false" ht="15" hidden="false" customHeight="false" outlineLevel="0" collapsed="false">
      <c r="A20" s="9"/>
      <c r="B20" s="10"/>
      <c r="C20" s="10"/>
      <c r="D20" s="11"/>
      <c r="E20" s="10"/>
      <c r="F20" s="10"/>
      <c r="G20" s="10"/>
      <c r="H20" s="10"/>
      <c r="I20" s="12" t="str">
        <f aca="false">IF(A20="","",N(B20)+N(E20)+N(F20)+N(G20))</f>
        <v/>
      </c>
      <c r="J20" s="9"/>
      <c r="K20" s="13" t="str">
        <f aca="false">IF(A20="","",IF(OR(ISTEXT(B20),ISTEXT(C20),ISTEXT(E20),ISTEXT(F20),ISTEXT(G20),ISTEXT(H20)),"Getal staat als tekst",IF(N(B20)&lt;0,"Negatieve uren",IF(AND(N(B20)=0,N(E20)+N(F20)+N(G20)=0),"Geen uren ingevuld",IF(N(C20)&gt;N(B20),"Reistijd hoger dan gewerkte uren",IF(N(H20)&gt;N(B20),"Pauze hoger dan gewerkte uren",IF(N(B20)&gt;320,"Ongewoon veel uren - controleren",IF(AND(N(D20)&gt;0,N(B20)/N(D20)&gt;14),"Meer dan 14 uur per dag - controleren","OK"))))))))</f>
        <v/>
      </c>
    </row>
    <row r="21" customFormat="false" ht="15" hidden="false" customHeight="false" outlineLevel="0" collapsed="false">
      <c r="A21" s="9"/>
      <c r="B21" s="10"/>
      <c r="C21" s="10"/>
      <c r="D21" s="11"/>
      <c r="E21" s="10"/>
      <c r="F21" s="10"/>
      <c r="G21" s="10"/>
      <c r="H21" s="10"/>
      <c r="I21" s="12" t="str">
        <f aca="false">IF(A21="","",N(B21)+N(E21)+N(F21)+N(G21))</f>
        <v/>
      </c>
      <c r="J21" s="9"/>
      <c r="K21" s="13" t="str">
        <f aca="false">IF(A21="","",IF(OR(ISTEXT(B21),ISTEXT(C21),ISTEXT(E21),ISTEXT(F21),ISTEXT(G21),ISTEXT(H21)),"Getal staat als tekst",IF(N(B21)&lt;0,"Negatieve uren",IF(AND(N(B21)=0,N(E21)+N(F21)+N(G21)=0),"Geen uren ingevuld",IF(N(C21)&gt;N(B21),"Reistijd hoger dan gewerkte uren",IF(N(H21)&gt;N(B21),"Pauze hoger dan gewerkte uren",IF(N(B21)&gt;320,"Ongewoon veel uren - controleren",IF(AND(N(D21)&gt;0,N(B21)/N(D21)&gt;14),"Meer dan 14 uur per dag - controleren","OK"))))))))</f>
        <v/>
      </c>
    </row>
    <row r="22" customFormat="false" ht="15" hidden="false" customHeight="false" outlineLevel="0" collapsed="false">
      <c r="A22" s="9"/>
      <c r="B22" s="10"/>
      <c r="C22" s="10"/>
      <c r="D22" s="11"/>
      <c r="E22" s="10"/>
      <c r="F22" s="10"/>
      <c r="G22" s="10"/>
      <c r="H22" s="10"/>
      <c r="I22" s="12" t="str">
        <f aca="false">IF(A22="","",N(B22)+N(E22)+N(F22)+N(G22))</f>
        <v/>
      </c>
      <c r="J22" s="9"/>
      <c r="K22" s="13" t="str">
        <f aca="false">IF(A22="","",IF(OR(ISTEXT(B22),ISTEXT(C22),ISTEXT(E22),ISTEXT(F22),ISTEXT(G22),ISTEXT(H22)),"Getal staat als tekst",IF(N(B22)&lt;0,"Negatieve uren",IF(AND(N(B22)=0,N(E22)+N(F22)+N(G22)=0),"Geen uren ingevuld",IF(N(C22)&gt;N(B22),"Reistijd hoger dan gewerkte uren",IF(N(H22)&gt;N(B22),"Pauze hoger dan gewerkte uren",IF(N(B22)&gt;320,"Ongewoon veel uren - controleren",IF(AND(N(D22)&gt;0,N(B22)/N(D22)&gt;14),"Meer dan 14 uur per dag - controleren","OK"))))))))</f>
        <v/>
      </c>
    </row>
    <row r="23" customFormat="false" ht="15" hidden="false" customHeight="false" outlineLevel="0" collapsed="false">
      <c r="A23" s="9"/>
      <c r="B23" s="10"/>
      <c r="C23" s="10"/>
      <c r="D23" s="11"/>
      <c r="E23" s="10"/>
      <c r="F23" s="10"/>
      <c r="G23" s="10"/>
      <c r="H23" s="10"/>
      <c r="I23" s="12" t="str">
        <f aca="false">IF(A23="","",N(B23)+N(E23)+N(F23)+N(G23))</f>
        <v/>
      </c>
      <c r="J23" s="9"/>
      <c r="K23" s="13" t="str">
        <f aca="false">IF(A23="","",IF(OR(ISTEXT(B23),ISTEXT(C23),ISTEXT(E23),ISTEXT(F23),ISTEXT(G23),ISTEXT(H23)),"Getal staat als tekst",IF(N(B23)&lt;0,"Negatieve uren",IF(AND(N(B23)=0,N(E23)+N(F23)+N(G23)=0),"Geen uren ingevuld",IF(N(C23)&gt;N(B23),"Reistijd hoger dan gewerkte uren",IF(N(H23)&gt;N(B23),"Pauze hoger dan gewerkte uren",IF(N(B23)&gt;320,"Ongewoon veel uren - controleren",IF(AND(N(D23)&gt;0,N(B23)/N(D23)&gt;14),"Meer dan 14 uur per dag - controleren","OK"))))))))</f>
        <v/>
      </c>
    </row>
    <row r="24" customFormat="false" ht="15" hidden="false" customHeight="false" outlineLevel="0" collapsed="false">
      <c r="A24" s="9"/>
      <c r="B24" s="10"/>
      <c r="C24" s="10"/>
      <c r="D24" s="11"/>
      <c r="E24" s="10"/>
      <c r="F24" s="10"/>
      <c r="G24" s="10"/>
      <c r="H24" s="10"/>
      <c r="I24" s="12" t="str">
        <f aca="false">IF(A24="","",N(B24)+N(E24)+N(F24)+N(G24))</f>
        <v/>
      </c>
      <c r="J24" s="9"/>
      <c r="K24" s="13" t="str">
        <f aca="false">IF(A24="","",IF(OR(ISTEXT(B24),ISTEXT(C24),ISTEXT(E24),ISTEXT(F24),ISTEXT(G24),ISTEXT(H24)),"Getal staat als tekst",IF(N(B24)&lt;0,"Negatieve uren",IF(AND(N(B24)=0,N(E24)+N(F24)+N(G24)=0),"Geen uren ingevuld",IF(N(C24)&gt;N(B24),"Reistijd hoger dan gewerkte uren",IF(N(H24)&gt;N(B24),"Pauze hoger dan gewerkte uren",IF(N(B24)&gt;320,"Ongewoon veel uren - controleren",IF(AND(N(D24)&gt;0,N(B24)/N(D24)&gt;14),"Meer dan 14 uur per dag - controleren","OK"))))))))</f>
        <v/>
      </c>
    </row>
    <row r="25" customFormat="false" ht="15" hidden="false" customHeight="false" outlineLevel="0" collapsed="false">
      <c r="A25" s="9"/>
      <c r="B25" s="10"/>
      <c r="C25" s="10"/>
      <c r="D25" s="11"/>
      <c r="E25" s="10"/>
      <c r="F25" s="10"/>
      <c r="G25" s="10"/>
      <c r="H25" s="10"/>
      <c r="I25" s="12" t="str">
        <f aca="false">IF(A25="","",N(B25)+N(E25)+N(F25)+N(G25))</f>
        <v/>
      </c>
      <c r="J25" s="9"/>
      <c r="K25" s="13" t="str">
        <f aca="false">IF(A25="","",IF(OR(ISTEXT(B25),ISTEXT(C25),ISTEXT(E25),ISTEXT(F25),ISTEXT(G25),ISTEXT(H25)),"Getal staat als tekst",IF(N(B25)&lt;0,"Negatieve uren",IF(AND(N(B25)=0,N(E25)+N(F25)+N(G25)=0),"Geen uren ingevuld",IF(N(C25)&gt;N(B25),"Reistijd hoger dan gewerkte uren",IF(N(H25)&gt;N(B25),"Pauze hoger dan gewerkte uren",IF(N(B25)&gt;320,"Ongewoon veel uren - controleren",IF(AND(N(D25)&gt;0,N(B25)/N(D25)&gt;14),"Meer dan 14 uur per dag - controleren","OK"))))))))</f>
        <v/>
      </c>
    </row>
    <row r="26" customFormat="false" ht="15" hidden="false" customHeight="false" outlineLevel="0" collapsed="false">
      <c r="A26" s="9"/>
      <c r="B26" s="10"/>
      <c r="C26" s="10"/>
      <c r="D26" s="11"/>
      <c r="E26" s="10"/>
      <c r="F26" s="10"/>
      <c r="G26" s="10"/>
      <c r="H26" s="10"/>
      <c r="I26" s="12" t="str">
        <f aca="false">IF(A26="","",N(B26)+N(E26)+N(F26)+N(G26))</f>
        <v/>
      </c>
      <c r="J26" s="9"/>
      <c r="K26" s="13" t="str">
        <f aca="false">IF(A26="","",IF(OR(ISTEXT(B26),ISTEXT(C26),ISTEXT(E26),ISTEXT(F26),ISTEXT(G26),ISTEXT(H26)),"Getal staat als tekst",IF(N(B26)&lt;0,"Negatieve uren",IF(AND(N(B26)=0,N(E26)+N(F26)+N(G26)=0),"Geen uren ingevuld",IF(N(C26)&gt;N(B26),"Reistijd hoger dan gewerkte uren",IF(N(H26)&gt;N(B26),"Pauze hoger dan gewerkte uren",IF(N(B26)&gt;320,"Ongewoon veel uren - controleren",IF(AND(N(D26)&gt;0,N(B26)/N(D26)&gt;14),"Meer dan 14 uur per dag - controleren","OK"))))))))</f>
        <v/>
      </c>
    </row>
    <row r="27" customFormat="false" ht="15" hidden="false" customHeight="false" outlineLevel="0" collapsed="false">
      <c r="A27" s="9"/>
      <c r="B27" s="10"/>
      <c r="C27" s="10"/>
      <c r="D27" s="11"/>
      <c r="E27" s="10"/>
      <c r="F27" s="10"/>
      <c r="G27" s="10"/>
      <c r="H27" s="10"/>
      <c r="I27" s="12" t="str">
        <f aca="false">IF(A27="","",N(B27)+N(E27)+N(F27)+N(G27))</f>
        <v/>
      </c>
      <c r="J27" s="9"/>
      <c r="K27" s="13" t="str">
        <f aca="false">IF(A27="","",IF(OR(ISTEXT(B27),ISTEXT(C27),ISTEXT(E27),ISTEXT(F27),ISTEXT(G27),ISTEXT(H27)),"Getal staat als tekst",IF(N(B27)&lt;0,"Negatieve uren",IF(AND(N(B27)=0,N(E27)+N(F27)+N(G27)=0),"Geen uren ingevuld",IF(N(C27)&gt;N(B27),"Reistijd hoger dan gewerkte uren",IF(N(H27)&gt;N(B27),"Pauze hoger dan gewerkte uren",IF(N(B27)&gt;320,"Ongewoon veel uren - controleren",IF(AND(N(D27)&gt;0,N(B27)/N(D27)&gt;14),"Meer dan 14 uur per dag - controleren","OK"))))))))</f>
        <v/>
      </c>
    </row>
    <row r="28" customFormat="false" ht="15" hidden="false" customHeight="false" outlineLevel="0" collapsed="false">
      <c r="A28" s="9"/>
      <c r="B28" s="10"/>
      <c r="C28" s="10"/>
      <c r="D28" s="11"/>
      <c r="E28" s="10"/>
      <c r="F28" s="10"/>
      <c r="G28" s="10"/>
      <c r="H28" s="10"/>
      <c r="I28" s="12" t="str">
        <f aca="false">IF(A28="","",N(B28)+N(E28)+N(F28)+N(G28))</f>
        <v/>
      </c>
      <c r="J28" s="9"/>
      <c r="K28" s="13" t="str">
        <f aca="false">IF(A28="","",IF(OR(ISTEXT(B28),ISTEXT(C28),ISTEXT(E28),ISTEXT(F28),ISTEXT(G28),ISTEXT(H28)),"Getal staat als tekst",IF(N(B28)&lt;0,"Negatieve uren",IF(AND(N(B28)=0,N(E28)+N(F28)+N(G28)=0),"Geen uren ingevuld",IF(N(C28)&gt;N(B28),"Reistijd hoger dan gewerkte uren",IF(N(H28)&gt;N(B28),"Pauze hoger dan gewerkte uren",IF(N(B28)&gt;320,"Ongewoon veel uren - controleren",IF(AND(N(D28)&gt;0,N(B28)/N(D28)&gt;14),"Meer dan 14 uur per dag - controleren","OK"))))))))</f>
        <v/>
      </c>
    </row>
    <row r="29" customFormat="false" ht="15" hidden="false" customHeight="false" outlineLevel="0" collapsed="false">
      <c r="A29" s="9"/>
      <c r="B29" s="10"/>
      <c r="C29" s="10"/>
      <c r="D29" s="11"/>
      <c r="E29" s="10"/>
      <c r="F29" s="10"/>
      <c r="G29" s="10"/>
      <c r="H29" s="10"/>
      <c r="I29" s="12" t="str">
        <f aca="false">IF(A29="","",N(B29)+N(E29)+N(F29)+N(G29))</f>
        <v/>
      </c>
      <c r="J29" s="9"/>
      <c r="K29" s="13" t="str">
        <f aca="false">IF(A29="","",IF(OR(ISTEXT(B29),ISTEXT(C29),ISTEXT(E29),ISTEXT(F29),ISTEXT(G29),ISTEXT(H29)),"Getal staat als tekst",IF(N(B29)&lt;0,"Negatieve uren",IF(AND(N(B29)=0,N(E29)+N(F29)+N(G29)=0),"Geen uren ingevuld",IF(N(C29)&gt;N(B29),"Reistijd hoger dan gewerkte uren",IF(N(H29)&gt;N(B29),"Pauze hoger dan gewerkte uren",IF(N(B29)&gt;320,"Ongewoon veel uren - controleren",IF(AND(N(D29)&gt;0,N(B29)/N(D29)&gt;14),"Meer dan 14 uur per dag - controleren","OK"))))))))</f>
        <v/>
      </c>
    </row>
    <row r="30" customFormat="false" ht="15" hidden="false" customHeight="false" outlineLevel="0" collapsed="false">
      <c r="A30" s="9"/>
      <c r="B30" s="10"/>
      <c r="C30" s="10"/>
      <c r="D30" s="11"/>
      <c r="E30" s="10"/>
      <c r="F30" s="10"/>
      <c r="G30" s="10"/>
      <c r="H30" s="10"/>
      <c r="I30" s="12" t="str">
        <f aca="false">IF(A30="","",N(B30)+N(E30)+N(F30)+N(G30))</f>
        <v/>
      </c>
      <c r="J30" s="9"/>
      <c r="K30" s="13" t="str">
        <f aca="false">IF(A30="","",IF(OR(ISTEXT(B30),ISTEXT(C30),ISTEXT(E30),ISTEXT(F30),ISTEXT(G30),ISTEXT(H30)),"Getal staat als tekst",IF(N(B30)&lt;0,"Negatieve uren",IF(AND(N(B30)=0,N(E30)+N(F30)+N(G30)=0),"Geen uren ingevuld",IF(N(C30)&gt;N(B30),"Reistijd hoger dan gewerkte uren",IF(N(H30)&gt;N(B30),"Pauze hoger dan gewerkte uren",IF(N(B30)&gt;320,"Ongewoon veel uren - controleren",IF(AND(N(D30)&gt;0,N(B30)/N(D30)&gt;14),"Meer dan 14 uur per dag - controleren","OK"))))))))</f>
        <v/>
      </c>
    </row>
    <row r="31" customFormat="false" ht="15" hidden="false" customHeight="false" outlineLevel="0" collapsed="false">
      <c r="A31" s="5" t="s">
        <v>36</v>
      </c>
      <c r="B31" s="14" t="n">
        <f aca="false">SUM(B6:B30)</f>
        <v>0</v>
      </c>
      <c r="C31" s="14" t="n">
        <f aca="false">SUM(C6:C30)</f>
        <v>0</v>
      </c>
      <c r="D31" s="15" t="n">
        <f aca="false">SUM(D6:D30)</f>
        <v>0</v>
      </c>
      <c r="E31" s="14" t="n">
        <f aca="false">SUM(E6:E30)</f>
        <v>0</v>
      </c>
      <c r="F31" s="14" t="n">
        <f aca="false">SUM(F6:F30)</f>
        <v>0</v>
      </c>
      <c r="G31" s="14" t="n">
        <f aca="false">SUM(G6:G30)</f>
        <v>0</v>
      </c>
      <c r="H31" s="14" t="n">
        <f aca="false">SUM(H6:H30)</f>
        <v>0</v>
      </c>
      <c r="I31" s="14" t="n">
        <f aca="false">SUM(I6:I30)</f>
        <v>0</v>
      </c>
      <c r="K31" s="16" t="str">
        <f aca="false">IF(COUNTA(A6:A30)=0,"",IF(COUNTIF(K6:K30,"OK")=COUNTA(A6:A30),"Alles OK","LET OP: "&amp;(COUNTA(A6:A30)-COUNTIF(K6:K30,"OK"))&amp;" regel(s) controleren"))</f>
        <v/>
      </c>
    </row>
    <row r="33" customFormat="false" ht="27.75" hidden="false" customHeight="true" outlineLevel="0" collapsed="false">
      <c r="A33" s="17" t="s">
        <v>37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5" customFormat="false" ht="15" hidden="false" customHeight="false" outlineLevel="0" collapsed="false">
      <c r="A35" s="18" t="str">
        <f aca="false">IF(COUNTA(A36:A500)+COUNTA(B36:B500)=0,"Bereikcontrole: OK","LET OP: er staan medewerkers onder de tabel - die tellen NIET mee. Rijen invoegen boven de totaalregel.")</f>
        <v>Bereikcontrole: OK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</row>
  </sheetData>
  <sheetProtection sheet="true" formatCells="false" selectLockedCells="true" selectUnlockedCells="true"/>
  <mergeCells count="5">
    <mergeCell ref="B4:D4"/>
    <mergeCell ref="E4:G4"/>
    <mergeCell ref="J4:K4"/>
    <mergeCell ref="A33:K33"/>
    <mergeCell ref="A35:K35"/>
  </mergeCells>
  <conditionalFormatting sqref="K6:K30">
    <cfRule type="expression" priority="2" aboveAverage="0" equalAverage="0" bottom="0" percent="0" rank="0" text="" dxfId="0">
      <formula>AND($K6&lt;&gt;"",$K6&lt;&gt;"OK")</formula>
    </cfRule>
    <cfRule type="expression" priority="3" aboveAverage="0" equalAverage="0" bottom="0" percent="0" rank="0" text="" dxfId="1">
      <formula>$K6="OK"</formula>
    </cfRule>
  </conditionalFormatting>
  <conditionalFormatting sqref="K31">
    <cfRule type="expression" priority="4" aboveAverage="0" equalAverage="0" bottom="0" percent="0" rank="0" text="" dxfId="0">
      <formula>LEFT(K31,6)="LET OP"</formula>
    </cfRule>
    <cfRule type="expression" priority="5" aboveAverage="0" equalAverage="0" bottom="0" percent="0" rank="0" text="" dxfId="2">
      <formula>K31="Alles OK"</formula>
    </cfRule>
  </conditionalFormatting>
  <conditionalFormatting sqref="A35">
    <cfRule type="expression" priority="6" aboveAverage="0" equalAverage="0" bottom="0" percent="0" rank="0" text="" dxfId="0">
      <formula>LEFT(A35,6)="LET OP"</formula>
    </cfRule>
    <cfRule type="expression" priority="7" aboveAverage="0" equalAverage="0" bottom="0" percent="0" rank="0" text="" dxfId="2">
      <formula>LEFT(A35,14)="Bereikcontrole"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2026-07-30T00:05:50Z</dcterms:created>
  <dc:creator>openpyxl</dc:creator>
  <dc:description/>
  <dc:language>en-US</dc:language>
  <cp:lastModifiedBy/>
  <dcterms:modified xsi:type="dcterms:W3CDTF">2026-07-30T00:06:42Z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