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Uitleg" sheetId="1" state="visible" r:id="rId1"/>
    <sheet xmlns:r="http://schemas.openxmlformats.org/officeDocument/2006/relationships" name="Registraties" sheetId="2" state="visible" r:id="rId2"/>
    <sheet xmlns:r="http://schemas.openxmlformats.org/officeDocument/2006/relationships" name="Tarieven" sheetId="3" state="visible" r:id="rId3"/>
    <sheet xmlns:r="http://schemas.openxmlformats.org/officeDocument/2006/relationships" name="Werkregels" sheetId="4" state="visible" r:id="rId4"/>
    <sheet xmlns:r="http://schemas.openxmlformats.org/officeDocument/2006/relationships" name="Te factureren" sheetId="5" state="visible" r:id="rId5"/>
  </sheets>
  <definedNames>
    <definedName name="_xlnm._FilterDatabase" localSheetId="1" hidden="1">'Registraties'!$A$4:$M$3004</definedName>
    <definedName name="_xlnm._FilterDatabase" localSheetId="3" hidden="1">'Werkregels'!$A$2:$U$602</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dd\-mm\-yyyy"/>
    <numFmt numFmtId="165" formatCode="hh:mm"/>
    <numFmt numFmtId="166" formatCode="[hh]:mm"/>
    <numFmt numFmtId="167" formatCode="&quot;€ &quot;#,##0.00;[RED]&quot;(€ &quot;#,##0.00\);\-"/>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1B5E20"/>
      <sz val="16"/>
    </font>
    <font>
      <name val="Arial"/>
      <charset val="1"/>
      <family val="0"/>
      <sz val="10"/>
    </font>
    <font>
      <name val="Arial"/>
      <charset val="1"/>
      <family val="0"/>
      <b val="1"/>
      <color rgb="FF1B5E20"/>
      <sz val="12"/>
    </font>
    <font>
      <name val="Arial"/>
      <charset val="1"/>
      <family val="0"/>
      <b val="1"/>
      <sz val="10"/>
    </font>
    <font>
      <name val="Arial"/>
      <charset val="1"/>
      <family val="0"/>
      <b val="1"/>
      <sz val="13"/>
    </font>
    <font>
      <name val="Arial"/>
      <charset val="1"/>
      <family val="0"/>
      <b val="1"/>
      <color rgb="FFFFFFFF"/>
      <sz val="9"/>
    </font>
    <font>
      <name val="Arial"/>
      <charset val="1"/>
      <family val="0"/>
      <b val="1"/>
      <color rgb="FFFFFFFF"/>
      <sz val="10"/>
    </font>
    <font>
      <name val="Arial"/>
      <charset val="1"/>
      <family val="0"/>
      <color rgb="FF0000FF"/>
      <sz val="10"/>
    </font>
    <font>
      <name val="Arial"/>
      <charset val="1"/>
      <family val="0"/>
      <i val="1"/>
      <sz val="9"/>
    </font>
    <font>
      <name val="Arial"/>
      <charset val="1"/>
      <family val="0"/>
      <b val="1"/>
      <color rgb="FF1B5E20"/>
      <sz val="14"/>
    </font>
    <font>
      <name val="Arial"/>
      <charset val="1"/>
      <family val="0"/>
      <b val="1"/>
      <sz val="14"/>
    </font>
  </fonts>
  <fills count="10">
    <fill>
      <patternFill/>
    </fill>
    <fill>
      <patternFill patternType="gray125"/>
    </fill>
    <fill>
      <patternFill patternType="solid">
        <fgColor rgb="FFC8E6C9"/>
        <bgColor rgb="FFE0E0E0"/>
      </patternFill>
    </fill>
    <fill>
      <patternFill patternType="solid">
        <fgColor rgb="FFEEEEEE"/>
        <bgColor rgb="FFEEF5EE"/>
      </patternFill>
    </fill>
    <fill>
      <patternFill patternType="solid">
        <fgColor rgb="FF0E3D14"/>
        <bgColor rgb="FF333300"/>
      </patternFill>
    </fill>
    <fill>
      <patternFill patternType="solid">
        <fgColor rgb="FF1B5E20"/>
        <bgColor rgb="FF0E3D14"/>
      </patternFill>
    </fill>
    <fill>
      <patternFill patternType="solid">
        <fgColor rgb="FFEEF5EE"/>
        <bgColor rgb="FFE8F5E9"/>
      </patternFill>
    </fill>
    <fill>
      <patternFill patternType="solid">
        <fgColor rgb="FFFFE0B2"/>
        <bgColor rgb="FFFFCDD2"/>
      </patternFill>
    </fill>
    <fill>
      <patternFill patternType="solid">
        <fgColor rgb="FFFFF9C4"/>
        <bgColor rgb="FFEEF5EE"/>
      </patternFill>
    </fill>
    <fill>
      <patternFill patternType="solid">
        <fgColor rgb="FFF5F5F5"/>
        <bgColor rgb="FFEEF5EE"/>
      </patternFill>
    </fill>
  </fills>
  <borders count="7">
    <border>
      <left/>
      <right/>
      <top/>
      <bottom/>
      <diagonal/>
    </border>
    <border>
      <left style="thin">
        <color rgb="FFCCCCCC"/>
      </left>
      <right style="thin">
        <color rgb="FFCCCCCC"/>
      </right>
      <top style="thin">
        <color rgb="FFCCCCCC"/>
      </top>
      <bottom style="thin">
        <color rgb="FFCCCCCC"/>
      </bottom>
      <diagonal/>
    </border>
    <border>
      <left/>
      <right/>
      <top style="medium">
        <color rgb="FF1B5E20"/>
      </top>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7" fillId="2" borderId="0" applyAlignment="1" pivotButton="0" quotePrefix="0" xfId="0">
      <alignment horizontal="general" vertical="bottom"/>
    </xf>
    <xf numFmtId="0" fontId="7" fillId="3" borderId="0" applyAlignment="1" pivotButton="0" quotePrefix="0" xfId="0">
      <alignment horizontal="general" vertical="bottom"/>
    </xf>
    <xf numFmtId="2" fontId="8" fillId="0" borderId="0" applyAlignment="1" pivotButton="0" quotePrefix="0" xfId="0">
      <alignment horizontal="general" vertical="bottom"/>
    </xf>
    <xf numFmtId="0" fontId="7" fillId="0" borderId="0" applyAlignment="1" pivotButton="0" quotePrefix="0" xfId="0">
      <alignment horizontal="general" vertical="bottom"/>
    </xf>
    <xf numFmtId="0" fontId="9" fillId="4" borderId="1" applyAlignment="1" pivotButton="0" quotePrefix="0" xfId="0">
      <alignment horizontal="center" vertical="center"/>
    </xf>
    <xf numFmtId="0" fontId="10" fillId="5" borderId="1" applyAlignment="1" pivotButton="0" quotePrefix="0" xfId="0">
      <alignment horizontal="center" vertical="center" wrapText="1"/>
    </xf>
    <xf numFmtId="164" fontId="11" fillId="0" borderId="1" applyAlignment="1" applyProtection="1" pivotButton="0" quotePrefix="0" xfId="0">
      <alignment horizontal="general" vertical="bottom"/>
      <protection locked="0" hidden="0"/>
    </xf>
    <xf numFmtId="0" fontId="5" fillId="0" borderId="1" applyAlignment="1" pivotButton="0" quotePrefix="0" xfId="0">
      <alignment horizontal="general" vertical="bottom"/>
    </xf>
    <xf numFmtId="0" fontId="11" fillId="0" borderId="1" applyAlignment="1" applyProtection="1" pivotButton="0" quotePrefix="0" xfId="0">
      <alignment horizontal="general" vertical="bottom"/>
      <protection locked="0" hidden="0"/>
    </xf>
    <xf numFmtId="0" fontId="11" fillId="6" borderId="1" applyAlignment="1" applyProtection="1" pivotButton="0" quotePrefix="0" xfId="0">
      <alignment horizontal="general" vertical="bottom"/>
      <protection locked="0" hidden="0"/>
    </xf>
    <xf numFmtId="165" fontId="11" fillId="0" borderId="1" applyAlignment="1" applyProtection="1" pivotButton="0" quotePrefix="0" xfId="0">
      <alignment horizontal="general" vertical="bottom"/>
      <protection locked="0" hidden="0"/>
    </xf>
    <xf numFmtId="166" fontId="5" fillId="0" borderId="1" applyAlignment="1" pivotButton="0" quotePrefix="0" xfId="0">
      <alignment horizontal="general" vertical="bottom"/>
    </xf>
    <xf numFmtId="2" fontId="5" fillId="0" borderId="1" applyAlignment="1" pivotButton="0" quotePrefix="0" xfId="0">
      <alignment horizontal="general" vertical="bottom"/>
    </xf>
    <xf numFmtId="0" fontId="5" fillId="0" borderId="1" applyAlignment="1" pivotButton="0" quotePrefix="0" xfId="0">
      <alignment horizontal="center" vertical="bottom"/>
    </xf>
    <xf numFmtId="0" fontId="11" fillId="0" borderId="1" applyAlignment="1" pivotButton="0" quotePrefix="0" xfId="0">
      <alignment horizontal="general" vertical="bottom"/>
    </xf>
    <xf numFmtId="0" fontId="11" fillId="6" borderId="1" applyAlignment="1" pivotButton="0" quotePrefix="0" xfId="0">
      <alignment horizontal="general" vertical="bottom"/>
    </xf>
    <xf numFmtId="167" fontId="11" fillId="0" borderId="1" applyAlignment="1" pivotButton="0" quotePrefix="0" xfId="0">
      <alignment horizontal="general" vertical="bottom"/>
    </xf>
    <xf numFmtId="0" fontId="12" fillId="0" borderId="0" applyAlignment="1" pivotButton="0" quotePrefix="0" xfId="0">
      <alignment horizontal="general" vertical="bottom"/>
    </xf>
    <xf numFmtId="0" fontId="11" fillId="6" borderId="1" applyAlignment="1" applyProtection="1" pivotButton="0" quotePrefix="0" xfId="0">
      <alignment horizontal="center" vertical="bottom"/>
      <protection locked="0" hidden="0"/>
    </xf>
    <xf numFmtId="2" fontId="11" fillId="0" borderId="1" applyAlignment="1" applyProtection="1" pivotButton="0" quotePrefix="0" xfId="0">
      <alignment horizontal="general" vertical="bottom"/>
      <protection locked="0" hidden="0"/>
    </xf>
    <xf numFmtId="167" fontId="11" fillId="0" borderId="1" applyAlignment="1" applyProtection="1" pivotButton="0" quotePrefix="0" xfId="0">
      <alignment horizontal="general" vertical="bottom"/>
      <protection locked="0" hidden="0"/>
    </xf>
    <xf numFmtId="167" fontId="5" fillId="0" borderId="1" applyAlignment="1" pivotButton="0" quotePrefix="0" xfId="0">
      <alignment horizontal="general" vertical="bottom"/>
    </xf>
    <xf numFmtId="0" fontId="13" fillId="0" borderId="0" applyAlignment="1" pivotButton="0" quotePrefix="0" xfId="0">
      <alignment horizontal="general" vertical="bottom"/>
    </xf>
    <xf numFmtId="0" fontId="7" fillId="7" borderId="0" applyAlignment="1" pivotButton="0" quotePrefix="0" xfId="0">
      <alignment horizontal="center" vertical="bottom"/>
    </xf>
    <xf numFmtId="0" fontId="7" fillId="8" borderId="0" applyAlignment="1" pivotButton="0" quotePrefix="0" xfId="0">
      <alignment horizontal="center" vertical="bottom"/>
    </xf>
    <xf numFmtId="0" fontId="7" fillId="2" borderId="0" applyAlignment="1" pivotButton="0" quotePrefix="0" xfId="0">
      <alignment horizontal="center" vertical="bottom"/>
    </xf>
    <xf numFmtId="167" fontId="14" fillId="0" borderId="0" applyAlignment="1" pivotButton="0" quotePrefix="0" xfId="0">
      <alignment horizontal="general" vertical="bottom"/>
    </xf>
    <xf numFmtId="0" fontId="11" fillId="9" borderId="1" applyAlignment="1" pivotButton="0" quotePrefix="0" xfId="0">
      <alignment horizontal="general" vertical="bottom"/>
    </xf>
    <xf numFmtId="0" fontId="5" fillId="9" borderId="1" applyAlignment="1" pivotButton="0" quotePrefix="0" xfId="0">
      <alignment horizontal="general" vertical="bottom"/>
    </xf>
    <xf numFmtId="2" fontId="5" fillId="9" borderId="1" applyAlignment="1" pivotButton="0" quotePrefix="0" xfId="0">
      <alignment horizontal="general" vertical="bottom"/>
    </xf>
    <xf numFmtId="167" fontId="5" fillId="9" borderId="1" applyAlignment="1" pivotButton="0" quotePrefix="0" xfId="0">
      <alignment horizontal="general" vertical="bottom"/>
    </xf>
    <xf numFmtId="1" fontId="7" fillId="0" borderId="2" applyAlignment="1" pivotButton="0" quotePrefix="0" xfId="0">
      <alignment horizontal="general" vertical="bottom"/>
    </xf>
    <xf numFmtId="2" fontId="7" fillId="0" borderId="2" applyAlignment="1" pivotButton="0" quotePrefix="0" xfId="0">
      <alignment horizontal="general" vertical="bottom"/>
    </xf>
    <xf numFmtId="167" fontId="7" fillId="0" borderId="2"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7" fillId="2" borderId="0" applyAlignment="1" pivotButton="0" quotePrefix="0" xfId="0">
      <alignment horizontal="general" vertical="bottom"/>
    </xf>
    <xf numFmtId="0" fontId="7" fillId="3" borderId="0" applyAlignment="1" pivotButton="0" quotePrefix="0" xfId="0">
      <alignment horizontal="general" vertical="bottom"/>
    </xf>
    <xf numFmtId="2" fontId="8" fillId="0" borderId="0" applyAlignment="1" pivotButton="0" quotePrefix="0" xfId="0">
      <alignment horizontal="general" vertical="bottom"/>
    </xf>
    <xf numFmtId="0" fontId="9" fillId="4" borderId="1" applyAlignment="1" pivotButton="0" quotePrefix="0" xfId="0">
      <alignment horizontal="center" vertical="center"/>
    </xf>
    <xf numFmtId="0" fontId="0" fillId="0" borderId="5" pivotButton="0" quotePrefix="0" xfId="0"/>
    <xf numFmtId="0" fontId="0" fillId="0" borderId="6" pivotButton="0" quotePrefix="0" xfId="0"/>
    <xf numFmtId="0" fontId="10" fillId="5" borderId="1" applyAlignment="1" pivotButton="0" quotePrefix="0" xfId="0">
      <alignment horizontal="center" vertical="center" wrapText="1"/>
    </xf>
    <xf numFmtId="164" fontId="11" fillId="0" borderId="1" applyAlignment="1" applyProtection="1" pivotButton="0" quotePrefix="0" xfId="0">
      <alignment horizontal="general" vertical="bottom"/>
      <protection locked="0" hidden="0"/>
    </xf>
    <xf numFmtId="0" fontId="5" fillId="0" borderId="1" applyAlignment="1" pivotButton="0" quotePrefix="0" xfId="0">
      <alignment horizontal="general" vertical="bottom"/>
    </xf>
    <xf numFmtId="0" fontId="11" fillId="0" borderId="1" applyAlignment="1" applyProtection="1" pivotButton="0" quotePrefix="0" xfId="0">
      <alignment horizontal="general" vertical="bottom"/>
      <protection locked="0" hidden="0"/>
    </xf>
    <xf numFmtId="0" fontId="11" fillId="6" borderId="1" applyAlignment="1" applyProtection="1" pivotButton="0" quotePrefix="0" xfId="0">
      <alignment horizontal="general" vertical="bottom"/>
      <protection locked="0" hidden="0"/>
    </xf>
    <xf numFmtId="165" fontId="11" fillId="0" borderId="1" applyAlignment="1" applyProtection="1" pivotButton="0" quotePrefix="0" xfId="0">
      <alignment horizontal="general" vertical="bottom"/>
      <protection locked="0" hidden="0"/>
    </xf>
    <xf numFmtId="166" fontId="5" fillId="0" borderId="1" applyAlignment="1" pivotButton="0" quotePrefix="0" xfId="0">
      <alignment horizontal="general" vertical="bottom"/>
    </xf>
    <xf numFmtId="2" fontId="5" fillId="0" borderId="1" applyAlignment="1" pivotButton="0" quotePrefix="0" xfId="0">
      <alignment horizontal="general" vertical="bottom"/>
    </xf>
    <xf numFmtId="0" fontId="5" fillId="0" borderId="1" applyAlignment="1" pivotButton="0" quotePrefix="0" xfId="0">
      <alignment horizontal="center" vertical="bottom"/>
    </xf>
    <xf numFmtId="0" fontId="11" fillId="0" borderId="1" applyAlignment="1" pivotButton="0" quotePrefix="0" xfId="0">
      <alignment horizontal="general" vertical="bottom"/>
    </xf>
    <xf numFmtId="0" fontId="11" fillId="6" borderId="1" applyAlignment="1" pivotButton="0" quotePrefix="0" xfId="0">
      <alignment horizontal="general" vertical="bottom"/>
    </xf>
    <xf numFmtId="167" fontId="11" fillId="0" borderId="1" applyAlignment="1" pivotButton="0" quotePrefix="0" xfId="0">
      <alignment horizontal="general" vertical="bottom"/>
    </xf>
    <xf numFmtId="0" fontId="12" fillId="0" borderId="0" applyAlignment="1" pivotButton="0" quotePrefix="0" xfId="0">
      <alignment horizontal="general" vertical="bottom"/>
    </xf>
    <xf numFmtId="0" fontId="11" fillId="6" borderId="1" applyAlignment="1" applyProtection="1" pivotButton="0" quotePrefix="0" xfId="0">
      <alignment horizontal="center" vertical="bottom"/>
      <protection locked="0" hidden="0"/>
    </xf>
    <xf numFmtId="2" fontId="11" fillId="0" borderId="1" applyAlignment="1" applyProtection="1" pivotButton="0" quotePrefix="0" xfId="0">
      <alignment horizontal="general" vertical="bottom"/>
      <protection locked="0" hidden="0"/>
    </xf>
    <xf numFmtId="167" fontId="11" fillId="0" borderId="1" applyAlignment="1" applyProtection="1" pivotButton="0" quotePrefix="0" xfId="0">
      <alignment horizontal="general" vertical="bottom"/>
      <protection locked="0" hidden="0"/>
    </xf>
    <xf numFmtId="167" fontId="5" fillId="0" borderId="1" applyAlignment="1" pivotButton="0" quotePrefix="0" xfId="0">
      <alignment horizontal="general" vertical="bottom"/>
    </xf>
    <xf numFmtId="0" fontId="13" fillId="0" borderId="0" applyAlignment="1" pivotButton="0" quotePrefix="0" xfId="0">
      <alignment horizontal="general" vertical="bottom"/>
    </xf>
    <xf numFmtId="0" fontId="7" fillId="7" borderId="0" applyAlignment="1" pivotButton="0" quotePrefix="0" xfId="0">
      <alignment horizontal="center" vertical="bottom"/>
    </xf>
    <xf numFmtId="0" fontId="7" fillId="8" borderId="0" applyAlignment="1" pivotButton="0" quotePrefix="0" xfId="0">
      <alignment horizontal="center" vertical="bottom"/>
    </xf>
    <xf numFmtId="0" fontId="7" fillId="2" borderId="0" applyAlignment="1" pivotButton="0" quotePrefix="0" xfId="0">
      <alignment horizontal="center" vertical="bottom"/>
    </xf>
    <xf numFmtId="167" fontId="14" fillId="0" borderId="0" applyAlignment="1" pivotButton="0" quotePrefix="0" xfId="0">
      <alignment horizontal="general" vertical="bottom"/>
    </xf>
    <xf numFmtId="0" fontId="11" fillId="9" borderId="1" applyAlignment="1" pivotButton="0" quotePrefix="0" xfId="0">
      <alignment horizontal="general" vertical="bottom"/>
    </xf>
    <xf numFmtId="0" fontId="5" fillId="9" borderId="1" applyAlignment="1" pivotButton="0" quotePrefix="0" xfId="0">
      <alignment horizontal="general" vertical="bottom"/>
    </xf>
    <xf numFmtId="2" fontId="5" fillId="9" borderId="1" applyAlignment="1" pivotButton="0" quotePrefix="0" xfId="0">
      <alignment horizontal="general" vertical="bottom"/>
    </xf>
    <xf numFmtId="167" fontId="5" fillId="9" borderId="1" applyAlignment="1" pivotButton="0" quotePrefix="0" xfId="0">
      <alignment horizontal="general" vertical="bottom"/>
    </xf>
    <xf numFmtId="1" fontId="7" fillId="0" borderId="2" applyAlignment="1" pivotButton="0" quotePrefix="0" xfId="0">
      <alignment horizontal="general" vertical="bottom"/>
    </xf>
    <xf numFmtId="2" fontId="7" fillId="0" borderId="2" applyAlignment="1" pivotButton="0" quotePrefix="0" xfId="0">
      <alignment horizontal="general" vertical="bottom"/>
    </xf>
    <xf numFmtId="167" fontId="7" fillId="0" borderId="2"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fgColor rgb="FF1B5E20"/>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EEF5EE"/>
          <bgColor rgb="FF000000"/>
        </patternFill>
      </fill>
    </dxf>
    <dxf>
      <font>
        <name val="Arial"/>
        <charset val="1"/>
        <family val="0"/>
        <b val="1"/>
        <color rgb="FF1B5E20"/>
        <sz val="10"/>
      </font>
      <fill>
        <patternFill>
          <bgColor rgb="FFC8E6C9"/>
        </patternFill>
      </fill>
    </dxf>
    <dxf>
      <font>
        <name val="Arial"/>
        <charset val="1"/>
        <family val="0"/>
        <color rgb="FF666666"/>
        <sz val="10"/>
      </font>
      <fill>
        <patternFill>
          <bgColor rgb="FFEEEEEE"/>
        </patternFill>
      </fill>
    </dxf>
    <dxf>
      <font>
        <name val="Arial"/>
        <charset val="1"/>
        <family val="0"/>
        <b val="1"/>
        <color rgb="FFB71C1C"/>
        <sz val="10"/>
      </font>
      <fill>
        <patternFill>
          <bgColor rgb="FFFFCDD2"/>
        </patternFill>
      </fill>
    </dxf>
    <dxf>
      <font>
        <name val="Arial"/>
        <charset val="1"/>
        <family val="0"/>
        <color rgb="FF2E7D32"/>
        <sz val="10"/>
      </font>
      <fill>
        <patternFill>
          <bgColor rgb="FFE8F5E9"/>
        </patternFill>
      </fill>
    </dxf>
    <dxf>
      <fill>
        <patternFill>
          <bgColor rgb="FFFFCDD2"/>
        </patternFill>
      </fill>
    </dxf>
    <dxf>
      <fill>
        <patternFill>
          <bgColor rgb="FFFFE0B2"/>
        </patternFill>
      </fill>
    </dxf>
    <dxf>
      <fill>
        <patternFill>
          <bgColor rgb="FFFFF9C4"/>
        </patternFill>
      </fill>
    </dxf>
    <dxf>
      <fill>
        <patternFill>
          <bgColor rgb="FFC8E6C9"/>
        </patternFill>
      </fill>
    </dxf>
    <dxf>
      <fill>
        <patternFill>
          <bgColor rgb="FFE0E0E0"/>
        </patternFill>
      </fill>
    </dxf>
  </dxfs>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080"/>
      <rgbColor rgb="FFCCCCCC"/>
      <rgbColor rgb="FF808080"/>
      <rgbColor rgb="FF9999FF"/>
      <rgbColor rgb="FF993366"/>
      <rgbColor rgb="FFFFF9C4"/>
      <rgbColor rgb="FFE8F5E9"/>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EEF5EE"/>
      <rgbColor rgb="FFC8E6C9"/>
      <rgbColor rgb="FFF5F5F5"/>
      <rgbColor rgb="FFEEEEEE"/>
      <rgbColor rgb="FFFFCDD2"/>
      <rgbColor rgb="FFCC99FF"/>
      <rgbColor rgb="FFFFE0B2"/>
      <rgbColor rgb="FF3366FF"/>
      <rgbColor rgb="FF33CCCC"/>
      <rgbColor rgb="FF99CC00"/>
      <rgbColor rgb="FFFFCC00"/>
      <rgbColor rgb="FFFF9900"/>
      <rgbColor rgb="FFFF6600"/>
      <rgbColor rgb="FF666666"/>
      <rgbColor rgb="FF969696"/>
      <rgbColor rgb="FF003366"/>
      <rgbColor rgb="FF2E7D32"/>
      <rgbColor rgb="FF0E3D14"/>
      <rgbColor rgb="FF333300"/>
      <rgbColor rgb="FFB71C1C"/>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3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41" min="1" max="1"/>
    <col width="112" customWidth="1" style="41" min="2" max="2"/>
  </cols>
  <sheetData>
    <row r="2" ht="19.5" customHeight="1" s="42">
      <c r="B2" s="43" t="inlineStr">
        <is>
          <t>Facturatie werkblad — Top Tuinen</t>
        </is>
      </c>
    </row>
    <row r="4" ht="39" customHeight="1" s="42">
      <c r="B4" s="44" t="inlineStr">
        <is>
          <t>Wat is dit — De uitdraai van al het uitgevoerde werk per periode: wie wat wanneer heeft gedaan (per tijdblok, met van/tot), welke uren aan de klant gefactureerd mogen worden en voor welk bedrag. De facturen zelf worden in HERO gemaakt; dit blad is de onderbouwing en de werklijst.</t>
        </is>
      </c>
    </row>
    <row r="6" ht="25.5" customHeight="1" s="42">
      <c r="B6" s="44" t="inlineStr">
        <is>
          <t>De hoofdregel — Alleen het segment "Werken" is factureerbaar aan de klant. Pauze, reistijd, laden, lossen, teammeeting, onderhoud materiaal en overig zijn voor ons. Het blad past die regel automatisch toe.</t>
        </is>
      </c>
    </row>
    <row r="7" ht="15" customHeight="1" s="42">
      <c r="B7" s="44" t="n"/>
    </row>
    <row r="8" ht="39" customHeight="1" s="42">
      <c r="B8" s="45" t="inlineStr">
        <is>
          <t>Zo lees je het bestand (in deze volgorde)</t>
        </is>
      </c>
    </row>
    <row r="9" ht="39" customHeight="1" s="42">
      <c r="B9" s="44" t="inlineStr">
        <is>
          <t>1. Registraties — De ruwe waarheid: één regel per tijdblok uit de app, met segment en van/tot-tijd. Bovenaan de telling: totaal uren, factureerbaar, pauze, reistijd, overig intern — plus de bereikcontrole. Ruimte voor 3.000 regels.</t>
        </is>
      </c>
    </row>
    <row r="10" ht="25.5" customHeight="1" s="42">
      <c r="B10" s="44" t="inlineStr">
        <is>
          <t>2. Tarieven — De prijsafspraak per klant: per uur of vaste prijs, het bedrag en de standaard afvoerkosten. De controlekolom meldt dubbele klantnamen en ontbrekende prijzen.</t>
        </is>
      </c>
    </row>
    <row r="11" ht="39" customHeight="1" s="42">
      <c r="B11" s="44" t="inlineStr">
        <is>
          <t>3. Werkregels — Eén regel per klant per dag (ruimte voor 600). Uren, prijstype en prijs komen automatisch uit Registraties en Tarieven; het bedrag rekent zichzelf uit. Hier werk je de drie dropdowns bij: Afgerond? (JA/NEE), Prijstype en Factuurstatus (Nog factureren &gt; Concept in HERO &gt; Verstuurd).</t>
        </is>
      </c>
    </row>
    <row r="12" ht="25.5" customHeight="1" s="42">
      <c r="B12" s="44" t="inlineStr">
        <is>
          <t>4. Te factureren — De werklijst per klant: openstaand, concept, verstuurd. Onderaan de compleetheidscontrole en de bereikcontrole.</t>
        </is>
      </c>
    </row>
    <row r="14" ht="15" customHeight="1" s="42">
      <c r="B14" s="46" t="inlineStr">
        <is>
          <t>Waar moet je kijken</t>
        </is>
      </c>
    </row>
    <row r="15" ht="39" customHeight="1" s="42">
      <c r="B15" s="44" t="inlineStr">
        <is>
          <t>Vier groene checks — Registraties: bereikcontrole bovenaan groen en kolom Controle groen. Werkregels: kolom Controle groen. Te factureren: onderaan "Overzicht compleet". Zijn die vier groen, dan kloppen de uren, de tarieven en het overzicht — en kan er gefactureerd worden.</t>
        </is>
      </c>
    </row>
    <row r="16" ht="25.5" customHeight="1" s="42">
      <c r="B16" s="44" t="inlineStr">
        <is>
          <t>Rood gezien? — De melding zegt precies wat er mis is ("Klant niet in Tarieven", "Werken zonder klant - koppelen", "Data buiten bereik"). Los het op waar de melding staat; alles rekent direct door.</t>
        </is>
      </c>
    </row>
    <row r="17" ht="15" customHeight="1" s="42">
      <c r="B17" s="46" t="n"/>
    </row>
    <row r="18" ht="51.75" customHeight="1" s="42">
      <c r="B18" s="45" t="inlineStr">
        <is>
          <t>Bereikcontrole (grote uitdraai)</t>
        </is>
      </c>
    </row>
    <row r="19" ht="51.75" customHeight="1" s="42">
      <c r="B19" s="44" t="inlineStr">
        <is>
          <t>Hoe het werkt — De formules rekenen tot en met rij 3.004 op Registraties, rij 602 op Werkregels en 150 klanten op Te factureren. Belandt er data ónder die grens (te grote export of te ver doorgeplakt), dan telt die stilletjes niet mee — daarom staat er op Registraties en op Te factureren een bereikcontrole die dan rood alarm slaat. Zie je die melding: verdeel de export over twee periodes, of laat de rijen bijtrekken.</t>
        </is>
      </c>
    </row>
    <row r="20" ht="15" customHeight="1" s="42">
      <c r="B20" s="44" t="n"/>
    </row>
    <row r="21" ht="15" customHeight="1" s="42">
      <c r="B21" s="46" t="inlineStr">
        <is>
          <t>De drie dropdowns op Werkregels</t>
        </is>
      </c>
    </row>
    <row r="22" ht="25.5" customHeight="1" s="42">
      <c r="B22" s="44" t="inlineStr">
        <is>
          <t>Herkenning — Lichtgroene cellen met een pijltje (klik op de cel). In een online voorbeeldweergave zie je dropdowns niet — open het bestand in Excel.</t>
        </is>
      </c>
    </row>
    <row r="23" ht="15" customHeight="1" s="42">
      <c r="B23" s="44" t="inlineStr">
        <is>
          <t>Afgerond? — JA of NEE. NEE kleurt rood: er moet nog iemand terug naar de klant.</t>
        </is>
      </c>
    </row>
    <row r="24" ht="15" customHeight="1" s="42">
      <c r="B24" s="44" t="inlineStr">
        <is>
          <t>Prijstype — Per uur, Vaste prijs of Nog bepalen. Bij "Nog bepalen" (geel) rekent de regel bewust nog geen bedrag.</t>
        </is>
      </c>
    </row>
    <row r="25" ht="25.5" customHeight="1" s="42">
      <c r="B25" s="44" t="inlineStr">
        <is>
          <t>Factuurstatus — Nog factureren (oranje) &gt; Concept in HERO (geel) &gt; Verstuurd (groen, eindstation hier). Daarnaast: Geen factuur nodig, Niet doorgegaan / verplaatst, Check nodig. Betaling houdt Elke bij in HERO.</t>
        </is>
      </c>
    </row>
    <row r="27" ht="15" customHeight="1" s="42">
      <c r="B27" s="46" t="inlineStr">
        <is>
          <t>Handig om te weten</t>
        </is>
      </c>
    </row>
    <row r="28" ht="25.5" customHeight="1" s="42">
      <c r="B28" s="44" t="inlineStr">
        <is>
          <t>Uren in u.mm — In de kolom Uren (u.mm) op Werkregels typ je tijd zoals je hem uitspreekt: 3.3 = 3 uur 30 &gt; wordt 3,50. Leeg laten = automatisch de som uit Registraties.</t>
        </is>
      </c>
    </row>
    <row r="29" ht="15" customHeight="1" s="42">
      <c r="B29" s="44" t="inlineStr">
        <is>
          <t>Blauw/zwart — Blauwe cellen zijn invoer, zwarte zijn formules. De formules zijn vergrendeld (geen wachtwoord).</t>
        </is>
      </c>
    </row>
    <row r="30" ht="15" customHeight="1" s="42">
      <c r="B30" s="44" t="inlineStr">
        <is>
          <t>Klantnamen — Schrijf een klant overal precies hetzelfde; de koppeling loopt op de letterlijke naam.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M300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41" min="1" max="1"/>
    <col width="7" customWidth="1" style="41" min="2" max="2"/>
    <col width="20" customWidth="1" style="41" min="3" max="3"/>
    <col width="26" customWidth="1" style="41" min="4" max="4"/>
    <col width="18" customWidth="1" style="41" min="5" max="5"/>
    <col width="22" customWidth="1" style="41" min="6" max="6"/>
    <col width="8" customWidth="1" style="41" min="7" max="8"/>
    <col width="11" customWidth="1" style="41" min="9" max="9"/>
    <col width="8" customWidth="1" style="41" min="10" max="10"/>
    <col width="13" customWidth="1" style="41" min="11" max="12"/>
    <col width="24" customWidth="1" style="41" min="13" max="13"/>
  </cols>
  <sheetData>
    <row r="1" ht="15" customHeight="1" s="42">
      <c r="A1" s="47" t="inlineStr">
        <is>
          <t>Totaal uren</t>
        </is>
      </c>
      <c r="C1" s="48" t="inlineStr">
        <is>
          <t>Factureerbaar (Werken)</t>
        </is>
      </c>
      <c r="E1" s="49" t="inlineStr">
        <is>
          <t>Pauze</t>
        </is>
      </c>
      <c r="G1" s="49" t="inlineStr">
        <is>
          <t>Reistijd</t>
        </is>
      </c>
      <c r="I1" s="49" t="inlineStr">
        <is>
          <t>Overig intern</t>
        </is>
      </c>
      <c r="K1" s="47" t="inlineStr">
        <is>
          <t>Bereikcontrole</t>
        </is>
      </c>
    </row>
    <row r="2" ht="15.75" customHeight="1" s="42">
      <c r="A2" s="50">
        <f>SUM(J5:J3004)</f>
        <v/>
      </c>
      <c r="C2" s="50">
        <f>SUM(L5:L3004)</f>
        <v/>
      </c>
      <c r="E2" s="50">
        <f>SUMIFS(J5:J3004,E5:E3004,"Pauze")</f>
        <v/>
      </c>
      <c r="G2" s="50">
        <f>SUMIFS(J5:J3004,E5:E3004,"Reistijd")</f>
        <v/>
      </c>
      <c r="I2" s="50">
        <f>A2-C2-E2-G2</f>
        <v/>
      </c>
      <c r="K2" s="47">
        <f>IF(COUNTA(A3005:A20000)+COUNTA(E3005:E20000)=0,"OK - alles binnen bereik","LET OP: data onder rij 3004 telt NIET mee")</f>
        <v/>
      </c>
    </row>
    <row r="3" ht="15.75" customHeight="1" s="42">
      <c r="A3" s="51" t="inlineStr">
        <is>
          <t>WIE &amp; WANNEER</t>
        </is>
      </c>
      <c r="B3" s="52" t="n"/>
      <c r="C3" s="52" t="n"/>
      <c r="D3" s="53" t="n"/>
      <c r="E3" s="51" t="inlineStr">
        <is>
          <t>WAT</t>
        </is>
      </c>
      <c r="F3" s="53" t="n"/>
      <c r="G3" s="51" t="inlineStr">
        <is>
          <t>TIJD</t>
        </is>
      </c>
      <c r="H3" s="52" t="n"/>
      <c r="I3" s="52" t="n"/>
      <c r="J3" s="53" t="n"/>
      <c r="K3" s="51" t="inlineStr">
        <is>
          <t>FACTUREERBAAR</t>
        </is>
      </c>
      <c r="L3" s="53" t="n"/>
      <c r="M3" s="51" t="n"/>
    </row>
    <row r="4" ht="30" customHeight="1" s="42">
      <c r="A4" s="54" t="inlineStr">
        <is>
          <t>Datum</t>
        </is>
      </c>
      <c r="B4" s="54" t="inlineStr">
        <is>
          <t>Week</t>
        </is>
      </c>
      <c r="C4" s="54" t="inlineStr">
        <is>
          <t>Medewerker</t>
        </is>
      </c>
      <c r="D4" s="54" t="inlineStr">
        <is>
          <t>Klant</t>
        </is>
      </c>
      <c r="E4" s="54" t="inlineStr">
        <is>
          <t>Segment ▼</t>
        </is>
      </c>
      <c r="F4" s="54" t="inlineStr">
        <is>
          <t>Omschrijving</t>
        </is>
      </c>
      <c r="G4" s="54" t="inlineStr">
        <is>
          <t>Van</t>
        </is>
      </c>
      <c r="H4" s="54" t="inlineStr">
        <is>
          <t>Tot</t>
        </is>
      </c>
      <c r="I4" s="54" t="inlineStr">
        <is>
          <t>Duur (u:mm)</t>
        </is>
      </c>
      <c r="J4" s="54" t="inlineStr">
        <is>
          <t>Uren</t>
        </is>
      </c>
      <c r="K4" s="54" t="inlineStr">
        <is>
          <t>Factureerbaar?</t>
        </is>
      </c>
      <c r="L4" s="54" t="inlineStr">
        <is>
          <t>Facturabele uren</t>
        </is>
      </c>
      <c r="M4" s="54" t="inlineStr">
        <is>
          <t>Controle</t>
        </is>
      </c>
    </row>
    <row r="5" ht="15" customHeight="1" s="42">
      <c r="A5" s="55" t="n"/>
      <c r="B5" s="56">
        <f>IF(A5="","",WEEKNUM(A5,21))</f>
        <v/>
      </c>
      <c r="C5" s="57" t="n"/>
      <c r="D5" s="57" t="n"/>
      <c r="E5" s="58" t="n"/>
      <c r="F5" s="57" t="n"/>
      <c r="G5" s="59" t="n"/>
      <c r="H5" s="59" t="n"/>
      <c r="I5" s="60">
        <f>IF(OR(G5="",H5=""),"",MOD(H5-G5,1))</f>
        <v/>
      </c>
      <c r="J5" s="61">
        <f>IF(OR(G5="",H5=""),"",ROUND(MOD(H5-G5,1)*24,2))</f>
        <v/>
      </c>
      <c r="K5" s="62">
        <f>IF(E5="","",IF(E5="Werken","JA","NEE"))</f>
        <v/>
      </c>
      <c r="L5" s="61">
        <f>IF(K5="JA",N(J5),IF(E5="","",0))</f>
        <v/>
      </c>
      <c r="M5" s="62">
        <f>IF(AND(A5="",E5=""),"",IF(E5="","Segment ontbreekt",IF(OR(G5="",H5=""),"Van/tot ontbreekt",IF(N(J5)=0,"Duur is nul",IF(N(J5)&gt;12,"Langer dan 12 uur - controleren",IF(AND(E5="Werken",D5=""),"Werken zonder klant - koppelen","OK"))))))</f>
        <v/>
      </c>
    </row>
    <row r="6" ht="15" customHeight="1" s="42">
      <c r="A6" s="55" t="n"/>
      <c r="B6" s="56">
        <f>IF(A6="","",WEEKNUM(A6,21))</f>
        <v/>
      </c>
      <c r="C6" s="57" t="n"/>
      <c r="D6" s="57" t="n"/>
      <c r="E6" s="58" t="n"/>
      <c r="F6" s="57" t="n"/>
      <c r="G6" s="59" t="n"/>
      <c r="H6" s="59" t="n"/>
      <c r="I6" s="60">
        <f>IF(OR(G6="",H6=""),"",MOD(H6-G6,1))</f>
        <v/>
      </c>
      <c r="J6" s="61">
        <f>IF(OR(G6="",H6=""),"",ROUND(MOD(H6-G6,1)*24,2))</f>
        <v/>
      </c>
      <c r="K6" s="62">
        <f>IF(E6="","",IF(E6="Werken","JA","NEE"))</f>
        <v/>
      </c>
      <c r="L6" s="61">
        <f>IF(K6="JA",N(J6),IF(E6="","",0))</f>
        <v/>
      </c>
      <c r="M6" s="62">
        <f>IF(AND(A6="",E6=""),"",IF(E6="","Segment ontbreekt",IF(OR(G6="",H6=""),"Van/tot ontbreekt",IF(N(J6)=0,"Duur is nul",IF(N(J6)&gt;12,"Langer dan 12 uur - controleren",IF(AND(E6="Werken",D6=""),"Werken zonder klant - koppelen","OK"))))))</f>
        <v/>
      </c>
    </row>
    <row r="7" ht="15" customHeight="1" s="42">
      <c r="A7" s="55" t="n"/>
      <c r="B7" s="56">
        <f>IF(A7="","",WEEKNUM(A7,21))</f>
        <v/>
      </c>
      <c r="C7" s="57" t="n"/>
      <c r="D7" s="57" t="n"/>
      <c r="E7" s="58" t="n"/>
      <c r="F7" s="57" t="n"/>
      <c r="G7" s="59" t="n"/>
      <c r="H7" s="59" t="n"/>
      <c r="I7" s="60">
        <f>IF(OR(G7="",H7=""),"",MOD(H7-G7,1))</f>
        <v/>
      </c>
      <c r="J7" s="61">
        <f>IF(OR(G7="",H7=""),"",ROUND(MOD(H7-G7,1)*24,2))</f>
        <v/>
      </c>
      <c r="K7" s="62">
        <f>IF(E7="","",IF(E7="Werken","JA","NEE"))</f>
        <v/>
      </c>
      <c r="L7" s="61">
        <f>IF(K7="JA",N(J7),IF(E7="","",0))</f>
        <v/>
      </c>
      <c r="M7" s="62">
        <f>IF(AND(A7="",E7=""),"",IF(E7="","Segment ontbreekt",IF(OR(G7="",H7=""),"Van/tot ontbreekt",IF(N(J7)=0,"Duur is nul",IF(N(J7)&gt;12,"Langer dan 12 uur - controleren",IF(AND(E7="Werken",D7=""),"Werken zonder klant - koppelen","OK"))))))</f>
        <v/>
      </c>
    </row>
    <row r="8" ht="15" customHeight="1" s="42">
      <c r="A8" s="55" t="n"/>
      <c r="B8" s="56">
        <f>IF(A8="","",WEEKNUM(A8,21))</f>
        <v/>
      </c>
      <c r="C8" s="57" t="n"/>
      <c r="D8" s="57" t="n"/>
      <c r="E8" s="58" t="n"/>
      <c r="F8" s="57" t="n"/>
      <c r="G8" s="59" t="n"/>
      <c r="H8" s="59" t="n"/>
      <c r="I8" s="60">
        <f>IF(OR(G8="",H8=""),"",MOD(H8-G8,1))</f>
        <v/>
      </c>
      <c r="J8" s="61">
        <f>IF(OR(G8="",H8=""),"",ROUND(MOD(H8-G8,1)*24,2))</f>
        <v/>
      </c>
      <c r="K8" s="62">
        <f>IF(E8="","",IF(E8="Werken","JA","NEE"))</f>
        <v/>
      </c>
      <c r="L8" s="61">
        <f>IF(K8="JA",N(J8),IF(E8="","",0))</f>
        <v/>
      </c>
      <c r="M8" s="62">
        <f>IF(AND(A8="",E8=""),"",IF(E8="","Segment ontbreekt",IF(OR(G8="",H8=""),"Van/tot ontbreekt",IF(N(J8)=0,"Duur is nul",IF(N(J8)&gt;12,"Langer dan 12 uur - controleren",IF(AND(E8="Werken",D8=""),"Werken zonder klant - koppelen","OK"))))))</f>
        <v/>
      </c>
    </row>
    <row r="9" ht="15" customHeight="1" s="42">
      <c r="A9" s="55" t="n"/>
      <c r="B9" s="56">
        <f>IF(A9="","",WEEKNUM(A9,21))</f>
        <v/>
      </c>
      <c r="C9" s="57" t="n"/>
      <c r="D9" s="57" t="n"/>
      <c r="E9" s="58" t="n"/>
      <c r="F9" s="57" t="n"/>
      <c r="G9" s="59" t="n"/>
      <c r="H9" s="59" t="n"/>
      <c r="I9" s="60">
        <f>IF(OR(G9="",H9=""),"",MOD(H9-G9,1))</f>
        <v/>
      </c>
      <c r="J9" s="61">
        <f>IF(OR(G9="",H9=""),"",ROUND(MOD(H9-G9,1)*24,2))</f>
        <v/>
      </c>
      <c r="K9" s="62">
        <f>IF(E9="","",IF(E9="Werken","JA","NEE"))</f>
        <v/>
      </c>
      <c r="L9" s="61">
        <f>IF(K9="JA",N(J9),IF(E9="","",0))</f>
        <v/>
      </c>
      <c r="M9" s="62">
        <f>IF(AND(A9="",E9=""),"",IF(E9="","Segment ontbreekt",IF(OR(G9="",H9=""),"Van/tot ontbreekt",IF(N(J9)=0,"Duur is nul",IF(N(J9)&gt;12,"Langer dan 12 uur - controleren",IF(AND(E9="Werken",D9=""),"Werken zonder klant - koppelen","OK"))))))</f>
        <v/>
      </c>
    </row>
    <row r="10" ht="15" customHeight="1" s="42">
      <c r="A10" s="55" t="n"/>
      <c r="B10" s="56">
        <f>IF(A10="","",WEEKNUM(A10,21))</f>
        <v/>
      </c>
      <c r="C10" s="57" t="n"/>
      <c r="D10" s="57" t="n"/>
      <c r="E10" s="58" t="n"/>
      <c r="F10" s="57" t="n"/>
      <c r="G10" s="59" t="n"/>
      <c r="H10" s="59" t="n"/>
      <c r="I10" s="60">
        <f>IF(OR(G10="",H10=""),"",MOD(H10-G10,1))</f>
        <v/>
      </c>
      <c r="J10" s="61">
        <f>IF(OR(G10="",H10=""),"",ROUND(MOD(H10-G10,1)*24,2))</f>
        <v/>
      </c>
      <c r="K10" s="62">
        <f>IF(E10="","",IF(E10="Werken","JA","NEE"))</f>
        <v/>
      </c>
      <c r="L10" s="61">
        <f>IF(K10="JA",N(J10),IF(E10="","",0))</f>
        <v/>
      </c>
      <c r="M10" s="62">
        <f>IF(AND(A10="",E10=""),"",IF(E10="","Segment ontbreekt",IF(OR(G10="",H10=""),"Van/tot ontbreekt",IF(N(J10)=0,"Duur is nul",IF(N(J10)&gt;12,"Langer dan 12 uur - controleren",IF(AND(E10="Werken",D10=""),"Werken zonder klant - koppelen","OK"))))))</f>
        <v/>
      </c>
    </row>
    <row r="11" ht="15" customHeight="1" s="42">
      <c r="A11" s="55" t="n"/>
      <c r="B11" s="56">
        <f>IF(A11="","",WEEKNUM(A11,21))</f>
        <v/>
      </c>
      <c r="C11" s="57" t="n"/>
      <c r="D11" s="57" t="n"/>
      <c r="E11" s="58" t="n"/>
      <c r="F11" s="57" t="n"/>
      <c r="G11" s="59" t="n"/>
      <c r="H11" s="59" t="n"/>
      <c r="I11" s="60">
        <f>IF(OR(G11="",H11=""),"",MOD(H11-G11,1))</f>
        <v/>
      </c>
      <c r="J11" s="61">
        <f>IF(OR(G11="",H11=""),"",ROUND(MOD(H11-G11,1)*24,2))</f>
        <v/>
      </c>
      <c r="K11" s="62">
        <f>IF(E11="","",IF(E11="Werken","JA","NEE"))</f>
        <v/>
      </c>
      <c r="L11" s="61">
        <f>IF(K11="JA",N(J11),IF(E11="","",0))</f>
        <v/>
      </c>
      <c r="M11" s="62">
        <f>IF(AND(A11="",E11=""),"",IF(E11="","Segment ontbreekt",IF(OR(G11="",H11=""),"Van/tot ontbreekt",IF(N(J11)=0,"Duur is nul",IF(N(J11)&gt;12,"Langer dan 12 uur - controleren",IF(AND(E11="Werken",D11=""),"Werken zonder klant - koppelen","OK"))))))</f>
        <v/>
      </c>
    </row>
    <row r="12" ht="15" customHeight="1" s="42">
      <c r="A12" s="55" t="n"/>
      <c r="B12" s="56">
        <f>IF(A12="","",WEEKNUM(A12,21))</f>
        <v/>
      </c>
      <c r="C12" s="57" t="n"/>
      <c r="D12" s="57" t="n"/>
      <c r="E12" s="58" t="n"/>
      <c r="F12" s="57" t="n"/>
      <c r="G12" s="59" t="n"/>
      <c r="H12" s="59" t="n"/>
      <c r="I12" s="60">
        <f>IF(OR(G12="",H12=""),"",MOD(H12-G12,1))</f>
        <v/>
      </c>
      <c r="J12" s="61">
        <f>IF(OR(G12="",H12=""),"",ROUND(MOD(H12-G12,1)*24,2))</f>
        <v/>
      </c>
      <c r="K12" s="62">
        <f>IF(E12="","",IF(E12="Werken","JA","NEE"))</f>
        <v/>
      </c>
      <c r="L12" s="61">
        <f>IF(K12="JA",N(J12),IF(E12="","",0))</f>
        <v/>
      </c>
      <c r="M12" s="62">
        <f>IF(AND(A12="",E12=""),"",IF(E12="","Segment ontbreekt",IF(OR(G12="",H12=""),"Van/tot ontbreekt",IF(N(J12)=0,"Duur is nul",IF(N(J12)&gt;12,"Langer dan 12 uur - controleren",IF(AND(E12="Werken",D12=""),"Werken zonder klant - koppelen","OK"))))))</f>
        <v/>
      </c>
    </row>
    <row r="13" ht="15" customHeight="1" s="42">
      <c r="A13" s="55" t="n"/>
      <c r="B13" s="56">
        <f>IF(A13="","",WEEKNUM(A13,21))</f>
        <v/>
      </c>
      <c r="C13" s="57" t="n"/>
      <c r="D13" s="57" t="n"/>
      <c r="E13" s="58" t="n"/>
      <c r="F13" s="57" t="n"/>
      <c r="G13" s="59" t="n"/>
      <c r="H13" s="59" t="n"/>
      <c r="I13" s="60">
        <f>IF(OR(G13="",H13=""),"",MOD(H13-G13,1))</f>
        <v/>
      </c>
      <c r="J13" s="61">
        <f>IF(OR(G13="",H13=""),"",ROUND(MOD(H13-G13,1)*24,2))</f>
        <v/>
      </c>
      <c r="K13" s="62">
        <f>IF(E13="","",IF(E13="Werken","JA","NEE"))</f>
        <v/>
      </c>
      <c r="L13" s="61">
        <f>IF(K13="JA",N(J13),IF(E13="","",0))</f>
        <v/>
      </c>
      <c r="M13" s="62">
        <f>IF(AND(A13="",E13=""),"",IF(E13="","Segment ontbreekt",IF(OR(G13="",H13=""),"Van/tot ontbreekt",IF(N(J13)=0,"Duur is nul",IF(N(J13)&gt;12,"Langer dan 12 uur - controleren",IF(AND(E13="Werken",D13=""),"Werken zonder klant - koppelen","OK"))))))</f>
        <v/>
      </c>
    </row>
    <row r="14" ht="15" customHeight="1" s="42">
      <c r="A14" s="55" t="n"/>
      <c r="B14" s="56">
        <f>IF(A14="","",WEEKNUM(A14,21))</f>
        <v/>
      </c>
      <c r="C14" s="57" t="n"/>
      <c r="D14" s="57" t="n"/>
      <c r="E14" s="58" t="n"/>
      <c r="F14" s="57" t="n"/>
      <c r="G14" s="59" t="n"/>
      <c r="H14" s="59" t="n"/>
      <c r="I14" s="60">
        <f>IF(OR(G14="",H14=""),"",MOD(H14-G14,1))</f>
        <v/>
      </c>
      <c r="J14" s="61">
        <f>IF(OR(G14="",H14=""),"",ROUND(MOD(H14-G14,1)*24,2))</f>
        <v/>
      </c>
      <c r="K14" s="62">
        <f>IF(E14="","",IF(E14="Werken","JA","NEE"))</f>
        <v/>
      </c>
      <c r="L14" s="61">
        <f>IF(K14="JA",N(J14),IF(E14="","",0))</f>
        <v/>
      </c>
      <c r="M14" s="62">
        <f>IF(AND(A14="",E14=""),"",IF(E14="","Segment ontbreekt",IF(OR(G14="",H14=""),"Van/tot ontbreekt",IF(N(J14)=0,"Duur is nul",IF(N(J14)&gt;12,"Langer dan 12 uur - controleren",IF(AND(E14="Werken",D14=""),"Werken zonder klant - koppelen","OK"))))))</f>
        <v/>
      </c>
    </row>
    <row r="15" ht="15" customHeight="1" s="42">
      <c r="A15" s="55" t="n"/>
      <c r="B15" s="56">
        <f>IF(A15="","",WEEKNUM(A15,21))</f>
        <v/>
      </c>
      <c r="C15" s="57" t="n"/>
      <c r="D15" s="57" t="n"/>
      <c r="E15" s="58" t="n"/>
      <c r="F15" s="57" t="n"/>
      <c r="G15" s="59" t="n"/>
      <c r="H15" s="59" t="n"/>
      <c r="I15" s="60">
        <f>IF(OR(G15="",H15=""),"",MOD(H15-G15,1))</f>
        <v/>
      </c>
      <c r="J15" s="61">
        <f>IF(OR(G15="",H15=""),"",ROUND(MOD(H15-G15,1)*24,2))</f>
        <v/>
      </c>
      <c r="K15" s="62">
        <f>IF(E15="","",IF(E15="Werken","JA","NEE"))</f>
        <v/>
      </c>
      <c r="L15" s="61">
        <f>IF(K15="JA",N(J15),IF(E15="","",0))</f>
        <v/>
      </c>
      <c r="M15" s="62">
        <f>IF(AND(A15="",E15=""),"",IF(E15="","Segment ontbreekt",IF(OR(G15="",H15=""),"Van/tot ontbreekt",IF(N(J15)=0,"Duur is nul",IF(N(J15)&gt;12,"Langer dan 12 uur - controleren",IF(AND(E15="Werken",D15=""),"Werken zonder klant - koppelen","OK"))))))</f>
        <v/>
      </c>
    </row>
    <row r="16" ht="15" customHeight="1" s="42">
      <c r="A16" s="55" t="n"/>
      <c r="B16" s="56">
        <f>IF(A16="","",WEEKNUM(A16,21))</f>
        <v/>
      </c>
      <c r="C16" s="57" t="n"/>
      <c r="D16" s="57" t="n"/>
      <c r="E16" s="58" t="n"/>
      <c r="F16" s="57" t="n"/>
      <c r="G16" s="59" t="n"/>
      <c r="H16" s="59" t="n"/>
      <c r="I16" s="60">
        <f>IF(OR(G16="",H16=""),"",MOD(H16-G16,1))</f>
        <v/>
      </c>
      <c r="J16" s="61">
        <f>IF(OR(G16="",H16=""),"",ROUND(MOD(H16-G16,1)*24,2))</f>
        <v/>
      </c>
      <c r="K16" s="62">
        <f>IF(E16="","",IF(E16="Werken","JA","NEE"))</f>
        <v/>
      </c>
      <c r="L16" s="61">
        <f>IF(K16="JA",N(J16),IF(E16="","",0))</f>
        <v/>
      </c>
      <c r="M16" s="62">
        <f>IF(AND(A16="",E16=""),"",IF(E16="","Segment ontbreekt",IF(OR(G16="",H16=""),"Van/tot ontbreekt",IF(N(J16)=0,"Duur is nul",IF(N(J16)&gt;12,"Langer dan 12 uur - controleren",IF(AND(E16="Werken",D16=""),"Werken zonder klant - koppelen","OK"))))))</f>
        <v/>
      </c>
    </row>
    <row r="17" ht="15" customHeight="1" s="42">
      <c r="A17" s="55" t="n"/>
      <c r="B17" s="56">
        <f>IF(A17="","",WEEKNUM(A17,21))</f>
        <v/>
      </c>
      <c r="C17" s="57" t="n"/>
      <c r="D17" s="57" t="n"/>
      <c r="E17" s="58" t="n"/>
      <c r="F17" s="57" t="n"/>
      <c r="G17" s="59" t="n"/>
      <c r="H17" s="59" t="n"/>
      <c r="I17" s="60">
        <f>IF(OR(G17="",H17=""),"",MOD(H17-G17,1))</f>
        <v/>
      </c>
      <c r="J17" s="61">
        <f>IF(OR(G17="",H17=""),"",ROUND(MOD(H17-G17,1)*24,2))</f>
        <v/>
      </c>
      <c r="K17" s="62">
        <f>IF(E17="","",IF(E17="Werken","JA","NEE"))</f>
        <v/>
      </c>
      <c r="L17" s="61">
        <f>IF(K17="JA",N(J17),IF(E17="","",0))</f>
        <v/>
      </c>
      <c r="M17" s="62">
        <f>IF(AND(A17="",E17=""),"",IF(E17="","Segment ontbreekt",IF(OR(G17="",H17=""),"Van/tot ontbreekt",IF(N(J17)=0,"Duur is nul",IF(N(J17)&gt;12,"Langer dan 12 uur - controleren",IF(AND(E17="Werken",D17=""),"Werken zonder klant - koppelen","OK"))))))</f>
        <v/>
      </c>
    </row>
    <row r="18" ht="15" customHeight="1" s="42">
      <c r="A18" s="55" t="n"/>
      <c r="B18" s="56">
        <f>IF(A18="","",WEEKNUM(A18,21))</f>
        <v/>
      </c>
      <c r="C18" s="57" t="n"/>
      <c r="D18" s="57" t="n"/>
      <c r="E18" s="58" t="n"/>
      <c r="F18" s="57" t="n"/>
      <c r="G18" s="59" t="n"/>
      <c r="H18" s="59" t="n"/>
      <c r="I18" s="60">
        <f>IF(OR(G18="",H18=""),"",MOD(H18-G18,1))</f>
        <v/>
      </c>
      <c r="J18" s="61">
        <f>IF(OR(G18="",H18=""),"",ROUND(MOD(H18-G18,1)*24,2))</f>
        <v/>
      </c>
      <c r="K18" s="62">
        <f>IF(E18="","",IF(E18="Werken","JA","NEE"))</f>
        <v/>
      </c>
      <c r="L18" s="61">
        <f>IF(K18="JA",N(J18),IF(E18="","",0))</f>
        <v/>
      </c>
      <c r="M18" s="62">
        <f>IF(AND(A18="",E18=""),"",IF(E18="","Segment ontbreekt",IF(OR(G18="",H18=""),"Van/tot ontbreekt",IF(N(J18)=0,"Duur is nul",IF(N(J18)&gt;12,"Langer dan 12 uur - controleren",IF(AND(E18="Werken",D18=""),"Werken zonder klant - koppelen","OK"))))))</f>
        <v/>
      </c>
    </row>
    <row r="19" ht="15" customHeight="1" s="42">
      <c r="A19" s="55" t="n"/>
      <c r="B19" s="56">
        <f>IF(A19="","",WEEKNUM(A19,21))</f>
        <v/>
      </c>
      <c r="C19" s="57" t="n"/>
      <c r="D19" s="57" t="n"/>
      <c r="E19" s="58" t="n"/>
      <c r="F19" s="57" t="n"/>
      <c r="G19" s="59" t="n"/>
      <c r="H19" s="59" t="n"/>
      <c r="I19" s="60">
        <f>IF(OR(G19="",H19=""),"",MOD(H19-G19,1))</f>
        <v/>
      </c>
      <c r="J19" s="61">
        <f>IF(OR(G19="",H19=""),"",ROUND(MOD(H19-G19,1)*24,2))</f>
        <v/>
      </c>
      <c r="K19" s="62">
        <f>IF(E19="","",IF(E19="Werken","JA","NEE"))</f>
        <v/>
      </c>
      <c r="L19" s="61">
        <f>IF(K19="JA",N(J19),IF(E19="","",0))</f>
        <v/>
      </c>
      <c r="M19" s="62">
        <f>IF(AND(A19="",E19=""),"",IF(E19="","Segment ontbreekt",IF(OR(G19="",H19=""),"Van/tot ontbreekt",IF(N(J19)=0,"Duur is nul",IF(N(J19)&gt;12,"Langer dan 12 uur - controleren",IF(AND(E19="Werken",D19=""),"Werken zonder klant - koppelen","OK"))))))</f>
        <v/>
      </c>
    </row>
    <row r="20" ht="15" customHeight="1" s="42">
      <c r="A20" s="55" t="n"/>
      <c r="B20" s="56">
        <f>IF(A20="","",WEEKNUM(A20,21))</f>
        <v/>
      </c>
      <c r="C20" s="57" t="n"/>
      <c r="D20" s="57" t="n"/>
      <c r="E20" s="58" t="n"/>
      <c r="F20" s="57" t="n"/>
      <c r="G20" s="59" t="n"/>
      <c r="H20" s="59" t="n"/>
      <c r="I20" s="60">
        <f>IF(OR(G20="",H20=""),"",MOD(H20-G20,1))</f>
        <v/>
      </c>
      <c r="J20" s="61">
        <f>IF(OR(G20="",H20=""),"",ROUND(MOD(H20-G20,1)*24,2))</f>
        <v/>
      </c>
      <c r="K20" s="62">
        <f>IF(E20="","",IF(E20="Werken","JA","NEE"))</f>
        <v/>
      </c>
      <c r="L20" s="61">
        <f>IF(K20="JA",N(J20),IF(E20="","",0))</f>
        <v/>
      </c>
      <c r="M20" s="62">
        <f>IF(AND(A20="",E20=""),"",IF(E20="","Segment ontbreekt",IF(OR(G20="",H20=""),"Van/tot ontbreekt",IF(N(J20)=0,"Duur is nul",IF(N(J20)&gt;12,"Langer dan 12 uur - controleren",IF(AND(E20="Werken",D20=""),"Werken zonder klant - koppelen","OK"))))))</f>
        <v/>
      </c>
    </row>
    <row r="21" ht="15" customHeight="1" s="42">
      <c r="A21" s="55" t="n"/>
      <c r="B21" s="56">
        <f>IF(A21="","",WEEKNUM(A21,21))</f>
        <v/>
      </c>
      <c r="C21" s="57" t="n"/>
      <c r="D21" s="57" t="n"/>
      <c r="E21" s="58" t="n"/>
      <c r="F21" s="57" t="n"/>
      <c r="G21" s="59" t="n"/>
      <c r="H21" s="59" t="n"/>
      <c r="I21" s="60">
        <f>IF(OR(G21="",H21=""),"",MOD(H21-G21,1))</f>
        <v/>
      </c>
      <c r="J21" s="61">
        <f>IF(OR(G21="",H21=""),"",ROUND(MOD(H21-G21,1)*24,2))</f>
        <v/>
      </c>
      <c r="K21" s="62">
        <f>IF(E21="","",IF(E21="Werken","JA","NEE"))</f>
        <v/>
      </c>
      <c r="L21" s="61">
        <f>IF(K21="JA",N(J21),IF(E21="","",0))</f>
        <v/>
      </c>
      <c r="M21" s="62">
        <f>IF(AND(A21="",E21=""),"",IF(E21="","Segment ontbreekt",IF(OR(G21="",H21=""),"Van/tot ontbreekt",IF(N(J21)=0,"Duur is nul",IF(N(J21)&gt;12,"Langer dan 12 uur - controleren",IF(AND(E21="Werken",D21=""),"Werken zonder klant - koppelen","OK"))))))</f>
        <v/>
      </c>
    </row>
    <row r="22" ht="15" customHeight="1" s="42">
      <c r="A22" s="55" t="n"/>
      <c r="B22" s="56">
        <f>IF(A22="","",WEEKNUM(A22,21))</f>
        <v/>
      </c>
      <c r="C22" s="57" t="n"/>
      <c r="D22" s="57" t="n"/>
      <c r="E22" s="58" t="n"/>
      <c r="F22" s="57" t="n"/>
      <c r="G22" s="59" t="n"/>
      <c r="H22" s="59" t="n"/>
      <c r="I22" s="60">
        <f>IF(OR(G22="",H22=""),"",MOD(H22-G22,1))</f>
        <v/>
      </c>
      <c r="J22" s="61">
        <f>IF(OR(G22="",H22=""),"",ROUND(MOD(H22-G22,1)*24,2))</f>
        <v/>
      </c>
      <c r="K22" s="62">
        <f>IF(E22="","",IF(E22="Werken","JA","NEE"))</f>
        <v/>
      </c>
      <c r="L22" s="61">
        <f>IF(K22="JA",N(J22),IF(E22="","",0))</f>
        <v/>
      </c>
      <c r="M22" s="62">
        <f>IF(AND(A22="",E22=""),"",IF(E22="","Segment ontbreekt",IF(OR(G22="",H22=""),"Van/tot ontbreekt",IF(N(J22)=0,"Duur is nul",IF(N(J22)&gt;12,"Langer dan 12 uur - controleren",IF(AND(E22="Werken",D22=""),"Werken zonder klant - koppelen","OK"))))))</f>
        <v/>
      </c>
    </row>
    <row r="23" ht="15" customHeight="1" s="42">
      <c r="A23" s="55" t="n"/>
      <c r="B23" s="56">
        <f>IF(A23="","",WEEKNUM(A23,21))</f>
        <v/>
      </c>
      <c r="C23" s="57" t="n"/>
      <c r="D23" s="57" t="n"/>
      <c r="E23" s="58" t="n"/>
      <c r="F23" s="57" t="n"/>
      <c r="G23" s="59" t="n"/>
      <c r="H23" s="59" t="n"/>
      <c r="I23" s="60">
        <f>IF(OR(G23="",H23=""),"",MOD(H23-G23,1))</f>
        <v/>
      </c>
      <c r="J23" s="61">
        <f>IF(OR(G23="",H23=""),"",ROUND(MOD(H23-G23,1)*24,2))</f>
        <v/>
      </c>
      <c r="K23" s="62">
        <f>IF(E23="","",IF(E23="Werken","JA","NEE"))</f>
        <v/>
      </c>
      <c r="L23" s="61">
        <f>IF(K23="JA",N(J23),IF(E23="","",0))</f>
        <v/>
      </c>
      <c r="M23" s="62">
        <f>IF(AND(A23="",E23=""),"",IF(E23="","Segment ontbreekt",IF(OR(G23="",H23=""),"Van/tot ontbreekt",IF(N(J23)=0,"Duur is nul",IF(N(J23)&gt;12,"Langer dan 12 uur - controleren",IF(AND(E23="Werken",D23=""),"Werken zonder klant - koppelen","OK"))))))</f>
        <v/>
      </c>
    </row>
    <row r="24" ht="15" customHeight="1" s="42">
      <c r="A24" s="55" t="n"/>
      <c r="B24" s="56">
        <f>IF(A24="","",WEEKNUM(A24,21))</f>
        <v/>
      </c>
      <c r="C24" s="57" t="n"/>
      <c r="D24" s="57" t="n"/>
      <c r="E24" s="58" t="n"/>
      <c r="F24" s="57" t="n"/>
      <c r="G24" s="59" t="n"/>
      <c r="H24" s="59" t="n"/>
      <c r="I24" s="60">
        <f>IF(OR(G24="",H24=""),"",MOD(H24-G24,1))</f>
        <v/>
      </c>
      <c r="J24" s="61">
        <f>IF(OR(G24="",H24=""),"",ROUND(MOD(H24-G24,1)*24,2))</f>
        <v/>
      </c>
      <c r="K24" s="62">
        <f>IF(E24="","",IF(E24="Werken","JA","NEE"))</f>
        <v/>
      </c>
      <c r="L24" s="61">
        <f>IF(K24="JA",N(J24),IF(E24="","",0))</f>
        <v/>
      </c>
      <c r="M24" s="62">
        <f>IF(AND(A24="",E24=""),"",IF(E24="","Segment ontbreekt",IF(OR(G24="",H24=""),"Van/tot ontbreekt",IF(N(J24)=0,"Duur is nul",IF(N(J24)&gt;12,"Langer dan 12 uur - controleren",IF(AND(E24="Werken",D24=""),"Werken zonder klant - koppelen","OK"))))))</f>
        <v/>
      </c>
    </row>
    <row r="25" ht="15" customHeight="1" s="42">
      <c r="A25" s="55" t="n"/>
      <c r="B25" s="56">
        <f>IF(A25="","",WEEKNUM(A25,21))</f>
        <v/>
      </c>
      <c r="C25" s="57" t="n"/>
      <c r="D25" s="57" t="n"/>
      <c r="E25" s="58" t="n"/>
      <c r="F25" s="57" t="n"/>
      <c r="G25" s="59" t="n"/>
      <c r="H25" s="59" t="n"/>
      <c r="I25" s="60">
        <f>IF(OR(G25="",H25=""),"",MOD(H25-G25,1))</f>
        <v/>
      </c>
      <c r="J25" s="61">
        <f>IF(OR(G25="",H25=""),"",ROUND(MOD(H25-G25,1)*24,2))</f>
        <v/>
      </c>
      <c r="K25" s="62">
        <f>IF(E25="","",IF(E25="Werken","JA","NEE"))</f>
        <v/>
      </c>
      <c r="L25" s="61">
        <f>IF(K25="JA",N(J25),IF(E25="","",0))</f>
        <v/>
      </c>
      <c r="M25" s="62">
        <f>IF(AND(A25="",E25=""),"",IF(E25="","Segment ontbreekt",IF(OR(G25="",H25=""),"Van/tot ontbreekt",IF(N(J25)=0,"Duur is nul",IF(N(J25)&gt;12,"Langer dan 12 uur - controleren",IF(AND(E25="Werken",D25=""),"Werken zonder klant - koppelen","OK"))))))</f>
        <v/>
      </c>
    </row>
    <row r="26" ht="15" customHeight="1" s="42">
      <c r="A26" s="55" t="n"/>
      <c r="B26" s="56">
        <f>IF(A26="","",WEEKNUM(A26,21))</f>
        <v/>
      </c>
      <c r="C26" s="57" t="n"/>
      <c r="D26" s="57" t="n"/>
      <c r="E26" s="58" t="n"/>
      <c r="F26" s="57" t="n"/>
      <c r="G26" s="59" t="n"/>
      <c r="H26" s="59" t="n"/>
      <c r="I26" s="60">
        <f>IF(OR(G26="",H26=""),"",MOD(H26-G26,1))</f>
        <v/>
      </c>
      <c r="J26" s="61">
        <f>IF(OR(G26="",H26=""),"",ROUND(MOD(H26-G26,1)*24,2))</f>
        <v/>
      </c>
      <c r="K26" s="62">
        <f>IF(E26="","",IF(E26="Werken","JA","NEE"))</f>
        <v/>
      </c>
      <c r="L26" s="61">
        <f>IF(K26="JA",N(J26),IF(E26="","",0))</f>
        <v/>
      </c>
      <c r="M26" s="62">
        <f>IF(AND(A26="",E26=""),"",IF(E26="","Segment ontbreekt",IF(OR(G26="",H26=""),"Van/tot ontbreekt",IF(N(J26)=0,"Duur is nul",IF(N(J26)&gt;12,"Langer dan 12 uur - controleren",IF(AND(E26="Werken",D26=""),"Werken zonder klant - koppelen","OK"))))))</f>
        <v/>
      </c>
    </row>
    <row r="27" ht="15" customHeight="1" s="42">
      <c r="A27" s="55" t="n"/>
      <c r="B27" s="56">
        <f>IF(A27="","",WEEKNUM(A27,21))</f>
        <v/>
      </c>
      <c r="C27" s="57" t="n"/>
      <c r="D27" s="57" t="n"/>
      <c r="E27" s="58" t="n"/>
      <c r="F27" s="57" t="n"/>
      <c r="G27" s="59" t="n"/>
      <c r="H27" s="59" t="n"/>
      <c r="I27" s="60">
        <f>IF(OR(G27="",H27=""),"",MOD(H27-G27,1))</f>
        <v/>
      </c>
      <c r="J27" s="61">
        <f>IF(OR(G27="",H27=""),"",ROUND(MOD(H27-G27,1)*24,2))</f>
        <v/>
      </c>
      <c r="K27" s="62">
        <f>IF(E27="","",IF(E27="Werken","JA","NEE"))</f>
        <v/>
      </c>
      <c r="L27" s="61">
        <f>IF(K27="JA",N(J27),IF(E27="","",0))</f>
        <v/>
      </c>
      <c r="M27" s="62">
        <f>IF(AND(A27="",E27=""),"",IF(E27="","Segment ontbreekt",IF(OR(G27="",H27=""),"Van/tot ontbreekt",IF(N(J27)=0,"Duur is nul",IF(N(J27)&gt;12,"Langer dan 12 uur - controleren",IF(AND(E27="Werken",D27=""),"Werken zonder klant - koppelen","OK"))))))</f>
        <v/>
      </c>
    </row>
    <row r="28" ht="15" customHeight="1" s="42">
      <c r="A28" s="55" t="n"/>
      <c r="B28" s="56">
        <f>IF(A28="","",WEEKNUM(A28,21))</f>
        <v/>
      </c>
      <c r="C28" s="57" t="n"/>
      <c r="D28" s="57" t="n"/>
      <c r="E28" s="58" t="n"/>
      <c r="F28" s="57" t="n"/>
      <c r="G28" s="59" t="n"/>
      <c r="H28" s="59" t="n"/>
      <c r="I28" s="60">
        <f>IF(OR(G28="",H28=""),"",MOD(H28-G28,1))</f>
        <v/>
      </c>
      <c r="J28" s="61">
        <f>IF(OR(G28="",H28=""),"",ROUND(MOD(H28-G28,1)*24,2))</f>
        <v/>
      </c>
      <c r="K28" s="62">
        <f>IF(E28="","",IF(E28="Werken","JA","NEE"))</f>
        <v/>
      </c>
      <c r="L28" s="61">
        <f>IF(K28="JA",N(J28),IF(E28="","",0))</f>
        <v/>
      </c>
      <c r="M28" s="62">
        <f>IF(AND(A28="",E28=""),"",IF(E28="","Segment ontbreekt",IF(OR(G28="",H28=""),"Van/tot ontbreekt",IF(N(J28)=0,"Duur is nul",IF(N(J28)&gt;12,"Langer dan 12 uur - controleren",IF(AND(E28="Werken",D28=""),"Werken zonder klant - koppelen","OK"))))))</f>
        <v/>
      </c>
    </row>
    <row r="29" ht="15" customHeight="1" s="42">
      <c r="A29" s="55" t="n"/>
      <c r="B29" s="56">
        <f>IF(A29="","",WEEKNUM(A29,21))</f>
        <v/>
      </c>
      <c r="C29" s="57" t="n"/>
      <c r="D29" s="57" t="n"/>
      <c r="E29" s="58" t="n"/>
      <c r="F29" s="57" t="n"/>
      <c r="G29" s="59" t="n"/>
      <c r="H29" s="59" t="n"/>
      <c r="I29" s="60">
        <f>IF(OR(G29="",H29=""),"",MOD(H29-G29,1))</f>
        <v/>
      </c>
      <c r="J29" s="61">
        <f>IF(OR(G29="",H29=""),"",ROUND(MOD(H29-G29,1)*24,2))</f>
        <v/>
      </c>
      <c r="K29" s="62">
        <f>IF(E29="","",IF(E29="Werken","JA","NEE"))</f>
        <v/>
      </c>
      <c r="L29" s="61">
        <f>IF(K29="JA",N(J29),IF(E29="","",0))</f>
        <v/>
      </c>
      <c r="M29" s="62">
        <f>IF(AND(A29="",E29=""),"",IF(E29="","Segment ontbreekt",IF(OR(G29="",H29=""),"Van/tot ontbreekt",IF(N(J29)=0,"Duur is nul",IF(N(J29)&gt;12,"Langer dan 12 uur - controleren",IF(AND(E29="Werken",D29=""),"Werken zonder klant - koppelen","OK"))))))</f>
        <v/>
      </c>
    </row>
    <row r="30" ht="15" customHeight="1" s="42">
      <c r="A30" s="55" t="n"/>
      <c r="B30" s="56">
        <f>IF(A30="","",WEEKNUM(A30,21))</f>
        <v/>
      </c>
      <c r="C30" s="57" t="n"/>
      <c r="D30" s="57" t="n"/>
      <c r="E30" s="58" t="n"/>
      <c r="F30" s="57" t="n"/>
      <c r="G30" s="59" t="n"/>
      <c r="H30" s="59" t="n"/>
      <c r="I30" s="60">
        <f>IF(OR(G30="",H30=""),"",MOD(H30-G30,1))</f>
        <v/>
      </c>
      <c r="J30" s="61">
        <f>IF(OR(G30="",H30=""),"",ROUND(MOD(H30-G30,1)*24,2))</f>
        <v/>
      </c>
      <c r="K30" s="62">
        <f>IF(E30="","",IF(E30="Werken","JA","NEE"))</f>
        <v/>
      </c>
      <c r="L30" s="61">
        <f>IF(K30="JA",N(J30),IF(E30="","",0))</f>
        <v/>
      </c>
      <c r="M30" s="62">
        <f>IF(AND(A30="",E30=""),"",IF(E30="","Segment ontbreekt",IF(OR(G30="",H30=""),"Van/tot ontbreekt",IF(N(J30)=0,"Duur is nul",IF(N(J30)&gt;12,"Langer dan 12 uur - controleren",IF(AND(E30="Werken",D30=""),"Werken zonder klant - koppelen","OK"))))))</f>
        <v/>
      </c>
    </row>
    <row r="31" ht="15" customHeight="1" s="42">
      <c r="A31" s="55" t="n"/>
      <c r="B31" s="56">
        <f>IF(A31="","",WEEKNUM(A31,21))</f>
        <v/>
      </c>
      <c r="C31" s="57" t="n"/>
      <c r="D31" s="57" t="n"/>
      <c r="E31" s="58" t="n"/>
      <c r="F31" s="57" t="n"/>
      <c r="G31" s="59" t="n"/>
      <c r="H31" s="59" t="n"/>
      <c r="I31" s="60">
        <f>IF(OR(G31="",H31=""),"",MOD(H31-G31,1))</f>
        <v/>
      </c>
      <c r="J31" s="61">
        <f>IF(OR(G31="",H31=""),"",ROUND(MOD(H31-G31,1)*24,2))</f>
        <v/>
      </c>
      <c r="K31" s="62">
        <f>IF(E31="","",IF(E31="Werken","JA","NEE"))</f>
        <v/>
      </c>
      <c r="L31" s="61">
        <f>IF(K31="JA",N(J31),IF(E31="","",0))</f>
        <v/>
      </c>
      <c r="M31" s="62">
        <f>IF(AND(A31="",E31=""),"",IF(E31="","Segment ontbreekt",IF(OR(G31="",H31=""),"Van/tot ontbreekt",IF(N(J31)=0,"Duur is nul",IF(N(J31)&gt;12,"Langer dan 12 uur - controleren",IF(AND(E31="Werken",D31=""),"Werken zonder klant - koppelen","OK"))))))</f>
        <v/>
      </c>
    </row>
    <row r="32" ht="15" customHeight="1" s="42">
      <c r="A32" s="55" t="n"/>
      <c r="B32" s="56">
        <f>IF(A32="","",WEEKNUM(A32,21))</f>
        <v/>
      </c>
      <c r="C32" s="57" t="n"/>
      <c r="D32" s="57" t="n"/>
      <c r="E32" s="58" t="n"/>
      <c r="F32" s="57" t="n"/>
      <c r="G32" s="59" t="n"/>
      <c r="H32" s="59" t="n"/>
      <c r="I32" s="60">
        <f>IF(OR(G32="",H32=""),"",MOD(H32-G32,1))</f>
        <v/>
      </c>
      <c r="J32" s="61">
        <f>IF(OR(G32="",H32=""),"",ROUND(MOD(H32-G32,1)*24,2))</f>
        <v/>
      </c>
      <c r="K32" s="62">
        <f>IF(E32="","",IF(E32="Werken","JA","NEE"))</f>
        <v/>
      </c>
      <c r="L32" s="61">
        <f>IF(K32="JA",N(J32),IF(E32="","",0))</f>
        <v/>
      </c>
      <c r="M32" s="62">
        <f>IF(AND(A32="",E32=""),"",IF(E32="","Segment ontbreekt",IF(OR(G32="",H32=""),"Van/tot ontbreekt",IF(N(J32)=0,"Duur is nul",IF(N(J32)&gt;12,"Langer dan 12 uur - controleren",IF(AND(E32="Werken",D32=""),"Werken zonder klant - koppelen","OK"))))))</f>
        <v/>
      </c>
    </row>
    <row r="33" ht="15" customHeight="1" s="42">
      <c r="A33" s="55" t="n"/>
      <c r="B33" s="56">
        <f>IF(A33="","",WEEKNUM(A33,21))</f>
        <v/>
      </c>
      <c r="C33" s="57" t="n"/>
      <c r="D33" s="57" t="n"/>
      <c r="E33" s="58" t="n"/>
      <c r="F33" s="57" t="n"/>
      <c r="G33" s="59" t="n"/>
      <c r="H33" s="59" t="n"/>
      <c r="I33" s="60">
        <f>IF(OR(G33="",H33=""),"",MOD(H33-G33,1))</f>
        <v/>
      </c>
      <c r="J33" s="61">
        <f>IF(OR(G33="",H33=""),"",ROUND(MOD(H33-G33,1)*24,2))</f>
        <v/>
      </c>
      <c r="K33" s="62">
        <f>IF(E33="","",IF(E33="Werken","JA","NEE"))</f>
        <v/>
      </c>
      <c r="L33" s="61">
        <f>IF(K33="JA",N(J33),IF(E33="","",0))</f>
        <v/>
      </c>
      <c r="M33" s="62">
        <f>IF(AND(A33="",E33=""),"",IF(E33="","Segment ontbreekt",IF(OR(G33="",H33=""),"Van/tot ontbreekt",IF(N(J33)=0,"Duur is nul",IF(N(J33)&gt;12,"Langer dan 12 uur - controleren",IF(AND(E33="Werken",D33=""),"Werken zonder klant - koppelen","OK"))))))</f>
        <v/>
      </c>
    </row>
    <row r="34" ht="15" customHeight="1" s="42">
      <c r="A34" s="55" t="n"/>
      <c r="B34" s="56">
        <f>IF(A34="","",WEEKNUM(A34,21))</f>
        <v/>
      </c>
      <c r="C34" s="57" t="n"/>
      <c r="D34" s="57" t="n"/>
      <c r="E34" s="58" t="n"/>
      <c r="F34" s="57" t="n"/>
      <c r="G34" s="59" t="n"/>
      <c r="H34" s="59" t="n"/>
      <c r="I34" s="60">
        <f>IF(OR(G34="",H34=""),"",MOD(H34-G34,1))</f>
        <v/>
      </c>
      <c r="J34" s="61">
        <f>IF(OR(G34="",H34=""),"",ROUND(MOD(H34-G34,1)*24,2))</f>
        <v/>
      </c>
      <c r="K34" s="62">
        <f>IF(E34="","",IF(E34="Werken","JA","NEE"))</f>
        <v/>
      </c>
      <c r="L34" s="61">
        <f>IF(K34="JA",N(J34),IF(E34="","",0))</f>
        <v/>
      </c>
      <c r="M34" s="62">
        <f>IF(AND(A34="",E34=""),"",IF(E34="","Segment ontbreekt",IF(OR(G34="",H34=""),"Van/tot ontbreekt",IF(N(J34)=0,"Duur is nul",IF(N(J34)&gt;12,"Langer dan 12 uur - controleren",IF(AND(E34="Werken",D34=""),"Werken zonder klant - koppelen","OK"))))))</f>
        <v/>
      </c>
    </row>
    <row r="35" ht="15" customHeight="1" s="42">
      <c r="A35" s="55" t="n"/>
      <c r="B35" s="56">
        <f>IF(A35="","",WEEKNUM(A35,21))</f>
        <v/>
      </c>
      <c r="C35" s="57" t="n"/>
      <c r="D35" s="57" t="n"/>
      <c r="E35" s="58" t="n"/>
      <c r="F35" s="57" t="n"/>
      <c r="G35" s="59" t="n"/>
      <c r="H35" s="59" t="n"/>
      <c r="I35" s="60">
        <f>IF(OR(G35="",H35=""),"",MOD(H35-G35,1))</f>
        <v/>
      </c>
      <c r="J35" s="61">
        <f>IF(OR(G35="",H35=""),"",ROUND(MOD(H35-G35,1)*24,2))</f>
        <v/>
      </c>
      <c r="K35" s="62">
        <f>IF(E35="","",IF(E35="Werken","JA","NEE"))</f>
        <v/>
      </c>
      <c r="L35" s="61">
        <f>IF(K35="JA",N(J35),IF(E35="","",0))</f>
        <v/>
      </c>
      <c r="M35" s="62">
        <f>IF(AND(A35="",E35=""),"",IF(E35="","Segment ontbreekt",IF(OR(G35="",H35=""),"Van/tot ontbreekt",IF(N(J35)=0,"Duur is nul",IF(N(J35)&gt;12,"Langer dan 12 uur - controleren",IF(AND(E35="Werken",D35=""),"Werken zonder klant - koppelen","OK"))))))</f>
        <v/>
      </c>
    </row>
    <row r="36" ht="15" customHeight="1" s="42">
      <c r="A36" s="55" t="n"/>
      <c r="B36" s="56">
        <f>IF(A36="","",WEEKNUM(A36,21))</f>
        <v/>
      </c>
      <c r="C36" s="57" t="n"/>
      <c r="D36" s="57" t="n"/>
      <c r="E36" s="58" t="n"/>
      <c r="F36" s="57" t="n"/>
      <c r="G36" s="59" t="n"/>
      <c r="H36" s="59" t="n"/>
      <c r="I36" s="60">
        <f>IF(OR(G36="",H36=""),"",MOD(H36-G36,1))</f>
        <v/>
      </c>
      <c r="J36" s="61">
        <f>IF(OR(G36="",H36=""),"",ROUND(MOD(H36-G36,1)*24,2))</f>
        <v/>
      </c>
      <c r="K36" s="62">
        <f>IF(E36="","",IF(E36="Werken","JA","NEE"))</f>
        <v/>
      </c>
      <c r="L36" s="61">
        <f>IF(K36="JA",N(J36),IF(E36="","",0))</f>
        <v/>
      </c>
      <c r="M36" s="62">
        <f>IF(AND(A36="",E36=""),"",IF(E36="","Segment ontbreekt",IF(OR(G36="",H36=""),"Van/tot ontbreekt",IF(N(J36)=0,"Duur is nul",IF(N(J36)&gt;12,"Langer dan 12 uur - controleren",IF(AND(E36="Werken",D36=""),"Werken zonder klant - koppelen","OK"))))))</f>
        <v/>
      </c>
    </row>
    <row r="37" ht="15" customHeight="1" s="42">
      <c r="A37" s="55" t="n"/>
      <c r="B37" s="56">
        <f>IF(A37="","",WEEKNUM(A37,21))</f>
        <v/>
      </c>
      <c r="C37" s="57" t="n"/>
      <c r="D37" s="57" t="n"/>
      <c r="E37" s="58" t="n"/>
      <c r="F37" s="57" t="n"/>
      <c r="G37" s="59" t="n"/>
      <c r="H37" s="59" t="n"/>
      <c r="I37" s="60">
        <f>IF(OR(G37="",H37=""),"",MOD(H37-G37,1))</f>
        <v/>
      </c>
      <c r="J37" s="61">
        <f>IF(OR(G37="",H37=""),"",ROUND(MOD(H37-G37,1)*24,2))</f>
        <v/>
      </c>
      <c r="K37" s="62">
        <f>IF(E37="","",IF(E37="Werken","JA","NEE"))</f>
        <v/>
      </c>
      <c r="L37" s="61">
        <f>IF(K37="JA",N(J37),IF(E37="","",0))</f>
        <v/>
      </c>
      <c r="M37" s="62">
        <f>IF(AND(A37="",E37=""),"",IF(E37="","Segment ontbreekt",IF(OR(G37="",H37=""),"Van/tot ontbreekt",IF(N(J37)=0,"Duur is nul",IF(N(J37)&gt;12,"Langer dan 12 uur - controleren",IF(AND(E37="Werken",D37=""),"Werken zonder klant - koppelen","OK"))))))</f>
        <v/>
      </c>
    </row>
    <row r="38" ht="15" customHeight="1" s="42">
      <c r="A38" s="55" t="n"/>
      <c r="B38" s="56">
        <f>IF(A38="","",WEEKNUM(A38,21))</f>
        <v/>
      </c>
      <c r="C38" s="57" t="n"/>
      <c r="D38" s="57" t="n"/>
      <c r="E38" s="58" t="n"/>
      <c r="F38" s="57" t="n"/>
      <c r="G38" s="59" t="n"/>
      <c r="H38" s="59" t="n"/>
      <c r="I38" s="60">
        <f>IF(OR(G38="",H38=""),"",MOD(H38-G38,1))</f>
        <v/>
      </c>
      <c r="J38" s="61">
        <f>IF(OR(G38="",H38=""),"",ROUND(MOD(H38-G38,1)*24,2))</f>
        <v/>
      </c>
      <c r="K38" s="62">
        <f>IF(E38="","",IF(E38="Werken","JA","NEE"))</f>
        <v/>
      </c>
      <c r="L38" s="61">
        <f>IF(K38="JA",N(J38),IF(E38="","",0))</f>
        <v/>
      </c>
      <c r="M38" s="62">
        <f>IF(AND(A38="",E38=""),"",IF(E38="","Segment ontbreekt",IF(OR(G38="",H38=""),"Van/tot ontbreekt",IF(N(J38)=0,"Duur is nul",IF(N(J38)&gt;12,"Langer dan 12 uur - controleren",IF(AND(E38="Werken",D38=""),"Werken zonder klant - koppelen","OK"))))))</f>
        <v/>
      </c>
    </row>
    <row r="39" ht="15" customHeight="1" s="42">
      <c r="A39" s="55" t="n"/>
      <c r="B39" s="56">
        <f>IF(A39="","",WEEKNUM(A39,21))</f>
        <v/>
      </c>
      <c r="C39" s="57" t="n"/>
      <c r="D39" s="57" t="n"/>
      <c r="E39" s="58" t="n"/>
      <c r="F39" s="57" t="n"/>
      <c r="G39" s="59" t="n"/>
      <c r="H39" s="59" t="n"/>
      <c r="I39" s="60">
        <f>IF(OR(G39="",H39=""),"",MOD(H39-G39,1))</f>
        <v/>
      </c>
      <c r="J39" s="61">
        <f>IF(OR(G39="",H39=""),"",ROUND(MOD(H39-G39,1)*24,2))</f>
        <v/>
      </c>
      <c r="K39" s="62">
        <f>IF(E39="","",IF(E39="Werken","JA","NEE"))</f>
        <v/>
      </c>
      <c r="L39" s="61">
        <f>IF(K39="JA",N(J39),IF(E39="","",0))</f>
        <v/>
      </c>
      <c r="M39" s="62">
        <f>IF(AND(A39="",E39=""),"",IF(E39="","Segment ontbreekt",IF(OR(G39="",H39=""),"Van/tot ontbreekt",IF(N(J39)=0,"Duur is nul",IF(N(J39)&gt;12,"Langer dan 12 uur - controleren",IF(AND(E39="Werken",D39=""),"Werken zonder klant - koppelen","OK"))))))</f>
        <v/>
      </c>
    </row>
    <row r="40" ht="15" customHeight="1" s="42">
      <c r="A40" s="55" t="n"/>
      <c r="B40" s="56">
        <f>IF(A40="","",WEEKNUM(A40,21))</f>
        <v/>
      </c>
      <c r="C40" s="57" t="n"/>
      <c r="D40" s="57" t="n"/>
      <c r="E40" s="58" t="n"/>
      <c r="F40" s="57" t="n"/>
      <c r="G40" s="59" t="n"/>
      <c r="H40" s="59" t="n"/>
      <c r="I40" s="60">
        <f>IF(OR(G40="",H40=""),"",MOD(H40-G40,1))</f>
        <v/>
      </c>
      <c r="J40" s="61">
        <f>IF(OR(G40="",H40=""),"",ROUND(MOD(H40-G40,1)*24,2))</f>
        <v/>
      </c>
      <c r="K40" s="62">
        <f>IF(E40="","",IF(E40="Werken","JA","NEE"))</f>
        <v/>
      </c>
      <c r="L40" s="61">
        <f>IF(K40="JA",N(J40),IF(E40="","",0))</f>
        <v/>
      </c>
      <c r="M40" s="62">
        <f>IF(AND(A40="",E40=""),"",IF(E40="","Segment ontbreekt",IF(OR(G40="",H40=""),"Van/tot ontbreekt",IF(N(J40)=0,"Duur is nul",IF(N(J40)&gt;12,"Langer dan 12 uur - controleren",IF(AND(E40="Werken",D40=""),"Werken zonder klant - koppelen","OK"))))))</f>
        <v/>
      </c>
    </row>
    <row r="41" ht="15" customHeight="1" s="42">
      <c r="A41" s="55" t="n"/>
      <c r="B41" s="56">
        <f>IF(A41="","",WEEKNUM(A41,21))</f>
        <v/>
      </c>
      <c r="C41" s="57" t="n"/>
      <c r="D41" s="57" t="n"/>
      <c r="E41" s="58" t="n"/>
      <c r="F41" s="57" t="n"/>
      <c r="G41" s="59" t="n"/>
      <c r="H41" s="59" t="n"/>
      <c r="I41" s="60">
        <f>IF(OR(G41="",H41=""),"",MOD(H41-G41,1))</f>
        <v/>
      </c>
      <c r="J41" s="61">
        <f>IF(OR(G41="",H41=""),"",ROUND(MOD(H41-G41,1)*24,2))</f>
        <v/>
      </c>
      <c r="K41" s="62">
        <f>IF(E41="","",IF(E41="Werken","JA","NEE"))</f>
        <v/>
      </c>
      <c r="L41" s="61">
        <f>IF(K41="JA",N(J41),IF(E41="","",0))</f>
        <v/>
      </c>
      <c r="M41" s="62">
        <f>IF(AND(A41="",E41=""),"",IF(E41="","Segment ontbreekt",IF(OR(G41="",H41=""),"Van/tot ontbreekt",IF(N(J41)=0,"Duur is nul",IF(N(J41)&gt;12,"Langer dan 12 uur - controleren",IF(AND(E41="Werken",D41=""),"Werken zonder klant - koppelen","OK"))))))</f>
        <v/>
      </c>
    </row>
    <row r="42" ht="15" customHeight="1" s="42">
      <c r="A42" s="55" t="n"/>
      <c r="B42" s="56">
        <f>IF(A42="","",WEEKNUM(A42,21))</f>
        <v/>
      </c>
      <c r="C42" s="57" t="n"/>
      <c r="D42" s="57" t="n"/>
      <c r="E42" s="58" t="n"/>
      <c r="F42" s="57" t="n"/>
      <c r="G42" s="59" t="n"/>
      <c r="H42" s="59" t="n"/>
      <c r="I42" s="60">
        <f>IF(OR(G42="",H42=""),"",MOD(H42-G42,1))</f>
        <v/>
      </c>
      <c r="J42" s="61">
        <f>IF(OR(G42="",H42=""),"",ROUND(MOD(H42-G42,1)*24,2))</f>
        <v/>
      </c>
      <c r="K42" s="62">
        <f>IF(E42="","",IF(E42="Werken","JA","NEE"))</f>
        <v/>
      </c>
      <c r="L42" s="61">
        <f>IF(K42="JA",N(J42),IF(E42="","",0))</f>
        <v/>
      </c>
      <c r="M42" s="62">
        <f>IF(AND(A42="",E42=""),"",IF(E42="","Segment ontbreekt",IF(OR(G42="",H42=""),"Van/tot ontbreekt",IF(N(J42)=0,"Duur is nul",IF(N(J42)&gt;12,"Langer dan 12 uur - controleren",IF(AND(E42="Werken",D42=""),"Werken zonder klant - koppelen","OK"))))))</f>
        <v/>
      </c>
    </row>
    <row r="43" ht="15" customHeight="1" s="42">
      <c r="A43" s="55" t="n"/>
      <c r="B43" s="56">
        <f>IF(A43="","",WEEKNUM(A43,21))</f>
        <v/>
      </c>
      <c r="C43" s="57" t="n"/>
      <c r="D43" s="57" t="n"/>
      <c r="E43" s="58" t="n"/>
      <c r="F43" s="57" t="n"/>
      <c r="G43" s="59" t="n"/>
      <c r="H43" s="59" t="n"/>
      <c r="I43" s="60">
        <f>IF(OR(G43="",H43=""),"",MOD(H43-G43,1))</f>
        <v/>
      </c>
      <c r="J43" s="61">
        <f>IF(OR(G43="",H43=""),"",ROUND(MOD(H43-G43,1)*24,2))</f>
        <v/>
      </c>
      <c r="K43" s="62">
        <f>IF(E43="","",IF(E43="Werken","JA","NEE"))</f>
        <v/>
      </c>
      <c r="L43" s="61">
        <f>IF(K43="JA",N(J43),IF(E43="","",0))</f>
        <v/>
      </c>
      <c r="M43" s="62">
        <f>IF(AND(A43="",E43=""),"",IF(E43="","Segment ontbreekt",IF(OR(G43="",H43=""),"Van/tot ontbreekt",IF(N(J43)=0,"Duur is nul",IF(N(J43)&gt;12,"Langer dan 12 uur - controleren",IF(AND(E43="Werken",D43=""),"Werken zonder klant - koppelen","OK"))))))</f>
        <v/>
      </c>
    </row>
    <row r="44" ht="15" customHeight="1" s="42">
      <c r="A44" s="55" t="n"/>
      <c r="B44" s="56">
        <f>IF(A44="","",WEEKNUM(A44,21))</f>
        <v/>
      </c>
      <c r="C44" s="57" t="n"/>
      <c r="D44" s="57" t="n"/>
      <c r="E44" s="58" t="n"/>
      <c r="F44" s="57" t="n"/>
      <c r="G44" s="59" t="n"/>
      <c r="H44" s="59" t="n"/>
      <c r="I44" s="60">
        <f>IF(OR(G44="",H44=""),"",MOD(H44-G44,1))</f>
        <v/>
      </c>
      <c r="J44" s="61">
        <f>IF(OR(G44="",H44=""),"",ROUND(MOD(H44-G44,1)*24,2))</f>
        <v/>
      </c>
      <c r="K44" s="62">
        <f>IF(E44="","",IF(E44="Werken","JA","NEE"))</f>
        <v/>
      </c>
      <c r="L44" s="61">
        <f>IF(K44="JA",N(J44),IF(E44="","",0))</f>
        <v/>
      </c>
      <c r="M44" s="62">
        <f>IF(AND(A44="",E44=""),"",IF(E44="","Segment ontbreekt",IF(OR(G44="",H44=""),"Van/tot ontbreekt",IF(N(J44)=0,"Duur is nul",IF(N(J44)&gt;12,"Langer dan 12 uur - controleren",IF(AND(E44="Werken",D44=""),"Werken zonder klant - koppelen","OK"))))))</f>
        <v/>
      </c>
    </row>
    <row r="45" ht="15" customHeight="1" s="42">
      <c r="A45" s="55" t="n"/>
      <c r="B45" s="56">
        <f>IF(A45="","",WEEKNUM(A45,21))</f>
        <v/>
      </c>
      <c r="C45" s="57" t="n"/>
      <c r="D45" s="57" t="n"/>
      <c r="E45" s="58" t="n"/>
      <c r="F45" s="57" t="n"/>
      <c r="G45" s="59" t="n"/>
      <c r="H45" s="59" t="n"/>
      <c r="I45" s="60">
        <f>IF(OR(G45="",H45=""),"",MOD(H45-G45,1))</f>
        <v/>
      </c>
      <c r="J45" s="61">
        <f>IF(OR(G45="",H45=""),"",ROUND(MOD(H45-G45,1)*24,2))</f>
        <v/>
      </c>
      <c r="K45" s="62">
        <f>IF(E45="","",IF(E45="Werken","JA","NEE"))</f>
        <v/>
      </c>
      <c r="L45" s="61">
        <f>IF(K45="JA",N(J45),IF(E45="","",0))</f>
        <v/>
      </c>
      <c r="M45" s="62">
        <f>IF(AND(A45="",E45=""),"",IF(E45="","Segment ontbreekt",IF(OR(G45="",H45=""),"Van/tot ontbreekt",IF(N(J45)=0,"Duur is nul",IF(N(J45)&gt;12,"Langer dan 12 uur - controleren",IF(AND(E45="Werken",D45=""),"Werken zonder klant - koppelen","OK"))))))</f>
        <v/>
      </c>
    </row>
    <row r="46" ht="15" customHeight="1" s="42">
      <c r="A46" s="55" t="n"/>
      <c r="B46" s="56">
        <f>IF(A46="","",WEEKNUM(A46,21))</f>
        <v/>
      </c>
      <c r="C46" s="57" t="n"/>
      <c r="D46" s="57" t="n"/>
      <c r="E46" s="58" t="n"/>
      <c r="F46" s="57" t="n"/>
      <c r="G46" s="59" t="n"/>
      <c r="H46" s="59" t="n"/>
      <c r="I46" s="60">
        <f>IF(OR(G46="",H46=""),"",MOD(H46-G46,1))</f>
        <v/>
      </c>
      <c r="J46" s="61">
        <f>IF(OR(G46="",H46=""),"",ROUND(MOD(H46-G46,1)*24,2))</f>
        <v/>
      </c>
      <c r="K46" s="62">
        <f>IF(E46="","",IF(E46="Werken","JA","NEE"))</f>
        <v/>
      </c>
      <c r="L46" s="61">
        <f>IF(K46="JA",N(J46),IF(E46="","",0))</f>
        <v/>
      </c>
      <c r="M46" s="62">
        <f>IF(AND(A46="",E46=""),"",IF(E46="","Segment ontbreekt",IF(OR(G46="",H46=""),"Van/tot ontbreekt",IF(N(J46)=0,"Duur is nul",IF(N(J46)&gt;12,"Langer dan 12 uur - controleren",IF(AND(E46="Werken",D46=""),"Werken zonder klant - koppelen","OK"))))))</f>
        <v/>
      </c>
    </row>
    <row r="47" ht="15" customHeight="1" s="42">
      <c r="A47" s="55" t="n"/>
      <c r="B47" s="56">
        <f>IF(A47="","",WEEKNUM(A47,21))</f>
        <v/>
      </c>
      <c r="C47" s="57" t="n"/>
      <c r="D47" s="57" t="n"/>
      <c r="E47" s="58" t="n"/>
      <c r="F47" s="57" t="n"/>
      <c r="G47" s="59" t="n"/>
      <c r="H47" s="59" t="n"/>
      <c r="I47" s="60">
        <f>IF(OR(G47="",H47=""),"",MOD(H47-G47,1))</f>
        <v/>
      </c>
      <c r="J47" s="61">
        <f>IF(OR(G47="",H47=""),"",ROUND(MOD(H47-G47,1)*24,2))</f>
        <v/>
      </c>
      <c r="K47" s="62">
        <f>IF(E47="","",IF(E47="Werken","JA","NEE"))</f>
        <v/>
      </c>
      <c r="L47" s="61">
        <f>IF(K47="JA",N(J47),IF(E47="","",0))</f>
        <v/>
      </c>
      <c r="M47" s="62">
        <f>IF(AND(A47="",E47=""),"",IF(E47="","Segment ontbreekt",IF(OR(G47="",H47=""),"Van/tot ontbreekt",IF(N(J47)=0,"Duur is nul",IF(N(J47)&gt;12,"Langer dan 12 uur - controleren",IF(AND(E47="Werken",D47=""),"Werken zonder klant - koppelen","OK"))))))</f>
        <v/>
      </c>
    </row>
    <row r="48" ht="15" customHeight="1" s="42">
      <c r="A48" s="55" t="n"/>
      <c r="B48" s="56">
        <f>IF(A48="","",WEEKNUM(A48,21))</f>
        <v/>
      </c>
      <c r="C48" s="57" t="n"/>
      <c r="D48" s="57" t="n"/>
      <c r="E48" s="58" t="n"/>
      <c r="F48" s="57" t="n"/>
      <c r="G48" s="59" t="n"/>
      <c r="H48" s="59" t="n"/>
      <c r="I48" s="60">
        <f>IF(OR(G48="",H48=""),"",MOD(H48-G48,1))</f>
        <v/>
      </c>
      <c r="J48" s="61">
        <f>IF(OR(G48="",H48=""),"",ROUND(MOD(H48-G48,1)*24,2))</f>
        <v/>
      </c>
      <c r="K48" s="62">
        <f>IF(E48="","",IF(E48="Werken","JA","NEE"))</f>
        <v/>
      </c>
      <c r="L48" s="61">
        <f>IF(K48="JA",N(J48),IF(E48="","",0))</f>
        <v/>
      </c>
      <c r="M48" s="62">
        <f>IF(AND(A48="",E48=""),"",IF(E48="","Segment ontbreekt",IF(OR(G48="",H48=""),"Van/tot ontbreekt",IF(N(J48)=0,"Duur is nul",IF(N(J48)&gt;12,"Langer dan 12 uur - controleren",IF(AND(E48="Werken",D48=""),"Werken zonder klant - koppelen","OK"))))))</f>
        <v/>
      </c>
    </row>
    <row r="49" ht="15" customHeight="1" s="42">
      <c r="A49" s="55" t="n"/>
      <c r="B49" s="56">
        <f>IF(A49="","",WEEKNUM(A49,21))</f>
        <v/>
      </c>
      <c r="C49" s="57" t="n"/>
      <c r="D49" s="57" t="n"/>
      <c r="E49" s="58" t="n"/>
      <c r="F49" s="57" t="n"/>
      <c r="G49" s="59" t="n"/>
      <c r="H49" s="59" t="n"/>
      <c r="I49" s="60">
        <f>IF(OR(G49="",H49=""),"",MOD(H49-G49,1))</f>
        <v/>
      </c>
      <c r="J49" s="61">
        <f>IF(OR(G49="",H49=""),"",ROUND(MOD(H49-G49,1)*24,2))</f>
        <v/>
      </c>
      <c r="K49" s="62">
        <f>IF(E49="","",IF(E49="Werken","JA","NEE"))</f>
        <v/>
      </c>
      <c r="L49" s="61">
        <f>IF(K49="JA",N(J49),IF(E49="","",0))</f>
        <v/>
      </c>
      <c r="M49" s="62">
        <f>IF(AND(A49="",E49=""),"",IF(E49="","Segment ontbreekt",IF(OR(G49="",H49=""),"Van/tot ontbreekt",IF(N(J49)=0,"Duur is nul",IF(N(J49)&gt;12,"Langer dan 12 uur - controleren",IF(AND(E49="Werken",D49=""),"Werken zonder klant - koppelen","OK"))))))</f>
        <v/>
      </c>
    </row>
    <row r="50" ht="15" customHeight="1" s="42">
      <c r="A50" s="55" t="n"/>
      <c r="B50" s="56">
        <f>IF(A50="","",WEEKNUM(A50,21))</f>
        <v/>
      </c>
      <c r="C50" s="57" t="n"/>
      <c r="D50" s="57" t="n"/>
      <c r="E50" s="58" t="n"/>
      <c r="F50" s="57" t="n"/>
      <c r="G50" s="59" t="n"/>
      <c r="H50" s="59" t="n"/>
      <c r="I50" s="60">
        <f>IF(OR(G50="",H50=""),"",MOD(H50-G50,1))</f>
        <v/>
      </c>
      <c r="J50" s="61">
        <f>IF(OR(G50="",H50=""),"",ROUND(MOD(H50-G50,1)*24,2))</f>
        <v/>
      </c>
      <c r="K50" s="62">
        <f>IF(E50="","",IF(E50="Werken","JA","NEE"))</f>
        <v/>
      </c>
      <c r="L50" s="61">
        <f>IF(K50="JA",N(J50),IF(E50="","",0))</f>
        <v/>
      </c>
      <c r="M50" s="62">
        <f>IF(AND(A50="",E50=""),"",IF(E50="","Segment ontbreekt",IF(OR(G50="",H50=""),"Van/tot ontbreekt",IF(N(J50)=0,"Duur is nul",IF(N(J50)&gt;12,"Langer dan 12 uur - controleren",IF(AND(E50="Werken",D50=""),"Werken zonder klant - koppelen","OK"))))))</f>
        <v/>
      </c>
    </row>
    <row r="51" ht="15" customHeight="1" s="42">
      <c r="A51" s="55" t="n"/>
      <c r="B51" s="56">
        <f>IF(A51="","",WEEKNUM(A51,21))</f>
        <v/>
      </c>
      <c r="C51" s="57" t="n"/>
      <c r="D51" s="57" t="n"/>
      <c r="E51" s="58" t="n"/>
      <c r="F51" s="57" t="n"/>
      <c r="G51" s="59" t="n"/>
      <c r="H51" s="59" t="n"/>
      <c r="I51" s="60">
        <f>IF(OR(G51="",H51=""),"",MOD(H51-G51,1))</f>
        <v/>
      </c>
      <c r="J51" s="61">
        <f>IF(OR(G51="",H51=""),"",ROUND(MOD(H51-G51,1)*24,2))</f>
        <v/>
      </c>
      <c r="K51" s="62">
        <f>IF(E51="","",IF(E51="Werken","JA","NEE"))</f>
        <v/>
      </c>
      <c r="L51" s="61">
        <f>IF(K51="JA",N(J51),IF(E51="","",0))</f>
        <v/>
      </c>
      <c r="M51" s="62">
        <f>IF(AND(A51="",E51=""),"",IF(E51="","Segment ontbreekt",IF(OR(G51="",H51=""),"Van/tot ontbreekt",IF(N(J51)=0,"Duur is nul",IF(N(J51)&gt;12,"Langer dan 12 uur - controleren",IF(AND(E51="Werken",D51=""),"Werken zonder klant - koppelen","OK"))))))</f>
        <v/>
      </c>
    </row>
    <row r="52" ht="15" customHeight="1" s="42">
      <c r="A52" s="55" t="n"/>
      <c r="B52" s="56">
        <f>IF(A52="","",WEEKNUM(A52,21))</f>
        <v/>
      </c>
      <c r="C52" s="57" t="n"/>
      <c r="D52" s="57" t="n"/>
      <c r="E52" s="58" t="n"/>
      <c r="F52" s="57" t="n"/>
      <c r="G52" s="59" t="n"/>
      <c r="H52" s="59" t="n"/>
      <c r="I52" s="60">
        <f>IF(OR(G52="",H52=""),"",MOD(H52-G52,1))</f>
        <v/>
      </c>
      <c r="J52" s="61">
        <f>IF(OR(G52="",H52=""),"",ROUND(MOD(H52-G52,1)*24,2))</f>
        <v/>
      </c>
      <c r="K52" s="62">
        <f>IF(E52="","",IF(E52="Werken","JA","NEE"))</f>
        <v/>
      </c>
      <c r="L52" s="61">
        <f>IF(K52="JA",N(J52),IF(E52="","",0))</f>
        <v/>
      </c>
      <c r="M52" s="62">
        <f>IF(AND(A52="",E52=""),"",IF(E52="","Segment ontbreekt",IF(OR(G52="",H52=""),"Van/tot ontbreekt",IF(N(J52)=0,"Duur is nul",IF(N(J52)&gt;12,"Langer dan 12 uur - controleren",IF(AND(E52="Werken",D52=""),"Werken zonder klant - koppelen","OK"))))))</f>
        <v/>
      </c>
    </row>
    <row r="53" ht="15" customHeight="1" s="42">
      <c r="A53" s="55" t="n"/>
      <c r="B53" s="56">
        <f>IF(A53="","",WEEKNUM(A53,21))</f>
        <v/>
      </c>
      <c r="C53" s="57" t="n"/>
      <c r="D53" s="57" t="n"/>
      <c r="E53" s="58" t="n"/>
      <c r="F53" s="57" t="n"/>
      <c r="G53" s="59" t="n"/>
      <c r="H53" s="59" t="n"/>
      <c r="I53" s="60">
        <f>IF(OR(G53="",H53=""),"",MOD(H53-G53,1))</f>
        <v/>
      </c>
      <c r="J53" s="61">
        <f>IF(OR(G53="",H53=""),"",ROUND(MOD(H53-G53,1)*24,2))</f>
        <v/>
      </c>
      <c r="K53" s="62">
        <f>IF(E53="","",IF(E53="Werken","JA","NEE"))</f>
        <v/>
      </c>
      <c r="L53" s="61">
        <f>IF(K53="JA",N(J53),IF(E53="","",0))</f>
        <v/>
      </c>
      <c r="M53" s="62">
        <f>IF(AND(A53="",E53=""),"",IF(E53="","Segment ontbreekt",IF(OR(G53="",H53=""),"Van/tot ontbreekt",IF(N(J53)=0,"Duur is nul",IF(N(J53)&gt;12,"Langer dan 12 uur - controleren",IF(AND(E53="Werken",D53=""),"Werken zonder klant - koppelen","OK"))))))</f>
        <v/>
      </c>
    </row>
    <row r="54" ht="15" customHeight="1" s="42">
      <c r="A54" s="55" t="n"/>
      <c r="B54" s="56">
        <f>IF(A54="","",WEEKNUM(A54,21))</f>
        <v/>
      </c>
      <c r="C54" s="57" t="n"/>
      <c r="D54" s="57" t="n"/>
      <c r="E54" s="58" t="n"/>
      <c r="F54" s="57" t="n"/>
      <c r="G54" s="59" t="n"/>
      <c r="H54" s="59" t="n"/>
      <c r="I54" s="60">
        <f>IF(OR(G54="",H54=""),"",MOD(H54-G54,1))</f>
        <v/>
      </c>
      <c r="J54" s="61">
        <f>IF(OR(G54="",H54=""),"",ROUND(MOD(H54-G54,1)*24,2))</f>
        <v/>
      </c>
      <c r="K54" s="62">
        <f>IF(E54="","",IF(E54="Werken","JA","NEE"))</f>
        <v/>
      </c>
      <c r="L54" s="61">
        <f>IF(K54="JA",N(J54),IF(E54="","",0))</f>
        <v/>
      </c>
      <c r="M54" s="62">
        <f>IF(AND(A54="",E54=""),"",IF(E54="","Segment ontbreekt",IF(OR(G54="",H54=""),"Van/tot ontbreekt",IF(N(J54)=0,"Duur is nul",IF(N(J54)&gt;12,"Langer dan 12 uur - controleren",IF(AND(E54="Werken",D54=""),"Werken zonder klant - koppelen","OK"))))))</f>
        <v/>
      </c>
    </row>
    <row r="55" ht="15" customHeight="1" s="42">
      <c r="A55" s="55" t="n"/>
      <c r="B55" s="56">
        <f>IF(A55="","",WEEKNUM(A55,21))</f>
        <v/>
      </c>
      <c r="C55" s="57" t="n"/>
      <c r="D55" s="57" t="n"/>
      <c r="E55" s="58" t="n"/>
      <c r="F55" s="57" t="n"/>
      <c r="G55" s="59" t="n"/>
      <c r="H55" s="59" t="n"/>
      <c r="I55" s="60">
        <f>IF(OR(G55="",H55=""),"",MOD(H55-G55,1))</f>
        <v/>
      </c>
      <c r="J55" s="61">
        <f>IF(OR(G55="",H55=""),"",ROUND(MOD(H55-G55,1)*24,2))</f>
        <v/>
      </c>
      <c r="K55" s="62">
        <f>IF(E55="","",IF(E55="Werken","JA","NEE"))</f>
        <v/>
      </c>
      <c r="L55" s="61">
        <f>IF(K55="JA",N(J55),IF(E55="","",0))</f>
        <v/>
      </c>
      <c r="M55" s="62">
        <f>IF(AND(A55="",E55=""),"",IF(E55="","Segment ontbreekt",IF(OR(G55="",H55=""),"Van/tot ontbreekt",IF(N(J55)=0,"Duur is nul",IF(N(J55)&gt;12,"Langer dan 12 uur - controleren",IF(AND(E55="Werken",D55=""),"Werken zonder klant - koppelen","OK"))))))</f>
        <v/>
      </c>
    </row>
    <row r="56" ht="15" customHeight="1" s="42">
      <c r="A56" s="55" t="n"/>
      <c r="B56" s="56">
        <f>IF(A56="","",WEEKNUM(A56,21))</f>
        <v/>
      </c>
      <c r="C56" s="57" t="n"/>
      <c r="D56" s="57" t="n"/>
      <c r="E56" s="58" t="n"/>
      <c r="F56" s="57" t="n"/>
      <c r="G56" s="59" t="n"/>
      <c r="H56" s="59" t="n"/>
      <c r="I56" s="60">
        <f>IF(OR(G56="",H56=""),"",MOD(H56-G56,1))</f>
        <v/>
      </c>
      <c r="J56" s="61">
        <f>IF(OR(G56="",H56=""),"",ROUND(MOD(H56-G56,1)*24,2))</f>
        <v/>
      </c>
      <c r="K56" s="62">
        <f>IF(E56="","",IF(E56="Werken","JA","NEE"))</f>
        <v/>
      </c>
      <c r="L56" s="61">
        <f>IF(K56="JA",N(J56),IF(E56="","",0))</f>
        <v/>
      </c>
      <c r="M56" s="62">
        <f>IF(AND(A56="",E56=""),"",IF(E56="","Segment ontbreekt",IF(OR(G56="",H56=""),"Van/tot ontbreekt",IF(N(J56)=0,"Duur is nul",IF(N(J56)&gt;12,"Langer dan 12 uur - controleren",IF(AND(E56="Werken",D56=""),"Werken zonder klant - koppelen","OK"))))))</f>
        <v/>
      </c>
    </row>
    <row r="57" ht="15" customHeight="1" s="42">
      <c r="A57" s="55" t="n"/>
      <c r="B57" s="56">
        <f>IF(A57="","",WEEKNUM(A57,21))</f>
        <v/>
      </c>
      <c r="C57" s="57" t="n"/>
      <c r="D57" s="57" t="n"/>
      <c r="E57" s="58" t="n"/>
      <c r="F57" s="57" t="n"/>
      <c r="G57" s="59" t="n"/>
      <c r="H57" s="59" t="n"/>
      <c r="I57" s="60">
        <f>IF(OR(G57="",H57=""),"",MOD(H57-G57,1))</f>
        <v/>
      </c>
      <c r="J57" s="61">
        <f>IF(OR(G57="",H57=""),"",ROUND(MOD(H57-G57,1)*24,2))</f>
        <v/>
      </c>
      <c r="K57" s="62">
        <f>IF(E57="","",IF(E57="Werken","JA","NEE"))</f>
        <v/>
      </c>
      <c r="L57" s="61">
        <f>IF(K57="JA",N(J57),IF(E57="","",0))</f>
        <v/>
      </c>
      <c r="M57" s="62">
        <f>IF(AND(A57="",E57=""),"",IF(E57="","Segment ontbreekt",IF(OR(G57="",H57=""),"Van/tot ontbreekt",IF(N(J57)=0,"Duur is nul",IF(N(J57)&gt;12,"Langer dan 12 uur - controleren",IF(AND(E57="Werken",D57=""),"Werken zonder klant - koppelen","OK"))))))</f>
        <v/>
      </c>
    </row>
    <row r="58" ht="15" customHeight="1" s="42">
      <c r="A58" s="55" t="n"/>
      <c r="B58" s="56">
        <f>IF(A58="","",WEEKNUM(A58,21))</f>
        <v/>
      </c>
      <c r="C58" s="57" t="n"/>
      <c r="D58" s="57" t="n"/>
      <c r="E58" s="58" t="n"/>
      <c r="F58" s="57" t="n"/>
      <c r="G58" s="59" t="n"/>
      <c r="H58" s="59" t="n"/>
      <c r="I58" s="60">
        <f>IF(OR(G58="",H58=""),"",MOD(H58-G58,1))</f>
        <v/>
      </c>
      <c r="J58" s="61">
        <f>IF(OR(G58="",H58=""),"",ROUND(MOD(H58-G58,1)*24,2))</f>
        <v/>
      </c>
      <c r="K58" s="62">
        <f>IF(E58="","",IF(E58="Werken","JA","NEE"))</f>
        <v/>
      </c>
      <c r="L58" s="61">
        <f>IF(K58="JA",N(J58),IF(E58="","",0))</f>
        <v/>
      </c>
      <c r="M58" s="62">
        <f>IF(AND(A58="",E58=""),"",IF(E58="","Segment ontbreekt",IF(OR(G58="",H58=""),"Van/tot ontbreekt",IF(N(J58)=0,"Duur is nul",IF(N(J58)&gt;12,"Langer dan 12 uur - controleren",IF(AND(E58="Werken",D58=""),"Werken zonder klant - koppelen","OK"))))))</f>
        <v/>
      </c>
    </row>
    <row r="59" ht="15" customHeight="1" s="42">
      <c r="A59" s="55" t="n"/>
      <c r="B59" s="56">
        <f>IF(A59="","",WEEKNUM(A59,21))</f>
        <v/>
      </c>
      <c r="C59" s="57" t="n"/>
      <c r="D59" s="57" t="n"/>
      <c r="E59" s="58" t="n"/>
      <c r="F59" s="57" t="n"/>
      <c r="G59" s="59" t="n"/>
      <c r="H59" s="59" t="n"/>
      <c r="I59" s="60">
        <f>IF(OR(G59="",H59=""),"",MOD(H59-G59,1))</f>
        <v/>
      </c>
      <c r="J59" s="61">
        <f>IF(OR(G59="",H59=""),"",ROUND(MOD(H59-G59,1)*24,2))</f>
        <v/>
      </c>
      <c r="K59" s="62">
        <f>IF(E59="","",IF(E59="Werken","JA","NEE"))</f>
        <v/>
      </c>
      <c r="L59" s="61">
        <f>IF(K59="JA",N(J59),IF(E59="","",0))</f>
        <v/>
      </c>
      <c r="M59" s="62">
        <f>IF(AND(A59="",E59=""),"",IF(E59="","Segment ontbreekt",IF(OR(G59="",H59=""),"Van/tot ontbreekt",IF(N(J59)=0,"Duur is nul",IF(N(J59)&gt;12,"Langer dan 12 uur - controleren",IF(AND(E59="Werken",D59=""),"Werken zonder klant - koppelen","OK"))))))</f>
        <v/>
      </c>
    </row>
    <row r="60" ht="15" customHeight="1" s="42">
      <c r="A60" s="55" t="n"/>
      <c r="B60" s="56">
        <f>IF(A60="","",WEEKNUM(A60,21))</f>
        <v/>
      </c>
      <c r="C60" s="57" t="n"/>
      <c r="D60" s="57" t="n"/>
      <c r="E60" s="58" t="n"/>
      <c r="F60" s="57" t="n"/>
      <c r="G60" s="59" t="n"/>
      <c r="H60" s="59" t="n"/>
      <c r="I60" s="60">
        <f>IF(OR(G60="",H60=""),"",MOD(H60-G60,1))</f>
        <v/>
      </c>
      <c r="J60" s="61">
        <f>IF(OR(G60="",H60=""),"",ROUND(MOD(H60-G60,1)*24,2))</f>
        <v/>
      </c>
      <c r="K60" s="62">
        <f>IF(E60="","",IF(E60="Werken","JA","NEE"))</f>
        <v/>
      </c>
      <c r="L60" s="61">
        <f>IF(K60="JA",N(J60),IF(E60="","",0))</f>
        <v/>
      </c>
      <c r="M60" s="62">
        <f>IF(AND(A60="",E60=""),"",IF(E60="","Segment ontbreekt",IF(OR(G60="",H60=""),"Van/tot ontbreekt",IF(N(J60)=0,"Duur is nul",IF(N(J60)&gt;12,"Langer dan 12 uur - controleren",IF(AND(E60="Werken",D60=""),"Werken zonder klant - koppelen","OK"))))))</f>
        <v/>
      </c>
    </row>
    <row r="61" ht="15" customHeight="1" s="42">
      <c r="A61" s="55" t="n"/>
      <c r="B61" s="56">
        <f>IF(A61="","",WEEKNUM(A61,21))</f>
        <v/>
      </c>
      <c r="C61" s="57" t="n"/>
      <c r="D61" s="57" t="n"/>
      <c r="E61" s="58" t="n"/>
      <c r="F61" s="57" t="n"/>
      <c r="G61" s="59" t="n"/>
      <c r="H61" s="59" t="n"/>
      <c r="I61" s="60">
        <f>IF(OR(G61="",H61=""),"",MOD(H61-G61,1))</f>
        <v/>
      </c>
      <c r="J61" s="61">
        <f>IF(OR(G61="",H61=""),"",ROUND(MOD(H61-G61,1)*24,2))</f>
        <v/>
      </c>
      <c r="K61" s="62">
        <f>IF(E61="","",IF(E61="Werken","JA","NEE"))</f>
        <v/>
      </c>
      <c r="L61" s="61">
        <f>IF(K61="JA",N(J61),IF(E61="","",0))</f>
        <v/>
      </c>
      <c r="M61" s="62">
        <f>IF(AND(A61="",E61=""),"",IF(E61="","Segment ontbreekt",IF(OR(G61="",H61=""),"Van/tot ontbreekt",IF(N(J61)=0,"Duur is nul",IF(N(J61)&gt;12,"Langer dan 12 uur - controleren",IF(AND(E61="Werken",D61=""),"Werken zonder klant - koppelen","OK"))))))</f>
        <v/>
      </c>
    </row>
    <row r="62" ht="15" customHeight="1" s="42">
      <c r="A62" s="55" t="n"/>
      <c r="B62" s="56">
        <f>IF(A62="","",WEEKNUM(A62,21))</f>
        <v/>
      </c>
      <c r="C62" s="57" t="n"/>
      <c r="D62" s="57" t="n"/>
      <c r="E62" s="58" t="n"/>
      <c r="F62" s="57" t="n"/>
      <c r="G62" s="59" t="n"/>
      <c r="H62" s="59" t="n"/>
      <c r="I62" s="60">
        <f>IF(OR(G62="",H62=""),"",MOD(H62-G62,1))</f>
        <v/>
      </c>
      <c r="J62" s="61">
        <f>IF(OR(G62="",H62=""),"",ROUND(MOD(H62-G62,1)*24,2))</f>
        <v/>
      </c>
      <c r="K62" s="62">
        <f>IF(E62="","",IF(E62="Werken","JA","NEE"))</f>
        <v/>
      </c>
      <c r="L62" s="61">
        <f>IF(K62="JA",N(J62),IF(E62="","",0))</f>
        <v/>
      </c>
      <c r="M62" s="62">
        <f>IF(AND(A62="",E62=""),"",IF(E62="","Segment ontbreekt",IF(OR(G62="",H62=""),"Van/tot ontbreekt",IF(N(J62)=0,"Duur is nul",IF(N(J62)&gt;12,"Langer dan 12 uur - controleren",IF(AND(E62="Werken",D62=""),"Werken zonder klant - koppelen","OK"))))))</f>
        <v/>
      </c>
    </row>
    <row r="63" ht="15" customHeight="1" s="42">
      <c r="A63" s="55" t="n"/>
      <c r="B63" s="56">
        <f>IF(A63="","",WEEKNUM(A63,21))</f>
        <v/>
      </c>
      <c r="C63" s="57" t="n"/>
      <c r="D63" s="57" t="n"/>
      <c r="E63" s="58" t="n"/>
      <c r="F63" s="57" t="n"/>
      <c r="G63" s="59" t="n"/>
      <c r="H63" s="59" t="n"/>
      <c r="I63" s="60">
        <f>IF(OR(G63="",H63=""),"",MOD(H63-G63,1))</f>
        <v/>
      </c>
      <c r="J63" s="61">
        <f>IF(OR(G63="",H63=""),"",ROUND(MOD(H63-G63,1)*24,2))</f>
        <v/>
      </c>
      <c r="K63" s="62">
        <f>IF(E63="","",IF(E63="Werken","JA","NEE"))</f>
        <v/>
      </c>
      <c r="L63" s="61">
        <f>IF(K63="JA",N(J63),IF(E63="","",0))</f>
        <v/>
      </c>
      <c r="M63" s="62">
        <f>IF(AND(A63="",E63=""),"",IF(E63="","Segment ontbreekt",IF(OR(G63="",H63=""),"Van/tot ontbreekt",IF(N(J63)=0,"Duur is nul",IF(N(J63)&gt;12,"Langer dan 12 uur - controleren",IF(AND(E63="Werken",D63=""),"Werken zonder klant - koppelen","OK"))))))</f>
        <v/>
      </c>
    </row>
    <row r="64" ht="15" customHeight="1" s="42">
      <c r="A64" s="55" t="n"/>
      <c r="B64" s="56">
        <f>IF(A64="","",WEEKNUM(A64,21))</f>
        <v/>
      </c>
      <c r="C64" s="57" t="n"/>
      <c r="D64" s="57" t="n"/>
      <c r="E64" s="58" t="n"/>
      <c r="F64" s="57" t="n"/>
      <c r="G64" s="59" t="n"/>
      <c r="H64" s="59" t="n"/>
      <c r="I64" s="60">
        <f>IF(OR(G64="",H64=""),"",MOD(H64-G64,1))</f>
        <v/>
      </c>
      <c r="J64" s="61">
        <f>IF(OR(G64="",H64=""),"",ROUND(MOD(H64-G64,1)*24,2))</f>
        <v/>
      </c>
      <c r="K64" s="62">
        <f>IF(E64="","",IF(E64="Werken","JA","NEE"))</f>
        <v/>
      </c>
      <c r="L64" s="61">
        <f>IF(K64="JA",N(J64),IF(E64="","",0))</f>
        <v/>
      </c>
      <c r="M64" s="62">
        <f>IF(AND(A64="",E64=""),"",IF(E64="","Segment ontbreekt",IF(OR(G64="",H64=""),"Van/tot ontbreekt",IF(N(J64)=0,"Duur is nul",IF(N(J64)&gt;12,"Langer dan 12 uur - controleren",IF(AND(E64="Werken",D64=""),"Werken zonder klant - koppelen","OK"))))))</f>
        <v/>
      </c>
    </row>
    <row r="65" ht="15" customHeight="1" s="42">
      <c r="A65" s="55" t="n"/>
      <c r="B65" s="56">
        <f>IF(A65="","",WEEKNUM(A65,21))</f>
        <v/>
      </c>
      <c r="C65" s="57" t="n"/>
      <c r="D65" s="57" t="n"/>
      <c r="E65" s="58" t="n"/>
      <c r="F65" s="57" t="n"/>
      <c r="G65" s="59" t="n"/>
      <c r="H65" s="59" t="n"/>
      <c r="I65" s="60">
        <f>IF(OR(G65="",H65=""),"",MOD(H65-G65,1))</f>
        <v/>
      </c>
      <c r="J65" s="61">
        <f>IF(OR(G65="",H65=""),"",ROUND(MOD(H65-G65,1)*24,2))</f>
        <v/>
      </c>
      <c r="K65" s="62">
        <f>IF(E65="","",IF(E65="Werken","JA","NEE"))</f>
        <v/>
      </c>
      <c r="L65" s="61">
        <f>IF(K65="JA",N(J65),IF(E65="","",0))</f>
        <v/>
      </c>
      <c r="M65" s="62">
        <f>IF(AND(A65="",E65=""),"",IF(E65="","Segment ontbreekt",IF(OR(G65="",H65=""),"Van/tot ontbreekt",IF(N(J65)=0,"Duur is nul",IF(N(J65)&gt;12,"Langer dan 12 uur - controleren",IF(AND(E65="Werken",D65=""),"Werken zonder klant - koppelen","OK"))))))</f>
        <v/>
      </c>
    </row>
    <row r="66" ht="15" customHeight="1" s="42">
      <c r="A66" s="55" t="n"/>
      <c r="B66" s="56">
        <f>IF(A66="","",WEEKNUM(A66,21))</f>
        <v/>
      </c>
      <c r="C66" s="57" t="n"/>
      <c r="D66" s="57" t="n"/>
      <c r="E66" s="58" t="n"/>
      <c r="F66" s="57" t="n"/>
      <c r="G66" s="59" t="n"/>
      <c r="H66" s="59" t="n"/>
      <c r="I66" s="60">
        <f>IF(OR(G66="",H66=""),"",MOD(H66-G66,1))</f>
        <v/>
      </c>
      <c r="J66" s="61">
        <f>IF(OR(G66="",H66=""),"",ROUND(MOD(H66-G66,1)*24,2))</f>
        <v/>
      </c>
      <c r="K66" s="62">
        <f>IF(E66="","",IF(E66="Werken","JA","NEE"))</f>
        <v/>
      </c>
      <c r="L66" s="61">
        <f>IF(K66="JA",N(J66),IF(E66="","",0))</f>
        <v/>
      </c>
      <c r="M66" s="62">
        <f>IF(AND(A66="",E66=""),"",IF(E66="","Segment ontbreekt",IF(OR(G66="",H66=""),"Van/tot ontbreekt",IF(N(J66)=0,"Duur is nul",IF(N(J66)&gt;12,"Langer dan 12 uur - controleren",IF(AND(E66="Werken",D66=""),"Werken zonder klant - koppelen","OK"))))))</f>
        <v/>
      </c>
    </row>
    <row r="67" ht="15" customHeight="1" s="42">
      <c r="A67" s="55" t="n"/>
      <c r="B67" s="56">
        <f>IF(A67="","",WEEKNUM(A67,21))</f>
        <v/>
      </c>
      <c r="C67" s="57" t="n"/>
      <c r="D67" s="57" t="n"/>
      <c r="E67" s="58" t="n"/>
      <c r="F67" s="57" t="n"/>
      <c r="G67" s="59" t="n"/>
      <c r="H67" s="59" t="n"/>
      <c r="I67" s="60">
        <f>IF(OR(G67="",H67=""),"",MOD(H67-G67,1))</f>
        <v/>
      </c>
      <c r="J67" s="61">
        <f>IF(OR(G67="",H67=""),"",ROUND(MOD(H67-G67,1)*24,2))</f>
        <v/>
      </c>
      <c r="K67" s="62">
        <f>IF(E67="","",IF(E67="Werken","JA","NEE"))</f>
        <v/>
      </c>
      <c r="L67" s="61">
        <f>IF(K67="JA",N(J67),IF(E67="","",0))</f>
        <v/>
      </c>
      <c r="M67" s="62">
        <f>IF(AND(A67="",E67=""),"",IF(E67="","Segment ontbreekt",IF(OR(G67="",H67=""),"Van/tot ontbreekt",IF(N(J67)=0,"Duur is nul",IF(N(J67)&gt;12,"Langer dan 12 uur - controleren",IF(AND(E67="Werken",D67=""),"Werken zonder klant - koppelen","OK"))))))</f>
        <v/>
      </c>
    </row>
    <row r="68" ht="15" customHeight="1" s="42">
      <c r="A68" s="55" t="n"/>
      <c r="B68" s="56">
        <f>IF(A68="","",WEEKNUM(A68,21))</f>
        <v/>
      </c>
      <c r="C68" s="57" t="n"/>
      <c r="D68" s="57" t="n"/>
      <c r="E68" s="58" t="n"/>
      <c r="F68" s="57" t="n"/>
      <c r="G68" s="59" t="n"/>
      <c r="H68" s="59" t="n"/>
      <c r="I68" s="60">
        <f>IF(OR(G68="",H68=""),"",MOD(H68-G68,1))</f>
        <v/>
      </c>
      <c r="J68" s="61">
        <f>IF(OR(G68="",H68=""),"",ROUND(MOD(H68-G68,1)*24,2))</f>
        <v/>
      </c>
      <c r="K68" s="62">
        <f>IF(E68="","",IF(E68="Werken","JA","NEE"))</f>
        <v/>
      </c>
      <c r="L68" s="61">
        <f>IF(K68="JA",N(J68),IF(E68="","",0))</f>
        <v/>
      </c>
      <c r="M68" s="62">
        <f>IF(AND(A68="",E68=""),"",IF(E68="","Segment ontbreekt",IF(OR(G68="",H68=""),"Van/tot ontbreekt",IF(N(J68)=0,"Duur is nul",IF(N(J68)&gt;12,"Langer dan 12 uur - controleren",IF(AND(E68="Werken",D68=""),"Werken zonder klant - koppelen","OK"))))))</f>
        <v/>
      </c>
    </row>
    <row r="69" ht="15" customHeight="1" s="42">
      <c r="A69" s="55" t="n"/>
      <c r="B69" s="56">
        <f>IF(A69="","",WEEKNUM(A69,21))</f>
        <v/>
      </c>
      <c r="C69" s="57" t="n"/>
      <c r="D69" s="57" t="n"/>
      <c r="E69" s="58" t="n"/>
      <c r="F69" s="57" t="n"/>
      <c r="G69" s="59" t="n"/>
      <c r="H69" s="59" t="n"/>
      <c r="I69" s="60">
        <f>IF(OR(G69="",H69=""),"",MOD(H69-G69,1))</f>
        <v/>
      </c>
      <c r="J69" s="61">
        <f>IF(OR(G69="",H69=""),"",ROUND(MOD(H69-G69,1)*24,2))</f>
        <v/>
      </c>
      <c r="K69" s="62">
        <f>IF(E69="","",IF(E69="Werken","JA","NEE"))</f>
        <v/>
      </c>
      <c r="L69" s="61">
        <f>IF(K69="JA",N(J69),IF(E69="","",0))</f>
        <v/>
      </c>
      <c r="M69" s="62">
        <f>IF(AND(A69="",E69=""),"",IF(E69="","Segment ontbreekt",IF(OR(G69="",H69=""),"Van/tot ontbreekt",IF(N(J69)=0,"Duur is nul",IF(N(J69)&gt;12,"Langer dan 12 uur - controleren",IF(AND(E69="Werken",D69=""),"Werken zonder klant - koppelen","OK"))))))</f>
        <v/>
      </c>
    </row>
    <row r="70" ht="15" customHeight="1" s="42">
      <c r="A70" s="55" t="n"/>
      <c r="B70" s="56">
        <f>IF(A70="","",WEEKNUM(A70,21))</f>
        <v/>
      </c>
      <c r="C70" s="57" t="n"/>
      <c r="D70" s="57" t="n"/>
      <c r="E70" s="58" t="n"/>
      <c r="F70" s="57" t="n"/>
      <c r="G70" s="59" t="n"/>
      <c r="H70" s="59" t="n"/>
      <c r="I70" s="60">
        <f>IF(OR(G70="",H70=""),"",MOD(H70-G70,1))</f>
        <v/>
      </c>
      <c r="J70" s="61">
        <f>IF(OR(G70="",H70=""),"",ROUND(MOD(H70-G70,1)*24,2))</f>
        <v/>
      </c>
      <c r="K70" s="62">
        <f>IF(E70="","",IF(E70="Werken","JA","NEE"))</f>
        <v/>
      </c>
      <c r="L70" s="61">
        <f>IF(K70="JA",N(J70),IF(E70="","",0))</f>
        <v/>
      </c>
      <c r="M70" s="62">
        <f>IF(AND(A70="",E70=""),"",IF(E70="","Segment ontbreekt",IF(OR(G70="",H70=""),"Van/tot ontbreekt",IF(N(J70)=0,"Duur is nul",IF(N(J70)&gt;12,"Langer dan 12 uur - controleren",IF(AND(E70="Werken",D70=""),"Werken zonder klant - koppelen","OK"))))))</f>
        <v/>
      </c>
    </row>
    <row r="71" ht="15" customHeight="1" s="42">
      <c r="A71" s="55" t="n"/>
      <c r="B71" s="56">
        <f>IF(A71="","",WEEKNUM(A71,21))</f>
        <v/>
      </c>
      <c r="C71" s="57" t="n"/>
      <c r="D71" s="57" t="n"/>
      <c r="E71" s="58" t="n"/>
      <c r="F71" s="57" t="n"/>
      <c r="G71" s="59" t="n"/>
      <c r="H71" s="59" t="n"/>
      <c r="I71" s="60">
        <f>IF(OR(G71="",H71=""),"",MOD(H71-G71,1))</f>
        <v/>
      </c>
      <c r="J71" s="61">
        <f>IF(OR(G71="",H71=""),"",ROUND(MOD(H71-G71,1)*24,2))</f>
        <v/>
      </c>
      <c r="K71" s="62">
        <f>IF(E71="","",IF(E71="Werken","JA","NEE"))</f>
        <v/>
      </c>
      <c r="L71" s="61">
        <f>IF(K71="JA",N(J71),IF(E71="","",0))</f>
        <v/>
      </c>
      <c r="M71" s="62">
        <f>IF(AND(A71="",E71=""),"",IF(E71="","Segment ontbreekt",IF(OR(G71="",H71=""),"Van/tot ontbreekt",IF(N(J71)=0,"Duur is nul",IF(N(J71)&gt;12,"Langer dan 12 uur - controleren",IF(AND(E71="Werken",D71=""),"Werken zonder klant - koppelen","OK"))))))</f>
        <v/>
      </c>
    </row>
    <row r="72" ht="15" customHeight="1" s="42">
      <c r="A72" s="55" t="n"/>
      <c r="B72" s="56">
        <f>IF(A72="","",WEEKNUM(A72,21))</f>
        <v/>
      </c>
      <c r="C72" s="57" t="n"/>
      <c r="D72" s="57" t="n"/>
      <c r="E72" s="58" t="n"/>
      <c r="F72" s="57" t="n"/>
      <c r="G72" s="59" t="n"/>
      <c r="H72" s="59" t="n"/>
      <c r="I72" s="60">
        <f>IF(OR(G72="",H72=""),"",MOD(H72-G72,1))</f>
        <v/>
      </c>
      <c r="J72" s="61">
        <f>IF(OR(G72="",H72=""),"",ROUND(MOD(H72-G72,1)*24,2))</f>
        <v/>
      </c>
      <c r="K72" s="62">
        <f>IF(E72="","",IF(E72="Werken","JA","NEE"))</f>
        <v/>
      </c>
      <c r="L72" s="61">
        <f>IF(K72="JA",N(J72),IF(E72="","",0))</f>
        <v/>
      </c>
      <c r="M72" s="62">
        <f>IF(AND(A72="",E72=""),"",IF(E72="","Segment ontbreekt",IF(OR(G72="",H72=""),"Van/tot ontbreekt",IF(N(J72)=0,"Duur is nul",IF(N(J72)&gt;12,"Langer dan 12 uur - controleren",IF(AND(E72="Werken",D72=""),"Werken zonder klant - koppelen","OK"))))))</f>
        <v/>
      </c>
    </row>
    <row r="73" ht="15" customHeight="1" s="42">
      <c r="A73" s="55" t="n"/>
      <c r="B73" s="56">
        <f>IF(A73="","",WEEKNUM(A73,21))</f>
        <v/>
      </c>
      <c r="C73" s="57" t="n"/>
      <c r="D73" s="57" t="n"/>
      <c r="E73" s="58" t="n"/>
      <c r="F73" s="57" t="n"/>
      <c r="G73" s="59" t="n"/>
      <c r="H73" s="59" t="n"/>
      <c r="I73" s="60">
        <f>IF(OR(G73="",H73=""),"",MOD(H73-G73,1))</f>
        <v/>
      </c>
      <c r="J73" s="61">
        <f>IF(OR(G73="",H73=""),"",ROUND(MOD(H73-G73,1)*24,2))</f>
        <v/>
      </c>
      <c r="K73" s="62">
        <f>IF(E73="","",IF(E73="Werken","JA","NEE"))</f>
        <v/>
      </c>
      <c r="L73" s="61">
        <f>IF(K73="JA",N(J73),IF(E73="","",0))</f>
        <v/>
      </c>
      <c r="M73" s="62">
        <f>IF(AND(A73="",E73=""),"",IF(E73="","Segment ontbreekt",IF(OR(G73="",H73=""),"Van/tot ontbreekt",IF(N(J73)=0,"Duur is nul",IF(N(J73)&gt;12,"Langer dan 12 uur - controleren",IF(AND(E73="Werken",D73=""),"Werken zonder klant - koppelen","OK"))))))</f>
        <v/>
      </c>
    </row>
    <row r="74" ht="15" customHeight="1" s="42">
      <c r="A74" s="55" t="n"/>
      <c r="B74" s="56">
        <f>IF(A74="","",WEEKNUM(A74,21))</f>
        <v/>
      </c>
      <c r="C74" s="57" t="n"/>
      <c r="D74" s="57" t="n"/>
      <c r="E74" s="58" t="n"/>
      <c r="F74" s="57" t="n"/>
      <c r="G74" s="59" t="n"/>
      <c r="H74" s="59" t="n"/>
      <c r="I74" s="60">
        <f>IF(OR(G74="",H74=""),"",MOD(H74-G74,1))</f>
        <v/>
      </c>
      <c r="J74" s="61">
        <f>IF(OR(G74="",H74=""),"",ROUND(MOD(H74-G74,1)*24,2))</f>
        <v/>
      </c>
      <c r="K74" s="62">
        <f>IF(E74="","",IF(E74="Werken","JA","NEE"))</f>
        <v/>
      </c>
      <c r="L74" s="61">
        <f>IF(K74="JA",N(J74),IF(E74="","",0))</f>
        <v/>
      </c>
      <c r="M74" s="62">
        <f>IF(AND(A74="",E74=""),"",IF(E74="","Segment ontbreekt",IF(OR(G74="",H74=""),"Van/tot ontbreekt",IF(N(J74)=0,"Duur is nul",IF(N(J74)&gt;12,"Langer dan 12 uur - controleren",IF(AND(E74="Werken",D74=""),"Werken zonder klant - koppelen","OK"))))))</f>
        <v/>
      </c>
    </row>
    <row r="75" ht="15" customHeight="1" s="42">
      <c r="A75" s="55" t="n"/>
      <c r="B75" s="56">
        <f>IF(A75="","",WEEKNUM(A75,21))</f>
        <v/>
      </c>
      <c r="C75" s="57" t="n"/>
      <c r="D75" s="57" t="n"/>
      <c r="E75" s="58" t="n"/>
      <c r="F75" s="57" t="n"/>
      <c r="G75" s="59" t="n"/>
      <c r="H75" s="59" t="n"/>
      <c r="I75" s="60">
        <f>IF(OR(G75="",H75=""),"",MOD(H75-G75,1))</f>
        <v/>
      </c>
      <c r="J75" s="61">
        <f>IF(OR(G75="",H75=""),"",ROUND(MOD(H75-G75,1)*24,2))</f>
        <v/>
      </c>
      <c r="K75" s="62">
        <f>IF(E75="","",IF(E75="Werken","JA","NEE"))</f>
        <v/>
      </c>
      <c r="L75" s="61">
        <f>IF(K75="JA",N(J75),IF(E75="","",0))</f>
        <v/>
      </c>
      <c r="M75" s="62">
        <f>IF(AND(A75="",E75=""),"",IF(E75="","Segment ontbreekt",IF(OR(G75="",H75=""),"Van/tot ontbreekt",IF(N(J75)=0,"Duur is nul",IF(N(J75)&gt;12,"Langer dan 12 uur - controleren",IF(AND(E75="Werken",D75=""),"Werken zonder klant - koppelen","OK"))))))</f>
        <v/>
      </c>
    </row>
    <row r="76" ht="15" customHeight="1" s="42">
      <c r="A76" s="55" t="n"/>
      <c r="B76" s="56">
        <f>IF(A76="","",WEEKNUM(A76,21))</f>
        <v/>
      </c>
      <c r="C76" s="57" t="n"/>
      <c r="D76" s="57" t="n"/>
      <c r="E76" s="58" t="n"/>
      <c r="F76" s="57" t="n"/>
      <c r="G76" s="59" t="n"/>
      <c r="H76" s="59" t="n"/>
      <c r="I76" s="60">
        <f>IF(OR(G76="",H76=""),"",MOD(H76-G76,1))</f>
        <v/>
      </c>
      <c r="J76" s="61">
        <f>IF(OR(G76="",H76=""),"",ROUND(MOD(H76-G76,1)*24,2))</f>
        <v/>
      </c>
      <c r="K76" s="62">
        <f>IF(E76="","",IF(E76="Werken","JA","NEE"))</f>
        <v/>
      </c>
      <c r="L76" s="61">
        <f>IF(K76="JA",N(J76),IF(E76="","",0))</f>
        <v/>
      </c>
      <c r="M76" s="62">
        <f>IF(AND(A76="",E76=""),"",IF(E76="","Segment ontbreekt",IF(OR(G76="",H76=""),"Van/tot ontbreekt",IF(N(J76)=0,"Duur is nul",IF(N(J76)&gt;12,"Langer dan 12 uur - controleren",IF(AND(E76="Werken",D76=""),"Werken zonder klant - koppelen","OK"))))))</f>
        <v/>
      </c>
    </row>
    <row r="77" ht="15" customHeight="1" s="42">
      <c r="A77" s="55" t="n"/>
      <c r="B77" s="56">
        <f>IF(A77="","",WEEKNUM(A77,21))</f>
        <v/>
      </c>
      <c r="C77" s="57" t="n"/>
      <c r="D77" s="57" t="n"/>
      <c r="E77" s="58" t="n"/>
      <c r="F77" s="57" t="n"/>
      <c r="G77" s="59" t="n"/>
      <c r="H77" s="59" t="n"/>
      <c r="I77" s="60">
        <f>IF(OR(G77="",H77=""),"",MOD(H77-G77,1))</f>
        <v/>
      </c>
      <c r="J77" s="61">
        <f>IF(OR(G77="",H77=""),"",ROUND(MOD(H77-G77,1)*24,2))</f>
        <v/>
      </c>
      <c r="K77" s="62">
        <f>IF(E77="","",IF(E77="Werken","JA","NEE"))</f>
        <v/>
      </c>
      <c r="L77" s="61">
        <f>IF(K77="JA",N(J77),IF(E77="","",0))</f>
        <v/>
      </c>
      <c r="M77" s="62">
        <f>IF(AND(A77="",E77=""),"",IF(E77="","Segment ontbreekt",IF(OR(G77="",H77=""),"Van/tot ontbreekt",IF(N(J77)=0,"Duur is nul",IF(N(J77)&gt;12,"Langer dan 12 uur - controleren",IF(AND(E77="Werken",D77=""),"Werken zonder klant - koppelen","OK"))))))</f>
        <v/>
      </c>
    </row>
    <row r="78" ht="15" customHeight="1" s="42">
      <c r="A78" s="55" t="n"/>
      <c r="B78" s="56">
        <f>IF(A78="","",WEEKNUM(A78,21))</f>
        <v/>
      </c>
      <c r="C78" s="57" t="n"/>
      <c r="D78" s="57" t="n"/>
      <c r="E78" s="58" t="n"/>
      <c r="F78" s="57" t="n"/>
      <c r="G78" s="59" t="n"/>
      <c r="H78" s="59" t="n"/>
      <c r="I78" s="60">
        <f>IF(OR(G78="",H78=""),"",MOD(H78-G78,1))</f>
        <v/>
      </c>
      <c r="J78" s="61">
        <f>IF(OR(G78="",H78=""),"",ROUND(MOD(H78-G78,1)*24,2))</f>
        <v/>
      </c>
      <c r="K78" s="62">
        <f>IF(E78="","",IF(E78="Werken","JA","NEE"))</f>
        <v/>
      </c>
      <c r="L78" s="61">
        <f>IF(K78="JA",N(J78),IF(E78="","",0))</f>
        <v/>
      </c>
      <c r="M78" s="62">
        <f>IF(AND(A78="",E78=""),"",IF(E78="","Segment ontbreekt",IF(OR(G78="",H78=""),"Van/tot ontbreekt",IF(N(J78)=0,"Duur is nul",IF(N(J78)&gt;12,"Langer dan 12 uur - controleren",IF(AND(E78="Werken",D78=""),"Werken zonder klant - koppelen","OK"))))))</f>
        <v/>
      </c>
    </row>
    <row r="79" ht="15" customHeight="1" s="42">
      <c r="A79" s="55" t="n"/>
      <c r="B79" s="56">
        <f>IF(A79="","",WEEKNUM(A79,21))</f>
        <v/>
      </c>
      <c r="C79" s="57" t="n"/>
      <c r="D79" s="57" t="n"/>
      <c r="E79" s="58" t="n"/>
      <c r="F79" s="57" t="n"/>
      <c r="G79" s="59" t="n"/>
      <c r="H79" s="59" t="n"/>
      <c r="I79" s="60">
        <f>IF(OR(G79="",H79=""),"",MOD(H79-G79,1))</f>
        <v/>
      </c>
      <c r="J79" s="61">
        <f>IF(OR(G79="",H79=""),"",ROUND(MOD(H79-G79,1)*24,2))</f>
        <v/>
      </c>
      <c r="K79" s="62">
        <f>IF(E79="","",IF(E79="Werken","JA","NEE"))</f>
        <v/>
      </c>
      <c r="L79" s="61">
        <f>IF(K79="JA",N(J79),IF(E79="","",0))</f>
        <v/>
      </c>
      <c r="M79" s="62">
        <f>IF(AND(A79="",E79=""),"",IF(E79="","Segment ontbreekt",IF(OR(G79="",H79=""),"Van/tot ontbreekt",IF(N(J79)=0,"Duur is nul",IF(N(J79)&gt;12,"Langer dan 12 uur - controleren",IF(AND(E79="Werken",D79=""),"Werken zonder klant - koppelen","OK"))))))</f>
        <v/>
      </c>
    </row>
    <row r="80" ht="15" customHeight="1" s="42">
      <c r="A80" s="55" t="n"/>
      <c r="B80" s="56">
        <f>IF(A80="","",WEEKNUM(A80,21))</f>
        <v/>
      </c>
      <c r="C80" s="57" t="n"/>
      <c r="D80" s="57" t="n"/>
      <c r="E80" s="58" t="n"/>
      <c r="F80" s="57" t="n"/>
      <c r="G80" s="59" t="n"/>
      <c r="H80" s="59" t="n"/>
      <c r="I80" s="60">
        <f>IF(OR(G80="",H80=""),"",MOD(H80-G80,1))</f>
        <v/>
      </c>
      <c r="J80" s="61">
        <f>IF(OR(G80="",H80=""),"",ROUND(MOD(H80-G80,1)*24,2))</f>
        <v/>
      </c>
      <c r="K80" s="62">
        <f>IF(E80="","",IF(E80="Werken","JA","NEE"))</f>
        <v/>
      </c>
      <c r="L80" s="61">
        <f>IF(K80="JA",N(J80),IF(E80="","",0))</f>
        <v/>
      </c>
      <c r="M80" s="62">
        <f>IF(AND(A80="",E80=""),"",IF(E80="","Segment ontbreekt",IF(OR(G80="",H80=""),"Van/tot ontbreekt",IF(N(J80)=0,"Duur is nul",IF(N(J80)&gt;12,"Langer dan 12 uur - controleren",IF(AND(E80="Werken",D80=""),"Werken zonder klant - koppelen","OK"))))))</f>
        <v/>
      </c>
    </row>
    <row r="81" ht="15" customHeight="1" s="42">
      <c r="A81" s="55" t="n"/>
      <c r="B81" s="56">
        <f>IF(A81="","",WEEKNUM(A81,21))</f>
        <v/>
      </c>
      <c r="C81" s="57" t="n"/>
      <c r="D81" s="57" t="n"/>
      <c r="E81" s="58" t="n"/>
      <c r="F81" s="57" t="n"/>
      <c r="G81" s="59" t="n"/>
      <c r="H81" s="59" t="n"/>
      <c r="I81" s="60">
        <f>IF(OR(G81="",H81=""),"",MOD(H81-G81,1))</f>
        <v/>
      </c>
      <c r="J81" s="61">
        <f>IF(OR(G81="",H81=""),"",ROUND(MOD(H81-G81,1)*24,2))</f>
        <v/>
      </c>
      <c r="K81" s="62">
        <f>IF(E81="","",IF(E81="Werken","JA","NEE"))</f>
        <v/>
      </c>
      <c r="L81" s="61">
        <f>IF(K81="JA",N(J81),IF(E81="","",0))</f>
        <v/>
      </c>
      <c r="M81" s="62">
        <f>IF(AND(A81="",E81=""),"",IF(E81="","Segment ontbreekt",IF(OR(G81="",H81=""),"Van/tot ontbreekt",IF(N(J81)=0,"Duur is nul",IF(N(J81)&gt;12,"Langer dan 12 uur - controleren",IF(AND(E81="Werken",D81=""),"Werken zonder klant - koppelen","OK"))))))</f>
        <v/>
      </c>
    </row>
    <row r="82" ht="15" customHeight="1" s="42">
      <c r="A82" s="55" t="n"/>
      <c r="B82" s="56">
        <f>IF(A82="","",WEEKNUM(A82,21))</f>
        <v/>
      </c>
      <c r="C82" s="57" t="n"/>
      <c r="D82" s="57" t="n"/>
      <c r="E82" s="58" t="n"/>
      <c r="F82" s="57" t="n"/>
      <c r="G82" s="59" t="n"/>
      <c r="H82" s="59" t="n"/>
      <c r="I82" s="60">
        <f>IF(OR(G82="",H82=""),"",MOD(H82-G82,1))</f>
        <v/>
      </c>
      <c r="J82" s="61">
        <f>IF(OR(G82="",H82=""),"",ROUND(MOD(H82-G82,1)*24,2))</f>
        <v/>
      </c>
      <c r="K82" s="62">
        <f>IF(E82="","",IF(E82="Werken","JA","NEE"))</f>
        <v/>
      </c>
      <c r="L82" s="61">
        <f>IF(K82="JA",N(J82),IF(E82="","",0))</f>
        <v/>
      </c>
      <c r="M82" s="62">
        <f>IF(AND(A82="",E82=""),"",IF(E82="","Segment ontbreekt",IF(OR(G82="",H82=""),"Van/tot ontbreekt",IF(N(J82)=0,"Duur is nul",IF(N(J82)&gt;12,"Langer dan 12 uur - controleren",IF(AND(E82="Werken",D82=""),"Werken zonder klant - koppelen","OK"))))))</f>
        <v/>
      </c>
    </row>
    <row r="83" ht="15" customHeight="1" s="42">
      <c r="A83" s="55" t="n"/>
      <c r="B83" s="56">
        <f>IF(A83="","",WEEKNUM(A83,21))</f>
        <v/>
      </c>
      <c r="C83" s="57" t="n"/>
      <c r="D83" s="57" t="n"/>
      <c r="E83" s="58" t="n"/>
      <c r="F83" s="57" t="n"/>
      <c r="G83" s="59" t="n"/>
      <c r="H83" s="59" t="n"/>
      <c r="I83" s="60">
        <f>IF(OR(G83="",H83=""),"",MOD(H83-G83,1))</f>
        <v/>
      </c>
      <c r="J83" s="61">
        <f>IF(OR(G83="",H83=""),"",ROUND(MOD(H83-G83,1)*24,2))</f>
        <v/>
      </c>
      <c r="K83" s="62">
        <f>IF(E83="","",IF(E83="Werken","JA","NEE"))</f>
        <v/>
      </c>
      <c r="L83" s="61">
        <f>IF(K83="JA",N(J83),IF(E83="","",0))</f>
        <v/>
      </c>
      <c r="M83" s="62">
        <f>IF(AND(A83="",E83=""),"",IF(E83="","Segment ontbreekt",IF(OR(G83="",H83=""),"Van/tot ontbreekt",IF(N(J83)=0,"Duur is nul",IF(N(J83)&gt;12,"Langer dan 12 uur - controleren",IF(AND(E83="Werken",D83=""),"Werken zonder klant - koppelen","OK"))))))</f>
        <v/>
      </c>
    </row>
    <row r="84" ht="15" customHeight="1" s="42">
      <c r="A84" s="55" t="n"/>
      <c r="B84" s="56">
        <f>IF(A84="","",WEEKNUM(A84,21))</f>
        <v/>
      </c>
      <c r="C84" s="57" t="n"/>
      <c r="D84" s="57" t="n"/>
      <c r="E84" s="58" t="n"/>
      <c r="F84" s="57" t="n"/>
      <c r="G84" s="59" t="n"/>
      <c r="H84" s="59" t="n"/>
      <c r="I84" s="60">
        <f>IF(OR(G84="",H84=""),"",MOD(H84-G84,1))</f>
        <v/>
      </c>
      <c r="J84" s="61">
        <f>IF(OR(G84="",H84=""),"",ROUND(MOD(H84-G84,1)*24,2))</f>
        <v/>
      </c>
      <c r="K84" s="62">
        <f>IF(E84="","",IF(E84="Werken","JA","NEE"))</f>
        <v/>
      </c>
      <c r="L84" s="61">
        <f>IF(K84="JA",N(J84),IF(E84="","",0))</f>
        <v/>
      </c>
      <c r="M84" s="62">
        <f>IF(AND(A84="",E84=""),"",IF(E84="","Segment ontbreekt",IF(OR(G84="",H84=""),"Van/tot ontbreekt",IF(N(J84)=0,"Duur is nul",IF(N(J84)&gt;12,"Langer dan 12 uur - controleren",IF(AND(E84="Werken",D84=""),"Werken zonder klant - koppelen","OK"))))))</f>
        <v/>
      </c>
    </row>
    <row r="85" ht="15" customHeight="1" s="42">
      <c r="A85" s="55" t="n"/>
      <c r="B85" s="56">
        <f>IF(A85="","",WEEKNUM(A85,21))</f>
        <v/>
      </c>
      <c r="C85" s="57" t="n"/>
      <c r="D85" s="57" t="n"/>
      <c r="E85" s="58" t="n"/>
      <c r="F85" s="57" t="n"/>
      <c r="G85" s="59" t="n"/>
      <c r="H85" s="59" t="n"/>
      <c r="I85" s="60">
        <f>IF(OR(G85="",H85=""),"",MOD(H85-G85,1))</f>
        <v/>
      </c>
      <c r="J85" s="61">
        <f>IF(OR(G85="",H85=""),"",ROUND(MOD(H85-G85,1)*24,2))</f>
        <v/>
      </c>
      <c r="K85" s="62">
        <f>IF(E85="","",IF(E85="Werken","JA","NEE"))</f>
        <v/>
      </c>
      <c r="L85" s="61">
        <f>IF(K85="JA",N(J85),IF(E85="","",0))</f>
        <v/>
      </c>
      <c r="M85" s="62">
        <f>IF(AND(A85="",E85=""),"",IF(E85="","Segment ontbreekt",IF(OR(G85="",H85=""),"Van/tot ontbreekt",IF(N(J85)=0,"Duur is nul",IF(N(J85)&gt;12,"Langer dan 12 uur - controleren",IF(AND(E85="Werken",D85=""),"Werken zonder klant - koppelen","OK"))))))</f>
        <v/>
      </c>
    </row>
    <row r="86" ht="15" customHeight="1" s="42">
      <c r="A86" s="55" t="n"/>
      <c r="B86" s="56">
        <f>IF(A86="","",WEEKNUM(A86,21))</f>
        <v/>
      </c>
      <c r="C86" s="57" t="n"/>
      <c r="D86" s="57" t="n"/>
      <c r="E86" s="58" t="n"/>
      <c r="F86" s="57" t="n"/>
      <c r="G86" s="59" t="n"/>
      <c r="H86" s="59" t="n"/>
      <c r="I86" s="60">
        <f>IF(OR(G86="",H86=""),"",MOD(H86-G86,1))</f>
        <v/>
      </c>
      <c r="J86" s="61">
        <f>IF(OR(G86="",H86=""),"",ROUND(MOD(H86-G86,1)*24,2))</f>
        <v/>
      </c>
      <c r="K86" s="62">
        <f>IF(E86="","",IF(E86="Werken","JA","NEE"))</f>
        <v/>
      </c>
      <c r="L86" s="61">
        <f>IF(K86="JA",N(J86),IF(E86="","",0))</f>
        <v/>
      </c>
      <c r="M86" s="62">
        <f>IF(AND(A86="",E86=""),"",IF(E86="","Segment ontbreekt",IF(OR(G86="",H86=""),"Van/tot ontbreekt",IF(N(J86)=0,"Duur is nul",IF(N(J86)&gt;12,"Langer dan 12 uur - controleren",IF(AND(E86="Werken",D86=""),"Werken zonder klant - koppelen","OK"))))))</f>
        <v/>
      </c>
    </row>
    <row r="87" ht="15" customHeight="1" s="42">
      <c r="A87" s="55" t="n"/>
      <c r="B87" s="56">
        <f>IF(A87="","",WEEKNUM(A87,21))</f>
        <v/>
      </c>
      <c r="C87" s="57" t="n"/>
      <c r="D87" s="57" t="n"/>
      <c r="E87" s="58" t="n"/>
      <c r="F87" s="57" t="n"/>
      <c r="G87" s="59" t="n"/>
      <c r="H87" s="59" t="n"/>
      <c r="I87" s="60">
        <f>IF(OR(G87="",H87=""),"",MOD(H87-G87,1))</f>
        <v/>
      </c>
      <c r="J87" s="61">
        <f>IF(OR(G87="",H87=""),"",ROUND(MOD(H87-G87,1)*24,2))</f>
        <v/>
      </c>
      <c r="K87" s="62">
        <f>IF(E87="","",IF(E87="Werken","JA","NEE"))</f>
        <v/>
      </c>
      <c r="L87" s="61">
        <f>IF(K87="JA",N(J87),IF(E87="","",0))</f>
        <v/>
      </c>
      <c r="M87" s="62">
        <f>IF(AND(A87="",E87=""),"",IF(E87="","Segment ontbreekt",IF(OR(G87="",H87=""),"Van/tot ontbreekt",IF(N(J87)=0,"Duur is nul",IF(N(J87)&gt;12,"Langer dan 12 uur - controleren",IF(AND(E87="Werken",D87=""),"Werken zonder klant - koppelen","OK"))))))</f>
        <v/>
      </c>
    </row>
    <row r="88" ht="15" customHeight="1" s="42">
      <c r="A88" s="55" t="n"/>
      <c r="B88" s="56">
        <f>IF(A88="","",WEEKNUM(A88,21))</f>
        <v/>
      </c>
      <c r="C88" s="57" t="n"/>
      <c r="D88" s="57" t="n"/>
      <c r="E88" s="58" t="n"/>
      <c r="F88" s="57" t="n"/>
      <c r="G88" s="59" t="n"/>
      <c r="H88" s="59" t="n"/>
      <c r="I88" s="60">
        <f>IF(OR(G88="",H88=""),"",MOD(H88-G88,1))</f>
        <v/>
      </c>
      <c r="J88" s="61">
        <f>IF(OR(G88="",H88=""),"",ROUND(MOD(H88-G88,1)*24,2))</f>
        <v/>
      </c>
      <c r="K88" s="62">
        <f>IF(E88="","",IF(E88="Werken","JA","NEE"))</f>
        <v/>
      </c>
      <c r="L88" s="61">
        <f>IF(K88="JA",N(J88),IF(E88="","",0))</f>
        <v/>
      </c>
      <c r="M88" s="62">
        <f>IF(AND(A88="",E88=""),"",IF(E88="","Segment ontbreekt",IF(OR(G88="",H88=""),"Van/tot ontbreekt",IF(N(J88)=0,"Duur is nul",IF(N(J88)&gt;12,"Langer dan 12 uur - controleren",IF(AND(E88="Werken",D88=""),"Werken zonder klant - koppelen","OK"))))))</f>
        <v/>
      </c>
    </row>
    <row r="89" ht="15" customHeight="1" s="42">
      <c r="A89" s="55" t="n"/>
      <c r="B89" s="56">
        <f>IF(A89="","",WEEKNUM(A89,21))</f>
        <v/>
      </c>
      <c r="C89" s="57" t="n"/>
      <c r="D89" s="57" t="n"/>
      <c r="E89" s="58" t="n"/>
      <c r="F89" s="57" t="n"/>
      <c r="G89" s="59" t="n"/>
      <c r="H89" s="59" t="n"/>
      <c r="I89" s="60">
        <f>IF(OR(G89="",H89=""),"",MOD(H89-G89,1))</f>
        <v/>
      </c>
      <c r="J89" s="61">
        <f>IF(OR(G89="",H89=""),"",ROUND(MOD(H89-G89,1)*24,2))</f>
        <v/>
      </c>
      <c r="K89" s="62">
        <f>IF(E89="","",IF(E89="Werken","JA","NEE"))</f>
        <v/>
      </c>
      <c r="L89" s="61">
        <f>IF(K89="JA",N(J89),IF(E89="","",0))</f>
        <v/>
      </c>
      <c r="M89" s="62">
        <f>IF(AND(A89="",E89=""),"",IF(E89="","Segment ontbreekt",IF(OR(G89="",H89=""),"Van/tot ontbreekt",IF(N(J89)=0,"Duur is nul",IF(N(J89)&gt;12,"Langer dan 12 uur - controleren",IF(AND(E89="Werken",D89=""),"Werken zonder klant - koppelen","OK"))))))</f>
        <v/>
      </c>
    </row>
    <row r="90" ht="15" customHeight="1" s="42">
      <c r="A90" s="55" t="n"/>
      <c r="B90" s="56">
        <f>IF(A90="","",WEEKNUM(A90,21))</f>
        <v/>
      </c>
      <c r="C90" s="57" t="n"/>
      <c r="D90" s="57" t="n"/>
      <c r="E90" s="58" t="n"/>
      <c r="F90" s="57" t="n"/>
      <c r="G90" s="59" t="n"/>
      <c r="H90" s="59" t="n"/>
      <c r="I90" s="60">
        <f>IF(OR(G90="",H90=""),"",MOD(H90-G90,1))</f>
        <v/>
      </c>
      <c r="J90" s="61">
        <f>IF(OR(G90="",H90=""),"",ROUND(MOD(H90-G90,1)*24,2))</f>
        <v/>
      </c>
      <c r="K90" s="62">
        <f>IF(E90="","",IF(E90="Werken","JA","NEE"))</f>
        <v/>
      </c>
      <c r="L90" s="61">
        <f>IF(K90="JA",N(J90),IF(E90="","",0))</f>
        <v/>
      </c>
      <c r="M90" s="62">
        <f>IF(AND(A90="",E90=""),"",IF(E90="","Segment ontbreekt",IF(OR(G90="",H90=""),"Van/tot ontbreekt",IF(N(J90)=0,"Duur is nul",IF(N(J90)&gt;12,"Langer dan 12 uur - controleren",IF(AND(E90="Werken",D90=""),"Werken zonder klant - koppelen","OK"))))))</f>
        <v/>
      </c>
    </row>
    <row r="91" ht="15" customHeight="1" s="42">
      <c r="A91" s="55" t="n"/>
      <c r="B91" s="56">
        <f>IF(A91="","",WEEKNUM(A91,21))</f>
        <v/>
      </c>
      <c r="C91" s="57" t="n"/>
      <c r="D91" s="57" t="n"/>
      <c r="E91" s="58" t="n"/>
      <c r="F91" s="57" t="n"/>
      <c r="G91" s="59" t="n"/>
      <c r="H91" s="59" t="n"/>
      <c r="I91" s="60">
        <f>IF(OR(G91="",H91=""),"",MOD(H91-G91,1))</f>
        <v/>
      </c>
      <c r="J91" s="61">
        <f>IF(OR(G91="",H91=""),"",ROUND(MOD(H91-G91,1)*24,2))</f>
        <v/>
      </c>
      <c r="K91" s="62">
        <f>IF(E91="","",IF(E91="Werken","JA","NEE"))</f>
        <v/>
      </c>
      <c r="L91" s="61">
        <f>IF(K91="JA",N(J91),IF(E91="","",0))</f>
        <v/>
      </c>
      <c r="M91" s="62">
        <f>IF(AND(A91="",E91=""),"",IF(E91="","Segment ontbreekt",IF(OR(G91="",H91=""),"Van/tot ontbreekt",IF(N(J91)=0,"Duur is nul",IF(N(J91)&gt;12,"Langer dan 12 uur - controleren",IF(AND(E91="Werken",D91=""),"Werken zonder klant - koppelen","OK"))))))</f>
        <v/>
      </c>
    </row>
    <row r="92" ht="15" customHeight="1" s="42">
      <c r="A92" s="55" t="n"/>
      <c r="B92" s="56">
        <f>IF(A92="","",WEEKNUM(A92,21))</f>
        <v/>
      </c>
      <c r="C92" s="57" t="n"/>
      <c r="D92" s="57" t="n"/>
      <c r="E92" s="58" t="n"/>
      <c r="F92" s="57" t="n"/>
      <c r="G92" s="59" t="n"/>
      <c r="H92" s="59" t="n"/>
      <c r="I92" s="60">
        <f>IF(OR(G92="",H92=""),"",MOD(H92-G92,1))</f>
        <v/>
      </c>
      <c r="J92" s="61">
        <f>IF(OR(G92="",H92=""),"",ROUND(MOD(H92-G92,1)*24,2))</f>
        <v/>
      </c>
      <c r="K92" s="62">
        <f>IF(E92="","",IF(E92="Werken","JA","NEE"))</f>
        <v/>
      </c>
      <c r="L92" s="61">
        <f>IF(K92="JA",N(J92),IF(E92="","",0))</f>
        <v/>
      </c>
      <c r="M92" s="62">
        <f>IF(AND(A92="",E92=""),"",IF(E92="","Segment ontbreekt",IF(OR(G92="",H92=""),"Van/tot ontbreekt",IF(N(J92)=0,"Duur is nul",IF(N(J92)&gt;12,"Langer dan 12 uur - controleren",IF(AND(E92="Werken",D92=""),"Werken zonder klant - koppelen","OK"))))))</f>
        <v/>
      </c>
    </row>
    <row r="93" ht="15" customHeight="1" s="42">
      <c r="A93" s="55" t="n"/>
      <c r="B93" s="56">
        <f>IF(A93="","",WEEKNUM(A93,21))</f>
        <v/>
      </c>
      <c r="C93" s="57" t="n"/>
      <c r="D93" s="57" t="n"/>
      <c r="E93" s="58" t="n"/>
      <c r="F93" s="57" t="n"/>
      <c r="G93" s="59" t="n"/>
      <c r="H93" s="59" t="n"/>
      <c r="I93" s="60">
        <f>IF(OR(G93="",H93=""),"",MOD(H93-G93,1))</f>
        <v/>
      </c>
      <c r="J93" s="61">
        <f>IF(OR(G93="",H93=""),"",ROUND(MOD(H93-G93,1)*24,2))</f>
        <v/>
      </c>
      <c r="K93" s="62">
        <f>IF(E93="","",IF(E93="Werken","JA","NEE"))</f>
        <v/>
      </c>
      <c r="L93" s="61">
        <f>IF(K93="JA",N(J93),IF(E93="","",0))</f>
        <v/>
      </c>
      <c r="M93" s="62">
        <f>IF(AND(A93="",E93=""),"",IF(E93="","Segment ontbreekt",IF(OR(G93="",H93=""),"Van/tot ontbreekt",IF(N(J93)=0,"Duur is nul",IF(N(J93)&gt;12,"Langer dan 12 uur - controleren",IF(AND(E93="Werken",D93=""),"Werken zonder klant - koppelen","OK"))))))</f>
        <v/>
      </c>
    </row>
    <row r="94" ht="15" customHeight="1" s="42">
      <c r="A94" s="55" t="n"/>
      <c r="B94" s="56">
        <f>IF(A94="","",WEEKNUM(A94,21))</f>
        <v/>
      </c>
      <c r="C94" s="57" t="n"/>
      <c r="D94" s="57" t="n"/>
      <c r="E94" s="58" t="n"/>
      <c r="F94" s="57" t="n"/>
      <c r="G94" s="59" t="n"/>
      <c r="H94" s="59" t="n"/>
      <c r="I94" s="60">
        <f>IF(OR(G94="",H94=""),"",MOD(H94-G94,1))</f>
        <v/>
      </c>
      <c r="J94" s="61">
        <f>IF(OR(G94="",H94=""),"",ROUND(MOD(H94-G94,1)*24,2))</f>
        <v/>
      </c>
      <c r="K94" s="62">
        <f>IF(E94="","",IF(E94="Werken","JA","NEE"))</f>
        <v/>
      </c>
      <c r="L94" s="61">
        <f>IF(K94="JA",N(J94),IF(E94="","",0))</f>
        <v/>
      </c>
      <c r="M94" s="62">
        <f>IF(AND(A94="",E94=""),"",IF(E94="","Segment ontbreekt",IF(OR(G94="",H94=""),"Van/tot ontbreekt",IF(N(J94)=0,"Duur is nul",IF(N(J94)&gt;12,"Langer dan 12 uur - controleren",IF(AND(E94="Werken",D94=""),"Werken zonder klant - koppelen","OK"))))))</f>
        <v/>
      </c>
    </row>
    <row r="95" ht="15" customHeight="1" s="42">
      <c r="A95" s="55" t="n"/>
      <c r="B95" s="56">
        <f>IF(A95="","",WEEKNUM(A95,21))</f>
        <v/>
      </c>
      <c r="C95" s="57" t="n"/>
      <c r="D95" s="57" t="n"/>
      <c r="E95" s="58" t="n"/>
      <c r="F95" s="57" t="n"/>
      <c r="G95" s="59" t="n"/>
      <c r="H95" s="59" t="n"/>
      <c r="I95" s="60">
        <f>IF(OR(G95="",H95=""),"",MOD(H95-G95,1))</f>
        <v/>
      </c>
      <c r="J95" s="61">
        <f>IF(OR(G95="",H95=""),"",ROUND(MOD(H95-G95,1)*24,2))</f>
        <v/>
      </c>
      <c r="K95" s="62">
        <f>IF(E95="","",IF(E95="Werken","JA","NEE"))</f>
        <v/>
      </c>
      <c r="L95" s="61">
        <f>IF(K95="JA",N(J95),IF(E95="","",0))</f>
        <v/>
      </c>
      <c r="M95" s="62">
        <f>IF(AND(A95="",E95=""),"",IF(E95="","Segment ontbreekt",IF(OR(G95="",H95=""),"Van/tot ontbreekt",IF(N(J95)=0,"Duur is nul",IF(N(J95)&gt;12,"Langer dan 12 uur - controleren",IF(AND(E95="Werken",D95=""),"Werken zonder klant - koppelen","OK"))))))</f>
        <v/>
      </c>
    </row>
    <row r="96" ht="15" customHeight="1" s="42">
      <c r="A96" s="55" t="n"/>
      <c r="B96" s="56">
        <f>IF(A96="","",WEEKNUM(A96,21))</f>
        <v/>
      </c>
      <c r="C96" s="57" t="n"/>
      <c r="D96" s="57" t="n"/>
      <c r="E96" s="58" t="n"/>
      <c r="F96" s="57" t="n"/>
      <c r="G96" s="59" t="n"/>
      <c r="H96" s="59" t="n"/>
      <c r="I96" s="60">
        <f>IF(OR(G96="",H96=""),"",MOD(H96-G96,1))</f>
        <v/>
      </c>
      <c r="J96" s="61">
        <f>IF(OR(G96="",H96=""),"",ROUND(MOD(H96-G96,1)*24,2))</f>
        <v/>
      </c>
      <c r="K96" s="62">
        <f>IF(E96="","",IF(E96="Werken","JA","NEE"))</f>
        <v/>
      </c>
      <c r="L96" s="61">
        <f>IF(K96="JA",N(J96),IF(E96="","",0))</f>
        <v/>
      </c>
      <c r="M96" s="62">
        <f>IF(AND(A96="",E96=""),"",IF(E96="","Segment ontbreekt",IF(OR(G96="",H96=""),"Van/tot ontbreekt",IF(N(J96)=0,"Duur is nul",IF(N(J96)&gt;12,"Langer dan 12 uur - controleren",IF(AND(E96="Werken",D96=""),"Werken zonder klant - koppelen","OK"))))))</f>
        <v/>
      </c>
    </row>
    <row r="97" ht="15" customHeight="1" s="42">
      <c r="A97" s="55" t="n"/>
      <c r="B97" s="56">
        <f>IF(A97="","",WEEKNUM(A97,21))</f>
        <v/>
      </c>
      <c r="C97" s="57" t="n"/>
      <c r="D97" s="57" t="n"/>
      <c r="E97" s="58" t="n"/>
      <c r="F97" s="57" t="n"/>
      <c r="G97" s="59" t="n"/>
      <c r="H97" s="59" t="n"/>
      <c r="I97" s="60">
        <f>IF(OR(G97="",H97=""),"",MOD(H97-G97,1))</f>
        <v/>
      </c>
      <c r="J97" s="61">
        <f>IF(OR(G97="",H97=""),"",ROUND(MOD(H97-G97,1)*24,2))</f>
        <v/>
      </c>
      <c r="K97" s="62">
        <f>IF(E97="","",IF(E97="Werken","JA","NEE"))</f>
        <v/>
      </c>
      <c r="L97" s="61">
        <f>IF(K97="JA",N(J97),IF(E97="","",0))</f>
        <v/>
      </c>
      <c r="M97" s="62">
        <f>IF(AND(A97="",E97=""),"",IF(E97="","Segment ontbreekt",IF(OR(G97="",H97=""),"Van/tot ontbreekt",IF(N(J97)=0,"Duur is nul",IF(N(J97)&gt;12,"Langer dan 12 uur - controleren",IF(AND(E97="Werken",D97=""),"Werken zonder klant - koppelen","OK"))))))</f>
        <v/>
      </c>
    </row>
    <row r="98" ht="15" customHeight="1" s="42">
      <c r="A98" s="55" t="n"/>
      <c r="B98" s="56">
        <f>IF(A98="","",WEEKNUM(A98,21))</f>
        <v/>
      </c>
      <c r="C98" s="57" t="n"/>
      <c r="D98" s="57" t="n"/>
      <c r="E98" s="58" t="n"/>
      <c r="F98" s="57" t="n"/>
      <c r="G98" s="59" t="n"/>
      <c r="H98" s="59" t="n"/>
      <c r="I98" s="60">
        <f>IF(OR(G98="",H98=""),"",MOD(H98-G98,1))</f>
        <v/>
      </c>
      <c r="J98" s="61">
        <f>IF(OR(G98="",H98=""),"",ROUND(MOD(H98-G98,1)*24,2))</f>
        <v/>
      </c>
      <c r="K98" s="62">
        <f>IF(E98="","",IF(E98="Werken","JA","NEE"))</f>
        <v/>
      </c>
      <c r="L98" s="61">
        <f>IF(K98="JA",N(J98),IF(E98="","",0))</f>
        <v/>
      </c>
      <c r="M98" s="62">
        <f>IF(AND(A98="",E98=""),"",IF(E98="","Segment ontbreekt",IF(OR(G98="",H98=""),"Van/tot ontbreekt",IF(N(J98)=0,"Duur is nul",IF(N(J98)&gt;12,"Langer dan 12 uur - controleren",IF(AND(E98="Werken",D98=""),"Werken zonder klant - koppelen","OK"))))))</f>
        <v/>
      </c>
    </row>
    <row r="99" ht="15" customHeight="1" s="42">
      <c r="A99" s="55" t="n"/>
      <c r="B99" s="56">
        <f>IF(A99="","",WEEKNUM(A99,21))</f>
        <v/>
      </c>
      <c r="C99" s="57" t="n"/>
      <c r="D99" s="57" t="n"/>
      <c r="E99" s="58" t="n"/>
      <c r="F99" s="57" t="n"/>
      <c r="G99" s="59" t="n"/>
      <c r="H99" s="59" t="n"/>
      <c r="I99" s="60">
        <f>IF(OR(G99="",H99=""),"",MOD(H99-G99,1))</f>
        <v/>
      </c>
      <c r="J99" s="61">
        <f>IF(OR(G99="",H99=""),"",ROUND(MOD(H99-G99,1)*24,2))</f>
        <v/>
      </c>
      <c r="K99" s="62">
        <f>IF(E99="","",IF(E99="Werken","JA","NEE"))</f>
        <v/>
      </c>
      <c r="L99" s="61">
        <f>IF(K99="JA",N(J99),IF(E99="","",0))</f>
        <v/>
      </c>
      <c r="M99" s="62">
        <f>IF(AND(A99="",E99=""),"",IF(E99="","Segment ontbreekt",IF(OR(G99="",H99=""),"Van/tot ontbreekt",IF(N(J99)=0,"Duur is nul",IF(N(J99)&gt;12,"Langer dan 12 uur - controleren",IF(AND(E99="Werken",D99=""),"Werken zonder klant - koppelen","OK"))))))</f>
        <v/>
      </c>
    </row>
    <row r="100" ht="15" customHeight="1" s="42">
      <c r="A100" s="55" t="n"/>
      <c r="B100" s="56">
        <f>IF(A100="","",WEEKNUM(A100,21))</f>
        <v/>
      </c>
      <c r="C100" s="57" t="n"/>
      <c r="D100" s="57" t="n"/>
      <c r="E100" s="58" t="n"/>
      <c r="F100" s="57" t="n"/>
      <c r="G100" s="59" t="n"/>
      <c r="H100" s="59" t="n"/>
      <c r="I100" s="60">
        <f>IF(OR(G100="",H100=""),"",MOD(H100-G100,1))</f>
        <v/>
      </c>
      <c r="J100" s="61">
        <f>IF(OR(G100="",H100=""),"",ROUND(MOD(H100-G100,1)*24,2))</f>
        <v/>
      </c>
      <c r="K100" s="62">
        <f>IF(E100="","",IF(E100="Werken","JA","NEE"))</f>
        <v/>
      </c>
      <c r="L100" s="61">
        <f>IF(K100="JA",N(J100),IF(E100="","",0))</f>
        <v/>
      </c>
      <c r="M100" s="62">
        <f>IF(AND(A100="",E100=""),"",IF(E100="","Segment ontbreekt",IF(OR(G100="",H100=""),"Van/tot ontbreekt",IF(N(J100)=0,"Duur is nul",IF(N(J100)&gt;12,"Langer dan 12 uur - controleren",IF(AND(E100="Werken",D100=""),"Werken zonder klant - koppelen","OK"))))))</f>
        <v/>
      </c>
    </row>
    <row r="101" ht="15" customHeight="1" s="42">
      <c r="A101" s="55" t="n"/>
      <c r="B101" s="56">
        <f>IF(A101="","",WEEKNUM(A101,21))</f>
        <v/>
      </c>
      <c r="C101" s="57" t="n"/>
      <c r="D101" s="57" t="n"/>
      <c r="E101" s="58" t="n"/>
      <c r="F101" s="57" t="n"/>
      <c r="G101" s="59" t="n"/>
      <c r="H101" s="59" t="n"/>
      <c r="I101" s="60">
        <f>IF(OR(G101="",H101=""),"",MOD(H101-G101,1))</f>
        <v/>
      </c>
      <c r="J101" s="61">
        <f>IF(OR(G101="",H101=""),"",ROUND(MOD(H101-G101,1)*24,2))</f>
        <v/>
      </c>
      <c r="K101" s="62">
        <f>IF(E101="","",IF(E101="Werken","JA","NEE"))</f>
        <v/>
      </c>
      <c r="L101" s="61">
        <f>IF(K101="JA",N(J101),IF(E101="","",0))</f>
        <v/>
      </c>
      <c r="M101" s="62">
        <f>IF(AND(A101="",E101=""),"",IF(E101="","Segment ontbreekt",IF(OR(G101="",H101=""),"Van/tot ontbreekt",IF(N(J101)=0,"Duur is nul",IF(N(J101)&gt;12,"Langer dan 12 uur - controleren",IF(AND(E101="Werken",D101=""),"Werken zonder klant - koppelen","OK"))))))</f>
        <v/>
      </c>
    </row>
    <row r="102" ht="15" customHeight="1" s="42">
      <c r="A102" s="55" t="n"/>
      <c r="B102" s="56">
        <f>IF(A102="","",WEEKNUM(A102,21))</f>
        <v/>
      </c>
      <c r="C102" s="57" t="n"/>
      <c r="D102" s="57" t="n"/>
      <c r="E102" s="58" t="n"/>
      <c r="F102" s="57" t="n"/>
      <c r="G102" s="59" t="n"/>
      <c r="H102" s="59" t="n"/>
      <c r="I102" s="60">
        <f>IF(OR(G102="",H102=""),"",MOD(H102-G102,1))</f>
        <v/>
      </c>
      <c r="J102" s="61">
        <f>IF(OR(G102="",H102=""),"",ROUND(MOD(H102-G102,1)*24,2))</f>
        <v/>
      </c>
      <c r="K102" s="62">
        <f>IF(E102="","",IF(E102="Werken","JA","NEE"))</f>
        <v/>
      </c>
      <c r="L102" s="61">
        <f>IF(K102="JA",N(J102),IF(E102="","",0))</f>
        <v/>
      </c>
      <c r="M102" s="62">
        <f>IF(AND(A102="",E102=""),"",IF(E102="","Segment ontbreekt",IF(OR(G102="",H102=""),"Van/tot ontbreekt",IF(N(J102)=0,"Duur is nul",IF(N(J102)&gt;12,"Langer dan 12 uur - controleren",IF(AND(E102="Werken",D102=""),"Werken zonder klant - koppelen","OK"))))))</f>
        <v/>
      </c>
    </row>
    <row r="103" ht="15" customHeight="1" s="42">
      <c r="A103" s="55" t="n"/>
      <c r="B103" s="56">
        <f>IF(A103="","",WEEKNUM(A103,21))</f>
        <v/>
      </c>
      <c r="C103" s="57" t="n"/>
      <c r="D103" s="57" t="n"/>
      <c r="E103" s="58" t="n"/>
      <c r="F103" s="57" t="n"/>
      <c r="G103" s="59" t="n"/>
      <c r="H103" s="59" t="n"/>
      <c r="I103" s="60">
        <f>IF(OR(G103="",H103=""),"",MOD(H103-G103,1))</f>
        <v/>
      </c>
      <c r="J103" s="61">
        <f>IF(OR(G103="",H103=""),"",ROUND(MOD(H103-G103,1)*24,2))</f>
        <v/>
      </c>
      <c r="K103" s="62">
        <f>IF(E103="","",IF(E103="Werken","JA","NEE"))</f>
        <v/>
      </c>
      <c r="L103" s="61">
        <f>IF(K103="JA",N(J103),IF(E103="","",0))</f>
        <v/>
      </c>
      <c r="M103" s="62">
        <f>IF(AND(A103="",E103=""),"",IF(E103="","Segment ontbreekt",IF(OR(G103="",H103=""),"Van/tot ontbreekt",IF(N(J103)=0,"Duur is nul",IF(N(J103)&gt;12,"Langer dan 12 uur - controleren",IF(AND(E103="Werken",D103=""),"Werken zonder klant - koppelen","OK"))))))</f>
        <v/>
      </c>
    </row>
    <row r="104" ht="15" customHeight="1" s="42">
      <c r="A104" s="55" t="n"/>
      <c r="B104" s="56">
        <f>IF(A104="","",WEEKNUM(A104,21))</f>
        <v/>
      </c>
      <c r="C104" s="57" t="n"/>
      <c r="D104" s="57" t="n"/>
      <c r="E104" s="58" t="n"/>
      <c r="F104" s="57" t="n"/>
      <c r="G104" s="59" t="n"/>
      <c r="H104" s="59" t="n"/>
      <c r="I104" s="60">
        <f>IF(OR(G104="",H104=""),"",MOD(H104-G104,1))</f>
        <v/>
      </c>
      <c r="J104" s="61">
        <f>IF(OR(G104="",H104=""),"",ROUND(MOD(H104-G104,1)*24,2))</f>
        <v/>
      </c>
      <c r="K104" s="62">
        <f>IF(E104="","",IF(E104="Werken","JA","NEE"))</f>
        <v/>
      </c>
      <c r="L104" s="61">
        <f>IF(K104="JA",N(J104),IF(E104="","",0))</f>
        <v/>
      </c>
      <c r="M104" s="62">
        <f>IF(AND(A104="",E104=""),"",IF(E104="","Segment ontbreekt",IF(OR(G104="",H104=""),"Van/tot ontbreekt",IF(N(J104)=0,"Duur is nul",IF(N(J104)&gt;12,"Langer dan 12 uur - controleren",IF(AND(E104="Werken",D104=""),"Werken zonder klant - koppelen","OK"))))))</f>
        <v/>
      </c>
    </row>
    <row r="105" ht="15" customHeight="1" s="42">
      <c r="A105" s="55" t="n"/>
      <c r="B105" s="56">
        <f>IF(A105="","",WEEKNUM(A105,21))</f>
        <v/>
      </c>
      <c r="C105" s="57" t="n"/>
      <c r="D105" s="57" t="n"/>
      <c r="E105" s="58" t="n"/>
      <c r="F105" s="57" t="n"/>
      <c r="G105" s="59" t="n"/>
      <c r="H105" s="59" t="n"/>
      <c r="I105" s="60">
        <f>IF(OR(G105="",H105=""),"",MOD(H105-G105,1))</f>
        <v/>
      </c>
      <c r="J105" s="61">
        <f>IF(OR(G105="",H105=""),"",ROUND(MOD(H105-G105,1)*24,2))</f>
        <v/>
      </c>
      <c r="K105" s="62">
        <f>IF(E105="","",IF(E105="Werken","JA","NEE"))</f>
        <v/>
      </c>
      <c r="L105" s="61">
        <f>IF(K105="JA",N(J105),IF(E105="","",0))</f>
        <v/>
      </c>
      <c r="M105" s="62">
        <f>IF(AND(A105="",E105=""),"",IF(E105="","Segment ontbreekt",IF(OR(G105="",H105=""),"Van/tot ontbreekt",IF(N(J105)=0,"Duur is nul",IF(N(J105)&gt;12,"Langer dan 12 uur - controleren",IF(AND(E105="Werken",D105=""),"Werken zonder klant - koppelen","OK"))))))</f>
        <v/>
      </c>
    </row>
    <row r="106" ht="15" customHeight="1" s="42">
      <c r="A106" s="55" t="n"/>
      <c r="B106" s="56">
        <f>IF(A106="","",WEEKNUM(A106,21))</f>
        <v/>
      </c>
      <c r="C106" s="57" t="n"/>
      <c r="D106" s="57" t="n"/>
      <c r="E106" s="58" t="n"/>
      <c r="F106" s="57" t="n"/>
      <c r="G106" s="59" t="n"/>
      <c r="H106" s="59" t="n"/>
      <c r="I106" s="60">
        <f>IF(OR(G106="",H106=""),"",MOD(H106-G106,1))</f>
        <v/>
      </c>
      <c r="J106" s="61">
        <f>IF(OR(G106="",H106=""),"",ROUND(MOD(H106-G106,1)*24,2))</f>
        <v/>
      </c>
      <c r="K106" s="62">
        <f>IF(E106="","",IF(E106="Werken","JA","NEE"))</f>
        <v/>
      </c>
      <c r="L106" s="61">
        <f>IF(K106="JA",N(J106),IF(E106="","",0))</f>
        <v/>
      </c>
      <c r="M106" s="62">
        <f>IF(AND(A106="",E106=""),"",IF(E106="","Segment ontbreekt",IF(OR(G106="",H106=""),"Van/tot ontbreekt",IF(N(J106)=0,"Duur is nul",IF(N(J106)&gt;12,"Langer dan 12 uur - controleren",IF(AND(E106="Werken",D106=""),"Werken zonder klant - koppelen","OK"))))))</f>
        <v/>
      </c>
    </row>
    <row r="107" ht="15" customHeight="1" s="42">
      <c r="A107" s="55" t="n"/>
      <c r="B107" s="56">
        <f>IF(A107="","",WEEKNUM(A107,21))</f>
        <v/>
      </c>
      <c r="C107" s="57" t="n"/>
      <c r="D107" s="57" t="n"/>
      <c r="E107" s="58" t="n"/>
      <c r="F107" s="57" t="n"/>
      <c r="G107" s="59" t="n"/>
      <c r="H107" s="59" t="n"/>
      <c r="I107" s="60">
        <f>IF(OR(G107="",H107=""),"",MOD(H107-G107,1))</f>
        <v/>
      </c>
      <c r="J107" s="61">
        <f>IF(OR(G107="",H107=""),"",ROUND(MOD(H107-G107,1)*24,2))</f>
        <v/>
      </c>
      <c r="K107" s="62">
        <f>IF(E107="","",IF(E107="Werken","JA","NEE"))</f>
        <v/>
      </c>
      <c r="L107" s="61">
        <f>IF(K107="JA",N(J107),IF(E107="","",0))</f>
        <v/>
      </c>
      <c r="M107" s="62">
        <f>IF(AND(A107="",E107=""),"",IF(E107="","Segment ontbreekt",IF(OR(G107="",H107=""),"Van/tot ontbreekt",IF(N(J107)=0,"Duur is nul",IF(N(J107)&gt;12,"Langer dan 12 uur - controleren",IF(AND(E107="Werken",D107=""),"Werken zonder klant - koppelen","OK"))))))</f>
        <v/>
      </c>
    </row>
    <row r="108" ht="15" customHeight="1" s="42">
      <c r="A108" s="55" t="n"/>
      <c r="B108" s="56">
        <f>IF(A108="","",WEEKNUM(A108,21))</f>
        <v/>
      </c>
      <c r="C108" s="57" t="n"/>
      <c r="D108" s="57" t="n"/>
      <c r="E108" s="58" t="n"/>
      <c r="F108" s="57" t="n"/>
      <c r="G108" s="59" t="n"/>
      <c r="H108" s="59" t="n"/>
      <c r="I108" s="60">
        <f>IF(OR(G108="",H108=""),"",MOD(H108-G108,1))</f>
        <v/>
      </c>
      <c r="J108" s="61">
        <f>IF(OR(G108="",H108=""),"",ROUND(MOD(H108-G108,1)*24,2))</f>
        <v/>
      </c>
      <c r="K108" s="62">
        <f>IF(E108="","",IF(E108="Werken","JA","NEE"))</f>
        <v/>
      </c>
      <c r="L108" s="61">
        <f>IF(K108="JA",N(J108),IF(E108="","",0))</f>
        <v/>
      </c>
      <c r="M108" s="62">
        <f>IF(AND(A108="",E108=""),"",IF(E108="","Segment ontbreekt",IF(OR(G108="",H108=""),"Van/tot ontbreekt",IF(N(J108)=0,"Duur is nul",IF(N(J108)&gt;12,"Langer dan 12 uur - controleren",IF(AND(E108="Werken",D108=""),"Werken zonder klant - koppelen","OK"))))))</f>
        <v/>
      </c>
    </row>
    <row r="109" ht="15" customHeight="1" s="42">
      <c r="A109" s="55" t="n"/>
      <c r="B109" s="56">
        <f>IF(A109="","",WEEKNUM(A109,21))</f>
        <v/>
      </c>
      <c r="C109" s="57" t="n"/>
      <c r="D109" s="57" t="n"/>
      <c r="E109" s="58" t="n"/>
      <c r="F109" s="57" t="n"/>
      <c r="G109" s="59" t="n"/>
      <c r="H109" s="59" t="n"/>
      <c r="I109" s="60">
        <f>IF(OR(G109="",H109=""),"",MOD(H109-G109,1))</f>
        <v/>
      </c>
      <c r="J109" s="61">
        <f>IF(OR(G109="",H109=""),"",ROUND(MOD(H109-G109,1)*24,2))</f>
        <v/>
      </c>
      <c r="K109" s="62">
        <f>IF(E109="","",IF(E109="Werken","JA","NEE"))</f>
        <v/>
      </c>
      <c r="L109" s="61">
        <f>IF(K109="JA",N(J109),IF(E109="","",0))</f>
        <v/>
      </c>
      <c r="M109" s="62">
        <f>IF(AND(A109="",E109=""),"",IF(E109="","Segment ontbreekt",IF(OR(G109="",H109=""),"Van/tot ontbreekt",IF(N(J109)=0,"Duur is nul",IF(N(J109)&gt;12,"Langer dan 12 uur - controleren",IF(AND(E109="Werken",D109=""),"Werken zonder klant - koppelen","OK"))))))</f>
        <v/>
      </c>
    </row>
    <row r="110" ht="15" customHeight="1" s="42">
      <c r="A110" s="55" t="n"/>
      <c r="B110" s="56">
        <f>IF(A110="","",WEEKNUM(A110,21))</f>
        <v/>
      </c>
      <c r="C110" s="57" t="n"/>
      <c r="D110" s="57" t="n"/>
      <c r="E110" s="58" t="n"/>
      <c r="F110" s="57" t="n"/>
      <c r="G110" s="59" t="n"/>
      <c r="H110" s="59" t="n"/>
      <c r="I110" s="60">
        <f>IF(OR(G110="",H110=""),"",MOD(H110-G110,1))</f>
        <v/>
      </c>
      <c r="J110" s="61">
        <f>IF(OR(G110="",H110=""),"",ROUND(MOD(H110-G110,1)*24,2))</f>
        <v/>
      </c>
      <c r="K110" s="62">
        <f>IF(E110="","",IF(E110="Werken","JA","NEE"))</f>
        <v/>
      </c>
      <c r="L110" s="61">
        <f>IF(K110="JA",N(J110),IF(E110="","",0))</f>
        <v/>
      </c>
      <c r="M110" s="62">
        <f>IF(AND(A110="",E110=""),"",IF(E110="","Segment ontbreekt",IF(OR(G110="",H110=""),"Van/tot ontbreekt",IF(N(J110)=0,"Duur is nul",IF(N(J110)&gt;12,"Langer dan 12 uur - controleren",IF(AND(E110="Werken",D110=""),"Werken zonder klant - koppelen","OK"))))))</f>
        <v/>
      </c>
    </row>
    <row r="111" ht="15" customHeight="1" s="42">
      <c r="A111" s="55" t="n"/>
      <c r="B111" s="56">
        <f>IF(A111="","",WEEKNUM(A111,21))</f>
        <v/>
      </c>
      <c r="C111" s="57" t="n"/>
      <c r="D111" s="57" t="n"/>
      <c r="E111" s="58" t="n"/>
      <c r="F111" s="57" t="n"/>
      <c r="G111" s="59" t="n"/>
      <c r="H111" s="59" t="n"/>
      <c r="I111" s="60">
        <f>IF(OR(G111="",H111=""),"",MOD(H111-G111,1))</f>
        <v/>
      </c>
      <c r="J111" s="61">
        <f>IF(OR(G111="",H111=""),"",ROUND(MOD(H111-G111,1)*24,2))</f>
        <v/>
      </c>
      <c r="K111" s="62">
        <f>IF(E111="","",IF(E111="Werken","JA","NEE"))</f>
        <v/>
      </c>
      <c r="L111" s="61">
        <f>IF(K111="JA",N(J111),IF(E111="","",0))</f>
        <v/>
      </c>
      <c r="M111" s="62">
        <f>IF(AND(A111="",E111=""),"",IF(E111="","Segment ontbreekt",IF(OR(G111="",H111=""),"Van/tot ontbreekt",IF(N(J111)=0,"Duur is nul",IF(N(J111)&gt;12,"Langer dan 12 uur - controleren",IF(AND(E111="Werken",D111=""),"Werken zonder klant - koppelen","OK"))))))</f>
        <v/>
      </c>
    </row>
    <row r="112" ht="15" customHeight="1" s="42">
      <c r="A112" s="55" t="n"/>
      <c r="B112" s="56">
        <f>IF(A112="","",WEEKNUM(A112,21))</f>
        <v/>
      </c>
      <c r="C112" s="57" t="n"/>
      <c r="D112" s="57" t="n"/>
      <c r="E112" s="58" t="n"/>
      <c r="F112" s="57" t="n"/>
      <c r="G112" s="59" t="n"/>
      <c r="H112" s="59" t="n"/>
      <c r="I112" s="60">
        <f>IF(OR(G112="",H112=""),"",MOD(H112-G112,1))</f>
        <v/>
      </c>
      <c r="J112" s="61">
        <f>IF(OR(G112="",H112=""),"",ROUND(MOD(H112-G112,1)*24,2))</f>
        <v/>
      </c>
      <c r="K112" s="62">
        <f>IF(E112="","",IF(E112="Werken","JA","NEE"))</f>
        <v/>
      </c>
      <c r="L112" s="61">
        <f>IF(K112="JA",N(J112),IF(E112="","",0))</f>
        <v/>
      </c>
      <c r="M112" s="62">
        <f>IF(AND(A112="",E112=""),"",IF(E112="","Segment ontbreekt",IF(OR(G112="",H112=""),"Van/tot ontbreekt",IF(N(J112)=0,"Duur is nul",IF(N(J112)&gt;12,"Langer dan 12 uur - controleren",IF(AND(E112="Werken",D112=""),"Werken zonder klant - koppelen","OK"))))))</f>
        <v/>
      </c>
    </row>
    <row r="113" ht="15" customHeight="1" s="42">
      <c r="A113" s="55" t="n"/>
      <c r="B113" s="56">
        <f>IF(A113="","",WEEKNUM(A113,21))</f>
        <v/>
      </c>
      <c r="C113" s="57" t="n"/>
      <c r="D113" s="57" t="n"/>
      <c r="E113" s="58" t="n"/>
      <c r="F113" s="57" t="n"/>
      <c r="G113" s="59" t="n"/>
      <c r="H113" s="59" t="n"/>
      <c r="I113" s="60">
        <f>IF(OR(G113="",H113=""),"",MOD(H113-G113,1))</f>
        <v/>
      </c>
      <c r="J113" s="61">
        <f>IF(OR(G113="",H113=""),"",ROUND(MOD(H113-G113,1)*24,2))</f>
        <v/>
      </c>
      <c r="K113" s="62">
        <f>IF(E113="","",IF(E113="Werken","JA","NEE"))</f>
        <v/>
      </c>
      <c r="L113" s="61">
        <f>IF(K113="JA",N(J113),IF(E113="","",0))</f>
        <v/>
      </c>
      <c r="M113" s="62">
        <f>IF(AND(A113="",E113=""),"",IF(E113="","Segment ontbreekt",IF(OR(G113="",H113=""),"Van/tot ontbreekt",IF(N(J113)=0,"Duur is nul",IF(N(J113)&gt;12,"Langer dan 12 uur - controleren",IF(AND(E113="Werken",D113=""),"Werken zonder klant - koppelen","OK"))))))</f>
        <v/>
      </c>
    </row>
    <row r="114" ht="15" customHeight="1" s="42">
      <c r="A114" s="55" t="n"/>
      <c r="B114" s="56">
        <f>IF(A114="","",WEEKNUM(A114,21))</f>
        <v/>
      </c>
      <c r="C114" s="57" t="n"/>
      <c r="D114" s="57" t="n"/>
      <c r="E114" s="58" t="n"/>
      <c r="F114" s="57" t="n"/>
      <c r="G114" s="59" t="n"/>
      <c r="H114" s="59" t="n"/>
      <c r="I114" s="60">
        <f>IF(OR(G114="",H114=""),"",MOD(H114-G114,1))</f>
        <v/>
      </c>
      <c r="J114" s="61">
        <f>IF(OR(G114="",H114=""),"",ROUND(MOD(H114-G114,1)*24,2))</f>
        <v/>
      </c>
      <c r="K114" s="62">
        <f>IF(E114="","",IF(E114="Werken","JA","NEE"))</f>
        <v/>
      </c>
      <c r="L114" s="61">
        <f>IF(K114="JA",N(J114),IF(E114="","",0))</f>
        <v/>
      </c>
      <c r="M114" s="62">
        <f>IF(AND(A114="",E114=""),"",IF(E114="","Segment ontbreekt",IF(OR(G114="",H114=""),"Van/tot ontbreekt",IF(N(J114)=0,"Duur is nul",IF(N(J114)&gt;12,"Langer dan 12 uur - controleren",IF(AND(E114="Werken",D114=""),"Werken zonder klant - koppelen","OK"))))))</f>
        <v/>
      </c>
    </row>
    <row r="115" ht="15" customHeight="1" s="42">
      <c r="A115" s="55" t="n"/>
      <c r="B115" s="56">
        <f>IF(A115="","",WEEKNUM(A115,21))</f>
        <v/>
      </c>
      <c r="C115" s="57" t="n"/>
      <c r="D115" s="57" t="n"/>
      <c r="E115" s="58" t="n"/>
      <c r="F115" s="57" t="n"/>
      <c r="G115" s="59" t="n"/>
      <c r="H115" s="59" t="n"/>
      <c r="I115" s="60">
        <f>IF(OR(G115="",H115=""),"",MOD(H115-G115,1))</f>
        <v/>
      </c>
      <c r="J115" s="61">
        <f>IF(OR(G115="",H115=""),"",ROUND(MOD(H115-G115,1)*24,2))</f>
        <v/>
      </c>
      <c r="K115" s="62">
        <f>IF(E115="","",IF(E115="Werken","JA","NEE"))</f>
        <v/>
      </c>
      <c r="L115" s="61">
        <f>IF(K115="JA",N(J115),IF(E115="","",0))</f>
        <v/>
      </c>
      <c r="M115" s="62">
        <f>IF(AND(A115="",E115=""),"",IF(E115="","Segment ontbreekt",IF(OR(G115="",H115=""),"Van/tot ontbreekt",IF(N(J115)=0,"Duur is nul",IF(N(J115)&gt;12,"Langer dan 12 uur - controleren",IF(AND(E115="Werken",D115=""),"Werken zonder klant - koppelen","OK"))))))</f>
        <v/>
      </c>
    </row>
    <row r="116" ht="15" customHeight="1" s="42">
      <c r="A116" s="55" t="n"/>
      <c r="B116" s="56">
        <f>IF(A116="","",WEEKNUM(A116,21))</f>
        <v/>
      </c>
      <c r="C116" s="57" t="n"/>
      <c r="D116" s="57" t="n"/>
      <c r="E116" s="58" t="n"/>
      <c r="F116" s="57" t="n"/>
      <c r="G116" s="59" t="n"/>
      <c r="H116" s="59" t="n"/>
      <c r="I116" s="60">
        <f>IF(OR(G116="",H116=""),"",MOD(H116-G116,1))</f>
        <v/>
      </c>
      <c r="J116" s="61">
        <f>IF(OR(G116="",H116=""),"",ROUND(MOD(H116-G116,1)*24,2))</f>
        <v/>
      </c>
      <c r="K116" s="62">
        <f>IF(E116="","",IF(E116="Werken","JA","NEE"))</f>
        <v/>
      </c>
      <c r="L116" s="61">
        <f>IF(K116="JA",N(J116),IF(E116="","",0))</f>
        <v/>
      </c>
      <c r="M116" s="62">
        <f>IF(AND(A116="",E116=""),"",IF(E116="","Segment ontbreekt",IF(OR(G116="",H116=""),"Van/tot ontbreekt",IF(N(J116)=0,"Duur is nul",IF(N(J116)&gt;12,"Langer dan 12 uur - controleren",IF(AND(E116="Werken",D116=""),"Werken zonder klant - koppelen","OK"))))))</f>
        <v/>
      </c>
    </row>
    <row r="117" ht="15" customHeight="1" s="42">
      <c r="A117" s="55" t="n"/>
      <c r="B117" s="56">
        <f>IF(A117="","",WEEKNUM(A117,21))</f>
        <v/>
      </c>
      <c r="C117" s="57" t="n"/>
      <c r="D117" s="57" t="n"/>
      <c r="E117" s="58" t="n"/>
      <c r="F117" s="57" t="n"/>
      <c r="G117" s="59" t="n"/>
      <c r="H117" s="59" t="n"/>
      <c r="I117" s="60">
        <f>IF(OR(G117="",H117=""),"",MOD(H117-G117,1))</f>
        <v/>
      </c>
      <c r="J117" s="61">
        <f>IF(OR(G117="",H117=""),"",ROUND(MOD(H117-G117,1)*24,2))</f>
        <v/>
      </c>
      <c r="K117" s="62">
        <f>IF(E117="","",IF(E117="Werken","JA","NEE"))</f>
        <v/>
      </c>
      <c r="L117" s="61">
        <f>IF(K117="JA",N(J117),IF(E117="","",0))</f>
        <v/>
      </c>
      <c r="M117" s="62">
        <f>IF(AND(A117="",E117=""),"",IF(E117="","Segment ontbreekt",IF(OR(G117="",H117=""),"Van/tot ontbreekt",IF(N(J117)=0,"Duur is nul",IF(N(J117)&gt;12,"Langer dan 12 uur - controleren",IF(AND(E117="Werken",D117=""),"Werken zonder klant - koppelen","OK"))))))</f>
        <v/>
      </c>
    </row>
    <row r="118" ht="15" customHeight="1" s="42">
      <c r="A118" s="55" t="n"/>
      <c r="B118" s="56">
        <f>IF(A118="","",WEEKNUM(A118,21))</f>
        <v/>
      </c>
      <c r="C118" s="57" t="n"/>
      <c r="D118" s="57" t="n"/>
      <c r="E118" s="58" t="n"/>
      <c r="F118" s="57" t="n"/>
      <c r="G118" s="59" t="n"/>
      <c r="H118" s="59" t="n"/>
      <c r="I118" s="60">
        <f>IF(OR(G118="",H118=""),"",MOD(H118-G118,1))</f>
        <v/>
      </c>
      <c r="J118" s="61">
        <f>IF(OR(G118="",H118=""),"",ROUND(MOD(H118-G118,1)*24,2))</f>
        <v/>
      </c>
      <c r="K118" s="62">
        <f>IF(E118="","",IF(E118="Werken","JA","NEE"))</f>
        <v/>
      </c>
      <c r="L118" s="61">
        <f>IF(K118="JA",N(J118),IF(E118="","",0))</f>
        <v/>
      </c>
      <c r="M118" s="62">
        <f>IF(AND(A118="",E118=""),"",IF(E118="","Segment ontbreekt",IF(OR(G118="",H118=""),"Van/tot ontbreekt",IF(N(J118)=0,"Duur is nul",IF(N(J118)&gt;12,"Langer dan 12 uur - controleren",IF(AND(E118="Werken",D118=""),"Werken zonder klant - koppelen","OK"))))))</f>
        <v/>
      </c>
    </row>
    <row r="119" ht="15" customHeight="1" s="42">
      <c r="A119" s="55" t="n"/>
      <c r="B119" s="56">
        <f>IF(A119="","",WEEKNUM(A119,21))</f>
        <v/>
      </c>
      <c r="C119" s="57" t="n"/>
      <c r="D119" s="57" t="n"/>
      <c r="E119" s="58" t="n"/>
      <c r="F119" s="57" t="n"/>
      <c r="G119" s="59" t="n"/>
      <c r="H119" s="59" t="n"/>
      <c r="I119" s="60">
        <f>IF(OR(G119="",H119=""),"",MOD(H119-G119,1))</f>
        <v/>
      </c>
      <c r="J119" s="61">
        <f>IF(OR(G119="",H119=""),"",ROUND(MOD(H119-G119,1)*24,2))</f>
        <v/>
      </c>
      <c r="K119" s="62">
        <f>IF(E119="","",IF(E119="Werken","JA","NEE"))</f>
        <v/>
      </c>
      <c r="L119" s="61">
        <f>IF(K119="JA",N(J119),IF(E119="","",0))</f>
        <v/>
      </c>
      <c r="M119" s="62">
        <f>IF(AND(A119="",E119=""),"",IF(E119="","Segment ontbreekt",IF(OR(G119="",H119=""),"Van/tot ontbreekt",IF(N(J119)=0,"Duur is nul",IF(N(J119)&gt;12,"Langer dan 12 uur - controleren",IF(AND(E119="Werken",D119=""),"Werken zonder klant - koppelen","OK"))))))</f>
        <v/>
      </c>
    </row>
    <row r="120" ht="15" customHeight="1" s="42">
      <c r="A120" s="55" t="n"/>
      <c r="B120" s="56">
        <f>IF(A120="","",WEEKNUM(A120,21))</f>
        <v/>
      </c>
      <c r="C120" s="57" t="n"/>
      <c r="D120" s="57" t="n"/>
      <c r="E120" s="58" t="n"/>
      <c r="F120" s="57" t="n"/>
      <c r="G120" s="59" t="n"/>
      <c r="H120" s="59" t="n"/>
      <c r="I120" s="60">
        <f>IF(OR(G120="",H120=""),"",MOD(H120-G120,1))</f>
        <v/>
      </c>
      <c r="J120" s="61">
        <f>IF(OR(G120="",H120=""),"",ROUND(MOD(H120-G120,1)*24,2))</f>
        <v/>
      </c>
      <c r="K120" s="62">
        <f>IF(E120="","",IF(E120="Werken","JA","NEE"))</f>
        <v/>
      </c>
      <c r="L120" s="61">
        <f>IF(K120="JA",N(J120),IF(E120="","",0))</f>
        <v/>
      </c>
      <c r="M120" s="62">
        <f>IF(AND(A120="",E120=""),"",IF(E120="","Segment ontbreekt",IF(OR(G120="",H120=""),"Van/tot ontbreekt",IF(N(J120)=0,"Duur is nul",IF(N(J120)&gt;12,"Langer dan 12 uur - controleren",IF(AND(E120="Werken",D120=""),"Werken zonder klant - koppelen","OK"))))))</f>
        <v/>
      </c>
    </row>
    <row r="121" ht="15" customHeight="1" s="42">
      <c r="A121" s="55" t="n"/>
      <c r="B121" s="56">
        <f>IF(A121="","",WEEKNUM(A121,21))</f>
        <v/>
      </c>
      <c r="C121" s="57" t="n"/>
      <c r="D121" s="57" t="n"/>
      <c r="E121" s="58" t="n"/>
      <c r="F121" s="57" t="n"/>
      <c r="G121" s="59" t="n"/>
      <c r="H121" s="59" t="n"/>
      <c r="I121" s="60">
        <f>IF(OR(G121="",H121=""),"",MOD(H121-G121,1))</f>
        <v/>
      </c>
      <c r="J121" s="61">
        <f>IF(OR(G121="",H121=""),"",ROUND(MOD(H121-G121,1)*24,2))</f>
        <v/>
      </c>
      <c r="K121" s="62">
        <f>IF(E121="","",IF(E121="Werken","JA","NEE"))</f>
        <v/>
      </c>
      <c r="L121" s="61">
        <f>IF(K121="JA",N(J121),IF(E121="","",0))</f>
        <v/>
      </c>
      <c r="M121" s="62">
        <f>IF(AND(A121="",E121=""),"",IF(E121="","Segment ontbreekt",IF(OR(G121="",H121=""),"Van/tot ontbreekt",IF(N(J121)=0,"Duur is nul",IF(N(J121)&gt;12,"Langer dan 12 uur - controleren",IF(AND(E121="Werken",D121=""),"Werken zonder klant - koppelen","OK"))))))</f>
        <v/>
      </c>
    </row>
    <row r="122" ht="15" customHeight="1" s="42">
      <c r="A122" s="55" t="n"/>
      <c r="B122" s="56">
        <f>IF(A122="","",WEEKNUM(A122,21))</f>
        <v/>
      </c>
      <c r="C122" s="57" t="n"/>
      <c r="D122" s="57" t="n"/>
      <c r="E122" s="58" t="n"/>
      <c r="F122" s="57" t="n"/>
      <c r="G122" s="59" t="n"/>
      <c r="H122" s="59" t="n"/>
      <c r="I122" s="60">
        <f>IF(OR(G122="",H122=""),"",MOD(H122-G122,1))</f>
        <v/>
      </c>
      <c r="J122" s="61">
        <f>IF(OR(G122="",H122=""),"",ROUND(MOD(H122-G122,1)*24,2))</f>
        <v/>
      </c>
      <c r="K122" s="62">
        <f>IF(E122="","",IF(E122="Werken","JA","NEE"))</f>
        <v/>
      </c>
      <c r="L122" s="61">
        <f>IF(K122="JA",N(J122),IF(E122="","",0))</f>
        <v/>
      </c>
      <c r="M122" s="62">
        <f>IF(AND(A122="",E122=""),"",IF(E122="","Segment ontbreekt",IF(OR(G122="",H122=""),"Van/tot ontbreekt",IF(N(J122)=0,"Duur is nul",IF(N(J122)&gt;12,"Langer dan 12 uur - controleren",IF(AND(E122="Werken",D122=""),"Werken zonder klant - koppelen","OK"))))))</f>
        <v/>
      </c>
    </row>
    <row r="123" ht="15" customHeight="1" s="42">
      <c r="A123" s="55" t="n"/>
      <c r="B123" s="56">
        <f>IF(A123="","",WEEKNUM(A123,21))</f>
        <v/>
      </c>
      <c r="C123" s="57" t="n"/>
      <c r="D123" s="57" t="n"/>
      <c r="E123" s="58" t="n"/>
      <c r="F123" s="57" t="n"/>
      <c r="G123" s="59" t="n"/>
      <c r="H123" s="59" t="n"/>
      <c r="I123" s="60">
        <f>IF(OR(G123="",H123=""),"",MOD(H123-G123,1))</f>
        <v/>
      </c>
      <c r="J123" s="61">
        <f>IF(OR(G123="",H123=""),"",ROUND(MOD(H123-G123,1)*24,2))</f>
        <v/>
      </c>
      <c r="K123" s="62">
        <f>IF(E123="","",IF(E123="Werken","JA","NEE"))</f>
        <v/>
      </c>
      <c r="L123" s="61">
        <f>IF(K123="JA",N(J123),IF(E123="","",0))</f>
        <v/>
      </c>
      <c r="M123" s="62">
        <f>IF(AND(A123="",E123=""),"",IF(E123="","Segment ontbreekt",IF(OR(G123="",H123=""),"Van/tot ontbreekt",IF(N(J123)=0,"Duur is nul",IF(N(J123)&gt;12,"Langer dan 12 uur - controleren",IF(AND(E123="Werken",D123=""),"Werken zonder klant - koppelen","OK"))))))</f>
        <v/>
      </c>
    </row>
    <row r="124" ht="15" customHeight="1" s="42">
      <c r="A124" s="55" t="n"/>
      <c r="B124" s="56">
        <f>IF(A124="","",WEEKNUM(A124,21))</f>
        <v/>
      </c>
      <c r="C124" s="57" t="n"/>
      <c r="D124" s="57" t="n"/>
      <c r="E124" s="58" t="n"/>
      <c r="F124" s="57" t="n"/>
      <c r="G124" s="59" t="n"/>
      <c r="H124" s="59" t="n"/>
      <c r="I124" s="60">
        <f>IF(OR(G124="",H124=""),"",MOD(H124-G124,1))</f>
        <v/>
      </c>
      <c r="J124" s="61">
        <f>IF(OR(G124="",H124=""),"",ROUND(MOD(H124-G124,1)*24,2))</f>
        <v/>
      </c>
      <c r="K124" s="62">
        <f>IF(E124="","",IF(E124="Werken","JA","NEE"))</f>
        <v/>
      </c>
      <c r="L124" s="61">
        <f>IF(K124="JA",N(J124),IF(E124="","",0))</f>
        <v/>
      </c>
      <c r="M124" s="62">
        <f>IF(AND(A124="",E124=""),"",IF(E124="","Segment ontbreekt",IF(OR(G124="",H124=""),"Van/tot ontbreekt",IF(N(J124)=0,"Duur is nul",IF(N(J124)&gt;12,"Langer dan 12 uur - controleren",IF(AND(E124="Werken",D124=""),"Werken zonder klant - koppelen","OK"))))))</f>
        <v/>
      </c>
    </row>
    <row r="125" ht="15" customHeight="1" s="42">
      <c r="A125" s="55" t="n"/>
      <c r="B125" s="56">
        <f>IF(A125="","",WEEKNUM(A125,21))</f>
        <v/>
      </c>
      <c r="C125" s="57" t="n"/>
      <c r="D125" s="57" t="n"/>
      <c r="E125" s="58" t="n"/>
      <c r="F125" s="57" t="n"/>
      <c r="G125" s="59" t="n"/>
      <c r="H125" s="59" t="n"/>
      <c r="I125" s="60">
        <f>IF(OR(G125="",H125=""),"",MOD(H125-G125,1))</f>
        <v/>
      </c>
      <c r="J125" s="61">
        <f>IF(OR(G125="",H125=""),"",ROUND(MOD(H125-G125,1)*24,2))</f>
        <v/>
      </c>
      <c r="K125" s="62">
        <f>IF(E125="","",IF(E125="Werken","JA","NEE"))</f>
        <v/>
      </c>
      <c r="L125" s="61">
        <f>IF(K125="JA",N(J125),IF(E125="","",0))</f>
        <v/>
      </c>
      <c r="M125" s="62">
        <f>IF(AND(A125="",E125=""),"",IF(E125="","Segment ontbreekt",IF(OR(G125="",H125=""),"Van/tot ontbreekt",IF(N(J125)=0,"Duur is nul",IF(N(J125)&gt;12,"Langer dan 12 uur - controleren",IF(AND(E125="Werken",D125=""),"Werken zonder klant - koppelen","OK"))))))</f>
        <v/>
      </c>
    </row>
    <row r="126" ht="15" customHeight="1" s="42">
      <c r="A126" s="55" t="n"/>
      <c r="B126" s="56">
        <f>IF(A126="","",WEEKNUM(A126,21))</f>
        <v/>
      </c>
      <c r="C126" s="57" t="n"/>
      <c r="D126" s="57" t="n"/>
      <c r="E126" s="58" t="n"/>
      <c r="F126" s="57" t="n"/>
      <c r="G126" s="59" t="n"/>
      <c r="H126" s="59" t="n"/>
      <c r="I126" s="60">
        <f>IF(OR(G126="",H126=""),"",MOD(H126-G126,1))</f>
        <v/>
      </c>
      <c r="J126" s="61">
        <f>IF(OR(G126="",H126=""),"",ROUND(MOD(H126-G126,1)*24,2))</f>
        <v/>
      </c>
      <c r="K126" s="62">
        <f>IF(E126="","",IF(E126="Werken","JA","NEE"))</f>
        <v/>
      </c>
      <c r="L126" s="61">
        <f>IF(K126="JA",N(J126),IF(E126="","",0))</f>
        <v/>
      </c>
      <c r="M126" s="62">
        <f>IF(AND(A126="",E126=""),"",IF(E126="","Segment ontbreekt",IF(OR(G126="",H126=""),"Van/tot ontbreekt",IF(N(J126)=0,"Duur is nul",IF(N(J126)&gt;12,"Langer dan 12 uur - controleren",IF(AND(E126="Werken",D126=""),"Werken zonder klant - koppelen","OK"))))))</f>
        <v/>
      </c>
    </row>
    <row r="127" ht="15" customHeight="1" s="42">
      <c r="A127" s="55" t="n"/>
      <c r="B127" s="56">
        <f>IF(A127="","",WEEKNUM(A127,21))</f>
        <v/>
      </c>
      <c r="C127" s="57" t="n"/>
      <c r="D127" s="57" t="n"/>
      <c r="E127" s="58" t="n"/>
      <c r="F127" s="57" t="n"/>
      <c r="G127" s="59" t="n"/>
      <c r="H127" s="59" t="n"/>
      <c r="I127" s="60">
        <f>IF(OR(G127="",H127=""),"",MOD(H127-G127,1))</f>
        <v/>
      </c>
      <c r="J127" s="61">
        <f>IF(OR(G127="",H127=""),"",ROUND(MOD(H127-G127,1)*24,2))</f>
        <v/>
      </c>
      <c r="K127" s="62">
        <f>IF(E127="","",IF(E127="Werken","JA","NEE"))</f>
        <v/>
      </c>
      <c r="L127" s="61">
        <f>IF(K127="JA",N(J127),IF(E127="","",0))</f>
        <v/>
      </c>
      <c r="M127" s="62">
        <f>IF(AND(A127="",E127=""),"",IF(E127="","Segment ontbreekt",IF(OR(G127="",H127=""),"Van/tot ontbreekt",IF(N(J127)=0,"Duur is nul",IF(N(J127)&gt;12,"Langer dan 12 uur - controleren",IF(AND(E127="Werken",D127=""),"Werken zonder klant - koppelen","OK"))))))</f>
        <v/>
      </c>
    </row>
    <row r="128" ht="15" customHeight="1" s="42">
      <c r="A128" s="55" t="n"/>
      <c r="B128" s="56">
        <f>IF(A128="","",WEEKNUM(A128,21))</f>
        <v/>
      </c>
      <c r="C128" s="57" t="n"/>
      <c r="D128" s="57" t="n"/>
      <c r="E128" s="58" t="n"/>
      <c r="F128" s="57" t="n"/>
      <c r="G128" s="59" t="n"/>
      <c r="H128" s="59" t="n"/>
      <c r="I128" s="60">
        <f>IF(OR(G128="",H128=""),"",MOD(H128-G128,1))</f>
        <v/>
      </c>
      <c r="J128" s="61">
        <f>IF(OR(G128="",H128=""),"",ROUND(MOD(H128-G128,1)*24,2))</f>
        <v/>
      </c>
      <c r="K128" s="62">
        <f>IF(E128="","",IF(E128="Werken","JA","NEE"))</f>
        <v/>
      </c>
      <c r="L128" s="61">
        <f>IF(K128="JA",N(J128),IF(E128="","",0))</f>
        <v/>
      </c>
      <c r="M128" s="62">
        <f>IF(AND(A128="",E128=""),"",IF(E128="","Segment ontbreekt",IF(OR(G128="",H128=""),"Van/tot ontbreekt",IF(N(J128)=0,"Duur is nul",IF(N(J128)&gt;12,"Langer dan 12 uur - controleren",IF(AND(E128="Werken",D128=""),"Werken zonder klant - koppelen","OK"))))))</f>
        <v/>
      </c>
    </row>
    <row r="129" ht="15" customHeight="1" s="42">
      <c r="A129" s="55" t="n"/>
      <c r="B129" s="56">
        <f>IF(A129="","",WEEKNUM(A129,21))</f>
        <v/>
      </c>
      <c r="C129" s="57" t="n"/>
      <c r="D129" s="57" t="n"/>
      <c r="E129" s="58" t="n"/>
      <c r="F129" s="57" t="n"/>
      <c r="G129" s="59" t="n"/>
      <c r="H129" s="59" t="n"/>
      <c r="I129" s="60">
        <f>IF(OR(G129="",H129=""),"",MOD(H129-G129,1))</f>
        <v/>
      </c>
      <c r="J129" s="61">
        <f>IF(OR(G129="",H129=""),"",ROUND(MOD(H129-G129,1)*24,2))</f>
        <v/>
      </c>
      <c r="K129" s="62">
        <f>IF(E129="","",IF(E129="Werken","JA","NEE"))</f>
        <v/>
      </c>
      <c r="L129" s="61">
        <f>IF(K129="JA",N(J129),IF(E129="","",0))</f>
        <v/>
      </c>
      <c r="M129" s="62">
        <f>IF(AND(A129="",E129=""),"",IF(E129="","Segment ontbreekt",IF(OR(G129="",H129=""),"Van/tot ontbreekt",IF(N(J129)=0,"Duur is nul",IF(N(J129)&gt;12,"Langer dan 12 uur - controleren",IF(AND(E129="Werken",D129=""),"Werken zonder klant - koppelen","OK"))))))</f>
        <v/>
      </c>
    </row>
    <row r="130" ht="15" customHeight="1" s="42">
      <c r="A130" s="55" t="n"/>
      <c r="B130" s="56">
        <f>IF(A130="","",WEEKNUM(A130,21))</f>
        <v/>
      </c>
      <c r="C130" s="57" t="n"/>
      <c r="D130" s="57" t="n"/>
      <c r="E130" s="58" t="n"/>
      <c r="F130" s="57" t="n"/>
      <c r="G130" s="59" t="n"/>
      <c r="H130" s="59" t="n"/>
      <c r="I130" s="60">
        <f>IF(OR(G130="",H130=""),"",MOD(H130-G130,1))</f>
        <v/>
      </c>
      <c r="J130" s="61">
        <f>IF(OR(G130="",H130=""),"",ROUND(MOD(H130-G130,1)*24,2))</f>
        <v/>
      </c>
      <c r="K130" s="62">
        <f>IF(E130="","",IF(E130="Werken","JA","NEE"))</f>
        <v/>
      </c>
      <c r="L130" s="61">
        <f>IF(K130="JA",N(J130),IF(E130="","",0))</f>
        <v/>
      </c>
      <c r="M130" s="62">
        <f>IF(AND(A130="",E130=""),"",IF(E130="","Segment ontbreekt",IF(OR(G130="",H130=""),"Van/tot ontbreekt",IF(N(J130)=0,"Duur is nul",IF(N(J130)&gt;12,"Langer dan 12 uur - controleren",IF(AND(E130="Werken",D130=""),"Werken zonder klant - koppelen","OK"))))))</f>
        <v/>
      </c>
    </row>
    <row r="131" ht="15" customHeight="1" s="42">
      <c r="A131" s="55" t="n"/>
      <c r="B131" s="56">
        <f>IF(A131="","",WEEKNUM(A131,21))</f>
        <v/>
      </c>
      <c r="C131" s="57" t="n"/>
      <c r="D131" s="57" t="n"/>
      <c r="E131" s="58" t="n"/>
      <c r="F131" s="57" t="n"/>
      <c r="G131" s="59" t="n"/>
      <c r="H131" s="59" t="n"/>
      <c r="I131" s="60">
        <f>IF(OR(G131="",H131=""),"",MOD(H131-G131,1))</f>
        <v/>
      </c>
      <c r="J131" s="61">
        <f>IF(OR(G131="",H131=""),"",ROUND(MOD(H131-G131,1)*24,2))</f>
        <v/>
      </c>
      <c r="K131" s="62">
        <f>IF(E131="","",IF(E131="Werken","JA","NEE"))</f>
        <v/>
      </c>
      <c r="L131" s="61">
        <f>IF(K131="JA",N(J131),IF(E131="","",0))</f>
        <v/>
      </c>
      <c r="M131" s="62">
        <f>IF(AND(A131="",E131=""),"",IF(E131="","Segment ontbreekt",IF(OR(G131="",H131=""),"Van/tot ontbreekt",IF(N(J131)=0,"Duur is nul",IF(N(J131)&gt;12,"Langer dan 12 uur - controleren",IF(AND(E131="Werken",D131=""),"Werken zonder klant - koppelen","OK"))))))</f>
        <v/>
      </c>
    </row>
    <row r="132" ht="15" customHeight="1" s="42">
      <c r="A132" s="55" t="n"/>
      <c r="B132" s="56">
        <f>IF(A132="","",WEEKNUM(A132,21))</f>
        <v/>
      </c>
      <c r="C132" s="57" t="n"/>
      <c r="D132" s="57" t="n"/>
      <c r="E132" s="58" t="n"/>
      <c r="F132" s="57" t="n"/>
      <c r="G132" s="59" t="n"/>
      <c r="H132" s="59" t="n"/>
      <c r="I132" s="60">
        <f>IF(OR(G132="",H132=""),"",MOD(H132-G132,1))</f>
        <v/>
      </c>
      <c r="J132" s="61">
        <f>IF(OR(G132="",H132=""),"",ROUND(MOD(H132-G132,1)*24,2))</f>
        <v/>
      </c>
      <c r="K132" s="62">
        <f>IF(E132="","",IF(E132="Werken","JA","NEE"))</f>
        <v/>
      </c>
      <c r="L132" s="61">
        <f>IF(K132="JA",N(J132),IF(E132="","",0))</f>
        <v/>
      </c>
      <c r="M132" s="62">
        <f>IF(AND(A132="",E132=""),"",IF(E132="","Segment ontbreekt",IF(OR(G132="",H132=""),"Van/tot ontbreekt",IF(N(J132)=0,"Duur is nul",IF(N(J132)&gt;12,"Langer dan 12 uur - controleren",IF(AND(E132="Werken",D132=""),"Werken zonder klant - koppelen","OK"))))))</f>
        <v/>
      </c>
    </row>
    <row r="133" ht="15" customHeight="1" s="42">
      <c r="A133" s="55" t="n"/>
      <c r="B133" s="56">
        <f>IF(A133="","",WEEKNUM(A133,21))</f>
        <v/>
      </c>
      <c r="C133" s="57" t="n"/>
      <c r="D133" s="57" t="n"/>
      <c r="E133" s="58" t="n"/>
      <c r="F133" s="57" t="n"/>
      <c r="G133" s="59" t="n"/>
      <c r="H133" s="59" t="n"/>
      <c r="I133" s="60">
        <f>IF(OR(G133="",H133=""),"",MOD(H133-G133,1))</f>
        <v/>
      </c>
      <c r="J133" s="61">
        <f>IF(OR(G133="",H133=""),"",ROUND(MOD(H133-G133,1)*24,2))</f>
        <v/>
      </c>
      <c r="K133" s="62">
        <f>IF(E133="","",IF(E133="Werken","JA","NEE"))</f>
        <v/>
      </c>
      <c r="L133" s="61">
        <f>IF(K133="JA",N(J133),IF(E133="","",0))</f>
        <v/>
      </c>
      <c r="M133" s="62">
        <f>IF(AND(A133="",E133=""),"",IF(E133="","Segment ontbreekt",IF(OR(G133="",H133=""),"Van/tot ontbreekt",IF(N(J133)=0,"Duur is nul",IF(N(J133)&gt;12,"Langer dan 12 uur - controleren",IF(AND(E133="Werken",D133=""),"Werken zonder klant - koppelen","OK"))))))</f>
        <v/>
      </c>
    </row>
    <row r="134" ht="15" customHeight="1" s="42">
      <c r="A134" s="55" t="n"/>
      <c r="B134" s="56">
        <f>IF(A134="","",WEEKNUM(A134,21))</f>
        <v/>
      </c>
      <c r="C134" s="57" t="n"/>
      <c r="D134" s="57" t="n"/>
      <c r="E134" s="58" t="n"/>
      <c r="F134" s="57" t="n"/>
      <c r="G134" s="59" t="n"/>
      <c r="H134" s="59" t="n"/>
      <c r="I134" s="60">
        <f>IF(OR(G134="",H134=""),"",MOD(H134-G134,1))</f>
        <v/>
      </c>
      <c r="J134" s="61">
        <f>IF(OR(G134="",H134=""),"",ROUND(MOD(H134-G134,1)*24,2))</f>
        <v/>
      </c>
      <c r="K134" s="62">
        <f>IF(E134="","",IF(E134="Werken","JA","NEE"))</f>
        <v/>
      </c>
      <c r="L134" s="61">
        <f>IF(K134="JA",N(J134),IF(E134="","",0))</f>
        <v/>
      </c>
      <c r="M134" s="62">
        <f>IF(AND(A134="",E134=""),"",IF(E134="","Segment ontbreekt",IF(OR(G134="",H134=""),"Van/tot ontbreekt",IF(N(J134)=0,"Duur is nul",IF(N(J134)&gt;12,"Langer dan 12 uur - controleren",IF(AND(E134="Werken",D134=""),"Werken zonder klant - koppelen","OK"))))))</f>
        <v/>
      </c>
    </row>
    <row r="135" ht="15" customHeight="1" s="42">
      <c r="A135" s="55" t="n"/>
      <c r="B135" s="56">
        <f>IF(A135="","",WEEKNUM(A135,21))</f>
        <v/>
      </c>
      <c r="C135" s="57" t="n"/>
      <c r="D135" s="57" t="n"/>
      <c r="E135" s="58" t="n"/>
      <c r="F135" s="57" t="n"/>
      <c r="G135" s="59" t="n"/>
      <c r="H135" s="59" t="n"/>
      <c r="I135" s="60">
        <f>IF(OR(G135="",H135=""),"",MOD(H135-G135,1))</f>
        <v/>
      </c>
      <c r="J135" s="61">
        <f>IF(OR(G135="",H135=""),"",ROUND(MOD(H135-G135,1)*24,2))</f>
        <v/>
      </c>
      <c r="K135" s="62">
        <f>IF(E135="","",IF(E135="Werken","JA","NEE"))</f>
        <v/>
      </c>
      <c r="L135" s="61">
        <f>IF(K135="JA",N(J135),IF(E135="","",0))</f>
        <v/>
      </c>
      <c r="M135" s="62">
        <f>IF(AND(A135="",E135=""),"",IF(E135="","Segment ontbreekt",IF(OR(G135="",H135=""),"Van/tot ontbreekt",IF(N(J135)=0,"Duur is nul",IF(N(J135)&gt;12,"Langer dan 12 uur - controleren",IF(AND(E135="Werken",D135=""),"Werken zonder klant - koppelen","OK"))))))</f>
        <v/>
      </c>
    </row>
    <row r="136" ht="15" customHeight="1" s="42">
      <c r="A136" s="55" t="n"/>
      <c r="B136" s="56">
        <f>IF(A136="","",WEEKNUM(A136,21))</f>
        <v/>
      </c>
      <c r="C136" s="57" t="n"/>
      <c r="D136" s="57" t="n"/>
      <c r="E136" s="58" t="n"/>
      <c r="F136" s="57" t="n"/>
      <c r="G136" s="59" t="n"/>
      <c r="H136" s="59" t="n"/>
      <c r="I136" s="60">
        <f>IF(OR(G136="",H136=""),"",MOD(H136-G136,1))</f>
        <v/>
      </c>
      <c r="J136" s="61">
        <f>IF(OR(G136="",H136=""),"",ROUND(MOD(H136-G136,1)*24,2))</f>
        <v/>
      </c>
      <c r="K136" s="62">
        <f>IF(E136="","",IF(E136="Werken","JA","NEE"))</f>
        <v/>
      </c>
      <c r="L136" s="61">
        <f>IF(K136="JA",N(J136),IF(E136="","",0))</f>
        <v/>
      </c>
      <c r="M136" s="62">
        <f>IF(AND(A136="",E136=""),"",IF(E136="","Segment ontbreekt",IF(OR(G136="",H136=""),"Van/tot ontbreekt",IF(N(J136)=0,"Duur is nul",IF(N(J136)&gt;12,"Langer dan 12 uur - controleren",IF(AND(E136="Werken",D136=""),"Werken zonder klant - koppelen","OK"))))))</f>
        <v/>
      </c>
    </row>
    <row r="137" ht="15" customHeight="1" s="42">
      <c r="A137" s="55" t="n"/>
      <c r="B137" s="56">
        <f>IF(A137="","",WEEKNUM(A137,21))</f>
        <v/>
      </c>
      <c r="C137" s="57" t="n"/>
      <c r="D137" s="57" t="n"/>
      <c r="E137" s="58" t="n"/>
      <c r="F137" s="57" t="n"/>
      <c r="G137" s="59" t="n"/>
      <c r="H137" s="59" t="n"/>
      <c r="I137" s="60">
        <f>IF(OR(G137="",H137=""),"",MOD(H137-G137,1))</f>
        <v/>
      </c>
      <c r="J137" s="61">
        <f>IF(OR(G137="",H137=""),"",ROUND(MOD(H137-G137,1)*24,2))</f>
        <v/>
      </c>
      <c r="K137" s="62">
        <f>IF(E137="","",IF(E137="Werken","JA","NEE"))</f>
        <v/>
      </c>
      <c r="L137" s="61">
        <f>IF(K137="JA",N(J137),IF(E137="","",0))</f>
        <v/>
      </c>
      <c r="M137" s="62">
        <f>IF(AND(A137="",E137=""),"",IF(E137="","Segment ontbreekt",IF(OR(G137="",H137=""),"Van/tot ontbreekt",IF(N(J137)=0,"Duur is nul",IF(N(J137)&gt;12,"Langer dan 12 uur - controleren",IF(AND(E137="Werken",D137=""),"Werken zonder klant - koppelen","OK"))))))</f>
        <v/>
      </c>
    </row>
    <row r="138" ht="15" customHeight="1" s="42">
      <c r="A138" s="55" t="n"/>
      <c r="B138" s="56">
        <f>IF(A138="","",WEEKNUM(A138,21))</f>
        <v/>
      </c>
      <c r="C138" s="57" t="n"/>
      <c r="D138" s="57" t="n"/>
      <c r="E138" s="58" t="n"/>
      <c r="F138" s="57" t="n"/>
      <c r="G138" s="59" t="n"/>
      <c r="H138" s="59" t="n"/>
      <c r="I138" s="60">
        <f>IF(OR(G138="",H138=""),"",MOD(H138-G138,1))</f>
        <v/>
      </c>
      <c r="J138" s="61">
        <f>IF(OR(G138="",H138=""),"",ROUND(MOD(H138-G138,1)*24,2))</f>
        <v/>
      </c>
      <c r="K138" s="62">
        <f>IF(E138="","",IF(E138="Werken","JA","NEE"))</f>
        <v/>
      </c>
      <c r="L138" s="61">
        <f>IF(K138="JA",N(J138),IF(E138="","",0))</f>
        <v/>
      </c>
      <c r="M138" s="62">
        <f>IF(AND(A138="",E138=""),"",IF(E138="","Segment ontbreekt",IF(OR(G138="",H138=""),"Van/tot ontbreekt",IF(N(J138)=0,"Duur is nul",IF(N(J138)&gt;12,"Langer dan 12 uur - controleren",IF(AND(E138="Werken",D138=""),"Werken zonder klant - koppelen","OK"))))))</f>
        <v/>
      </c>
    </row>
    <row r="139" ht="15" customHeight="1" s="42">
      <c r="A139" s="55" t="n"/>
      <c r="B139" s="56">
        <f>IF(A139="","",WEEKNUM(A139,21))</f>
        <v/>
      </c>
      <c r="C139" s="57" t="n"/>
      <c r="D139" s="57" t="n"/>
      <c r="E139" s="58" t="n"/>
      <c r="F139" s="57" t="n"/>
      <c r="G139" s="59" t="n"/>
      <c r="H139" s="59" t="n"/>
      <c r="I139" s="60">
        <f>IF(OR(G139="",H139=""),"",MOD(H139-G139,1))</f>
        <v/>
      </c>
      <c r="J139" s="61">
        <f>IF(OR(G139="",H139=""),"",ROUND(MOD(H139-G139,1)*24,2))</f>
        <v/>
      </c>
      <c r="K139" s="62">
        <f>IF(E139="","",IF(E139="Werken","JA","NEE"))</f>
        <v/>
      </c>
      <c r="L139" s="61">
        <f>IF(K139="JA",N(J139),IF(E139="","",0))</f>
        <v/>
      </c>
      <c r="M139" s="62">
        <f>IF(AND(A139="",E139=""),"",IF(E139="","Segment ontbreekt",IF(OR(G139="",H139=""),"Van/tot ontbreekt",IF(N(J139)=0,"Duur is nul",IF(N(J139)&gt;12,"Langer dan 12 uur - controleren",IF(AND(E139="Werken",D139=""),"Werken zonder klant - koppelen","OK"))))))</f>
        <v/>
      </c>
    </row>
    <row r="140" ht="15" customHeight="1" s="42">
      <c r="A140" s="55" t="n"/>
      <c r="B140" s="56">
        <f>IF(A140="","",WEEKNUM(A140,21))</f>
        <v/>
      </c>
      <c r="C140" s="57" t="n"/>
      <c r="D140" s="57" t="n"/>
      <c r="E140" s="58" t="n"/>
      <c r="F140" s="57" t="n"/>
      <c r="G140" s="59" t="n"/>
      <c r="H140" s="59" t="n"/>
      <c r="I140" s="60">
        <f>IF(OR(G140="",H140=""),"",MOD(H140-G140,1))</f>
        <v/>
      </c>
      <c r="J140" s="61">
        <f>IF(OR(G140="",H140=""),"",ROUND(MOD(H140-G140,1)*24,2))</f>
        <v/>
      </c>
      <c r="K140" s="62">
        <f>IF(E140="","",IF(E140="Werken","JA","NEE"))</f>
        <v/>
      </c>
      <c r="L140" s="61">
        <f>IF(K140="JA",N(J140),IF(E140="","",0))</f>
        <v/>
      </c>
      <c r="M140" s="62">
        <f>IF(AND(A140="",E140=""),"",IF(E140="","Segment ontbreekt",IF(OR(G140="",H140=""),"Van/tot ontbreekt",IF(N(J140)=0,"Duur is nul",IF(N(J140)&gt;12,"Langer dan 12 uur - controleren",IF(AND(E140="Werken",D140=""),"Werken zonder klant - koppelen","OK"))))))</f>
        <v/>
      </c>
    </row>
    <row r="141" ht="15" customHeight="1" s="42">
      <c r="A141" s="55" t="n"/>
      <c r="B141" s="56">
        <f>IF(A141="","",WEEKNUM(A141,21))</f>
        <v/>
      </c>
      <c r="C141" s="57" t="n"/>
      <c r="D141" s="57" t="n"/>
      <c r="E141" s="58" t="n"/>
      <c r="F141" s="57" t="n"/>
      <c r="G141" s="59" t="n"/>
      <c r="H141" s="59" t="n"/>
      <c r="I141" s="60">
        <f>IF(OR(G141="",H141=""),"",MOD(H141-G141,1))</f>
        <v/>
      </c>
      <c r="J141" s="61">
        <f>IF(OR(G141="",H141=""),"",ROUND(MOD(H141-G141,1)*24,2))</f>
        <v/>
      </c>
      <c r="K141" s="62">
        <f>IF(E141="","",IF(E141="Werken","JA","NEE"))</f>
        <v/>
      </c>
      <c r="L141" s="61">
        <f>IF(K141="JA",N(J141),IF(E141="","",0))</f>
        <v/>
      </c>
      <c r="M141" s="62">
        <f>IF(AND(A141="",E141=""),"",IF(E141="","Segment ontbreekt",IF(OR(G141="",H141=""),"Van/tot ontbreekt",IF(N(J141)=0,"Duur is nul",IF(N(J141)&gt;12,"Langer dan 12 uur - controleren",IF(AND(E141="Werken",D141=""),"Werken zonder klant - koppelen","OK"))))))</f>
        <v/>
      </c>
    </row>
    <row r="142" ht="15" customHeight="1" s="42">
      <c r="A142" s="55" t="n"/>
      <c r="B142" s="56">
        <f>IF(A142="","",WEEKNUM(A142,21))</f>
        <v/>
      </c>
      <c r="C142" s="57" t="n"/>
      <c r="D142" s="57" t="n"/>
      <c r="E142" s="58" t="n"/>
      <c r="F142" s="57" t="n"/>
      <c r="G142" s="59" t="n"/>
      <c r="H142" s="59" t="n"/>
      <c r="I142" s="60">
        <f>IF(OR(G142="",H142=""),"",MOD(H142-G142,1))</f>
        <v/>
      </c>
      <c r="J142" s="61">
        <f>IF(OR(G142="",H142=""),"",ROUND(MOD(H142-G142,1)*24,2))</f>
        <v/>
      </c>
      <c r="K142" s="62">
        <f>IF(E142="","",IF(E142="Werken","JA","NEE"))</f>
        <v/>
      </c>
      <c r="L142" s="61">
        <f>IF(K142="JA",N(J142),IF(E142="","",0))</f>
        <v/>
      </c>
      <c r="M142" s="62">
        <f>IF(AND(A142="",E142=""),"",IF(E142="","Segment ontbreekt",IF(OR(G142="",H142=""),"Van/tot ontbreekt",IF(N(J142)=0,"Duur is nul",IF(N(J142)&gt;12,"Langer dan 12 uur - controleren",IF(AND(E142="Werken",D142=""),"Werken zonder klant - koppelen","OK"))))))</f>
        <v/>
      </c>
    </row>
    <row r="143" ht="15" customHeight="1" s="42">
      <c r="A143" s="55" t="n"/>
      <c r="B143" s="56">
        <f>IF(A143="","",WEEKNUM(A143,21))</f>
        <v/>
      </c>
      <c r="C143" s="57" t="n"/>
      <c r="D143" s="57" t="n"/>
      <c r="E143" s="58" t="n"/>
      <c r="F143" s="57" t="n"/>
      <c r="G143" s="59" t="n"/>
      <c r="H143" s="59" t="n"/>
      <c r="I143" s="60">
        <f>IF(OR(G143="",H143=""),"",MOD(H143-G143,1))</f>
        <v/>
      </c>
      <c r="J143" s="61">
        <f>IF(OR(G143="",H143=""),"",ROUND(MOD(H143-G143,1)*24,2))</f>
        <v/>
      </c>
      <c r="K143" s="62">
        <f>IF(E143="","",IF(E143="Werken","JA","NEE"))</f>
        <v/>
      </c>
      <c r="L143" s="61">
        <f>IF(K143="JA",N(J143),IF(E143="","",0))</f>
        <v/>
      </c>
      <c r="M143" s="62">
        <f>IF(AND(A143="",E143=""),"",IF(E143="","Segment ontbreekt",IF(OR(G143="",H143=""),"Van/tot ontbreekt",IF(N(J143)=0,"Duur is nul",IF(N(J143)&gt;12,"Langer dan 12 uur - controleren",IF(AND(E143="Werken",D143=""),"Werken zonder klant - koppelen","OK"))))))</f>
        <v/>
      </c>
    </row>
    <row r="144" ht="15" customHeight="1" s="42">
      <c r="A144" s="55" t="n"/>
      <c r="B144" s="56">
        <f>IF(A144="","",WEEKNUM(A144,21))</f>
        <v/>
      </c>
      <c r="C144" s="57" t="n"/>
      <c r="D144" s="57" t="n"/>
      <c r="E144" s="58" t="n"/>
      <c r="F144" s="57" t="n"/>
      <c r="G144" s="59" t="n"/>
      <c r="H144" s="59" t="n"/>
      <c r="I144" s="60">
        <f>IF(OR(G144="",H144=""),"",MOD(H144-G144,1))</f>
        <v/>
      </c>
      <c r="J144" s="61">
        <f>IF(OR(G144="",H144=""),"",ROUND(MOD(H144-G144,1)*24,2))</f>
        <v/>
      </c>
      <c r="K144" s="62">
        <f>IF(E144="","",IF(E144="Werken","JA","NEE"))</f>
        <v/>
      </c>
      <c r="L144" s="61">
        <f>IF(K144="JA",N(J144),IF(E144="","",0))</f>
        <v/>
      </c>
      <c r="M144" s="62">
        <f>IF(AND(A144="",E144=""),"",IF(E144="","Segment ontbreekt",IF(OR(G144="",H144=""),"Van/tot ontbreekt",IF(N(J144)=0,"Duur is nul",IF(N(J144)&gt;12,"Langer dan 12 uur - controleren",IF(AND(E144="Werken",D144=""),"Werken zonder klant - koppelen","OK"))))))</f>
        <v/>
      </c>
    </row>
    <row r="145" ht="15" customHeight="1" s="42">
      <c r="A145" s="55" t="n"/>
      <c r="B145" s="56">
        <f>IF(A145="","",WEEKNUM(A145,21))</f>
        <v/>
      </c>
      <c r="C145" s="57" t="n"/>
      <c r="D145" s="57" t="n"/>
      <c r="E145" s="58" t="n"/>
      <c r="F145" s="57" t="n"/>
      <c r="G145" s="59" t="n"/>
      <c r="H145" s="59" t="n"/>
      <c r="I145" s="60">
        <f>IF(OR(G145="",H145=""),"",MOD(H145-G145,1))</f>
        <v/>
      </c>
      <c r="J145" s="61">
        <f>IF(OR(G145="",H145=""),"",ROUND(MOD(H145-G145,1)*24,2))</f>
        <v/>
      </c>
      <c r="K145" s="62">
        <f>IF(E145="","",IF(E145="Werken","JA","NEE"))</f>
        <v/>
      </c>
      <c r="L145" s="61">
        <f>IF(K145="JA",N(J145),IF(E145="","",0))</f>
        <v/>
      </c>
      <c r="M145" s="62">
        <f>IF(AND(A145="",E145=""),"",IF(E145="","Segment ontbreekt",IF(OR(G145="",H145=""),"Van/tot ontbreekt",IF(N(J145)=0,"Duur is nul",IF(N(J145)&gt;12,"Langer dan 12 uur - controleren",IF(AND(E145="Werken",D145=""),"Werken zonder klant - koppelen","OK"))))))</f>
        <v/>
      </c>
    </row>
    <row r="146" ht="15" customHeight="1" s="42">
      <c r="A146" s="55" t="n"/>
      <c r="B146" s="56">
        <f>IF(A146="","",WEEKNUM(A146,21))</f>
        <v/>
      </c>
      <c r="C146" s="57" t="n"/>
      <c r="D146" s="57" t="n"/>
      <c r="E146" s="58" t="n"/>
      <c r="F146" s="57" t="n"/>
      <c r="G146" s="59" t="n"/>
      <c r="H146" s="59" t="n"/>
      <c r="I146" s="60">
        <f>IF(OR(G146="",H146=""),"",MOD(H146-G146,1))</f>
        <v/>
      </c>
      <c r="J146" s="61">
        <f>IF(OR(G146="",H146=""),"",ROUND(MOD(H146-G146,1)*24,2))</f>
        <v/>
      </c>
      <c r="K146" s="62">
        <f>IF(E146="","",IF(E146="Werken","JA","NEE"))</f>
        <v/>
      </c>
      <c r="L146" s="61">
        <f>IF(K146="JA",N(J146),IF(E146="","",0))</f>
        <v/>
      </c>
      <c r="M146" s="62">
        <f>IF(AND(A146="",E146=""),"",IF(E146="","Segment ontbreekt",IF(OR(G146="",H146=""),"Van/tot ontbreekt",IF(N(J146)=0,"Duur is nul",IF(N(J146)&gt;12,"Langer dan 12 uur - controleren",IF(AND(E146="Werken",D146=""),"Werken zonder klant - koppelen","OK"))))))</f>
        <v/>
      </c>
    </row>
    <row r="147" ht="15" customHeight="1" s="42">
      <c r="A147" s="55" t="n"/>
      <c r="B147" s="56">
        <f>IF(A147="","",WEEKNUM(A147,21))</f>
        <v/>
      </c>
      <c r="C147" s="57" t="n"/>
      <c r="D147" s="57" t="n"/>
      <c r="E147" s="58" t="n"/>
      <c r="F147" s="57" t="n"/>
      <c r="G147" s="59" t="n"/>
      <c r="H147" s="59" t="n"/>
      <c r="I147" s="60">
        <f>IF(OR(G147="",H147=""),"",MOD(H147-G147,1))</f>
        <v/>
      </c>
      <c r="J147" s="61">
        <f>IF(OR(G147="",H147=""),"",ROUND(MOD(H147-G147,1)*24,2))</f>
        <v/>
      </c>
      <c r="K147" s="62">
        <f>IF(E147="","",IF(E147="Werken","JA","NEE"))</f>
        <v/>
      </c>
      <c r="L147" s="61">
        <f>IF(K147="JA",N(J147),IF(E147="","",0))</f>
        <v/>
      </c>
      <c r="M147" s="62">
        <f>IF(AND(A147="",E147=""),"",IF(E147="","Segment ontbreekt",IF(OR(G147="",H147=""),"Van/tot ontbreekt",IF(N(J147)=0,"Duur is nul",IF(N(J147)&gt;12,"Langer dan 12 uur - controleren",IF(AND(E147="Werken",D147=""),"Werken zonder klant - koppelen","OK"))))))</f>
        <v/>
      </c>
    </row>
    <row r="148" ht="15" customHeight="1" s="42">
      <c r="A148" s="55" t="n"/>
      <c r="B148" s="56">
        <f>IF(A148="","",WEEKNUM(A148,21))</f>
        <v/>
      </c>
      <c r="C148" s="57" t="n"/>
      <c r="D148" s="57" t="n"/>
      <c r="E148" s="58" t="n"/>
      <c r="F148" s="57" t="n"/>
      <c r="G148" s="59" t="n"/>
      <c r="H148" s="59" t="n"/>
      <c r="I148" s="60">
        <f>IF(OR(G148="",H148=""),"",MOD(H148-G148,1))</f>
        <v/>
      </c>
      <c r="J148" s="61">
        <f>IF(OR(G148="",H148=""),"",ROUND(MOD(H148-G148,1)*24,2))</f>
        <v/>
      </c>
      <c r="K148" s="62">
        <f>IF(E148="","",IF(E148="Werken","JA","NEE"))</f>
        <v/>
      </c>
      <c r="L148" s="61">
        <f>IF(K148="JA",N(J148),IF(E148="","",0))</f>
        <v/>
      </c>
      <c r="M148" s="62">
        <f>IF(AND(A148="",E148=""),"",IF(E148="","Segment ontbreekt",IF(OR(G148="",H148=""),"Van/tot ontbreekt",IF(N(J148)=0,"Duur is nul",IF(N(J148)&gt;12,"Langer dan 12 uur - controleren",IF(AND(E148="Werken",D148=""),"Werken zonder klant - koppelen","OK"))))))</f>
        <v/>
      </c>
    </row>
    <row r="149" ht="15" customHeight="1" s="42">
      <c r="A149" s="55" t="n"/>
      <c r="B149" s="56">
        <f>IF(A149="","",WEEKNUM(A149,21))</f>
        <v/>
      </c>
      <c r="C149" s="57" t="n"/>
      <c r="D149" s="57" t="n"/>
      <c r="E149" s="58" t="n"/>
      <c r="F149" s="57" t="n"/>
      <c r="G149" s="59" t="n"/>
      <c r="H149" s="59" t="n"/>
      <c r="I149" s="60">
        <f>IF(OR(G149="",H149=""),"",MOD(H149-G149,1))</f>
        <v/>
      </c>
      <c r="J149" s="61">
        <f>IF(OR(G149="",H149=""),"",ROUND(MOD(H149-G149,1)*24,2))</f>
        <v/>
      </c>
      <c r="K149" s="62">
        <f>IF(E149="","",IF(E149="Werken","JA","NEE"))</f>
        <v/>
      </c>
      <c r="L149" s="61">
        <f>IF(K149="JA",N(J149),IF(E149="","",0))</f>
        <v/>
      </c>
      <c r="M149" s="62">
        <f>IF(AND(A149="",E149=""),"",IF(E149="","Segment ontbreekt",IF(OR(G149="",H149=""),"Van/tot ontbreekt",IF(N(J149)=0,"Duur is nul",IF(N(J149)&gt;12,"Langer dan 12 uur - controleren",IF(AND(E149="Werken",D149=""),"Werken zonder klant - koppelen","OK"))))))</f>
        <v/>
      </c>
    </row>
    <row r="150" ht="15" customHeight="1" s="42">
      <c r="A150" s="55" t="n"/>
      <c r="B150" s="56">
        <f>IF(A150="","",WEEKNUM(A150,21))</f>
        <v/>
      </c>
      <c r="C150" s="57" t="n"/>
      <c r="D150" s="57" t="n"/>
      <c r="E150" s="58" t="n"/>
      <c r="F150" s="57" t="n"/>
      <c r="G150" s="59" t="n"/>
      <c r="H150" s="59" t="n"/>
      <c r="I150" s="60">
        <f>IF(OR(G150="",H150=""),"",MOD(H150-G150,1))</f>
        <v/>
      </c>
      <c r="J150" s="61">
        <f>IF(OR(G150="",H150=""),"",ROUND(MOD(H150-G150,1)*24,2))</f>
        <v/>
      </c>
      <c r="K150" s="62">
        <f>IF(E150="","",IF(E150="Werken","JA","NEE"))</f>
        <v/>
      </c>
      <c r="L150" s="61">
        <f>IF(K150="JA",N(J150),IF(E150="","",0))</f>
        <v/>
      </c>
      <c r="M150" s="62">
        <f>IF(AND(A150="",E150=""),"",IF(E150="","Segment ontbreekt",IF(OR(G150="",H150=""),"Van/tot ontbreekt",IF(N(J150)=0,"Duur is nul",IF(N(J150)&gt;12,"Langer dan 12 uur - controleren",IF(AND(E150="Werken",D150=""),"Werken zonder klant - koppelen","OK"))))))</f>
        <v/>
      </c>
    </row>
    <row r="151" ht="15" customHeight="1" s="42">
      <c r="A151" s="55" t="n"/>
      <c r="B151" s="56">
        <f>IF(A151="","",WEEKNUM(A151,21))</f>
        <v/>
      </c>
      <c r="C151" s="57" t="n"/>
      <c r="D151" s="57" t="n"/>
      <c r="E151" s="58" t="n"/>
      <c r="F151" s="57" t="n"/>
      <c r="G151" s="59" t="n"/>
      <c r="H151" s="59" t="n"/>
      <c r="I151" s="60">
        <f>IF(OR(G151="",H151=""),"",MOD(H151-G151,1))</f>
        <v/>
      </c>
      <c r="J151" s="61">
        <f>IF(OR(G151="",H151=""),"",ROUND(MOD(H151-G151,1)*24,2))</f>
        <v/>
      </c>
      <c r="K151" s="62">
        <f>IF(E151="","",IF(E151="Werken","JA","NEE"))</f>
        <v/>
      </c>
      <c r="L151" s="61">
        <f>IF(K151="JA",N(J151),IF(E151="","",0))</f>
        <v/>
      </c>
      <c r="M151" s="62">
        <f>IF(AND(A151="",E151=""),"",IF(E151="","Segment ontbreekt",IF(OR(G151="",H151=""),"Van/tot ontbreekt",IF(N(J151)=0,"Duur is nul",IF(N(J151)&gt;12,"Langer dan 12 uur - controleren",IF(AND(E151="Werken",D151=""),"Werken zonder klant - koppelen","OK"))))))</f>
        <v/>
      </c>
    </row>
    <row r="152" ht="15" customHeight="1" s="42">
      <c r="A152" s="55" t="n"/>
      <c r="B152" s="56">
        <f>IF(A152="","",WEEKNUM(A152,21))</f>
        <v/>
      </c>
      <c r="C152" s="57" t="n"/>
      <c r="D152" s="57" t="n"/>
      <c r="E152" s="58" t="n"/>
      <c r="F152" s="57" t="n"/>
      <c r="G152" s="59" t="n"/>
      <c r="H152" s="59" t="n"/>
      <c r="I152" s="60">
        <f>IF(OR(G152="",H152=""),"",MOD(H152-G152,1))</f>
        <v/>
      </c>
      <c r="J152" s="61">
        <f>IF(OR(G152="",H152=""),"",ROUND(MOD(H152-G152,1)*24,2))</f>
        <v/>
      </c>
      <c r="K152" s="62">
        <f>IF(E152="","",IF(E152="Werken","JA","NEE"))</f>
        <v/>
      </c>
      <c r="L152" s="61">
        <f>IF(K152="JA",N(J152),IF(E152="","",0))</f>
        <v/>
      </c>
      <c r="M152" s="62">
        <f>IF(AND(A152="",E152=""),"",IF(E152="","Segment ontbreekt",IF(OR(G152="",H152=""),"Van/tot ontbreekt",IF(N(J152)=0,"Duur is nul",IF(N(J152)&gt;12,"Langer dan 12 uur - controleren",IF(AND(E152="Werken",D152=""),"Werken zonder klant - koppelen","OK"))))))</f>
        <v/>
      </c>
    </row>
    <row r="153" ht="15" customHeight="1" s="42">
      <c r="A153" s="55" t="n"/>
      <c r="B153" s="56">
        <f>IF(A153="","",WEEKNUM(A153,21))</f>
        <v/>
      </c>
      <c r="C153" s="57" t="n"/>
      <c r="D153" s="57" t="n"/>
      <c r="E153" s="58" t="n"/>
      <c r="F153" s="57" t="n"/>
      <c r="G153" s="59" t="n"/>
      <c r="H153" s="59" t="n"/>
      <c r="I153" s="60">
        <f>IF(OR(G153="",H153=""),"",MOD(H153-G153,1))</f>
        <v/>
      </c>
      <c r="J153" s="61">
        <f>IF(OR(G153="",H153=""),"",ROUND(MOD(H153-G153,1)*24,2))</f>
        <v/>
      </c>
      <c r="K153" s="62">
        <f>IF(E153="","",IF(E153="Werken","JA","NEE"))</f>
        <v/>
      </c>
      <c r="L153" s="61">
        <f>IF(K153="JA",N(J153),IF(E153="","",0))</f>
        <v/>
      </c>
      <c r="M153" s="62">
        <f>IF(AND(A153="",E153=""),"",IF(E153="","Segment ontbreekt",IF(OR(G153="",H153=""),"Van/tot ontbreekt",IF(N(J153)=0,"Duur is nul",IF(N(J153)&gt;12,"Langer dan 12 uur - controleren",IF(AND(E153="Werken",D153=""),"Werken zonder klant - koppelen","OK"))))))</f>
        <v/>
      </c>
    </row>
    <row r="154" ht="15" customHeight="1" s="42">
      <c r="A154" s="55" t="n"/>
      <c r="B154" s="56">
        <f>IF(A154="","",WEEKNUM(A154,21))</f>
        <v/>
      </c>
      <c r="C154" s="57" t="n"/>
      <c r="D154" s="57" t="n"/>
      <c r="E154" s="58" t="n"/>
      <c r="F154" s="57" t="n"/>
      <c r="G154" s="59" t="n"/>
      <c r="H154" s="59" t="n"/>
      <c r="I154" s="60">
        <f>IF(OR(G154="",H154=""),"",MOD(H154-G154,1))</f>
        <v/>
      </c>
      <c r="J154" s="61">
        <f>IF(OR(G154="",H154=""),"",ROUND(MOD(H154-G154,1)*24,2))</f>
        <v/>
      </c>
      <c r="K154" s="62">
        <f>IF(E154="","",IF(E154="Werken","JA","NEE"))</f>
        <v/>
      </c>
      <c r="L154" s="61">
        <f>IF(K154="JA",N(J154),IF(E154="","",0))</f>
        <v/>
      </c>
      <c r="M154" s="62">
        <f>IF(AND(A154="",E154=""),"",IF(E154="","Segment ontbreekt",IF(OR(G154="",H154=""),"Van/tot ontbreekt",IF(N(J154)=0,"Duur is nul",IF(N(J154)&gt;12,"Langer dan 12 uur - controleren",IF(AND(E154="Werken",D154=""),"Werken zonder klant - koppelen","OK"))))))</f>
        <v/>
      </c>
    </row>
    <row r="155" ht="15" customHeight="1" s="42">
      <c r="A155" s="55" t="n"/>
      <c r="B155" s="56">
        <f>IF(A155="","",WEEKNUM(A155,21))</f>
        <v/>
      </c>
      <c r="C155" s="57" t="n"/>
      <c r="D155" s="57" t="n"/>
      <c r="E155" s="58" t="n"/>
      <c r="F155" s="57" t="n"/>
      <c r="G155" s="59" t="n"/>
      <c r="H155" s="59" t="n"/>
      <c r="I155" s="60">
        <f>IF(OR(G155="",H155=""),"",MOD(H155-G155,1))</f>
        <v/>
      </c>
      <c r="J155" s="61">
        <f>IF(OR(G155="",H155=""),"",ROUND(MOD(H155-G155,1)*24,2))</f>
        <v/>
      </c>
      <c r="K155" s="62">
        <f>IF(E155="","",IF(E155="Werken","JA","NEE"))</f>
        <v/>
      </c>
      <c r="L155" s="61">
        <f>IF(K155="JA",N(J155),IF(E155="","",0))</f>
        <v/>
      </c>
      <c r="M155" s="62">
        <f>IF(AND(A155="",E155=""),"",IF(E155="","Segment ontbreekt",IF(OR(G155="",H155=""),"Van/tot ontbreekt",IF(N(J155)=0,"Duur is nul",IF(N(J155)&gt;12,"Langer dan 12 uur - controleren",IF(AND(E155="Werken",D155=""),"Werken zonder klant - koppelen","OK"))))))</f>
        <v/>
      </c>
    </row>
    <row r="156" ht="15" customHeight="1" s="42">
      <c r="A156" s="55" t="n"/>
      <c r="B156" s="56">
        <f>IF(A156="","",WEEKNUM(A156,21))</f>
        <v/>
      </c>
      <c r="C156" s="57" t="n"/>
      <c r="D156" s="57" t="n"/>
      <c r="E156" s="58" t="n"/>
      <c r="F156" s="57" t="n"/>
      <c r="G156" s="59" t="n"/>
      <c r="H156" s="59" t="n"/>
      <c r="I156" s="60">
        <f>IF(OR(G156="",H156=""),"",MOD(H156-G156,1))</f>
        <v/>
      </c>
      <c r="J156" s="61">
        <f>IF(OR(G156="",H156=""),"",ROUND(MOD(H156-G156,1)*24,2))</f>
        <v/>
      </c>
      <c r="K156" s="62">
        <f>IF(E156="","",IF(E156="Werken","JA","NEE"))</f>
        <v/>
      </c>
      <c r="L156" s="61">
        <f>IF(K156="JA",N(J156),IF(E156="","",0))</f>
        <v/>
      </c>
      <c r="M156" s="62">
        <f>IF(AND(A156="",E156=""),"",IF(E156="","Segment ontbreekt",IF(OR(G156="",H156=""),"Van/tot ontbreekt",IF(N(J156)=0,"Duur is nul",IF(N(J156)&gt;12,"Langer dan 12 uur - controleren",IF(AND(E156="Werken",D156=""),"Werken zonder klant - koppelen","OK"))))))</f>
        <v/>
      </c>
    </row>
    <row r="157" ht="15" customHeight="1" s="42">
      <c r="A157" s="55" t="n"/>
      <c r="B157" s="56">
        <f>IF(A157="","",WEEKNUM(A157,21))</f>
        <v/>
      </c>
      <c r="C157" s="57" t="n"/>
      <c r="D157" s="57" t="n"/>
      <c r="E157" s="58" t="n"/>
      <c r="F157" s="57" t="n"/>
      <c r="G157" s="59" t="n"/>
      <c r="H157" s="59" t="n"/>
      <c r="I157" s="60">
        <f>IF(OR(G157="",H157=""),"",MOD(H157-G157,1))</f>
        <v/>
      </c>
      <c r="J157" s="61">
        <f>IF(OR(G157="",H157=""),"",ROUND(MOD(H157-G157,1)*24,2))</f>
        <v/>
      </c>
      <c r="K157" s="62">
        <f>IF(E157="","",IF(E157="Werken","JA","NEE"))</f>
        <v/>
      </c>
      <c r="L157" s="61">
        <f>IF(K157="JA",N(J157),IF(E157="","",0))</f>
        <v/>
      </c>
      <c r="M157" s="62">
        <f>IF(AND(A157="",E157=""),"",IF(E157="","Segment ontbreekt",IF(OR(G157="",H157=""),"Van/tot ontbreekt",IF(N(J157)=0,"Duur is nul",IF(N(J157)&gt;12,"Langer dan 12 uur - controleren",IF(AND(E157="Werken",D157=""),"Werken zonder klant - koppelen","OK"))))))</f>
        <v/>
      </c>
    </row>
    <row r="158" ht="15" customHeight="1" s="42">
      <c r="A158" s="55" t="n"/>
      <c r="B158" s="56">
        <f>IF(A158="","",WEEKNUM(A158,21))</f>
        <v/>
      </c>
      <c r="C158" s="57" t="n"/>
      <c r="D158" s="57" t="n"/>
      <c r="E158" s="58" t="n"/>
      <c r="F158" s="57" t="n"/>
      <c r="G158" s="59" t="n"/>
      <c r="H158" s="59" t="n"/>
      <c r="I158" s="60">
        <f>IF(OR(G158="",H158=""),"",MOD(H158-G158,1))</f>
        <v/>
      </c>
      <c r="J158" s="61">
        <f>IF(OR(G158="",H158=""),"",ROUND(MOD(H158-G158,1)*24,2))</f>
        <v/>
      </c>
      <c r="K158" s="62">
        <f>IF(E158="","",IF(E158="Werken","JA","NEE"))</f>
        <v/>
      </c>
      <c r="L158" s="61">
        <f>IF(K158="JA",N(J158),IF(E158="","",0))</f>
        <v/>
      </c>
      <c r="M158" s="62">
        <f>IF(AND(A158="",E158=""),"",IF(E158="","Segment ontbreekt",IF(OR(G158="",H158=""),"Van/tot ontbreekt",IF(N(J158)=0,"Duur is nul",IF(N(J158)&gt;12,"Langer dan 12 uur - controleren",IF(AND(E158="Werken",D158=""),"Werken zonder klant - koppelen","OK"))))))</f>
        <v/>
      </c>
    </row>
    <row r="159" ht="15" customHeight="1" s="42">
      <c r="A159" s="55" t="n"/>
      <c r="B159" s="56">
        <f>IF(A159="","",WEEKNUM(A159,21))</f>
        <v/>
      </c>
      <c r="C159" s="57" t="n"/>
      <c r="D159" s="57" t="n"/>
      <c r="E159" s="58" t="n"/>
      <c r="F159" s="57" t="n"/>
      <c r="G159" s="59" t="n"/>
      <c r="H159" s="59" t="n"/>
      <c r="I159" s="60">
        <f>IF(OR(G159="",H159=""),"",MOD(H159-G159,1))</f>
        <v/>
      </c>
      <c r="J159" s="61">
        <f>IF(OR(G159="",H159=""),"",ROUND(MOD(H159-G159,1)*24,2))</f>
        <v/>
      </c>
      <c r="K159" s="62">
        <f>IF(E159="","",IF(E159="Werken","JA","NEE"))</f>
        <v/>
      </c>
      <c r="L159" s="61">
        <f>IF(K159="JA",N(J159),IF(E159="","",0))</f>
        <v/>
      </c>
      <c r="M159" s="62">
        <f>IF(AND(A159="",E159=""),"",IF(E159="","Segment ontbreekt",IF(OR(G159="",H159=""),"Van/tot ontbreekt",IF(N(J159)=0,"Duur is nul",IF(N(J159)&gt;12,"Langer dan 12 uur - controleren",IF(AND(E159="Werken",D159=""),"Werken zonder klant - koppelen","OK"))))))</f>
        <v/>
      </c>
    </row>
    <row r="160" ht="15" customHeight="1" s="42">
      <c r="A160" s="55" t="n"/>
      <c r="B160" s="56">
        <f>IF(A160="","",WEEKNUM(A160,21))</f>
        <v/>
      </c>
      <c r="C160" s="57" t="n"/>
      <c r="D160" s="57" t="n"/>
      <c r="E160" s="58" t="n"/>
      <c r="F160" s="57" t="n"/>
      <c r="G160" s="59" t="n"/>
      <c r="H160" s="59" t="n"/>
      <c r="I160" s="60">
        <f>IF(OR(G160="",H160=""),"",MOD(H160-G160,1))</f>
        <v/>
      </c>
      <c r="J160" s="61">
        <f>IF(OR(G160="",H160=""),"",ROUND(MOD(H160-G160,1)*24,2))</f>
        <v/>
      </c>
      <c r="K160" s="62">
        <f>IF(E160="","",IF(E160="Werken","JA","NEE"))</f>
        <v/>
      </c>
      <c r="L160" s="61">
        <f>IF(K160="JA",N(J160),IF(E160="","",0))</f>
        <v/>
      </c>
      <c r="M160" s="62">
        <f>IF(AND(A160="",E160=""),"",IF(E160="","Segment ontbreekt",IF(OR(G160="",H160=""),"Van/tot ontbreekt",IF(N(J160)=0,"Duur is nul",IF(N(J160)&gt;12,"Langer dan 12 uur - controleren",IF(AND(E160="Werken",D160=""),"Werken zonder klant - koppelen","OK"))))))</f>
        <v/>
      </c>
    </row>
    <row r="161" ht="15" customHeight="1" s="42">
      <c r="A161" s="55" t="n"/>
      <c r="B161" s="56">
        <f>IF(A161="","",WEEKNUM(A161,21))</f>
        <v/>
      </c>
      <c r="C161" s="57" t="n"/>
      <c r="D161" s="57" t="n"/>
      <c r="E161" s="58" t="n"/>
      <c r="F161" s="57" t="n"/>
      <c r="G161" s="59" t="n"/>
      <c r="H161" s="59" t="n"/>
      <c r="I161" s="60">
        <f>IF(OR(G161="",H161=""),"",MOD(H161-G161,1))</f>
        <v/>
      </c>
      <c r="J161" s="61">
        <f>IF(OR(G161="",H161=""),"",ROUND(MOD(H161-G161,1)*24,2))</f>
        <v/>
      </c>
      <c r="K161" s="62">
        <f>IF(E161="","",IF(E161="Werken","JA","NEE"))</f>
        <v/>
      </c>
      <c r="L161" s="61">
        <f>IF(K161="JA",N(J161),IF(E161="","",0))</f>
        <v/>
      </c>
      <c r="M161" s="62">
        <f>IF(AND(A161="",E161=""),"",IF(E161="","Segment ontbreekt",IF(OR(G161="",H161=""),"Van/tot ontbreekt",IF(N(J161)=0,"Duur is nul",IF(N(J161)&gt;12,"Langer dan 12 uur - controleren",IF(AND(E161="Werken",D161=""),"Werken zonder klant - koppelen","OK"))))))</f>
        <v/>
      </c>
    </row>
    <row r="162" ht="15" customHeight="1" s="42">
      <c r="A162" s="55" t="n"/>
      <c r="B162" s="56">
        <f>IF(A162="","",WEEKNUM(A162,21))</f>
        <v/>
      </c>
      <c r="C162" s="57" t="n"/>
      <c r="D162" s="57" t="n"/>
      <c r="E162" s="58" t="n"/>
      <c r="F162" s="57" t="n"/>
      <c r="G162" s="59" t="n"/>
      <c r="H162" s="59" t="n"/>
      <c r="I162" s="60">
        <f>IF(OR(G162="",H162=""),"",MOD(H162-G162,1))</f>
        <v/>
      </c>
      <c r="J162" s="61">
        <f>IF(OR(G162="",H162=""),"",ROUND(MOD(H162-G162,1)*24,2))</f>
        <v/>
      </c>
      <c r="K162" s="62">
        <f>IF(E162="","",IF(E162="Werken","JA","NEE"))</f>
        <v/>
      </c>
      <c r="L162" s="61">
        <f>IF(K162="JA",N(J162),IF(E162="","",0))</f>
        <v/>
      </c>
      <c r="M162" s="62">
        <f>IF(AND(A162="",E162=""),"",IF(E162="","Segment ontbreekt",IF(OR(G162="",H162=""),"Van/tot ontbreekt",IF(N(J162)=0,"Duur is nul",IF(N(J162)&gt;12,"Langer dan 12 uur - controleren",IF(AND(E162="Werken",D162=""),"Werken zonder klant - koppelen","OK"))))))</f>
        <v/>
      </c>
    </row>
    <row r="163" ht="15" customHeight="1" s="42">
      <c r="A163" s="55" t="n"/>
      <c r="B163" s="56">
        <f>IF(A163="","",WEEKNUM(A163,21))</f>
        <v/>
      </c>
      <c r="C163" s="57" t="n"/>
      <c r="D163" s="57" t="n"/>
      <c r="E163" s="58" t="n"/>
      <c r="F163" s="57" t="n"/>
      <c r="G163" s="59" t="n"/>
      <c r="H163" s="59" t="n"/>
      <c r="I163" s="60">
        <f>IF(OR(G163="",H163=""),"",MOD(H163-G163,1))</f>
        <v/>
      </c>
      <c r="J163" s="61">
        <f>IF(OR(G163="",H163=""),"",ROUND(MOD(H163-G163,1)*24,2))</f>
        <v/>
      </c>
      <c r="K163" s="62">
        <f>IF(E163="","",IF(E163="Werken","JA","NEE"))</f>
        <v/>
      </c>
      <c r="L163" s="61">
        <f>IF(K163="JA",N(J163),IF(E163="","",0))</f>
        <v/>
      </c>
      <c r="M163" s="62">
        <f>IF(AND(A163="",E163=""),"",IF(E163="","Segment ontbreekt",IF(OR(G163="",H163=""),"Van/tot ontbreekt",IF(N(J163)=0,"Duur is nul",IF(N(J163)&gt;12,"Langer dan 12 uur - controleren",IF(AND(E163="Werken",D163=""),"Werken zonder klant - koppelen","OK"))))))</f>
        <v/>
      </c>
    </row>
    <row r="164" ht="15" customHeight="1" s="42">
      <c r="A164" s="55" t="n"/>
      <c r="B164" s="56">
        <f>IF(A164="","",WEEKNUM(A164,21))</f>
        <v/>
      </c>
      <c r="C164" s="57" t="n"/>
      <c r="D164" s="57" t="n"/>
      <c r="E164" s="58" t="n"/>
      <c r="F164" s="57" t="n"/>
      <c r="G164" s="59" t="n"/>
      <c r="H164" s="59" t="n"/>
      <c r="I164" s="60">
        <f>IF(OR(G164="",H164=""),"",MOD(H164-G164,1))</f>
        <v/>
      </c>
      <c r="J164" s="61">
        <f>IF(OR(G164="",H164=""),"",ROUND(MOD(H164-G164,1)*24,2))</f>
        <v/>
      </c>
      <c r="K164" s="62">
        <f>IF(E164="","",IF(E164="Werken","JA","NEE"))</f>
        <v/>
      </c>
      <c r="L164" s="61">
        <f>IF(K164="JA",N(J164),IF(E164="","",0))</f>
        <v/>
      </c>
      <c r="M164" s="62">
        <f>IF(AND(A164="",E164=""),"",IF(E164="","Segment ontbreekt",IF(OR(G164="",H164=""),"Van/tot ontbreekt",IF(N(J164)=0,"Duur is nul",IF(N(J164)&gt;12,"Langer dan 12 uur - controleren",IF(AND(E164="Werken",D164=""),"Werken zonder klant - koppelen","OK"))))))</f>
        <v/>
      </c>
    </row>
    <row r="165" ht="15" customHeight="1" s="42">
      <c r="A165" s="55" t="n"/>
      <c r="B165" s="56">
        <f>IF(A165="","",WEEKNUM(A165,21))</f>
        <v/>
      </c>
      <c r="C165" s="57" t="n"/>
      <c r="D165" s="57" t="n"/>
      <c r="E165" s="58" t="n"/>
      <c r="F165" s="57" t="n"/>
      <c r="G165" s="59" t="n"/>
      <c r="H165" s="59" t="n"/>
      <c r="I165" s="60">
        <f>IF(OR(G165="",H165=""),"",MOD(H165-G165,1))</f>
        <v/>
      </c>
      <c r="J165" s="61">
        <f>IF(OR(G165="",H165=""),"",ROUND(MOD(H165-G165,1)*24,2))</f>
        <v/>
      </c>
      <c r="K165" s="62">
        <f>IF(E165="","",IF(E165="Werken","JA","NEE"))</f>
        <v/>
      </c>
      <c r="L165" s="61">
        <f>IF(K165="JA",N(J165),IF(E165="","",0))</f>
        <v/>
      </c>
      <c r="M165" s="62">
        <f>IF(AND(A165="",E165=""),"",IF(E165="","Segment ontbreekt",IF(OR(G165="",H165=""),"Van/tot ontbreekt",IF(N(J165)=0,"Duur is nul",IF(N(J165)&gt;12,"Langer dan 12 uur - controleren",IF(AND(E165="Werken",D165=""),"Werken zonder klant - koppelen","OK"))))))</f>
        <v/>
      </c>
    </row>
    <row r="166" ht="15" customHeight="1" s="42">
      <c r="A166" s="55" t="n"/>
      <c r="B166" s="56">
        <f>IF(A166="","",WEEKNUM(A166,21))</f>
        <v/>
      </c>
      <c r="C166" s="57" t="n"/>
      <c r="D166" s="57" t="n"/>
      <c r="E166" s="58" t="n"/>
      <c r="F166" s="57" t="n"/>
      <c r="G166" s="59" t="n"/>
      <c r="H166" s="59" t="n"/>
      <c r="I166" s="60">
        <f>IF(OR(G166="",H166=""),"",MOD(H166-G166,1))</f>
        <v/>
      </c>
      <c r="J166" s="61">
        <f>IF(OR(G166="",H166=""),"",ROUND(MOD(H166-G166,1)*24,2))</f>
        <v/>
      </c>
      <c r="K166" s="62">
        <f>IF(E166="","",IF(E166="Werken","JA","NEE"))</f>
        <v/>
      </c>
      <c r="L166" s="61">
        <f>IF(K166="JA",N(J166),IF(E166="","",0))</f>
        <v/>
      </c>
      <c r="M166" s="62">
        <f>IF(AND(A166="",E166=""),"",IF(E166="","Segment ontbreekt",IF(OR(G166="",H166=""),"Van/tot ontbreekt",IF(N(J166)=0,"Duur is nul",IF(N(J166)&gt;12,"Langer dan 12 uur - controleren",IF(AND(E166="Werken",D166=""),"Werken zonder klant - koppelen","OK"))))))</f>
        <v/>
      </c>
    </row>
    <row r="167" ht="15" customHeight="1" s="42">
      <c r="A167" s="55" t="n"/>
      <c r="B167" s="56">
        <f>IF(A167="","",WEEKNUM(A167,21))</f>
        <v/>
      </c>
      <c r="C167" s="57" t="n"/>
      <c r="D167" s="57" t="n"/>
      <c r="E167" s="58" t="n"/>
      <c r="F167" s="57" t="n"/>
      <c r="G167" s="59" t="n"/>
      <c r="H167" s="59" t="n"/>
      <c r="I167" s="60">
        <f>IF(OR(G167="",H167=""),"",MOD(H167-G167,1))</f>
        <v/>
      </c>
      <c r="J167" s="61">
        <f>IF(OR(G167="",H167=""),"",ROUND(MOD(H167-G167,1)*24,2))</f>
        <v/>
      </c>
      <c r="K167" s="62">
        <f>IF(E167="","",IF(E167="Werken","JA","NEE"))</f>
        <v/>
      </c>
      <c r="L167" s="61">
        <f>IF(K167="JA",N(J167),IF(E167="","",0))</f>
        <v/>
      </c>
      <c r="M167" s="62">
        <f>IF(AND(A167="",E167=""),"",IF(E167="","Segment ontbreekt",IF(OR(G167="",H167=""),"Van/tot ontbreekt",IF(N(J167)=0,"Duur is nul",IF(N(J167)&gt;12,"Langer dan 12 uur - controleren",IF(AND(E167="Werken",D167=""),"Werken zonder klant - koppelen","OK"))))))</f>
        <v/>
      </c>
    </row>
    <row r="168" ht="15" customHeight="1" s="42">
      <c r="A168" s="55" t="n"/>
      <c r="B168" s="56">
        <f>IF(A168="","",WEEKNUM(A168,21))</f>
        <v/>
      </c>
      <c r="C168" s="57" t="n"/>
      <c r="D168" s="57" t="n"/>
      <c r="E168" s="58" t="n"/>
      <c r="F168" s="57" t="n"/>
      <c r="G168" s="59" t="n"/>
      <c r="H168" s="59" t="n"/>
      <c r="I168" s="60">
        <f>IF(OR(G168="",H168=""),"",MOD(H168-G168,1))</f>
        <v/>
      </c>
      <c r="J168" s="61">
        <f>IF(OR(G168="",H168=""),"",ROUND(MOD(H168-G168,1)*24,2))</f>
        <v/>
      </c>
      <c r="K168" s="62">
        <f>IF(E168="","",IF(E168="Werken","JA","NEE"))</f>
        <v/>
      </c>
      <c r="L168" s="61">
        <f>IF(K168="JA",N(J168),IF(E168="","",0))</f>
        <v/>
      </c>
      <c r="M168" s="62">
        <f>IF(AND(A168="",E168=""),"",IF(E168="","Segment ontbreekt",IF(OR(G168="",H168=""),"Van/tot ontbreekt",IF(N(J168)=0,"Duur is nul",IF(N(J168)&gt;12,"Langer dan 12 uur - controleren",IF(AND(E168="Werken",D168=""),"Werken zonder klant - koppelen","OK"))))))</f>
        <v/>
      </c>
    </row>
    <row r="169" ht="15" customHeight="1" s="42">
      <c r="A169" s="55" t="n"/>
      <c r="B169" s="56">
        <f>IF(A169="","",WEEKNUM(A169,21))</f>
        <v/>
      </c>
      <c r="C169" s="57" t="n"/>
      <c r="D169" s="57" t="n"/>
      <c r="E169" s="58" t="n"/>
      <c r="F169" s="57" t="n"/>
      <c r="G169" s="59" t="n"/>
      <c r="H169" s="59" t="n"/>
      <c r="I169" s="60">
        <f>IF(OR(G169="",H169=""),"",MOD(H169-G169,1))</f>
        <v/>
      </c>
      <c r="J169" s="61">
        <f>IF(OR(G169="",H169=""),"",ROUND(MOD(H169-G169,1)*24,2))</f>
        <v/>
      </c>
      <c r="K169" s="62">
        <f>IF(E169="","",IF(E169="Werken","JA","NEE"))</f>
        <v/>
      </c>
      <c r="L169" s="61">
        <f>IF(K169="JA",N(J169),IF(E169="","",0))</f>
        <v/>
      </c>
      <c r="M169" s="62">
        <f>IF(AND(A169="",E169=""),"",IF(E169="","Segment ontbreekt",IF(OR(G169="",H169=""),"Van/tot ontbreekt",IF(N(J169)=0,"Duur is nul",IF(N(J169)&gt;12,"Langer dan 12 uur - controleren",IF(AND(E169="Werken",D169=""),"Werken zonder klant - koppelen","OK"))))))</f>
        <v/>
      </c>
    </row>
    <row r="170" ht="15" customHeight="1" s="42">
      <c r="A170" s="55" t="n"/>
      <c r="B170" s="56">
        <f>IF(A170="","",WEEKNUM(A170,21))</f>
        <v/>
      </c>
      <c r="C170" s="57" t="n"/>
      <c r="D170" s="57" t="n"/>
      <c r="E170" s="58" t="n"/>
      <c r="F170" s="57" t="n"/>
      <c r="G170" s="59" t="n"/>
      <c r="H170" s="59" t="n"/>
      <c r="I170" s="60">
        <f>IF(OR(G170="",H170=""),"",MOD(H170-G170,1))</f>
        <v/>
      </c>
      <c r="J170" s="61">
        <f>IF(OR(G170="",H170=""),"",ROUND(MOD(H170-G170,1)*24,2))</f>
        <v/>
      </c>
      <c r="K170" s="62">
        <f>IF(E170="","",IF(E170="Werken","JA","NEE"))</f>
        <v/>
      </c>
      <c r="L170" s="61">
        <f>IF(K170="JA",N(J170),IF(E170="","",0))</f>
        <v/>
      </c>
      <c r="M170" s="62">
        <f>IF(AND(A170="",E170=""),"",IF(E170="","Segment ontbreekt",IF(OR(G170="",H170=""),"Van/tot ontbreekt",IF(N(J170)=0,"Duur is nul",IF(N(J170)&gt;12,"Langer dan 12 uur - controleren",IF(AND(E170="Werken",D170=""),"Werken zonder klant - koppelen","OK"))))))</f>
        <v/>
      </c>
    </row>
    <row r="171" ht="15" customHeight="1" s="42">
      <c r="A171" s="55" t="n"/>
      <c r="B171" s="56">
        <f>IF(A171="","",WEEKNUM(A171,21))</f>
        <v/>
      </c>
      <c r="C171" s="57" t="n"/>
      <c r="D171" s="57" t="n"/>
      <c r="E171" s="58" t="n"/>
      <c r="F171" s="57" t="n"/>
      <c r="G171" s="59" t="n"/>
      <c r="H171" s="59" t="n"/>
      <c r="I171" s="60">
        <f>IF(OR(G171="",H171=""),"",MOD(H171-G171,1))</f>
        <v/>
      </c>
      <c r="J171" s="61">
        <f>IF(OR(G171="",H171=""),"",ROUND(MOD(H171-G171,1)*24,2))</f>
        <v/>
      </c>
      <c r="K171" s="62">
        <f>IF(E171="","",IF(E171="Werken","JA","NEE"))</f>
        <v/>
      </c>
      <c r="L171" s="61">
        <f>IF(K171="JA",N(J171),IF(E171="","",0))</f>
        <v/>
      </c>
      <c r="M171" s="62">
        <f>IF(AND(A171="",E171=""),"",IF(E171="","Segment ontbreekt",IF(OR(G171="",H171=""),"Van/tot ontbreekt",IF(N(J171)=0,"Duur is nul",IF(N(J171)&gt;12,"Langer dan 12 uur - controleren",IF(AND(E171="Werken",D171=""),"Werken zonder klant - koppelen","OK"))))))</f>
        <v/>
      </c>
    </row>
    <row r="172" ht="15" customHeight="1" s="42">
      <c r="A172" s="55" t="n"/>
      <c r="B172" s="56">
        <f>IF(A172="","",WEEKNUM(A172,21))</f>
        <v/>
      </c>
      <c r="C172" s="57" t="n"/>
      <c r="D172" s="57" t="n"/>
      <c r="E172" s="58" t="n"/>
      <c r="F172" s="57" t="n"/>
      <c r="G172" s="59" t="n"/>
      <c r="H172" s="59" t="n"/>
      <c r="I172" s="60">
        <f>IF(OR(G172="",H172=""),"",MOD(H172-G172,1))</f>
        <v/>
      </c>
      <c r="J172" s="61">
        <f>IF(OR(G172="",H172=""),"",ROUND(MOD(H172-G172,1)*24,2))</f>
        <v/>
      </c>
      <c r="K172" s="62">
        <f>IF(E172="","",IF(E172="Werken","JA","NEE"))</f>
        <v/>
      </c>
      <c r="L172" s="61">
        <f>IF(K172="JA",N(J172),IF(E172="","",0))</f>
        <v/>
      </c>
      <c r="M172" s="62">
        <f>IF(AND(A172="",E172=""),"",IF(E172="","Segment ontbreekt",IF(OR(G172="",H172=""),"Van/tot ontbreekt",IF(N(J172)=0,"Duur is nul",IF(N(J172)&gt;12,"Langer dan 12 uur - controleren",IF(AND(E172="Werken",D172=""),"Werken zonder klant - koppelen","OK"))))))</f>
        <v/>
      </c>
    </row>
    <row r="173" ht="15" customHeight="1" s="42">
      <c r="A173" s="55" t="n"/>
      <c r="B173" s="56">
        <f>IF(A173="","",WEEKNUM(A173,21))</f>
        <v/>
      </c>
      <c r="C173" s="57" t="n"/>
      <c r="D173" s="57" t="n"/>
      <c r="E173" s="58" t="n"/>
      <c r="F173" s="57" t="n"/>
      <c r="G173" s="59" t="n"/>
      <c r="H173" s="59" t="n"/>
      <c r="I173" s="60">
        <f>IF(OR(G173="",H173=""),"",MOD(H173-G173,1))</f>
        <v/>
      </c>
      <c r="J173" s="61">
        <f>IF(OR(G173="",H173=""),"",ROUND(MOD(H173-G173,1)*24,2))</f>
        <v/>
      </c>
      <c r="K173" s="62">
        <f>IF(E173="","",IF(E173="Werken","JA","NEE"))</f>
        <v/>
      </c>
      <c r="L173" s="61">
        <f>IF(K173="JA",N(J173),IF(E173="","",0))</f>
        <v/>
      </c>
      <c r="M173" s="62">
        <f>IF(AND(A173="",E173=""),"",IF(E173="","Segment ontbreekt",IF(OR(G173="",H173=""),"Van/tot ontbreekt",IF(N(J173)=0,"Duur is nul",IF(N(J173)&gt;12,"Langer dan 12 uur - controleren",IF(AND(E173="Werken",D173=""),"Werken zonder klant - koppelen","OK"))))))</f>
        <v/>
      </c>
    </row>
    <row r="174" ht="15" customHeight="1" s="42">
      <c r="A174" s="55" t="n"/>
      <c r="B174" s="56">
        <f>IF(A174="","",WEEKNUM(A174,21))</f>
        <v/>
      </c>
      <c r="C174" s="57" t="n"/>
      <c r="D174" s="57" t="n"/>
      <c r="E174" s="58" t="n"/>
      <c r="F174" s="57" t="n"/>
      <c r="G174" s="59" t="n"/>
      <c r="H174" s="59" t="n"/>
      <c r="I174" s="60">
        <f>IF(OR(G174="",H174=""),"",MOD(H174-G174,1))</f>
        <v/>
      </c>
      <c r="J174" s="61">
        <f>IF(OR(G174="",H174=""),"",ROUND(MOD(H174-G174,1)*24,2))</f>
        <v/>
      </c>
      <c r="K174" s="62">
        <f>IF(E174="","",IF(E174="Werken","JA","NEE"))</f>
        <v/>
      </c>
      <c r="L174" s="61">
        <f>IF(K174="JA",N(J174),IF(E174="","",0))</f>
        <v/>
      </c>
      <c r="M174" s="62">
        <f>IF(AND(A174="",E174=""),"",IF(E174="","Segment ontbreekt",IF(OR(G174="",H174=""),"Van/tot ontbreekt",IF(N(J174)=0,"Duur is nul",IF(N(J174)&gt;12,"Langer dan 12 uur - controleren",IF(AND(E174="Werken",D174=""),"Werken zonder klant - koppelen","OK"))))))</f>
        <v/>
      </c>
    </row>
    <row r="175" ht="15" customHeight="1" s="42">
      <c r="A175" s="55" t="n"/>
      <c r="B175" s="56">
        <f>IF(A175="","",WEEKNUM(A175,21))</f>
        <v/>
      </c>
      <c r="C175" s="57" t="n"/>
      <c r="D175" s="57" t="n"/>
      <c r="E175" s="58" t="n"/>
      <c r="F175" s="57" t="n"/>
      <c r="G175" s="59" t="n"/>
      <c r="H175" s="59" t="n"/>
      <c r="I175" s="60">
        <f>IF(OR(G175="",H175=""),"",MOD(H175-G175,1))</f>
        <v/>
      </c>
      <c r="J175" s="61">
        <f>IF(OR(G175="",H175=""),"",ROUND(MOD(H175-G175,1)*24,2))</f>
        <v/>
      </c>
      <c r="K175" s="62">
        <f>IF(E175="","",IF(E175="Werken","JA","NEE"))</f>
        <v/>
      </c>
      <c r="L175" s="61">
        <f>IF(K175="JA",N(J175),IF(E175="","",0))</f>
        <v/>
      </c>
      <c r="M175" s="62">
        <f>IF(AND(A175="",E175=""),"",IF(E175="","Segment ontbreekt",IF(OR(G175="",H175=""),"Van/tot ontbreekt",IF(N(J175)=0,"Duur is nul",IF(N(J175)&gt;12,"Langer dan 12 uur - controleren",IF(AND(E175="Werken",D175=""),"Werken zonder klant - koppelen","OK"))))))</f>
        <v/>
      </c>
    </row>
    <row r="176" ht="15" customHeight="1" s="42">
      <c r="A176" s="55" t="n"/>
      <c r="B176" s="56">
        <f>IF(A176="","",WEEKNUM(A176,21))</f>
        <v/>
      </c>
      <c r="C176" s="57" t="n"/>
      <c r="D176" s="57" t="n"/>
      <c r="E176" s="58" t="n"/>
      <c r="F176" s="57" t="n"/>
      <c r="G176" s="59" t="n"/>
      <c r="H176" s="59" t="n"/>
      <c r="I176" s="60">
        <f>IF(OR(G176="",H176=""),"",MOD(H176-G176,1))</f>
        <v/>
      </c>
      <c r="J176" s="61">
        <f>IF(OR(G176="",H176=""),"",ROUND(MOD(H176-G176,1)*24,2))</f>
        <v/>
      </c>
      <c r="K176" s="62">
        <f>IF(E176="","",IF(E176="Werken","JA","NEE"))</f>
        <v/>
      </c>
      <c r="L176" s="61">
        <f>IF(K176="JA",N(J176),IF(E176="","",0))</f>
        <v/>
      </c>
      <c r="M176" s="62">
        <f>IF(AND(A176="",E176=""),"",IF(E176="","Segment ontbreekt",IF(OR(G176="",H176=""),"Van/tot ontbreekt",IF(N(J176)=0,"Duur is nul",IF(N(J176)&gt;12,"Langer dan 12 uur - controleren",IF(AND(E176="Werken",D176=""),"Werken zonder klant - koppelen","OK"))))))</f>
        <v/>
      </c>
    </row>
    <row r="177" ht="15" customHeight="1" s="42">
      <c r="A177" s="55" t="n"/>
      <c r="B177" s="56">
        <f>IF(A177="","",WEEKNUM(A177,21))</f>
        <v/>
      </c>
      <c r="C177" s="57" t="n"/>
      <c r="D177" s="57" t="n"/>
      <c r="E177" s="58" t="n"/>
      <c r="F177" s="57" t="n"/>
      <c r="G177" s="59" t="n"/>
      <c r="H177" s="59" t="n"/>
      <c r="I177" s="60">
        <f>IF(OR(G177="",H177=""),"",MOD(H177-G177,1))</f>
        <v/>
      </c>
      <c r="J177" s="61">
        <f>IF(OR(G177="",H177=""),"",ROUND(MOD(H177-G177,1)*24,2))</f>
        <v/>
      </c>
      <c r="K177" s="62">
        <f>IF(E177="","",IF(E177="Werken","JA","NEE"))</f>
        <v/>
      </c>
      <c r="L177" s="61">
        <f>IF(K177="JA",N(J177),IF(E177="","",0))</f>
        <v/>
      </c>
      <c r="M177" s="62">
        <f>IF(AND(A177="",E177=""),"",IF(E177="","Segment ontbreekt",IF(OR(G177="",H177=""),"Van/tot ontbreekt",IF(N(J177)=0,"Duur is nul",IF(N(J177)&gt;12,"Langer dan 12 uur - controleren",IF(AND(E177="Werken",D177=""),"Werken zonder klant - koppelen","OK"))))))</f>
        <v/>
      </c>
    </row>
    <row r="178" ht="15" customHeight="1" s="42">
      <c r="A178" s="55" t="n"/>
      <c r="B178" s="56">
        <f>IF(A178="","",WEEKNUM(A178,21))</f>
        <v/>
      </c>
      <c r="C178" s="57" t="n"/>
      <c r="D178" s="57" t="n"/>
      <c r="E178" s="58" t="n"/>
      <c r="F178" s="57" t="n"/>
      <c r="G178" s="59" t="n"/>
      <c r="H178" s="59" t="n"/>
      <c r="I178" s="60">
        <f>IF(OR(G178="",H178=""),"",MOD(H178-G178,1))</f>
        <v/>
      </c>
      <c r="J178" s="61">
        <f>IF(OR(G178="",H178=""),"",ROUND(MOD(H178-G178,1)*24,2))</f>
        <v/>
      </c>
      <c r="K178" s="62">
        <f>IF(E178="","",IF(E178="Werken","JA","NEE"))</f>
        <v/>
      </c>
      <c r="L178" s="61">
        <f>IF(K178="JA",N(J178),IF(E178="","",0))</f>
        <v/>
      </c>
      <c r="M178" s="62">
        <f>IF(AND(A178="",E178=""),"",IF(E178="","Segment ontbreekt",IF(OR(G178="",H178=""),"Van/tot ontbreekt",IF(N(J178)=0,"Duur is nul",IF(N(J178)&gt;12,"Langer dan 12 uur - controleren",IF(AND(E178="Werken",D178=""),"Werken zonder klant - koppelen","OK"))))))</f>
        <v/>
      </c>
    </row>
    <row r="179" ht="15" customHeight="1" s="42">
      <c r="A179" s="55" t="n"/>
      <c r="B179" s="56">
        <f>IF(A179="","",WEEKNUM(A179,21))</f>
        <v/>
      </c>
      <c r="C179" s="57" t="n"/>
      <c r="D179" s="57" t="n"/>
      <c r="E179" s="58" t="n"/>
      <c r="F179" s="57" t="n"/>
      <c r="G179" s="59" t="n"/>
      <c r="H179" s="59" t="n"/>
      <c r="I179" s="60">
        <f>IF(OR(G179="",H179=""),"",MOD(H179-G179,1))</f>
        <v/>
      </c>
      <c r="J179" s="61">
        <f>IF(OR(G179="",H179=""),"",ROUND(MOD(H179-G179,1)*24,2))</f>
        <v/>
      </c>
      <c r="K179" s="62">
        <f>IF(E179="","",IF(E179="Werken","JA","NEE"))</f>
        <v/>
      </c>
      <c r="L179" s="61">
        <f>IF(K179="JA",N(J179),IF(E179="","",0))</f>
        <v/>
      </c>
      <c r="M179" s="62">
        <f>IF(AND(A179="",E179=""),"",IF(E179="","Segment ontbreekt",IF(OR(G179="",H179=""),"Van/tot ontbreekt",IF(N(J179)=0,"Duur is nul",IF(N(J179)&gt;12,"Langer dan 12 uur - controleren",IF(AND(E179="Werken",D179=""),"Werken zonder klant - koppelen","OK"))))))</f>
        <v/>
      </c>
    </row>
    <row r="180" ht="15" customHeight="1" s="42">
      <c r="A180" s="55" t="n"/>
      <c r="B180" s="56">
        <f>IF(A180="","",WEEKNUM(A180,21))</f>
        <v/>
      </c>
      <c r="C180" s="57" t="n"/>
      <c r="D180" s="57" t="n"/>
      <c r="E180" s="58" t="n"/>
      <c r="F180" s="57" t="n"/>
      <c r="G180" s="59" t="n"/>
      <c r="H180" s="59" t="n"/>
      <c r="I180" s="60">
        <f>IF(OR(G180="",H180=""),"",MOD(H180-G180,1))</f>
        <v/>
      </c>
      <c r="J180" s="61">
        <f>IF(OR(G180="",H180=""),"",ROUND(MOD(H180-G180,1)*24,2))</f>
        <v/>
      </c>
      <c r="K180" s="62">
        <f>IF(E180="","",IF(E180="Werken","JA","NEE"))</f>
        <v/>
      </c>
      <c r="L180" s="61">
        <f>IF(K180="JA",N(J180),IF(E180="","",0))</f>
        <v/>
      </c>
      <c r="M180" s="62">
        <f>IF(AND(A180="",E180=""),"",IF(E180="","Segment ontbreekt",IF(OR(G180="",H180=""),"Van/tot ontbreekt",IF(N(J180)=0,"Duur is nul",IF(N(J180)&gt;12,"Langer dan 12 uur - controleren",IF(AND(E180="Werken",D180=""),"Werken zonder klant - koppelen","OK"))))))</f>
        <v/>
      </c>
    </row>
    <row r="181" ht="15" customHeight="1" s="42">
      <c r="A181" s="55" t="n"/>
      <c r="B181" s="56">
        <f>IF(A181="","",WEEKNUM(A181,21))</f>
        <v/>
      </c>
      <c r="C181" s="57" t="n"/>
      <c r="D181" s="57" t="n"/>
      <c r="E181" s="58" t="n"/>
      <c r="F181" s="57" t="n"/>
      <c r="G181" s="59" t="n"/>
      <c r="H181" s="59" t="n"/>
      <c r="I181" s="60">
        <f>IF(OR(G181="",H181=""),"",MOD(H181-G181,1))</f>
        <v/>
      </c>
      <c r="J181" s="61">
        <f>IF(OR(G181="",H181=""),"",ROUND(MOD(H181-G181,1)*24,2))</f>
        <v/>
      </c>
      <c r="K181" s="62">
        <f>IF(E181="","",IF(E181="Werken","JA","NEE"))</f>
        <v/>
      </c>
      <c r="L181" s="61">
        <f>IF(K181="JA",N(J181),IF(E181="","",0))</f>
        <v/>
      </c>
      <c r="M181" s="62">
        <f>IF(AND(A181="",E181=""),"",IF(E181="","Segment ontbreekt",IF(OR(G181="",H181=""),"Van/tot ontbreekt",IF(N(J181)=0,"Duur is nul",IF(N(J181)&gt;12,"Langer dan 12 uur - controleren",IF(AND(E181="Werken",D181=""),"Werken zonder klant - koppelen","OK"))))))</f>
        <v/>
      </c>
    </row>
    <row r="182" ht="15" customHeight="1" s="42">
      <c r="A182" s="55" t="n"/>
      <c r="B182" s="56">
        <f>IF(A182="","",WEEKNUM(A182,21))</f>
        <v/>
      </c>
      <c r="C182" s="57" t="n"/>
      <c r="D182" s="57" t="n"/>
      <c r="E182" s="58" t="n"/>
      <c r="F182" s="57" t="n"/>
      <c r="G182" s="59" t="n"/>
      <c r="H182" s="59" t="n"/>
      <c r="I182" s="60">
        <f>IF(OR(G182="",H182=""),"",MOD(H182-G182,1))</f>
        <v/>
      </c>
      <c r="J182" s="61">
        <f>IF(OR(G182="",H182=""),"",ROUND(MOD(H182-G182,1)*24,2))</f>
        <v/>
      </c>
      <c r="K182" s="62">
        <f>IF(E182="","",IF(E182="Werken","JA","NEE"))</f>
        <v/>
      </c>
      <c r="L182" s="61">
        <f>IF(K182="JA",N(J182),IF(E182="","",0))</f>
        <v/>
      </c>
      <c r="M182" s="62">
        <f>IF(AND(A182="",E182=""),"",IF(E182="","Segment ontbreekt",IF(OR(G182="",H182=""),"Van/tot ontbreekt",IF(N(J182)=0,"Duur is nul",IF(N(J182)&gt;12,"Langer dan 12 uur - controleren",IF(AND(E182="Werken",D182=""),"Werken zonder klant - koppelen","OK"))))))</f>
        <v/>
      </c>
    </row>
    <row r="183" ht="15" customHeight="1" s="42">
      <c r="A183" s="55" t="n"/>
      <c r="B183" s="56">
        <f>IF(A183="","",WEEKNUM(A183,21))</f>
        <v/>
      </c>
      <c r="C183" s="57" t="n"/>
      <c r="D183" s="57" t="n"/>
      <c r="E183" s="58" t="n"/>
      <c r="F183" s="57" t="n"/>
      <c r="G183" s="59" t="n"/>
      <c r="H183" s="59" t="n"/>
      <c r="I183" s="60">
        <f>IF(OR(G183="",H183=""),"",MOD(H183-G183,1))</f>
        <v/>
      </c>
      <c r="J183" s="61">
        <f>IF(OR(G183="",H183=""),"",ROUND(MOD(H183-G183,1)*24,2))</f>
        <v/>
      </c>
      <c r="K183" s="62">
        <f>IF(E183="","",IF(E183="Werken","JA","NEE"))</f>
        <v/>
      </c>
      <c r="L183" s="61">
        <f>IF(K183="JA",N(J183),IF(E183="","",0))</f>
        <v/>
      </c>
      <c r="M183" s="62">
        <f>IF(AND(A183="",E183=""),"",IF(E183="","Segment ontbreekt",IF(OR(G183="",H183=""),"Van/tot ontbreekt",IF(N(J183)=0,"Duur is nul",IF(N(J183)&gt;12,"Langer dan 12 uur - controleren",IF(AND(E183="Werken",D183=""),"Werken zonder klant - koppelen","OK"))))))</f>
        <v/>
      </c>
    </row>
    <row r="184" ht="15" customHeight="1" s="42">
      <c r="A184" s="55" t="n"/>
      <c r="B184" s="56">
        <f>IF(A184="","",WEEKNUM(A184,21))</f>
        <v/>
      </c>
      <c r="C184" s="57" t="n"/>
      <c r="D184" s="57" t="n"/>
      <c r="E184" s="58" t="n"/>
      <c r="F184" s="57" t="n"/>
      <c r="G184" s="59" t="n"/>
      <c r="H184" s="59" t="n"/>
      <c r="I184" s="60">
        <f>IF(OR(G184="",H184=""),"",MOD(H184-G184,1))</f>
        <v/>
      </c>
      <c r="J184" s="61">
        <f>IF(OR(G184="",H184=""),"",ROUND(MOD(H184-G184,1)*24,2))</f>
        <v/>
      </c>
      <c r="K184" s="62">
        <f>IF(E184="","",IF(E184="Werken","JA","NEE"))</f>
        <v/>
      </c>
      <c r="L184" s="61">
        <f>IF(K184="JA",N(J184),IF(E184="","",0))</f>
        <v/>
      </c>
      <c r="M184" s="62">
        <f>IF(AND(A184="",E184=""),"",IF(E184="","Segment ontbreekt",IF(OR(G184="",H184=""),"Van/tot ontbreekt",IF(N(J184)=0,"Duur is nul",IF(N(J184)&gt;12,"Langer dan 12 uur - controleren",IF(AND(E184="Werken",D184=""),"Werken zonder klant - koppelen","OK"))))))</f>
        <v/>
      </c>
    </row>
    <row r="185" ht="15" customHeight="1" s="42">
      <c r="A185" s="55" t="n"/>
      <c r="B185" s="56">
        <f>IF(A185="","",WEEKNUM(A185,21))</f>
        <v/>
      </c>
      <c r="C185" s="57" t="n"/>
      <c r="D185" s="57" t="n"/>
      <c r="E185" s="58" t="n"/>
      <c r="F185" s="57" t="n"/>
      <c r="G185" s="59" t="n"/>
      <c r="H185" s="59" t="n"/>
      <c r="I185" s="60">
        <f>IF(OR(G185="",H185=""),"",MOD(H185-G185,1))</f>
        <v/>
      </c>
      <c r="J185" s="61">
        <f>IF(OR(G185="",H185=""),"",ROUND(MOD(H185-G185,1)*24,2))</f>
        <v/>
      </c>
      <c r="K185" s="62">
        <f>IF(E185="","",IF(E185="Werken","JA","NEE"))</f>
        <v/>
      </c>
      <c r="L185" s="61">
        <f>IF(K185="JA",N(J185),IF(E185="","",0))</f>
        <v/>
      </c>
      <c r="M185" s="62">
        <f>IF(AND(A185="",E185=""),"",IF(E185="","Segment ontbreekt",IF(OR(G185="",H185=""),"Van/tot ontbreekt",IF(N(J185)=0,"Duur is nul",IF(N(J185)&gt;12,"Langer dan 12 uur - controleren",IF(AND(E185="Werken",D185=""),"Werken zonder klant - koppelen","OK"))))))</f>
        <v/>
      </c>
    </row>
    <row r="186" ht="15" customHeight="1" s="42">
      <c r="A186" s="55" t="n"/>
      <c r="B186" s="56">
        <f>IF(A186="","",WEEKNUM(A186,21))</f>
        <v/>
      </c>
      <c r="C186" s="57" t="n"/>
      <c r="D186" s="57" t="n"/>
      <c r="E186" s="58" t="n"/>
      <c r="F186" s="57" t="n"/>
      <c r="G186" s="59" t="n"/>
      <c r="H186" s="59" t="n"/>
      <c r="I186" s="60">
        <f>IF(OR(G186="",H186=""),"",MOD(H186-G186,1))</f>
        <v/>
      </c>
      <c r="J186" s="61">
        <f>IF(OR(G186="",H186=""),"",ROUND(MOD(H186-G186,1)*24,2))</f>
        <v/>
      </c>
      <c r="K186" s="62">
        <f>IF(E186="","",IF(E186="Werken","JA","NEE"))</f>
        <v/>
      </c>
      <c r="L186" s="61">
        <f>IF(K186="JA",N(J186),IF(E186="","",0))</f>
        <v/>
      </c>
      <c r="M186" s="62">
        <f>IF(AND(A186="",E186=""),"",IF(E186="","Segment ontbreekt",IF(OR(G186="",H186=""),"Van/tot ontbreekt",IF(N(J186)=0,"Duur is nul",IF(N(J186)&gt;12,"Langer dan 12 uur - controleren",IF(AND(E186="Werken",D186=""),"Werken zonder klant - koppelen","OK"))))))</f>
        <v/>
      </c>
    </row>
    <row r="187" ht="15" customHeight="1" s="42">
      <c r="A187" s="55" t="n"/>
      <c r="B187" s="56">
        <f>IF(A187="","",WEEKNUM(A187,21))</f>
        <v/>
      </c>
      <c r="C187" s="57" t="n"/>
      <c r="D187" s="57" t="n"/>
      <c r="E187" s="58" t="n"/>
      <c r="F187" s="57" t="n"/>
      <c r="G187" s="59" t="n"/>
      <c r="H187" s="59" t="n"/>
      <c r="I187" s="60">
        <f>IF(OR(G187="",H187=""),"",MOD(H187-G187,1))</f>
        <v/>
      </c>
      <c r="J187" s="61">
        <f>IF(OR(G187="",H187=""),"",ROUND(MOD(H187-G187,1)*24,2))</f>
        <v/>
      </c>
      <c r="K187" s="62">
        <f>IF(E187="","",IF(E187="Werken","JA","NEE"))</f>
        <v/>
      </c>
      <c r="L187" s="61">
        <f>IF(K187="JA",N(J187),IF(E187="","",0))</f>
        <v/>
      </c>
      <c r="M187" s="62">
        <f>IF(AND(A187="",E187=""),"",IF(E187="","Segment ontbreekt",IF(OR(G187="",H187=""),"Van/tot ontbreekt",IF(N(J187)=0,"Duur is nul",IF(N(J187)&gt;12,"Langer dan 12 uur - controleren",IF(AND(E187="Werken",D187=""),"Werken zonder klant - koppelen","OK"))))))</f>
        <v/>
      </c>
    </row>
    <row r="188" ht="15" customHeight="1" s="42">
      <c r="A188" s="55" t="n"/>
      <c r="B188" s="56">
        <f>IF(A188="","",WEEKNUM(A188,21))</f>
        <v/>
      </c>
      <c r="C188" s="57" t="n"/>
      <c r="D188" s="57" t="n"/>
      <c r="E188" s="58" t="n"/>
      <c r="F188" s="57" t="n"/>
      <c r="G188" s="59" t="n"/>
      <c r="H188" s="59" t="n"/>
      <c r="I188" s="60">
        <f>IF(OR(G188="",H188=""),"",MOD(H188-G188,1))</f>
        <v/>
      </c>
      <c r="J188" s="61">
        <f>IF(OR(G188="",H188=""),"",ROUND(MOD(H188-G188,1)*24,2))</f>
        <v/>
      </c>
      <c r="K188" s="62">
        <f>IF(E188="","",IF(E188="Werken","JA","NEE"))</f>
        <v/>
      </c>
      <c r="L188" s="61">
        <f>IF(K188="JA",N(J188),IF(E188="","",0))</f>
        <v/>
      </c>
      <c r="M188" s="62">
        <f>IF(AND(A188="",E188=""),"",IF(E188="","Segment ontbreekt",IF(OR(G188="",H188=""),"Van/tot ontbreekt",IF(N(J188)=0,"Duur is nul",IF(N(J188)&gt;12,"Langer dan 12 uur - controleren",IF(AND(E188="Werken",D188=""),"Werken zonder klant - koppelen","OK"))))))</f>
        <v/>
      </c>
    </row>
    <row r="189" ht="15" customHeight="1" s="42">
      <c r="A189" s="55" t="n"/>
      <c r="B189" s="56">
        <f>IF(A189="","",WEEKNUM(A189,21))</f>
        <v/>
      </c>
      <c r="C189" s="57" t="n"/>
      <c r="D189" s="57" t="n"/>
      <c r="E189" s="58" t="n"/>
      <c r="F189" s="57" t="n"/>
      <c r="G189" s="59" t="n"/>
      <c r="H189" s="59" t="n"/>
      <c r="I189" s="60">
        <f>IF(OR(G189="",H189=""),"",MOD(H189-G189,1))</f>
        <v/>
      </c>
      <c r="J189" s="61">
        <f>IF(OR(G189="",H189=""),"",ROUND(MOD(H189-G189,1)*24,2))</f>
        <v/>
      </c>
      <c r="K189" s="62">
        <f>IF(E189="","",IF(E189="Werken","JA","NEE"))</f>
        <v/>
      </c>
      <c r="L189" s="61">
        <f>IF(K189="JA",N(J189),IF(E189="","",0))</f>
        <v/>
      </c>
      <c r="M189" s="62">
        <f>IF(AND(A189="",E189=""),"",IF(E189="","Segment ontbreekt",IF(OR(G189="",H189=""),"Van/tot ontbreekt",IF(N(J189)=0,"Duur is nul",IF(N(J189)&gt;12,"Langer dan 12 uur - controleren",IF(AND(E189="Werken",D189=""),"Werken zonder klant - koppelen","OK"))))))</f>
        <v/>
      </c>
    </row>
    <row r="190" ht="15" customHeight="1" s="42">
      <c r="A190" s="55" t="n"/>
      <c r="B190" s="56">
        <f>IF(A190="","",WEEKNUM(A190,21))</f>
        <v/>
      </c>
      <c r="C190" s="57" t="n"/>
      <c r="D190" s="57" t="n"/>
      <c r="E190" s="58" t="n"/>
      <c r="F190" s="57" t="n"/>
      <c r="G190" s="59" t="n"/>
      <c r="H190" s="59" t="n"/>
      <c r="I190" s="60">
        <f>IF(OR(G190="",H190=""),"",MOD(H190-G190,1))</f>
        <v/>
      </c>
      <c r="J190" s="61">
        <f>IF(OR(G190="",H190=""),"",ROUND(MOD(H190-G190,1)*24,2))</f>
        <v/>
      </c>
      <c r="K190" s="62">
        <f>IF(E190="","",IF(E190="Werken","JA","NEE"))</f>
        <v/>
      </c>
      <c r="L190" s="61">
        <f>IF(K190="JA",N(J190),IF(E190="","",0))</f>
        <v/>
      </c>
      <c r="M190" s="62">
        <f>IF(AND(A190="",E190=""),"",IF(E190="","Segment ontbreekt",IF(OR(G190="",H190=""),"Van/tot ontbreekt",IF(N(J190)=0,"Duur is nul",IF(N(J190)&gt;12,"Langer dan 12 uur - controleren",IF(AND(E190="Werken",D190=""),"Werken zonder klant - koppelen","OK"))))))</f>
        <v/>
      </c>
    </row>
    <row r="191" ht="15" customHeight="1" s="42">
      <c r="A191" s="55" t="n"/>
      <c r="B191" s="56">
        <f>IF(A191="","",WEEKNUM(A191,21))</f>
        <v/>
      </c>
      <c r="C191" s="57" t="n"/>
      <c r="D191" s="57" t="n"/>
      <c r="E191" s="58" t="n"/>
      <c r="F191" s="57" t="n"/>
      <c r="G191" s="59" t="n"/>
      <c r="H191" s="59" t="n"/>
      <c r="I191" s="60">
        <f>IF(OR(G191="",H191=""),"",MOD(H191-G191,1))</f>
        <v/>
      </c>
      <c r="J191" s="61">
        <f>IF(OR(G191="",H191=""),"",ROUND(MOD(H191-G191,1)*24,2))</f>
        <v/>
      </c>
      <c r="K191" s="62">
        <f>IF(E191="","",IF(E191="Werken","JA","NEE"))</f>
        <v/>
      </c>
      <c r="L191" s="61">
        <f>IF(K191="JA",N(J191),IF(E191="","",0))</f>
        <v/>
      </c>
      <c r="M191" s="62">
        <f>IF(AND(A191="",E191=""),"",IF(E191="","Segment ontbreekt",IF(OR(G191="",H191=""),"Van/tot ontbreekt",IF(N(J191)=0,"Duur is nul",IF(N(J191)&gt;12,"Langer dan 12 uur - controleren",IF(AND(E191="Werken",D191=""),"Werken zonder klant - koppelen","OK"))))))</f>
        <v/>
      </c>
    </row>
    <row r="192" ht="15" customHeight="1" s="42">
      <c r="A192" s="55" t="n"/>
      <c r="B192" s="56">
        <f>IF(A192="","",WEEKNUM(A192,21))</f>
        <v/>
      </c>
      <c r="C192" s="57" t="n"/>
      <c r="D192" s="57" t="n"/>
      <c r="E192" s="58" t="n"/>
      <c r="F192" s="57" t="n"/>
      <c r="G192" s="59" t="n"/>
      <c r="H192" s="59" t="n"/>
      <c r="I192" s="60">
        <f>IF(OR(G192="",H192=""),"",MOD(H192-G192,1))</f>
        <v/>
      </c>
      <c r="J192" s="61">
        <f>IF(OR(G192="",H192=""),"",ROUND(MOD(H192-G192,1)*24,2))</f>
        <v/>
      </c>
      <c r="K192" s="62">
        <f>IF(E192="","",IF(E192="Werken","JA","NEE"))</f>
        <v/>
      </c>
      <c r="L192" s="61">
        <f>IF(K192="JA",N(J192),IF(E192="","",0))</f>
        <v/>
      </c>
      <c r="M192" s="62">
        <f>IF(AND(A192="",E192=""),"",IF(E192="","Segment ontbreekt",IF(OR(G192="",H192=""),"Van/tot ontbreekt",IF(N(J192)=0,"Duur is nul",IF(N(J192)&gt;12,"Langer dan 12 uur - controleren",IF(AND(E192="Werken",D192=""),"Werken zonder klant - koppelen","OK"))))))</f>
        <v/>
      </c>
    </row>
    <row r="193" ht="15" customHeight="1" s="42">
      <c r="A193" s="55" t="n"/>
      <c r="B193" s="56">
        <f>IF(A193="","",WEEKNUM(A193,21))</f>
        <v/>
      </c>
      <c r="C193" s="57" t="n"/>
      <c r="D193" s="57" t="n"/>
      <c r="E193" s="58" t="n"/>
      <c r="F193" s="57" t="n"/>
      <c r="G193" s="59" t="n"/>
      <c r="H193" s="59" t="n"/>
      <c r="I193" s="60">
        <f>IF(OR(G193="",H193=""),"",MOD(H193-G193,1))</f>
        <v/>
      </c>
      <c r="J193" s="61">
        <f>IF(OR(G193="",H193=""),"",ROUND(MOD(H193-G193,1)*24,2))</f>
        <v/>
      </c>
      <c r="K193" s="62">
        <f>IF(E193="","",IF(E193="Werken","JA","NEE"))</f>
        <v/>
      </c>
      <c r="L193" s="61">
        <f>IF(K193="JA",N(J193),IF(E193="","",0))</f>
        <v/>
      </c>
      <c r="M193" s="62">
        <f>IF(AND(A193="",E193=""),"",IF(E193="","Segment ontbreekt",IF(OR(G193="",H193=""),"Van/tot ontbreekt",IF(N(J193)=0,"Duur is nul",IF(N(J193)&gt;12,"Langer dan 12 uur - controleren",IF(AND(E193="Werken",D193=""),"Werken zonder klant - koppelen","OK"))))))</f>
        <v/>
      </c>
    </row>
    <row r="194" ht="15" customHeight="1" s="42">
      <c r="A194" s="55" t="n"/>
      <c r="B194" s="56">
        <f>IF(A194="","",WEEKNUM(A194,21))</f>
        <v/>
      </c>
      <c r="C194" s="57" t="n"/>
      <c r="D194" s="57" t="n"/>
      <c r="E194" s="58" t="n"/>
      <c r="F194" s="57" t="n"/>
      <c r="G194" s="59" t="n"/>
      <c r="H194" s="59" t="n"/>
      <c r="I194" s="60">
        <f>IF(OR(G194="",H194=""),"",MOD(H194-G194,1))</f>
        <v/>
      </c>
      <c r="J194" s="61">
        <f>IF(OR(G194="",H194=""),"",ROUND(MOD(H194-G194,1)*24,2))</f>
        <v/>
      </c>
      <c r="K194" s="62">
        <f>IF(E194="","",IF(E194="Werken","JA","NEE"))</f>
        <v/>
      </c>
      <c r="L194" s="61">
        <f>IF(K194="JA",N(J194),IF(E194="","",0))</f>
        <v/>
      </c>
      <c r="M194" s="62">
        <f>IF(AND(A194="",E194=""),"",IF(E194="","Segment ontbreekt",IF(OR(G194="",H194=""),"Van/tot ontbreekt",IF(N(J194)=0,"Duur is nul",IF(N(J194)&gt;12,"Langer dan 12 uur - controleren",IF(AND(E194="Werken",D194=""),"Werken zonder klant - koppelen","OK"))))))</f>
        <v/>
      </c>
    </row>
    <row r="195" ht="15" customHeight="1" s="42">
      <c r="A195" s="55" t="n"/>
      <c r="B195" s="56">
        <f>IF(A195="","",WEEKNUM(A195,21))</f>
        <v/>
      </c>
      <c r="C195" s="57" t="n"/>
      <c r="D195" s="57" t="n"/>
      <c r="E195" s="58" t="n"/>
      <c r="F195" s="57" t="n"/>
      <c r="G195" s="59" t="n"/>
      <c r="H195" s="59" t="n"/>
      <c r="I195" s="60">
        <f>IF(OR(G195="",H195=""),"",MOD(H195-G195,1))</f>
        <v/>
      </c>
      <c r="J195" s="61">
        <f>IF(OR(G195="",H195=""),"",ROUND(MOD(H195-G195,1)*24,2))</f>
        <v/>
      </c>
      <c r="K195" s="62">
        <f>IF(E195="","",IF(E195="Werken","JA","NEE"))</f>
        <v/>
      </c>
      <c r="L195" s="61">
        <f>IF(K195="JA",N(J195),IF(E195="","",0))</f>
        <v/>
      </c>
      <c r="M195" s="62">
        <f>IF(AND(A195="",E195=""),"",IF(E195="","Segment ontbreekt",IF(OR(G195="",H195=""),"Van/tot ontbreekt",IF(N(J195)=0,"Duur is nul",IF(N(J195)&gt;12,"Langer dan 12 uur - controleren",IF(AND(E195="Werken",D195=""),"Werken zonder klant - koppelen","OK"))))))</f>
        <v/>
      </c>
    </row>
    <row r="196" ht="15" customHeight="1" s="42">
      <c r="A196" s="55" t="n"/>
      <c r="B196" s="56">
        <f>IF(A196="","",WEEKNUM(A196,21))</f>
        <v/>
      </c>
      <c r="C196" s="57" t="n"/>
      <c r="D196" s="57" t="n"/>
      <c r="E196" s="58" t="n"/>
      <c r="F196" s="57" t="n"/>
      <c r="G196" s="59" t="n"/>
      <c r="H196" s="59" t="n"/>
      <c r="I196" s="60">
        <f>IF(OR(G196="",H196=""),"",MOD(H196-G196,1))</f>
        <v/>
      </c>
      <c r="J196" s="61">
        <f>IF(OR(G196="",H196=""),"",ROUND(MOD(H196-G196,1)*24,2))</f>
        <v/>
      </c>
      <c r="K196" s="62">
        <f>IF(E196="","",IF(E196="Werken","JA","NEE"))</f>
        <v/>
      </c>
      <c r="L196" s="61">
        <f>IF(K196="JA",N(J196),IF(E196="","",0))</f>
        <v/>
      </c>
      <c r="M196" s="62">
        <f>IF(AND(A196="",E196=""),"",IF(E196="","Segment ontbreekt",IF(OR(G196="",H196=""),"Van/tot ontbreekt",IF(N(J196)=0,"Duur is nul",IF(N(J196)&gt;12,"Langer dan 12 uur - controleren",IF(AND(E196="Werken",D196=""),"Werken zonder klant - koppelen","OK"))))))</f>
        <v/>
      </c>
    </row>
    <row r="197" ht="15" customHeight="1" s="42">
      <c r="A197" s="55" t="n"/>
      <c r="B197" s="56">
        <f>IF(A197="","",WEEKNUM(A197,21))</f>
        <v/>
      </c>
      <c r="C197" s="57" t="n"/>
      <c r="D197" s="57" t="n"/>
      <c r="E197" s="58" t="n"/>
      <c r="F197" s="57" t="n"/>
      <c r="G197" s="59" t="n"/>
      <c r="H197" s="59" t="n"/>
      <c r="I197" s="60">
        <f>IF(OR(G197="",H197=""),"",MOD(H197-G197,1))</f>
        <v/>
      </c>
      <c r="J197" s="61">
        <f>IF(OR(G197="",H197=""),"",ROUND(MOD(H197-G197,1)*24,2))</f>
        <v/>
      </c>
      <c r="K197" s="62">
        <f>IF(E197="","",IF(E197="Werken","JA","NEE"))</f>
        <v/>
      </c>
      <c r="L197" s="61">
        <f>IF(K197="JA",N(J197),IF(E197="","",0))</f>
        <v/>
      </c>
      <c r="M197" s="62">
        <f>IF(AND(A197="",E197=""),"",IF(E197="","Segment ontbreekt",IF(OR(G197="",H197=""),"Van/tot ontbreekt",IF(N(J197)=0,"Duur is nul",IF(N(J197)&gt;12,"Langer dan 12 uur - controleren",IF(AND(E197="Werken",D197=""),"Werken zonder klant - koppelen","OK"))))))</f>
        <v/>
      </c>
    </row>
    <row r="198" ht="15" customHeight="1" s="42">
      <c r="A198" s="55" t="n"/>
      <c r="B198" s="56">
        <f>IF(A198="","",WEEKNUM(A198,21))</f>
        <v/>
      </c>
      <c r="C198" s="57" t="n"/>
      <c r="D198" s="57" t="n"/>
      <c r="E198" s="58" t="n"/>
      <c r="F198" s="57" t="n"/>
      <c r="G198" s="59" t="n"/>
      <c r="H198" s="59" t="n"/>
      <c r="I198" s="60">
        <f>IF(OR(G198="",H198=""),"",MOD(H198-G198,1))</f>
        <v/>
      </c>
      <c r="J198" s="61">
        <f>IF(OR(G198="",H198=""),"",ROUND(MOD(H198-G198,1)*24,2))</f>
        <v/>
      </c>
      <c r="K198" s="62">
        <f>IF(E198="","",IF(E198="Werken","JA","NEE"))</f>
        <v/>
      </c>
      <c r="L198" s="61">
        <f>IF(K198="JA",N(J198),IF(E198="","",0))</f>
        <v/>
      </c>
      <c r="M198" s="62">
        <f>IF(AND(A198="",E198=""),"",IF(E198="","Segment ontbreekt",IF(OR(G198="",H198=""),"Van/tot ontbreekt",IF(N(J198)=0,"Duur is nul",IF(N(J198)&gt;12,"Langer dan 12 uur - controleren",IF(AND(E198="Werken",D198=""),"Werken zonder klant - koppelen","OK"))))))</f>
        <v/>
      </c>
    </row>
    <row r="199" ht="15" customHeight="1" s="42">
      <c r="A199" s="55" t="n"/>
      <c r="B199" s="56">
        <f>IF(A199="","",WEEKNUM(A199,21))</f>
        <v/>
      </c>
      <c r="C199" s="57" t="n"/>
      <c r="D199" s="57" t="n"/>
      <c r="E199" s="58" t="n"/>
      <c r="F199" s="57" t="n"/>
      <c r="G199" s="59" t="n"/>
      <c r="H199" s="59" t="n"/>
      <c r="I199" s="60">
        <f>IF(OR(G199="",H199=""),"",MOD(H199-G199,1))</f>
        <v/>
      </c>
      <c r="J199" s="61">
        <f>IF(OR(G199="",H199=""),"",ROUND(MOD(H199-G199,1)*24,2))</f>
        <v/>
      </c>
      <c r="K199" s="62">
        <f>IF(E199="","",IF(E199="Werken","JA","NEE"))</f>
        <v/>
      </c>
      <c r="L199" s="61">
        <f>IF(K199="JA",N(J199),IF(E199="","",0))</f>
        <v/>
      </c>
      <c r="M199" s="62">
        <f>IF(AND(A199="",E199=""),"",IF(E199="","Segment ontbreekt",IF(OR(G199="",H199=""),"Van/tot ontbreekt",IF(N(J199)=0,"Duur is nul",IF(N(J199)&gt;12,"Langer dan 12 uur - controleren",IF(AND(E199="Werken",D199=""),"Werken zonder klant - koppelen","OK"))))))</f>
        <v/>
      </c>
    </row>
    <row r="200" ht="15" customHeight="1" s="42">
      <c r="A200" s="55" t="n"/>
      <c r="B200" s="56">
        <f>IF(A200="","",WEEKNUM(A200,21))</f>
        <v/>
      </c>
      <c r="C200" s="57" t="n"/>
      <c r="D200" s="57" t="n"/>
      <c r="E200" s="58" t="n"/>
      <c r="F200" s="57" t="n"/>
      <c r="G200" s="59" t="n"/>
      <c r="H200" s="59" t="n"/>
      <c r="I200" s="60">
        <f>IF(OR(G200="",H200=""),"",MOD(H200-G200,1))</f>
        <v/>
      </c>
      <c r="J200" s="61">
        <f>IF(OR(G200="",H200=""),"",ROUND(MOD(H200-G200,1)*24,2))</f>
        <v/>
      </c>
      <c r="K200" s="62">
        <f>IF(E200="","",IF(E200="Werken","JA","NEE"))</f>
        <v/>
      </c>
      <c r="L200" s="61">
        <f>IF(K200="JA",N(J200),IF(E200="","",0))</f>
        <v/>
      </c>
      <c r="M200" s="62">
        <f>IF(AND(A200="",E200=""),"",IF(E200="","Segment ontbreekt",IF(OR(G200="",H200=""),"Van/tot ontbreekt",IF(N(J200)=0,"Duur is nul",IF(N(J200)&gt;12,"Langer dan 12 uur - controleren",IF(AND(E200="Werken",D200=""),"Werken zonder klant - koppelen","OK"))))))</f>
        <v/>
      </c>
    </row>
    <row r="201" ht="15" customHeight="1" s="42">
      <c r="A201" s="55" t="n"/>
      <c r="B201" s="56">
        <f>IF(A201="","",WEEKNUM(A201,21))</f>
        <v/>
      </c>
      <c r="C201" s="57" t="n"/>
      <c r="D201" s="57" t="n"/>
      <c r="E201" s="58" t="n"/>
      <c r="F201" s="57" t="n"/>
      <c r="G201" s="59" t="n"/>
      <c r="H201" s="59" t="n"/>
      <c r="I201" s="60">
        <f>IF(OR(G201="",H201=""),"",MOD(H201-G201,1))</f>
        <v/>
      </c>
      <c r="J201" s="61">
        <f>IF(OR(G201="",H201=""),"",ROUND(MOD(H201-G201,1)*24,2))</f>
        <v/>
      </c>
      <c r="K201" s="62">
        <f>IF(E201="","",IF(E201="Werken","JA","NEE"))</f>
        <v/>
      </c>
      <c r="L201" s="61">
        <f>IF(K201="JA",N(J201),IF(E201="","",0))</f>
        <v/>
      </c>
      <c r="M201" s="62">
        <f>IF(AND(A201="",E201=""),"",IF(E201="","Segment ontbreekt",IF(OR(G201="",H201=""),"Van/tot ontbreekt",IF(N(J201)=0,"Duur is nul",IF(N(J201)&gt;12,"Langer dan 12 uur - controleren",IF(AND(E201="Werken",D201=""),"Werken zonder klant - koppelen","OK"))))))</f>
        <v/>
      </c>
    </row>
    <row r="202" ht="15" customHeight="1" s="42">
      <c r="A202" s="55" t="n"/>
      <c r="B202" s="56">
        <f>IF(A202="","",WEEKNUM(A202,21))</f>
        <v/>
      </c>
      <c r="C202" s="57" t="n"/>
      <c r="D202" s="57" t="n"/>
      <c r="E202" s="58" t="n"/>
      <c r="F202" s="57" t="n"/>
      <c r="G202" s="59" t="n"/>
      <c r="H202" s="59" t="n"/>
      <c r="I202" s="60">
        <f>IF(OR(G202="",H202=""),"",MOD(H202-G202,1))</f>
        <v/>
      </c>
      <c r="J202" s="61">
        <f>IF(OR(G202="",H202=""),"",ROUND(MOD(H202-G202,1)*24,2))</f>
        <v/>
      </c>
      <c r="K202" s="62">
        <f>IF(E202="","",IF(E202="Werken","JA","NEE"))</f>
        <v/>
      </c>
      <c r="L202" s="61">
        <f>IF(K202="JA",N(J202),IF(E202="","",0))</f>
        <v/>
      </c>
      <c r="M202" s="62">
        <f>IF(AND(A202="",E202=""),"",IF(E202="","Segment ontbreekt",IF(OR(G202="",H202=""),"Van/tot ontbreekt",IF(N(J202)=0,"Duur is nul",IF(N(J202)&gt;12,"Langer dan 12 uur - controleren",IF(AND(E202="Werken",D202=""),"Werken zonder klant - koppelen","OK"))))))</f>
        <v/>
      </c>
    </row>
    <row r="203" ht="15" customHeight="1" s="42">
      <c r="A203" s="55" t="n"/>
      <c r="B203" s="56">
        <f>IF(A203="","",WEEKNUM(A203,21))</f>
        <v/>
      </c>
      <c r="C203" s="57" t="n"/>
      <c r="D203" s="57" t="n"/>
      <c r="E203" s="58" t="n"/>
      <c r="F203" s="57" t="n"/>
      <c r="G203" s="59" t="n"/>
      <c r="H203" s="59" t="n"/>
      <c r="I203" s="60">
        <f>IF(OR(G203="",H203=""),"",MOD(H203-G203,1))</f>
        <v/>
      </c>
      <c r="J203" s="61">
        <f>IF(OR(G203="",H203=""),"",ROUND(MOD(H203-G203,1)*24,2))</f>
        <v/>
      </c>
      <c r="K203" s="62">
        <f>IF(E203="","",IF(E203="Werken","JA","NEE"))</f>
        <v/>
      </c>
      <c r="L203" s="61">
        <f>IF(K203="JA",N(J203),IF(E203="","",0))</f>
        <v/>
      </c>
      <c r="M203" s="62">
        <f>IF(AND(A203="",E203=""),"",IF(E203="","Segment ontbreekt",IF(OR(G203="",H203=""),"Van/tot ontbreekt",IF(N(J203)=0,"Duur is nul",IF(N(J203)&gt;12,"Langer dan 12 uur - controleren",IF(AND(E203="Werken",D203=""),"Werken zonder klant - koppelen","OK"))))))</f>
        <v/>
      </c>
    </row>
    <row r="204" ht="15" customHeight="1" s="42">
      <c r="A204" s="55" t="n"/>
      <c r="B204" s="56">
        <f>IF(A204="","",WEEKNUM(A204,21))</f>
        <v/>
      </c>
      <c r="C204" s="57" t="n"/>
      <c r="D204" s="57" t="n"/>
      <c r="E204" s="58" t="n"/>
      <c r="F204" s="57" t="n"/>
      <c r="G204" s="59" t="n"/>
      <c r="H204" s="59" t="n"/>
      <c r="I204" s="60">
        <f>IF(OR(G204="",H204=""),"",MOD(H204-G204,1))</f>
        <v/>
      </c>
      <c r="J204" s="61">
        <f>IF(OR(G204="",H204=""),"",ROUND(MOD(H204-G204,1)*24,2))</f>
        <v/>
      </c>
      <c r="K204" s="62">
        <f>IF(E204="","",IF(E204="Werken","JA","NEE"))</f>
        <v/>
      </c>
      <c r="L204" s="61">
        <f>IF(K204="JA",N(J204),IF(E204="","",0))</f>
        <v/>
      </c>
      <c r="M204" s="62">
        <f>IF(AND(A204="",E204=""),"",IF(E204="","Segment ontbreekt",IF(OR(G204="",H204=""),"Van/tot ontbreekt",IF(N(J204)=0,"Duur is nul",IF(N(J204)&gt;12,"Langer dan 12 uur - controleren",IF(AND(E204="Werken",D204=""),"Werken zonder klant - koppelen","OK"))))))</f>
        <v/>
      </c>
    </row>
    <row r="205" ht="15" customHeight="1" s="42">
      <c r="A205" s="55" t="n"/>
      <c r="B205" s="56">
        <f>IF(A205="","",WEEKNUM(A205,21))</f>
        <v/>
      </c>
      <c r="C205" s="57" t="n"/>
      <c r="D205" s="57" t="n"/>
      <c r="E205" s="58" t="n"/>
      <c r="F205" s="57" t="n"/>
      <c r="G205" s="59" t="n"/>
      <c r="H205" s="59" t="n"/>
      <c r="I205" s="60">
        <f>IF(OR(G205="",H205=""),"",MOD(H205-G205,1))</f>
        <v/>
      </c>
      <c r="J205" s="61">
        <f>IF(OR(G205="",H205=""),"",ROUND(MOD(H205-G205,1)*24,2))</f>
        <v/>
      </c>
      <c r="K205" s="62">
        <f>IF(E205="","",IF(E205="Werken","JA","NEE"))</f>
        <v/>
      </c>
      <c r="L205" s="61">
        <f>IF(K205="JA",N(J205),IF(E205="","",0))</f>
        <v/>
      </c>
      <c r="M205" s="62">
        <f>IF(AND(A205="",E205=""),"",IF(E205="","Segment ontbreekt",IF(OR(G205="",H205=""),"Van/tot ontbreekt",IF(N(J205)=0,"Duur is nul",IF(N(J205)&gt;12,"Langer dan 12 uur - controleren",IF(AND(E205="Werken",D205=""),"Werken zonder klant - koppelen","OK"))))))</f>
        <v/>
      </c>
    </row>
    <row r="206" ht="15" customHeight="1" s="42">
      <c r="A206" s="55" t="n"/>
      <c r="B206" s="56">
        <f>IF(A206="","",WEEKNUM(A206,21))</f>
        <v/>
      </c>
      <c r="C206" s="57" t="n"/>
      <c r="D206" s="57" t="n"/>
      <c r="E206" s="58" t="n"/>
      <c r="F206" s="57" t="n"/>
      <c r="G206" s="59" t="n"/>
      <c r="H206" s="59" t="n"/>
      <c r="I206" s="60">
        <f>IF(OR(G206="",H206=""),"",MOD(H206-G206,1))</f>
        <v/>
      </c>
      <c r="J206" s="61">
        <f>IF(OR(G206="",H206=""),"",ROUND(MOD(H206-G206,1)*24,2))</f>
        <v/>
      </c>
      <c r="K206" s="62">
        <f>IF(E206="","",IF(E206="Werken","JA","NEE"))</f>
        <v/>
      </c>
      <c r="L206" s="61">
        <f>IF(K206="JA",N(J206),IF(E206="","",0))</f>
        <v/>
      </c>
      <c r="M206" s="62">
        <f>IF(AND(A206="",E206=""),"",IF(E206="","Segment ontbreekt",IF(OR(G206="",H206=""),"Van/tot ontbreekt",IF(N(J206)=0,"Duur is nul",IF(N(J206)&gt;12,"Langer dan 12 uur - controleren",IF(AND(E206="Werken",D206=""),"Werken zonder klant - koppelen","OK"))))))</f>
        <v/>
      </c>
    </row>
    <row r="207" ht="15" customHeight="1" s="42">
      <c r="A207" s="55" t="n"/>
      <c r="B207" s="56">
        <f>IF(A207="","",WEEKNUM(A207,21))</f>
        <v/>
      </c>
      <c r="C207" s="57" t="n"/>
      <c r="D207" s="57" t="n"/>
      <c r="E207" s="58" t="n"/>
      <c r="F207" s="57" t="n"/>
      <c r="G207" s="59" t="n"/>
      <c r="H207" s="59" t="n"/>
      <c r="I207" s="60">
        <f>IF(OR(G207="",H207=""),"",MOD(H207-G207,1))</f>
        <v/>
      </c>
      <c r="J207" s="61">
        <f>IF(OR(G207="",H207=""),"",ROUND(MOD(H207-G207,1)*24,2))</f>
        <v/>
      </c>
      <c r="K207" s="62">
        <f>IF(E207="","",IF(E207="Werken","JA","NEE"))</f>
        <v/>
      </c>
      <c r="L207" s="61">
        <f>IF(K207="JA",N(J207),IF(E207="","",0))</f>
        <v/>
      </c>
      <c r="M207" s="62">
        <f>IF(AND(A207="",E207=""),"",IF(E207="","Segment ontbreekt",IF(OR(G207="",H207=""),"Van/tot ontbreekt",IF(N(J207)=0,"Duur is nul",IF(N(J207)&gt;12,"Langer dan 12 uur - controleren",IF(AND(E207="Werken",D207=""),"Werken zonder klant - koppelen","OK"))))))</f>
        <v/>
      </c>
    </row>
    <row r="208" ht="15" customHeight="1" s="42">
      <c r="A208" s="55" t="n"/>
      <c r="B208" s="56">
        <f>IF(A208="","",WEEKNUM(A208,21))</f>
        <v/>
      </c>
      <c r="C208" s="57" t="n"/>
      <c r="D208" s="57" t="n"/>
      <c r="E208" s="58" t="n"/>
      <c r="F208" s="57" t="n"/>
      <c r="G208" s="59" t="n"/>
      <c r="H208" s="59" t="n"/>
      <c r="I208" s="60">
        <f>IF(OR(G208="",H208=""),"",MOD(H208-G208,1))</f>
        <v/>
      </c>
      <c r="J208" s="61">
        <f>IF(OR(G208="",H208=""),"",ROUND(MOD(H208-G208,1)*24,2))</f>
        <v/>
      </c>
      <c r="K208" s="62">
        <f>IF(E208="","",IF(E208="Werken","JA","NEE"))</f>
        <v/>
      </c>
      <c r="L208" s="61">
        <f>IF(K208="JA",N(J208),IF(E208="","",0))</f>
        <v/>
      </c>
      <c r="M208" s="62">
        <f>IF(AND(A208="",E208=""),"",IF(E208="","Segment ontbreekt",IF(OR(G208="",H208=""),"Van/tot ontbreekt",IF(N(J208)=0,"Duur is nul",IF(N(J208)&gt;12,"Langer dan 12 uur - controleren",IF(AND(E208="Werken",D208=""),"Werken zonder klant - koppelen","OK"))))))</f>
        <v/>
      </c>
    </row>
    <row r="209" ht="15" customHeight="1" s="42">
      <c r="A209" s="55" t="n"/>
      <c r="B209" s="56">
        <f>IF(A209="","",WEEKNUM(A209,21))</f>
        <v/>
      </c>
      <c r="C209" s="57" t="n"/>
      <c r="D209" s="57" t="n"/>
      <c r="E209" s="58" t="n"/>
      <c r="F209" s="57" t="n"/>
      <c r="G209" s="59" t="n"/>
      <c r="H209" s="59" t="n"/>
      <c r="I209" s="60">
        <f>IF(OR(G209="",H209=""),"",MOD(H209-G209,1))</f>
        <v/>
      </c>
      <c r="J209" s="61">
        <f>IF(OR(G209="",H209=""),"",ROUND(MOD(H209-G209,1)*24,2))</f>
        <v/>
      </c>
      <c r="K209" s="62">
        <f>IF(E209="","",IF(E209="Werken","JA","NEE"))</f>
        <v/>
      </c>
      <c r="L209" s="61">
        <f>IF(K209="JA",N(J209),IF(E209="","",0))</f>
        <v/>
      </c>
      <c r="M209" s="62">
        <f>IF(AND(A209="",E209=""),"",IF(E209="","Segment ontbreekt",IF(OR(G209="",H209=""),"Van/tot ontbreekt",IF(N(J209)=0,"Duur is nul",IF(N(J209)&gt;12,"Langer dan 12 uur - controleren",IF(AND(E209="Werken",D209=""),"Werken zonder klant - koppelen","OK"))))))</f>
        <v/>
      </c>
    </row>
    <row r="210" ht="15" customHeight="1" s="42">
      <c r="A210" s="55" t="n"/>
      <c r="B210" s="56">
        <f>IF(A210="","",WEEKNUM(A210,21))</f>
        <v/>
      </c>
      <c r="C210" s="57" t="n"/>
      <c r="D210" s="57" t="n"/>
      <c r="E210" s="58" t="n"/>
      <c r="F210" s="57" t="n"/>
      <c r="G210" s="59" t="n"/>
      <c r="H210" s="59" t="n"/>
      <c r="I210" s="60">
        <f>IF(OR(G210="",H210=""),"",MOD(H210-G210,1))</f>
        <v/>
      </c>
      <c r="J210" s="61">
        <f>IF(OR(G210="",H210=""),"",ROUND(MOD(H210-G210,1)*24,2))</f>
        <v/>
      </c>
      <c r="K210" s="62">
        <f>IF(E210="","",IF(E210="Werken","JA","NEE"))</f>
        <v/>
      </c>
      <c r="L210" s="61">
        <f>IF(K210="JA",N(J210),IF(E210="","",0))</f>
        <v/>
      </c>
      <c r="M210" s="62">
        <f>IF(AND(A210="",E210=""),"",IF(E210="","Segment ontbreekt",IF(OR(G210="",H210=""),"Van/tot ontbreekt",IF(N(J210)=0,"Duur is nul",IF(N(J210)&gt;12,"Langer dan 12 uur - controleren",IF(AND(E210="Werken",D210=""),"Werken zonder klant - koppelen","OK"))))))</f>
        <v/>
      </c>
    </row>
    <row r="211" ht="15" customHeight="1" s="42">
      <c r="A211" s="55" t="n"/>
      <c r="B211" s="56">
        <f>IF(A211="","",WEEKNUM(A211,21))</f>
        <v/>
      </c>
      <c r="C211" s="57" t="n"/>
      <c r="D211" s="57" t="n"/>
      <c r="E211" s="58" t="n"/>
      <c r="F211" s="57" t="n"/>
      <c r="G211" s="59" t="n"/>
      <c r="H211" s="59" t="n"/>
      <c r="I211" s="60">
        <f>IF(OR(G211="",H211=""),"",MOD(H211-G211,1))</f>
        <v/>
      </c>
      <c r="J211" s="61">
        <f>IF(OR(G211="",H211=""),"",ROUND(MOD(H211-G211,1)*24,2))</f>
        <v/>
      </c>
      <c r="K211" s="62">
        <f>IF(E211="","",IF(E211="Werken","JA","NEE"))</f>
        <v/>
      </c>
      <c r="L211" s="61">
        <f>IF(K211="JA",N(J211),IF(E211="","",0))</f>
        <v/>
      </c>
      <c r="M211" s="62">
        <f>IF(AND(A211="",E211=""),"",IF(E211="","Segment ontbreekt",IF(OR(G211="",H211=""),"Van/tot ontbreekt",IF(N(J211)=0,"Duur is nul",IF(N(J211)&gt;12,"Langer dan 12 uur - controleren",IF(AND(E211="Werken",D211=""),"Werken zonder klant - koppelen","OK"))))))</f>
        <v/>
      </c>
    </row>
    <row r="212" ht="15" customHeight="1" s="42">
      <c r="A212" s="55" t="n"/>
      <c r="B212" s="56">
        <f>IF(A212="","",WEEKNUM(A212,21))</f>
        <v/>
      </c>
      <c r="C212" s="57" t="n"/>
      <c r="D212" s="57" t="n"/>
      <c r="E212" s="58" t="n"/>
      <c r="F212" s="57" t="n"/>
      <c r="G212" s="59" t="n"/>
      <c r="H212" s="59" t="n"/>
      <c r="I212" s="60">
        <f>IF(OR(G212="",H212=""),"",MOD(H212-G212,1))</f>
        <v/>
      </c>
      <c r="J212" s="61">
        <f>IF(OR(G212="",H212=""),"",ROUND(MOD(H212-G212,1)*24,2))</f>
        <v/>
      </c>
      <c r="K212" s="62">
        <f>IF(E212="","",IF(E212="Werken","JA","NEE"))</f>
        <v/>
      </c>
      <c r="L212" s="61">
        <f>IF(K212="JA",N(J212),IF(E212="","",0))</f>
        <v/>
      </c>
      <c r="M212" s="62">
        <f>IF(AND(A212="",E212=""),"",IF(E212="","Segment ontbreekt",IF(OR(G212="",H212=""),"Van/tot ontbreekt",IF(N(J212)=0,"Duur is nul",IF(N(J212)&gt;12,"Langer dan 12 uur - controleren",IF(AND(E212="Werken",D212=""),"Werken zonder klant - koppelen","OK"))))))</f>
        <v/>
      </c>
    </row>
    <row r="213" ht="15" customHeight="1" s="42">
      <c r="A213" s="55" t="n"/>
      <c r="B213" s="56">
        <f>IF(A213="","",WEEKNUM(A213,21))</f>
        <v/>
      </c>
      <c r="C213" s="57" t="n"/>
      <c r="D213" s="57" t="n"/>
      <c r="E213" s="58" t="n"/>
      <c r="F213" s="57" t="n"/>
      <c r="G213" s="59" t="n"/>
      <c r="H213" s="59" t="n"/>
      <c r="I213" s="60">
        <f>IF(OR(G213="",H213=""),"",MOD(H213-G213,1))</f>
        <v/>
      </c>
      <c r="J213" s="61">
        <f>IF(OR(G213="",H213=""),"",ROUND(MOD(H213-G213,1)*24,2))</f>
        <v/>
      </c>
      <c r="K213" s="62">
        <f>IF(E213="","",IF(E213="Werken","JA","NEE"))</f>
        <v/>
      </c>
      <c r="L213" s="61">
        <f>IF(K213="JA",N(J213),IF(E213="","",0))</f>
        <v/>
      </c>
      <c r="M213" s="62">
        <f>IF(AND(A213="",E213=""),"",IF(E213="","Segment ontbreekt",IF(OR(G213="",H213=""),"Van/tot ontbreekt",IF(N(J213)=0,"Duur is nul",IF(N(J213)&gt;12,"Langer dan 12 uur - controleren",IF(AND(E213="Werken",D213=""),"Werken zonder klant - koppelen","OK"))))))</f>
        <v/>
      </c>
    </row>
    <row r="214" ht="15" customHeight="1" s="42">
      <c r="A214" s="55" t="n"/>
      <c r="B214" s="56">
        <f>IF(A214="","",WEEKNUM(A214,21))</f>
        <v/>
      </c>
      <c r="C214" s="57" t="n"/>
      <c r="D214" s="57" t="n"/>
      <c r="E214" s="58" t="n"/>
      <c r="F214" s="57" t="n"/>
      <c r="G214" s="59" t="n"/>
      <c r="H214" s="59" t="n"/>
      <c r="I214" s="60">
        <f>IF(OR(G214="",H214=""),"",MOD(H214-G214,1))</f>
        <v/>
      </c>
      <c r="J214" s="61">
        <f>IF(OR(G214="",H214=""),"",ROUND(MOD(H214-G214,1)*24,2))</f>
        <v/>
      </c>
      <c r="K214" s="62">
        <f>IF(E214="","",IF(E214="Werken","JA","NEE"))</f>
        <v/>
      </c>
      <c r="L214" s="61">
        <f>IF(K214="JA",N(J214),IF(E214="","",0))</f>
        <v/>
      </c>
      <c r="M214" s="62">
        <f>IF(AND(A214="",E214=""),"",IF(E214="","Segment ontbreekt",IF(OR(G214="",H214=""),"Van/tot ontbreekt",IF(N(J214)=0,"Duur is nul",IF(N(J214)&gt;12,"Langer dan 12 uur - controleren",IF(AND(E214="Werken",D214=""),"Werken zonder klant - koppelen","OK"))))))</f>
        <v/>
      </c>
    </row>
    <row r="215" ht="15" customHeight="1" s="42">
      <c r="A215" s="55" t="n"/>
      <c r="B215" s="56">
        <f>IF(A215="","",WEEKNUM(A215,21))</f>
        <v/>
      </c>
      <c r="C215" s="57" t="n"/>
      <c r="D215" s="57" t="n"/>
      <c r="E215" s="58" t="n"/>
      <c r="F215" s="57" t="n"/>
      <c r="G215" s="59" t="n"/>
      <c r="H215" s="59" t="n"/>
      <c r="I215" s="60">
        <f>IF(OR(G215="",H215=""),"",MOD(H215-G215,1))</f>
        <v/>
      </c>
      <c r="J215" s="61">
        <f>IF(OR(G215="",H215=""),"",ROUND(MOD(H215-G215,1)*24,2))</f>
        <v/>
      </c>
      <c r="K215" s="62">
        <f>IF(E215="","",IF(E215="Werken","JA","NEE"))</f>
        <v/>
      </c>
      <c r="L215" s="61">
        <f>IF(K215="JA",N(J215),IF(E215="","",0))</f>
        <v/>
      </c>
      <c r="M215" s="62">
        <f>IF(AND(A215="",E215=""),"",IF(E215="","Segment ontbreekt",IF(OR(G215="",H215=""),"Van/tot ontbreekt",IF(N(J215)=0,"Duur is nul",IF(N(J215)&gt;12,"Langer dan 12 uur - controleren",IF(AND(E215="Werken",D215=""),"Werken zonder klant - koppelen","OK"))))))</f>
        <v/>
      </c>
    </row>
    <row r="216" ht="15" customHeight="1" s="42">
      <c r="A216" s="55" t="n"/>
      <c r="B216" s="56">
        <f>IF(A216="","",WEEKNUM(A216,21))</f>
        <v/>
      </c>
      <c r="C216" s="57" t="n"/>
      <c r="D216" s="57" t="n"/>
      <c r="E216" s="58" t="n"/>
      <c r="F216" s="57" t="n"/>
      <c r="G216" s="59" t="n"/>
      <c r="H216" s="59" t="n"/>
      <c r="I216" s="60">
        <f>IF(OR(G216="",H216=""),"",MOD(H216-G216,1))</f>
        <v/>
      </c>
      <c r="J216" s="61">
        <f>IF(OR(G216="",H216=""),"",ROUND(MOD(H216-G216,1)*24,2))</f>
        <v/>
      </c>
      <c r="K216" s="62">
        <f>IF(E216="","",IF(E216="Werken","JA","NEE"))</f>
        <v/>
      </c>
      <c r="L216" s="61">
        <f>IF(K216="JA",N(J216),IF(E216="","",0))</f>
        <v/>
      </c>
      <c r="M216" s="62">
        <f>IF(AND(A216="",E216=""),"",IF(E216="","Segment ontbreekt",IF(OR(G216="",H216=""),"Van/tot ontbreekt",IF(N(J216)=0,"Duur is nul",IF(N(J216)&gt;12,"Langer dan 12 uur - controleren",IF(AND(E216="Werken",D216=""),"Werken zonder klant - koppelen","OK"))))))</f>
        <v/>
      </c>
    </row>
    <row r="217" ht="15" customHeight="1" s="42">
      <c r="A217" s="55" t="n"/>
      <c r="B217" s="56">
        <f>IF(A217="","",WEEKNUM(A217,21))</f>
        <v/>
      </c>
      <c r="C217" s="57" t="n"/>
      <c r="D217" s="57" t="n"/>
      <c r="E217" s="58" t="n"/>
      <c r="F217" s="57" t="n"/>
      <c r="G217" s="59" t="n"/>
      <c r="H217" s="59" t="n"/>
      <c r="I217" s="60">
        <f>IF(OR(G217="",H217=""),"",MOD(H217-G217,1))</f>
        <v/>
      </c>
      <c r="J217" s="61">
        <f>IF(OR(G217="",H217=""),"",ROUND(MOD(H217-G217,1)*24,2))</f>
        <v/>
      </c>
      <c r="K217" s="62">
        <f>IF(E217="","",IF(E217="Werken","JA","NEE"))</f>
        <v/>
      </c>
      <c r="L217" s="61">
        <f>IF(K217="JA",N(J217),IF(E217="","",0))</f>
        <v/>
      </c>
      <c r="M217" s="62">
        <f>IF(AND(A217="",E217=""),"",IF(E217="","Segment ontbreekt",IF(OR(G217="",H217=""),"Van/tot ontbreekt",IF(N(J217)=0,"Duur is nul",IF(N(J217)&gt;12,"Langer dan 12 uur - controleren",IF(AND(E217="Werken",D217=""),"Werken zonder klant - koppelen","OK"))))))</f>
        <v/>
      </c>
    </row>
    <row r="218" ht="15" customHeight="1" s="42">
      <c r="A218" s="55" t="n"/>
      <c r="B218" s="56">
        <f>IF(A218="","",WEEKNUM(A218,21))</f>
        <v/>
      </c>
      <c r="C218" s="57" t="n"/>
      <c r="D218" s="57" t="n"/>
      <c r="E218" s="58" t="n"/>
      <c r="F218" s="57" t="n"/>
      <c r="G218" s="59" t="n"/>
      <c r="H218" s="59" t="n"/>
      <c r="I218" s="60">
        <f>IF(OR(G218="",H218=""),"",MOD(H218-G218,1))</f>
        <v/>
      </c>
      <c r="J218" s="61">
        <f>IF(OR(G218="",H218=""),"",ROUND(MOD(H218-G218,1)*24,2))</f>
        <v/>
      </c>
      <c r="K218" s="62">
        <f>IF(E218="","",IF(E218="Werken","JA","NEE"))</f>
        <v/>
      </c>
      <c r="L218" s="61">
        <f>IF(K218="JA",N(J218),IF(E218="","",0))</f>
        <v/>
      </c>
      <c r="M218" s="62">
        <f>IF(AND(A218="",E218=""),"",IF(E218="","Segment ontbreekt",IF(OR(G218="",H218=""),"Van/tot ontbreekt",IF(N(J218)=0,"Duur is nul",IF(N(J218)&gt;12,"Langer dan 12 uur - controleren",IF(AND(E218="Werken",D218=""),"Werken zonder klant - koppelen","OK"))))))</f>
        <v/>
      </c>
    </row>
    <row r="219" ht="15" customHeight="1" s="42">
      <c r="A219" s="55" t="n"/>
      <c r="B219" s="56">
        <f>IF(A219="","",WEEKNUM(A219,21))</f>
        <v/>
      </c>
      <c r="C219" s="57" t="n"/>
      <c r="D219" s="57" t="n"/>
      <c r="E219" s="58" t="n"/>
      <c r="F219" s="57" t="n"/>
      <c r="G219" s="59" t="n"/>
      <c r="H219" s="59" t="n"/>
      <c r="I219" s="60">
        <f>IF(OR(G219="",H219=""),"",MOD(H219-G219,1))</f>
        <v/>
      </c>
      <c r="J219" s="61">
        <f>IF(OR(G219="",H219=""),"",ROUND(MOD(H219-G219,1)*24,2))</f>
        <v/>
      </c>
      <c r="K219" s="62">
        <f>IF(E219="","",IF(E219="Werken","JA","NEE"))</f>
        <v/>
      </c>
      <c r="L219" s="61">
        <f>IF(K219="JA",N(J219),IF(E219="","",0))</f>
        <v/>
      </c>
      <c r="M219" s="62">
        <f>IF(AND(A219="",E219=""),"",IF(E219="","Segment ontbreekt",IF(OR(G219="",H219=""),"Van/tot ontbreekt",IF(N(J219)=0,"Duur is nul",IF(N(J219)&gt;12,"Langer dan 12 uur - controleren",IF(AND(E219="Werken",D219=""),"Werken zonder klant - koppelen","OK"))))))</f>
        <v/>
      </c>
    </row>
    <row r="220" ht="15" customHeight="1" s="42">
      <c r="A220" s="55" t="n"/>
      <c r="B220" s="56">
        <f>IF(A220="","",WEEKNUM(A220,21))</f>
        <v/>
      </c>
      <c r="C220" s="57" t="n"/>
      <c r="D220" s="57" t="n"/>
      <c r="E220" s="58" t="n"/>
      <c r="F220" s="57" t="n"/>
      <c r="G220" s="59" t="n"/>
      <c r="H220" s="59" t="n"/>
      <c r="I220" s="60">
        <f>IF(OR(G220="",H220=""),"",MOD(H220-G220,1))</f>
        <v/>
      </c>
      <c r="J220" s="61">
        <f>IF(OR(G220="",H220=""),"",ROUND(MOD(H220-G220,1)*24,2))</f>
        <v/>
      </c>
      <c r="K220" s="62">
        <f>IF(E220="","",IF(E220="Werken","JA","NEE"))</f>
        <v/>
      </c>
      <c r="L220" s="61">
        <f>IF(K220="JA",N(J220),IF(E220="","",0))</f>
        <v/>
      </c>
      <c r="M220" s="62">
        <f>IF(AND(A220="",E220=""),"",IF(E220="","Segment ontbreekt",IF(OR(G220="",H220=""),"Van/tot ontbreekt",IF(N(J220)=0,"Duur is nul",IF(N(J220)&gt;12,"Langer dan 12 uur - controleren",IF(AND(E220="Werken",D220=""),"Werken zonder klant - koppelen","OK"))))))</f>
        <v/>
      </c>
    </row>
    <row r="221" ht="15" customHeight="1" s="42">
      <c r="A221" s="55" t="n"/>
      <c r="B221" s="56">
        <f>IF(A221="","",WEEKNUM(A221,21))</f>
        <v/>
      </c>
      <c r="C221" s="57" t="n"/>
      <c r="D221" s="57" t="n"/>
      <c r="E221" s="58" t="n"/>
      <c r="F221" s="57" t="n"/>
      <c r="G221" s="59" t="n"/>
      <c r="H221" s="59" t="n"/>
      <c r="I221" s="60">
        <f>IF(OR(G221="",H221=""),"",MOD(H221-G221,1))</f>
        <v/>
      </c>
      <c r="J221" s="61">
        <f>IF(OR(G221="",H221=""),"",ROUND(MOD(H221-G221,1)*24,2))</f>
        <v/>
      </c>
      <c r="K221" s="62">
        <f>IF(E221="","",IF(E221="Werken","JA","NEE"))</f>
        <v/>
      </c>
      <c r="L221" s="61">
        <f>IF(K221="JA",N(J221),IF(E221="","",0))</f>
        <v/>
      </c>
      <c r="M221" s="62">
        <f>IF(AND(A221="",E221=""),"",IF(E221="","Segment ontbreekt",IF(OR(G221="",H221=""),"Van/tot ontbreekt",IF(N(J221)=0,"Duur is nul",IF(N(J221)&gt;12,"Langer dan 12 uur - controleren",IF(AND(E221="Werken",D221=""),"Werken zonder klant - koppelen","OK"))))))</f>
        <v/>
      </c>
    </row>
    <row r="222" ht="15" customHeight="1" s="42">
      <c r="A222" s="55" t="n"/>
      <c r="B222" s="56">
        <f>IF(A222="","",WEEKNUM(A222,21))</f>
        <v/>
      </c>
      <c r="C222" s="57" t="n"/>
      <c r="D222" s="57" t="n"/>
      <c r="E222" s="58" t="n"/>
      <c r="F222" s="57" t="n"/>
      <c r="G222" s="59" t="n"/>
      <c r="H222" s="59" t="n"/>
      <c r="I222" s="60">
        <f>IF(OR(G222="",H222=""),"",MOD(H222-G222,1))</f>
        <v/>
      </c>
      <c r="J222" s="61">
        <f>IF(OR(G222="",H222=""),"",ROUND(MOD(H222-G222,1)*24,2))</f>
        <v/>
      </c>
      <c r="K222" s="62">
        <f>IF(E222="","",IF(E222="Werken","JA","NEE"))</f>
        <v/>
      </c>
      <c r="L222" s="61">
        <f>IF(K222="JA",N(J222),IF(E222="","",0))</f>
        <v/>
      </c>
      <c r="M222" s="62">
        <f>IF(AND(A222="",E222=""),"",IF(E222="","Segment ontbreekt",IF(OR(G222="",H222=""),"Van/tot ontbreekt",IF(N(J222)=0,"Duur is nul",IF(N(J222)&gt;12,"Langer dan 12 uur - controleren",IF(AND(E222="Werken",D222=""),"Werken zonder klant - koppelen","OK"))))))</f>
        <v/>
      </c>
    </row>
    <row r="223" ht="15" customHeight="1" s="42">
      <c r="A223" s="55" t="n"/>
      <c r="B223" s="56">
        <f>IF(A223="","",WEEKNUM(A223,21))</f>
        <v/>
      </c>
      <c r="C223" s="57" t="n"/>
      <c r="D223" s="57" t="n"/>
      <c r="E223" s="58" t="n"/>
      <c r="F223" s="57" t="n"/>
      <c r="G223" s="59" t="n"/>
      <c r="H223" s="59" t="n"/>
      <c r="I223" s="60">
        <f>IF(OR(G223="",H223=""),"",MOD(H223-G223,1))</f>
        <v/>
      </c>
      <c r="J223" s="61">
        <f>IF(OR(G223="",H223=""),"",ROUND(MOD(H223-G223,1)*24,2))</f>
        <v/>
      </c>
      <c r="K223" s="62">
        <f>IF(E223="","",IF(E223="Werken","JA","NEE"))</f>
        <v/>
      </c>
      <c r="L223" s="61">
        <f>IF(K223="JA",N(J223),IF(E223="","",0))</f>
        <v/>
      </c>
      <c r="M223" s="62">
        <f>IF(AND(A223="",E223=""),"",IF(E223="","Segment ontbreekt",IF(OR(G223="",H223=""),"Van/tot ontbreekt",IF(N(J223)=0,"Duur is nul",IF(N(J223)&gt;12,"Langer dan 12 uur - controleren",IF(AND(E223="Werken",D223=""),"Werken zonder klant - koppelen","OK"))))))</f>
        <v/>
      </c>
    </row>
    <row r="224" ht="15" customHeight="1" s="42">
      <c r="A224" s="55" t="n"/>
      <c r="B224" s="56">
        <f>IF(A224="","",WEEKNUM(A224,21))</f>
        <v/>
      </c>
      <c r="C224" s="57" t="n"/>
      <c r="D224" s="57" t="n"/>
      <c r="E224" s="58" t="n"/>
      <c r="F224" s="57" t="n"/>
      <c r="G224" s="59" t="n"/>
      <c r="H224" s="59" t="n"/>
      <c r="I224" s="60">
        <f>IF(OR(G224="",H224=""),"",MOD(H224-G224,1))</f>
        <v/>
      </c>
      <c r="J224" s="61">
        <f>IF(OR(G224="",H224=""),"",ROUND(MOD(H224-G224,1)*24,2))</f>
        <v/>
      </c>
      <c r="K224" s="62">
        <f>IF(E224="","",IF(E224="Werken","JA","NEE"))</f>
        <v/>
      </c>
      <c r="L224" s="61">
        <f>IF(K224="JA",N(J224),IF(E224="","",0))</f>
        <v/>
      </c>
      <c r="M224" s="62">
        <f>IF(AND(A224="",E224=""),"",IF(E224="","Segment ontbreekt",IF(OR(G224="",H224=""),"Van/tot ontbreekt",IF(N(J224)=0,"Duur is nul",IF(N(J224)&gt;12,"Langer dan 12 uur - controleren",IF(AND(E224="Werken",D224=""),"Werken zonder klant - koppelen","OK"))))))</f>
        <v/>
      </c>
    </row>
    <row r="225" ht="15" customHeight="1" s="42">
      <c r="A225" s="55" t="n"/>
      <c r="B225" s="56">
        <f>IF(A225="","",WEEKNUM(A225,21))</f>
        <v/>
      </c>
      <c r="C225" s="57" t="n"/>
      <c r="D225" s="57" t="n"/>
      <c r="E225" s="58" t="n"/>
      <c r="F225" s="57" t="n"/>
      <c r="G225" s="59" t="n"/>
      <c r="H225" s="59" t="n"/>
      <c r="I225" s="60">
        <f>IF(OR(G225="",H225=""),"",MOD(H225-G225,1))</f>
        <v/>
      </c>
      <c r="J225" s="61">
        <f>IF(OR(G225="",H225=""),"",ROUND(MOD(H225-G225,1)*24,2))</f>
        <v/>
      </c>
      <c r="K225" s="62">
        <f>IF(E225="","",IF(E225="Werken","JA","NEE"))</f>
        <v/>
      </c>
      <c r="L225" s="61">
        <f>IF(K225="JA",N(J225),IF(E225="","",0))</f>
        <v/>
      </c>
      <c r="M225" s="62">
        <f>IF(AND(A225="",E225=""),"",IF(E225="","Segment ontbreekt",IF(OR(G225="",H225=""),"Van/tot ontbreekt",IF(N(J225)=0,"Duur is nul",IF(N(J225)&gt;12,"Langer dan 12 uur - controleren",IF(AND(E225="Werken",D225=""),"Werken zonder klant - koppelen","OK"))))))</f>
        <v/>
      </c>
    </row>
    <row r="226" ht="15" customHeight="1" s="42">
      <c r="A226" s="55" t="n"/>
      <c r="B226" s="56">
        <f>IF(A226="","",WEEKNUM(A226,21))</f>
        <v/>
      </c>
      <c r="C226" s="57" t="n"/>
      <c r="D226" s="57" t="n"/>
      <c r="E226" s="58" t="n"/>
      <c r="F226" s="57" t="n"/>
      <c r="G226" s="59" t="n"/>
      <c r="H226" s="59" t="n"/>
      <c r="I226" s="60">
        <f>IF(OR(G226="",H226=""),"",MOD(H226-G226,1))</f>
        <v/>
      </c>
      <c r="J226" s="61">
        <f>IF(OR(G226="",H226=""),"",ROUND(MOD(H226-G226,1)*24,2))</f>
        <v/>
      </c>
      <c r="K226" s="62">
        <f>IF(E226="","",IF(E226="Werken","JA","NEE"))</f>
        <v/>
      </c>
      <c r="L226" s="61">
        <f>IF(K226="JA",N(J226),IF(E226="","",0))</f>
        <v/>
      </c>
      <c r="M226" s="62">
        <f>IF(AND(A226="",E226=""),"",IF(E226="","Segment ontbreekt",IF(OR(G226="",H226=""),"Van/tot ontbreekt",IF(N(J226)=0,"Duur is nul",IF(N(J226)&gt;12,"Langer dan 12 uur - controleren",IF(AND(E226="Werken",D226=""),"Werken zonder klant - koppelen","OK"))))))</f>
        <v/>
      </c>
    </row>
    <row r="227" ht="15" customHeight="1" s="42">
      <c r="A227" s="55" t="n"/>
      <c r="B227" s="56">
        <f>IF(A227="","",WEEKNUM(A227,21))</f>
        <v/>
      </c>
      <c r="C227" s="57" t="n"/>
      <c r="D227" s="57" t="n"/>
      <c r="E227" s="58" t="n"/>
      <c r="F227" s="57" t="n"/>
      <c r="G227" s="59" t="n"/>
      <c r="H227" s="59" t="n"/>
      <c r="I227" s="60">
        <f>IF(OR(G227="",H227=""),"",MOD(H227-G227,1))</f>
        <v/>
      </c>
      <c r="J227" s="61">
        <f>IF(OR(G227="",H227=""),"",ROUND(MOD(H227-G227,1)*24,2))</f>
        <v/>
      </c>
      <c r="K227" s="62">
        <f>IF(E227="","",IF(E227="Werken","JA","NEE"))</f>
        <v/>
      </c>
      <c r="L227" s="61">
        <f>IF(K227="JA",N(J227),IF(E227="","",0))</f>
        <v/>
      </c>
      <c r="M227" s="62">
        <f>IF(AND(A227="",E227=""),"",IF(E227="","Segment ontbreekt",IF(OR(G227="",H227=""),"Van/tot ontbreekt",IF(N(J227)=0,"Duur is nul",IF(N(J227)&gt;12,"Langer dan 12 uur - controleren",IF(AND(E227="Werken",D227=""),"Werken zonder klant - koppelen","OK"))))))</f>
        <v/>
      </c>
    </row>
    <row r="228" ht="15" customHeight="1" s="42">
      <c r="A228" s="55" t="n"/>
      <c r="B228" s="56">
        <f>IF(A228="","",WEEKNUM(A228,21))</f>
        <v/>
      </c>
      <c r="C228" s="57" t="n"/>
      <c r="D228" s="57" t="n"/>
      <c r="E228" s="58" t="n"/>
      <c r="F228" s="57" t="n"/>
      <c r="G228" s="59" t="n"/>
      <c r="H228" s="59" t="n"/>
      <c r="I228" s="60">
        <f>IF(OR(G228="",H228=""),"",MOD(H228-G228,1))</f>
        <v/>
      </c>
      <c r="J228" s="61">
        <f>IF(OR(G228="",H228=""),"",ROUND(MOD(H228-G228,1)*24,2))</f>
        <v/>
      </c>
      <c r="K228" s="62">
        <f>IF(E228="","",IF(E228="Werken","JA","NEE"))</f>
        <v/>
      </c>
      <c r="L228" s="61">
        <f>IF(K228="JA",N(J228),IF(E228="","",0))</f>
        <v/>
      </c>
      <c r="M228" s="62">
        <f>IF(AND(A228="",E228=""),"",IF(E228="","Segment ontbreekt",IF(OR(G228="",H228=""),"Van/tot ontbreekt",IF(N(J228)=0,"Duur is nul",IF(N(J228)&gt;12,"Langer dan 12 uur - controleren",IF(AND(E228="Werken",D228=""),"Werken zonder klant - koppelen","OK"))))))</f>
        <v/>
      </c>
    </row>
    <row r="229" ht="15" customHeight="1" s="42">
      <c r="A229" s="55" t="n"/>
      <c r="B229" s="56">
        <f>IF(A229="","",WEEKNUM(A229,21))</f>
        <v/>
      </c>
      <c r="C229" s="57" t="n"/>
      <c r="D229" s="57" t="n"/>
      <c r="E229" s="58" t="n"/>
      <c r="F229" s="57" t="n"/>
      <c r="G229" s="59" t="n"/>
      <c r="H229" s="59" t="n"/>
      <c r="I229" s="60">
        <f>IF(OR(G229="",H229=""),"",MOD(H229-G229,1))</f>
        <v/>
      </c>
      <c r="J229" s="61">
        <f>IF(OR(G229="",H229=""),"",ROUND(MOD(H229-G229,1)*24,2))</f>
        <v/>
      </c>
      <c r="K229" s="62">
        <f>IF(E229="","",IF(E229="Werken","JA","NEE"))</f>
        <v/>
      </c>
      <c r="L229" s="61">
        <f>IF(K229="JA",N(J229),IF(E229="","",0))</f>
        <v/>
      </c>
      <c r="M229" s="62">
        <f>IF(AND(A229="",E229=""),"",IF(E229="","Segment ontbreekt",IF(OR(G229="",H229=""),"Van/tot ontbreekt",IF(N(J229)=0,"Duur is nul",IF(N(J229)&gt;12,"Langer dan 12 uur - controleren",IF(AND(E229="Werken",D229=""),"Werken zonder klant - koppelen","OK"))))))</f>
        <v/>
      </c>
    </row>
    <row r="230" ht="15" customHeight="1" s="42">
      <c r="A230" s="55" t="n"/>
      <c r="B230" s="56">
        <f>IF(A230="","",WEEKNUM(A230,21))</f>
        <v/>
      </c>
      <c r="C230" s="57" t="n"/>
      <c r="D230" s="57" t="n"/>
      <c r="E230" s="58" t="n"/>
      <c r="F230" s="57" t="n"/>
      <c r="G230" s="59" t="n"/>
      <c r="H230" s="59" t="n"/>
      <c r="I230" s="60">
        <f>IF(OR(G230="",H230=""),"",MOD(H230-G230,1))</f>
        <v/>
      </c>
      <c r="J230" s="61">
        <f>IF(OR(G230="",H230=""),"",ROUND(MOD(H230-G230,1)*24,2))</f>
        <v/>
      </c>
      <c r="K230" s="62">
        <f>IF(E230="","",IF(E230="Werken","JA","NEE"))</f>
        <v/>
      </c>
      <c r="L230" s="61">
        <f>IF(K230="JA",N(J230),IF(E230="","",0))</f>
        <v/>
      </c>
      <c r="M230" s="62">
        <f>IF(AND(A230="",E230=""),"",IF(E230="","Segment ontbreekt",IF(OR(G230="",H230=""),"Van/tot ontbreekt",IF(N(J230)=0,"Duur is nul",IF(N(J230)&gt;12,"Langer dan 12 uur - controleren",IF(AND(E230="Werken",D230=""),"Werken zonder klant - koppelen","OK"))))))</f>
        <v/>
      </c>
    </row>
    <row r="231" ht="15" customHeight="1" s="42">
      <c r="A231" s="55" t="n"/>
      <c r="B231" s="56">
        <f>IF(A231="","",WEEKNUM(A231,21))</f>
        <v/>
      </c>
      <c r="C231" s="57" t="n"/>
      <c r="D231" s="57" t="n"/>
      <c r="E231" s="58" t="n"/>
      <c r="F231" s="57" t="n"/>
      <c r="G231" s="59" t="n"/>
      <c r="H231" s="59" t="n"/>
      <c r="I231" s="60">
        <f>IF(OR(G231="",H231=""),"",MOD(H231-G231,1))</f>
        <v/>
      </c>
      <c r="J231" s="61">
        <f>IF(OR(G231="",H231=""),"",ROUND(MOD(H231-G231,1)*24,2))</f>
        <v/>
      </c>
      <c r="K231" s="62">
        <f>IF(E231="","",IF(E231="Werken","JA","NEE"))</f>
        <v/>
      </c>
      <c r="L231" s="61">
        <f>IF(K231="JA",N(J231),IF(E231="","",0))</f>
        <v/>
      </c>
      <c r="M231" s="62">
        <f>IF(AND(A231="",E231=""),"",IF(E231="","Segment ontbreekt",IF(OR(G231="",H231=""),"Van/tot ontbreekt",IF(N(J231)=0,"Duur is nul",IF(N(J231)&gt;12,"Langer dan 12 uur - controleren",IF(AND(E231="Werken",D231=""),"Werken zonder klant - koppelen","OK"))))))</f>
        <v/>
      </c>
    </row>
    <row r="232" ht="15" customHeight="1" s="42">
      <c r="A232" s="55" t="n"/>
      <c r="B232" s="56">
        <f>IF(A232="","",WEEKNUM(A232,21))</f>
        <v/>
      </c>
      <c r="C232" s="57" t="n"/>
      <c r="D232" s="57" t="n"/>
      <c r="E232" s="58" t="n"/>
      <c r="F232" s="57" t="n"/>
      <c r="G232" s="59" t="n"/>
      <c r="H232" s="59" t="n"/>
      <c r="I232" s="60">
        <f>IF(OR(G232="",H232=""),"",MOD(H232-G232,1))</f>
        <v/>
      </c>
      <c r="J232" s="61">
        <f>IF(OR(G232="",H232=""),"",ROUND(MOD(H232-G232,1)*24,2))</f>
        <v/>
      </c>
      <c r="K232" s="62">
        <f>IF(E232="","",IF(E232="Werken","JA","NEE"))</f>
        <v/>
      </c>
      <c r="L232" s="61">
        <f>IF(K232="JA",N(J232),IF(E232="","",0))</f>
        <v/>
      </c>
      <c r="M232" s="62">
        <f>IF(AND(A232="",E232=""),"",IF(E232="","Segment ontbreekt",IF(OR(G232="",H232=""),"Van/tot ontbreekt",IF(N(J232)=0,"Duur is nul",IF(N(J232)&gt;12,"Langer dan 12 uur - controleren",IF(AND(E232="Werken",D232=""),"Werken zonder klant - koppelen","OK"))))))</f>
        <v/>
      </c>
    </row>
    <row r="233" ht="15" customHeight="1" s="42">
      <c r="A233" s="55" t="n"/>
      <c r="B233" s="56">
        <f>IF(A233="","",WEEKNUM(A233,21))</f>
        <v/>
      </c>
      <c r="C233" s="57" t="n"/>
      <c r="D233" s="57" t="n"/>
      <c r="E233" s="58" t="n"/>
      <c r="F233" s="57" t="n"/>
      <c r="G233" s="59" t="n"/>
      <c r="H233" s="59" t="n"/>
      <c r="I233" s="60">
        <f>IF(OR(G233="",H233=""),"",MOD(H233-G233,1))</f>
        <v/>
      </c>
      <c r="J233" s="61">
        <f>IF(OR(G233="",H233=""),"",ROUND(MOD(H233-G233,1)*24,2))</f>
        <v/>
      </c>
      <c r="K233" s="62">
        <f>IF(E233="","",IF(E233="Werken","JA","NEE"))</f>
        <v/>
      </c>
      <c r="L233" s="61">
        <f>IF(K233="JA",N(J233),IF(E233="","",0))</f>
        <v/>
      </c>
      <c r="M233" s="62">
        <f>IF(AND(A233="",E233=""),"",IF(E233="","Segment ontbreekt",IF(OR(G233="",H233=""),"Van/tot ontbreekt",IF(N(J233)=0,"Duur is nul",IF(N(J233)&gt;12,"Langer dan 12 uur - controleren",IF(AND(E233="Werken",D233=""),"Werken zonder klant - koppelen","OK"))))))</f>
        <v/>
      </c>
    </row>
    <row r="234" ht="15" customHeight="1" s="42">
      <c r="A234" s="55" t="n"/>
      <c r="B234" s="56">
        <f>IF(A234="","",WEEKNUM(A234,21))</f>
        <v/>
      </c>
      <c r="C234" s="57" t="n"/>
      <c r="D234" s="57" t="n"/>
      <c r="E234" s="58" t="n"/>
      <c r="F234" s="57" t="n"/>
      <c r="G234" s="59" t="n"/>
      <c r="H234" s="59" t="n"/>
      <c r="I234" s="60">
        <f>IF(OR(G234="",H234=""),"",MOD(H234-G234,1))</f>
        <v/>
      </c>
      <c r="J234" s="61">
        <f>IF(OR(G234="",H234=""),"",ROUND(MOD(H234-G234,1)*24,2))</f>
        <v/>
      </c>
      <c r="K234" s="62">
        <f>IF(E234="","",IF(E234="Werken","JA","NEE"))</f>
        <v/>
      </c>
      <c r="L234" s="61">
        <f>IF(K234="JA",N(J234),IF(E234="","",0))</f>
        <v/>
      </c>
      <c r="M234" s="62">
        <f>IF(AND(A234="",E234=""),"",IF(E234="","Segment ontbreekt",IF(OR(G234="",H234=""),"Van/tot ontbreekt",IF(N(J234)=0,"Duur is nul",IF(N(J234)&gt;12,"Langer dan 12 uur - controleren",IF(AND(E234="Werken",D234=""),"Werken zonder klant - koppelen","OK"))))))</f>
        <v/>
      </c>
    </row>
    <row r="235" ht="15" customHeight="1" s="42">
      <c r="A235" s="55" t="n"/>
      <c r="B235" s="56">
        <f>IF(A235="","",WEEKNUM(A235,21))</f>
        <v/>
      </c>
      <c r="C235" s="57" t="n"/>
      <c r="D235" s="57" t="n"/>
      <c r="E235" s="58" t="n"/>
      <c r="F235" s="57" t="n"/>
      <c r="G235" s="59" t="n"/>
      <c r="H235" s="59" t="n"/>
      <c r="I235" s="60">
        <f>IF(OR(G235="",H235=""),"",MOD(H235-G235,1))</f>
        <v/>
      </c>
      <c r="J235" s="61">
        <f>IF(OR(G235="",H235=""),"",ROUND(MOD(H235-G235,1)*24,2))</f>
        <v/>
      </c>
      <c r="K235" s="62">
        <f>IF(E235="","",IF(E235="Werken","JA","NEE"))</f>
        <v/>
      </c>
      <c r="L235" s="61">
        <f>IF(K235="JA",N(J235),IF(E235="","",0))</f>
        <v/>
      </c>
      <c r="M235" s="62">
        <f>IF(AND(A235="",E235=""),"",IF(E235="","Segment ontbreekt",IF(OR(G235="",H235=""),"Van/tot ontbreekt",IF(N(J235)=0,"Duur is nul",IF(N(J235)&gt;12,"Langer dan 12 uur - controleren",IF(AND(E235="Werken",D235=""),"Werken zonder klant - koppelen","OK"))))))</f>
        <v/>
      </c>
    </row>
    <row r="236" ht="15" customHeight="1" s="42">
      <c r="A236" s="55" t="n"/>
      <c r="B236" s="56">
        <f>IF(A236="","",WEEKNUM(A236,21))</f>
        <v/>
      </c>
      <c r="C236" s="57" t="n"/>
      <c r="D236" s="57" t="n"/>
      <c r="E236" s="58" t="n"/>
      <c r="F236" s="57" t="n"/>
      <c r="G236" s="59" t="n"/>
      <c r="H236" s="59" t="n"/>
      <c r="I236" s="60">
        <f>IF(OR(G236="",H236=""),"",MOD(H236-G236,1))</f>
        <v/>
      </c>
      <c r="J236" s="61">
        <f>IF(OR(G236="",H236=""),"",ROUND(MOD(H236-G236,1)*24,2))</f>
        <v/>
      </c>
      <c r="K236" s="62">
        <f>IF(E236="","",IF(E236="Werken","JA","NEE"))</f>
        <v/>
      </c>
      <c r="L236" s="61">
        <f>IF(K236="JA",N(J236),IF(E236="","",0))</f>
        <v/>
      </c>
      <c r="M236" s="62">
        <f>IF(AND(A236="",E236=""),"",IF(E236="","Segment ontbreekt",IF(OR(G236="",H236=""),"Van/tot ontbreekt",IF(N(J236)=0,"Duur is nul",IF(N(J236)&gt;12,"Langer dan 12 uur - controleren",IF(AND(E236="Werken",D236=""),"Werken zonder klant - koppelen","OK"))))))</f>
        <v/>
      </c>
    </row>
    <row r="237" ht="15" customHeight="1" s="42">
      <c r="A237" s="55" t="n"/>
      <c r="B237" s="56">
        <f>IF(A237="","",WEEKNUM(A237,21))</f>
        <v/>
      </c>
      <c r="C237" s="57" t="n"/>
      <c r="D237" s="57" t="n"/>
      <c r="E237" s="58" t="n"/>
      <c r="F237" s="57" t="n"/>
      <c r="G237" s="59" t="n"/>
      <c r="H237" s="59" t="n"/>
      <c r="I237" s="60">
        <f>IF(OR(G237="",H237=""),"",MOD(H237-G237,1))</f>
        <v/>
      </c>
      <c r="J237" s="61">
        <f>IF(OR(G237="",H237=""),"",ROUND(MOD(H237-G237,1)*24,2))</f>
        <v/>
      </c>
      <c r="K237" s="62">
        <f>IF(E237="","",IF(E237="Werken","JA","NEE"))</f>
        <v/>
      </c>
      <c r="L237" s="61">
        <f>IF(K237="JA",N(J237),IF(E237="","",0))</f>
        <v/>
      </c>
      <c r="M237" s="62">
        <f>IF(AND(A237="",E237=""),"",IF(E237="","Segment ontbreekt",IF(OR(G237="",H237=""),"Van/tot ontbreekt",IF(N(J237)=0,"Duur is nul",IF(N(J237)&gt;12,"Langer dan 12 uur - controleren",IF(AND(E237="Werken",D237=""),"Werken zonder klant - koppelen","OK"))))))</f>
        <v/>
      </c>
    </row>
    <row r="238" ht="15" customHeight="1" s="42">
      <c r="A238" s="55" t="n"/>
      <c r="B238" s="56">
        <f>IF(A238="","",WEEKNUM(A238,21))</f>
        <v/>
      </c>
      <c r="C238" s="57" t="n"/>
      <c r="D238" s="57" t="n"/>
      <c r="E238" s="58" t="n"/>
      <c r="F238" s="57" t="n"/>
      <c r="G238" s="59" t="n"/>
      <c r="H238" s="59" t="n"/>
      <c r="I238" s="60">
        <f>IF(OR(G238="",H238=""),"",MOD(H238-G238,1))</f>
        <v/>
      </c>
      <c r="J238" s="61">
        <f>IF(OR(G238="",H238=""),"",ROUND(MOD(H238-G238,1)*24,2))</f>
        <v/>
      </c>
      <c r="K238" s="62">
        <f>IF(E238="","",IF(E238="Werken","JA","NEE"))</f>
        <v/>
      </c>
      <c r="L238" s="61">
        <f>IF(K238="JA",N(J238),IF(E238="","",0))</f>
        <v/>
      </c>
      <c r="M238" s="62">
        <f>IF(AND(A238="",E238=""),"",IF(E238="","Segment ontbreekt",IF(OR(G238="",H238=""),"Van/tot ontbreekt",IF(N(J238)=0,"Duur is nul",IF(N(J238)&gt;12,"Langer dan 12 uur - controleren",IF(AND(E238="Werken",D238=""),"Werken zonder klant - koppelen","OK"))))))</f>
        <v/>
      </c>
    </row>
    <row r="239" ht="15" customHeight="1" s="42">
      <c r="A239" s="55" t="n"/>
      <c r="B239" s="56">
        <f>IF(A239="","",WEEKNUM(A239,21))</f>
        <v/>
      </c>
      <c r="C239" s="57" t="n"/>
      <c r="D239" s="57" t="n"/>
      <c r="E239" s="58" t="n"/>
      <c r="F239" s="57" t="n"/>
      <c r="G239" s="59" t="n"/>
      <c r="H239" s="59" t="n"/>
      <c r="I239" s="60">
        <f>IF(OR(G239="",H239=""),"",MOD(H239-G239,1))</f>
        <v/>
      </c>
      <c r="J239" s="61">
        <f>IF(OR(G239="",H239=""),"",ROUND(MOD(H239-G239,1)*24,2))</f>
        <v/>
      </c>
      <c r="K239" s="62">
        <f>IF(E239="","",IF(E239="Werken","JA","NEE"))</f>
        <v/>
      </c>
      <c r="L239" s="61">
        <f>IF(K239="JA",N(J239),IF(E239="","",0))</f>
        <v/>
      </c>
      <c r="M239" s="62">
        <f>IF(AND(A239="",E239=""),"",IF(E239="","Segment ontbreekt",IF(OR(G239="",H239=""),"Van/tot ontbreekt",IF(N(J239)=0,"Duur is nul",IF(N(J239)&gt;12,"Langer dan 12 uur - controleren",IF(AND(E239="Werken",D239=""),"Werken zonder klant - koppelen","OK"))))))</f>
        <v/>
      </c>
    </row>
    <row r="240" ht="15" customHeight="1" s="42">
      <c r="A240" s="55" t="n"/>
      <c r="B240" s="56">
        <f>IF(A240="","",WEEKNUM(A240,21))</f>
        <v/>
      </c>
      <c r="C240" s="57" t="n"/>
      <c r="D240" s="57" t="n"/>
      <c r="E240" s="58" t="n"/>
      <c r="F240" s="57" t="n"/>
      <c r="G240" s="59" t="n"/>
      <c r="H240" s="59" t="n"/>
      <c r="I240" s="60">
        <f>IF(OR(G240="",H240=""),"",MOD(H240-G240,1))</f>
        <v/>
      </c>
      <c r="J240" s="61">
        <f>IF(OR(G240="",H240=""),"",ROUND(MOD(H240-G240,1)*24,2))</f>
        <v/>
      </c>
      <c r="K240" s="62">
        <f>IF(E240="","",IF(E240="Werken","JA","NEE"))</f>
        <v/>
      </c>
      <c r="L240" s="61">
        <f>IF(K240="JA",N(J240),IF(E240="","",0))</f>
        <v/>
      </c>
      <c r="M240" s="62">
        <f>IF(AND(A240="",E240=""),"",IF(E240="","Segment ontbreekt",IF(OR(G240="",H240=""),"Van/tot ontbreekt",IF(N(J240)=0,"Duur is nul",IF(N(J240)&gt;12,"Langer dan 12 uur - controleren",IF(AND(E240="Werken",D240=""),"Werken zonder klant - koppelen","OK"))))))</f>
        <v/>
      </c>
    </row>
    <row r="241" ht="15" customHeight="1" s="42">
      <c r="A241" s="55" t="n"/>
      <c r="B241" s="56">
        <f>IF(A241="","",WEEKNUM(A241,21))</f>
        <v/>
      </c>
      <c r="C241" s="57" t="n"/>
      <c r="D241" s="57" t="n"/>
      <c r="E241" s="58" t="n"/>
      <c r="F241" s="57" t="n"/>
      <c r="G241" s="59" t="n"/>
      <c r="H241" s="59" t="n"/>
      <c r="I241" s="60">
        <f>IF(OR(G241="",H241=""),"",MOD(H241-G241,1))</f>
        <v/>
      </c>
      <c r="J241" s="61">
        <f>IF(OR(G241="",H241=""),"",ROUND(MOD(H241-G241,1)*24,2))</f>
        <v/>
      </c>
      <c r="K241" s="62">
        <f>IF(E241="","",IF(E241="Werken","JA","NEE"))</f>
        <v/>
      </c>
      <c r="L241" s="61">
        <f>IF(K241="JA",N(J241),IF(E241="","",0))</f>
        <v/>
      </c>
      <c r="M241" s="62">
        <f>IF(AND(A241="",E241=""),"",IF(E241="","Segment ontbreekt",IF(OR(G241="",H241=""),"Van/tot ontbreekt",IF(N(J241)=0,"Duur is nul",IF(N(J241)&gt;12,"Langer dan 12 uur - controleren",IF(AND(E241="Werken",D241=""),"Werken zonder klant - koppelen","OK"))))))</f>
        <v/>
      </c>
    </row>
    <row r="242" ht="15" customHeight="1" s="42">
      <c r="A242" s="55" t="n"/>
      <c r="B242" s="56">
        <f>IF(A242="","",WEEKNUM(A242,21))</f>
        <v/>
      </c>
      <c r="C242" s="57" t="n"/>
      <c r="D242" s="57" t="n"/>
      <c r="E242" s="58" t="n"/>
      <c r="F242" s="57" t="n"/>
      <c r="G242" s="59" t="n"/>
      <c r="H242" s="59" t="n"/>
      <c r="I242" s="60">
        <f>IF(OR(G242="",H242=""),"",MOD(H242-G242,1))</f>
        <v/>
      </c>
      <c r="J242" s="61">
        <f>IF(OR(G242="",H242=""),"",ROUND(MOD(H242-G242,1)*24,2))</f>
        <v/>
      </c>
      <c r="K242" s="62">
        <f>IF(E242="","",IF(E242="Werken","JA","NEE"))</f>
        <v/>
      </c>
      <c r="L242" s="61">
        <f>IF(K242="JA",N(J242),IF(E242="","",0))</f>
        <v/>
      </c>
      <c r="M242" s="62">
        <f>IF(AND(A242="",E242=""),"",IF(E242="","Segment ontbreekt",IF(OR(G242="",H242=""),"Van/tot ontbreekt",IF(N(J242)=0,"Duur is nul",IF(N(J242)&gt;12,"Langer dan 12 uur - controleren",IF(AND(E242="Werken",D242=""),"Werken zonder klant - koppelen","OK"))))))</f>
        <v/>
      </c>
    </row>
    <row r="243" ht="15" customHeight="1" s="42">
      <c r="A243" s="55" t="n"/>
      <c r="B243" s="56">
        <f>IF(A243="","",WEEKNUM(A243,21))</f>
        <v/>
      </c>
      <c r="C243" s="57" t="n"/>
      <c r="D243" s="57" t="n"/>
      <c r="E243" s="58" t="n"/>
      <c r="F243" s="57" t="n"/>
      <c r="G243" s="59" t="n"/>
      <c r="H243" s="59" t="n"/>
      <c r="I243" s="60">
        <f>IF(OR(G243="",H243=""),"",MOD(H243-G243,1))</f>
        <v/>
      </c>
      <c r="J243" s="61">
        <f>IF(OR(G243="",H243=""),"",ROUND(MOD(H243-G243,1)*24,2))</f>
        <v/>
      </c>
      <c r="K243" s="62">
        <f>IF(E243="","",IF(E243="Werken","JA","NEE"))</f>
        <v/>
      </c>
      <c r="L243" s="61">
        <f>IF(K243="JA",N(J243),IF(E243="","",0))</f>
        <v/>
      </c>
      <c r="M243" s="62">
        <f>IF(AND(A243="",E243=""),"",IF(E243="","Segment ontbreekt",IF(OR(G243="",H243=""),"Van/tot ontbreekt",IF(N(J243)=0,"Duur is nul",IF(N(J243)&gt;12,"Langer dan 12 uur - controleren",IF(AND(E243="Werken",D243=""),"Werken zonder klant - koppelen","OK"))))))</f>
        <v/>
      </c>
    </row>
    <row r="244" ht="15" customHeight="1" s="42">
      <c r="A244" s="55" t="n"/>
      <c r="B244" s="56">
        <f>IF(A244="","",WEEKNUM(A244,21))</f>
        <v/>
      </c>
      <c r="C244" s="57" t="n"/>
      <c r="D244" s="57" t="n"/>
      <c r="E244" s="58" t="n"/>
      <c r="F244" s="57" t="n"/>
      <c r="G244" s="59" t="n"/>
      <c r="H244" s="59" t="n"/>
      <c r="I244" s="60">
        <f>IF(OR(G244="",H244=""),"",MOD(H244-G244,1))</f>
        <v/>
      </c>
      <c r="J244" s="61">
        <f>IF(OR(G244="",H244=""),"",ROUND(MOD(H244-G244,1)*24,2))</f>
        <v/>
      </c>
      <c r="K244" s="62">
        <f>IF(E244="","",IF(E244="Werken","JA","NEE"))</f>
        <v/>
      </c>
      <c r="L244" s="61">
        <f>IF(K244="JA",N(J244),IF(E244="","",0))</f>
        <v/>
      </c>
      <c r="M244" s="62">
        <f>IF(AND(A244="",E244=""),"",IF(E244="","Segment ontbreekt",IF(OR(G244="",H244=""),"Van/tot ontbreekt",IF(N(J244)=0,"Duur is nul",IF(N(J244)&gt;12,"Langer dan 12 uur - controleren",IF(AND(E244="Werken",D244=""),"Werken zonder klant - koppelen","OK"))))))</f>
        <v/>
      </c>
    </row>
    <row r="245" ht="15" customHeight="1" s="42">
      <c r="A245" s="55" t="n"/>
      <c r="B245" s="56">
        <f>IF(A245="","",WEEKNUM(A245,21))</f>
        <v/>
      </c>
      <c r="C245" s="57" t="n"/>
      <c r="D245" s="57" t="n"/>
      <c r="E245" s="58" t="n"/>
      <c r="F245" s="57" t="n"/>
      <c r="G245" s="59" t="n"/>
      <c r="H245" s="59" t="n"/>
      <c r="I245" s="60">
        <f>IF(OR(G245="",H245=""),"",MOD(H245-G245,1))</f>
        <v/>
      </c>
      <c r="J245" s="61">
        <f>IF(OR(G245="",H245=""),"",ROUND(MOD(H245-G245,1)*24,2))</f>
        <v/>
      </c>
      <c r="K245" s="62">
        <f>IF(E245="","",IF(E245="Werken","JA","NEE"))</f>
        <v/>
      </c>
      <c r="L245" s="61">
        <f>IF(K245="JA",N(J245),IF(E245="","",0))</f>
        <v/>
      </c>
      <c r="M245" s="62">
        <f>IF(AND(A245="",E245=""),"",IF(E245="","Segment ontbreekt",IF(OR(G245="",H245=""),"Van/tot ontbreekt",IF(N(J245)=0,"Duur is nul",IF(N(J245)&gt;12,"Langer dan 12 uur - controleren",IF(AND(E245="Werken",D245=""),"Werken zonder klant - koppelen","OK"))))))</f>
        <v/>
      </c>
    </row>
    <row r="246" ht="15" customHeight="1" s="42">
      <c r="A246" s="55" t="n"/>
      <c r="B246" s="56">
        <f>IF(A246="","",WEEKNUM(A246,21))</f>
        <v/>
      </c>
      <c r="C246" s="57" t="n"/>
      <c r="D246" s="57" t="n"/>
      <c r="E246" s="58" t="n"/>
      <c r="F246" s="57" t="n"/>
      <c r="G246" s="59" t="n"/>
      <c r="H246" s="59" t="n"/>
      <c r="I246" s="60">
        <f>IF(OR(G246="",H246=""),"",MOD(H246-G246,1))</f>
        <v/>
      </c>
      <c r="J246" s="61">
        <f>IF(OR(G246="",H246=""),"",ROUND(MOD(H246-G246,1)*24,2))</f>
        <v/>
      </c>
      <c r="K246" s="62">
        <f>IF(E246="","",IF(E246="Werken","JA","NEE"))</f>
        <v/>
      </c>
      <c r="L246" s="61">
        <f>IF(K246="JA",N(J246),IF(E246="","",0))</f>
        <v/>
      </c>
      <c r="M246" s="62">
        <f>IF(AND(A246="",E246=""),"",IF(E246="","Segment ontbreekt",IF(OR(G246="",H246=""),"Van/tot ontbreekt",IF(N(J246)=0,"Duur is nul",IF(N(J246)&gt;12,"Langer dan 12 uur - controleren",IF(AND(E246="Werken",D246=""),"Werken zonder klant - koppelen","OK"))))))</f>
        <v/>
      </c>
    </row>
    <row r="247" ht="15" customHeight="1" s="42">
      <c r="A247" s="55" t="n"/>
      <c r="B247" s="56">
        <f>IF(A247="","",WEEKNUM(A247,21))</f>
        <v/>
      </c>
      <c r="C247" s="57" t="n"/>
      <c r="D247" s="57" t="n"/>
      <c r="E247" s="58" t="n"/>
      <c r="F247" s="57" t="n"/>
      <c r="G247" s="59" t="n"/>
      <c r="H247" s="59" t="n"/>
      <c r="I247" s="60">
        <f>IF(OR(G247="",H247=""),"",MOD(H247-G247,1))</f>
        <v/>
      </c>
      <c r="J247" s="61">
        <f>IF(OR(G247="",H247=""),"",ROUND(MOD(H247-G247,1)*24,2))</f>
        <v/>
      </c>
      <c r="K247" s="62">
        <f>IF(E247="","",IF(E247="Werken","JA","NEE"))</f>
        <v/>
      </c>
      <c r="L247" s="61">
        <f>IF(K247="JA",N(J247),IF(E247="","",0))</f>
        <v/>
      </c>
      <c r="M247" s="62">
        <f>IF(AND(A247="",E247=""),"",IF(E247="","Segment ontbreekt",IF(OR(G247="",H247=""),"Van/tot ontbreekt",IF(N(J247)=0,"Duur is nul",IF(N(J247)&gt;12,"Langer dan 12 uur - controleren",IF(AND(E247="Werken",D247=""),"Werken zonder klant - koppelen","OK"))))))</f>
        <v/>
      </c>
    </row>
    <row r="248" ht="15" customHeight="1" s="42">
      <c r="A248" s="55" t="n"/>
      <c r="B248" s="56">
        <f>IF(A248="","",WEEKNUM(A248,21))</f>
        <v/>
      </c>
      <c r="C248" s="57" t="n"/>
      <c r="D248" s="57" t="n"/>
      <c r="E248" s="58" t="n"/>
      <c r="F248" s="57" t="n"/>
      <c r="G248" s="59" t="n"/>
      <c r="H248" s="59" t="n"/>
      <c r="I248" s="60">
        <f>IF(OR(G248="",H248=""),"",MOD(H248-G248,1))</f>
        <v/>
      </c>
      <c r="J248" s="61">
        <f>IF(OR(G248="",H248=""),"",ROUND(MOD(H248-G248,1)*24,2))</f>
        <v/>
      </c>
      <c r="K248" s="62">
        <f>IF(E248="","",IF(E248="Werken","JA","NEE"))</f>
        <v/>
      </c>
      <c r="L248" s="61">
        <f>IF(K248="JA",N(J248),IF(E248="","",0))</f>
        <v/>
      </c>
      <c r="M248" s="62">
        <f>IF(AND(A248="",E248=""),"",IF(E248="","Segment ontbreekt",IF(OR(G248="",H248=""),"Van/tot ontbreekt",IF(N(J248)=0,"Duur is nul",IF(N(J248)&gt;12,"Langer dan 12 uur - controleren",IF(AND(E248="Werken",D248=""),"Werken zonder klant - koppelen","OK"))))))</f>
        <v/>
      </c>
    </row>
    <row r="249" ht="15" customHeight="1" s="42">
      <c r="A249" s="55" t="n"/>
      <c r="B249" s="56">
        <f>IF(A249="","",WEEKNUM(A249,21))</f>
        <v/>
      </c>
      <c r="C249" s="57" t="n"/>
      <c r="D249" s="57" t="n"/>
      <c r="E249" s="58" t="n"/>
      <c r="F249" s="57" t="n"/>
      <c r="G249" s="59" t="n"/>
      <c r="H249" s="59" t="n"/>
      <c r="I249" s="60">
        <f>IF(OR(G249="",H249=""),"",MOD(H249-G249,1))</f>
        <v/>
      </c>
      <c r="J249" s="61">
        <f>IF(OR(G249="",H249=""),"",ROUND(MOD(H249-G249,1)*24,2))</f>
        <v/>
      </c>
      <c r="K249" s="62">
        <f>IF(E249="","",IF(E249="Werken","JA","NEE"))</f>
        <v/>
      </c>
      <c r="L249" s="61">
        <f>IF(K249="JA",N(J249),IF(E249="","",0))</f>
        <v/>
      </c>
      <c r="M249" s="62">
        <f>IF(AND(A249="",E249=""),"",IF(E249="","Segment ontbreekt",IF(OR(G249="",H249=""),"Van/tot ontbreekt",IF(N(J249)=0,"Duur is nul",IF(N(J249)&gt;12,"Langer dan 12 uur - controleren",IF(AND(E249="Werken",D249=""),"Werken zonder klant - koppelen","OK"))))))</f>
        <v/>
      </c>
    </row>
    <row r="250" ht="15" customHeight="1" s="42">
      <c r="A250" s="55" t="n"/>
      <c r="B250" s="56">
        <f>IF(A250="","",WEEKNUM(A250,21))</f>
        <v/>
      </c>
      <c r="C250" s="57" t="n"/>
      <c r="D250" s="57" t="n"/>
      <c r="E250" s="58" t="n"/>
      <c r="F250" s="57" t="n"/>
      <c r="G250" s="59" t="n"/>
      <c r="H250" s="59" t="n"/>
      <c r="I250" s="60">
        <f>IF(OR(G250="",H250=""),"",MOD(H250-G250,1))</f>
        <v/>
      </c>
      <c r="J250" s="61">
        <f>IF(OR(G250="",H250=""),"",ROUND(MOD(H250-G250,1)*24,2))</f>
        <v/>
      </c>
      <c r="K250" s="62">
        <f>IF(E250="","",IF(E250="Werken","JA","NEE"))</f>
        <v/>
      </c>
      <c r="L250" s="61">
        <f>IF(K250="JA",N(J250),IF(E250="","",0))</f>
        <v/>
      </c>
      <c r="M250" s="62">
        <f>IF(AND(A250="",E250=""),"",IF(E250="","Segment ontbreekt",IF(OR(G250="",H250=""),"Van/tot ontbreekt",IF(N(J250)=0,"Duur is nul",IF(N(J250)&gt;12,"Langer dan 12 uur - controleren",IF(AND(E250="Werken",D250=""),"Werken zonder klant - koppelen","OK"))))))</f>
        <v/>
      </c>
    </row>
    <row r="251" ht="15" customHeight="1" s="42">
      <c r="A251" s="55" t="n"/>
      <c r="B251" s="56">
        <f>IF(A251="","",WEEKNUM(A251,21))</f>
        <v/>
      </c>
      <c r="C251" s="57" t="n"/>
      <c r="D251" s="57" t="n"/>
      <c r="E251" s="58" t="n"/>
      <c r="F251" s="57" t="n"/>
      <c r="G251" s="59" t="n"/>
      <c r="H251" s="59" t="n"/>
      <c r="I251" s="60">
        <f>IF(OR(G251="",H251=""),"",MOD(H251-G251,1))</f>
        <v/>
      </c>
      <c r="J251" s="61">
        <f>IF(OR(G251="",H251=""),"",ROUND(MOD(H251-G251,1)*24,2))</f>
        <v/>
      </c>
      <c r="K251" s="62">
        <f>IF(E251="","",IF(E251="Werken","JA","NEE"))</f>
        <v/>
      </c>
      <c r="L251" s="61">
        <f>IF(K251="JA",N(J251),IF(E251="","",0))</f>
        <v/>
      </c>
      <c r="M251" s="62">
        <f>IF(AND(A251="",E251=""),"",IF(E251="","Segment ontbreekt",IF(OR(G251="",H251=""),"Van/tot ontbreekt",IF(N(J251)=0,"Duur is nul",IF(N(J251)&gt;12,"Langer dan 12 uur - controleren",IF(AND(E251="Werken",D251=""),"Werken zonder klant - koppelen","OK"))))))</f>
        <v/>
      </c>
    </row>
    <row r="252" ht="15" customHeight="1" s="42">
      <c r="A252" s="55" t="n"/>
      <c r="B252" s="56">
        <f>IF(A252="","",WEEKNUM(A252,21))</f>
        <v/>
      </c>
      <c r="C252" s="57" t="n"/>
      <c r="D252" s="57" t="n"/>
      <c r="E252" s="58" t="n"/>
      <c r="F252" s="57" t="n"/>
      <c r="G252" s="59" t="n"/>
      <c r="H252" s="59" t="n"/>
      <c r="I252" s="60">
        <f>IF(OR(G252="",H252=""),"",MOD(H252-G252,1))</f>
        <v/>
      </c>
      <c r="J252" s="61">
        <f>IF(OR(G252="",H252=""),"",ROUND(MOD(H252-G252,1)*24,2))</f>
        <v/>
      </c>
      <c r="K252" s="62">
        <f>IF(E252="","",IF(E252="Werken","JA","NEE"))</f>
        <v/>
      </c>
      <c r="L252" s="61">
        <f>IF(K252="JA",N(J252),IF(E252="","",0))</f>
        <v/>
      </c>
      <c r="M252" s="62">
        <f>IF(AND(A252="",E252=""),"",IF(E252="","Segment ontbreekt",IF(OR(G252="",H252=""),"Van/tot ontbreekt",IF(N(J252)=0,"Duur is nul",IF(N(J252)&gt;12,"Langer dan 12 uur - controleren",IF(AND(E252="Werken",D252=""),"Werken zonder klant - koppelen","OK"))))))</f>
        <v/>
      </c>
    </row>
    <row r="253" ht="15" customHeight="1" s="42">
      <c r="A253" s="55" t="n"/>
      <c r="B253" s="56">
        <f>IF(A253="","",WEEKNUM(A253,21))</f>
        <v/>
      </c>
      <c r="C253" s="57" t="n"/>
      <c r="D253" s="57" t="n"/>
      <c r="E253" s="58" t="n"/>
      <c r="F253" s="57" t="n"/>
      <c r="G253" s="59" t="n"/>
      <c r="H253" s="59" t="n"/>
      <c r="I253" s="60">
        <f>IF(OR(G253="",H253=""),"",MOD(H253-G253,1))</f>
        <v/>
      </c>
      <c r="J253" s="61">
        <f>IF(OR(G253="",H253=""),"",ROUND(MOD(H253-G253,1)*24,2))</f>
        <v/>
      </c>
      <c r="K253" s="62">
        <f>IF(E253="","",IF(E253="Werken","JA","NEE"))</f>
        <v/>
      </c>
      <c r="L253" s="61">
        <f>IF(K253="JA",N(J253),IF(E253="","",0))</f>
        <v/>
      </c>
      <c r="M253" s="62">
        <f>IF(AND(A253="",E253=""),"",IF(E253="","Segment ontbreekt",IF(OR(G253="",H253=""),"Van/tot ontbreekt",IF(N(J253)=0,"Duur is nul",IF(N(J253)&gt;12,"Langer dan 12 uur - controleren",IF(AND(E253="Werken",D253=""),"Werken zonder klant - koppelen","OK"))))))</f>
        <v/>
      </c>
    </row>
    <row r="254" ht="15" customHeight="1" s="42">
      <c r="A254" s="55" t="n"/>
      <c r="B254" s="56">
        <f>IF(A254="","",WEEKNUM(A254,21))</f>
        <v/>
      </c>
      <c r="C254" s="57" t="n"/>
      <c r="D254" s="57" t="n"/>
      <c r="E254" s="58" t="n"/>
      <c r="F254" s="57" t="n"/>
      <c r="G254" s="59" t="n"/>
      <c r="H254" s="59" t="n"/>
      <c r="I254" s="60">
        <f>IF(OR(G254="",H254=""),"",MOD(H254-G254,1))</f>
        <v/>
      </c>
      <c r="J254" s="61">
        <f>IF(OR(G254="",H254=""),"",ROUND(MOD(H254-G254,1)*24,2))</f>
        <v/>
      </c>
      <c r="K254" s="62">
        <f>IF(E254="","",IF(E254="Werken","JA","NEE"))</f>
        <v/>
      </c>
      <c r="L254" s="61">
        <f>IF(K254="JA",N(J254),IF(E254="","",0))</f>
        <v/>
      </c>
      <c r="M254" s="62">
        <f>IF(AND(A254="",E254=""),"",IF(E254="","Segment ontbreekt",IF(OR(G254="",H254=""),"Van/tot ontbreekt",IF(N(J254)=0,"Duur is nul",IF(N(J254)&gt;12,"Langer dan 12 uur - controleren",IF(AND(E254="Werken",D254=""),"Werken zonder klant - koppelen","OK"))))))</f>
        <v/>
      </c>
    </row>
    <row r="255" ht="15" customHeight="1" s="42">
      <c r="A255" s="55" t="n"/>
      <c r="B255" s="56">
        <f>IF(A255="","",WEEKNUM(A255,21))</f>
        <v/>
      </c>
      <c r="C255" s="57" t="n"/>
      <c r="D255" s="57" t="n"/>
      <c r="E255" s="58" t="n"/>
      <c r="F255" s="57" t="n"/>
      <c r="G255" s="59" t="n"/>
      <c r="H255" s="59" t="n"/>
      <c r="I255" s="60">
        <f>IF(OR(G255="",H255=""),"",MOD(H255-G255,1))</f>
        <v/>
      </c>
      <c r="J255" s="61">
        <f>IF(OR(G255="",H255=""),"",ROUND(MOD(H255-G255,1)*24,2))</f>
        <v/>
      </c>
      <c r="K255" s="62">
        <f>IF(E255="","",IF(E255="Werken","JA","NEE"))</f>
        <v/>
      </c>
      <c r="L255" s="61">
        <f>IF(K255="JA",N(J255),IF(E255="","",0))</f>
        <v/>
      </c>
      <c r="M255" s="62">
        <f>IF(AND(A255="",E255=""),"",IF(E255="","Segment ontbreekt",IF(OR(G255="",H255=""),"Van/tot ontbreekt",IF(N(J255)=0,"Duur is nul",IF(N(J255)&gt;12,"Langer dan 12 uur - controleren",IF(AND(E255="Werken",D255=""),"Werken zonder klant - koppelen","OK"))))))</f>
        <v/>
      </c>
    </row>
    <row r="256" ht="15" customHeight="1" s="42">
      <c r="A256" s="55" t="n"/>
      <c r="B256" s="56">
        <f>IF(A256="","",WEEKNUM(A256,21))</f>
        <v/>
      </c>
      <c r="C256" s="57" t="n"/>
      <c r="D256" s="57" t="n"/>
      <c r="E256" s="58" t="n"/>
      <c r="F256" s="57" t="n"/>
      <c r="G256" s="59" t="n"/>
      <c r="H256" s="59" t="n"/>
      <c r="I256" s="60">
        <f>IF(OR(G256="",H256=""),"",MOD(H256-G256,1))</f>
        <v/>
      </c>
      <c r="J256" s="61">
        <f>IF(OR(G256="",H256=""),"",ROUND(MOD(H256-G256,1)*24,2))</f>
        <v/>
      </c>
      <c r="K256" s="62">
        <f>IF(E256="","",IF(E256="Werken","JA","NEE"))</f>
        <v/>
      </c>
      <c r="L256" s="61">
        <f>IF(K256="JA",N(J256),IF(E256="","",0))</f>
        <v/>
      </c>
      <c r="M256" s="62">
        <f>IF(AND(A256="",E256=""),"",IF(E256="","Segment ontbreekt",IF(OR(G256="",H256=""),"Van/tot ontbreekt",IF(N(J256)=0,"Duur is nul",IF(N(J256)&gt;12,"Langer dan 12 uur - controleren",IF(AND(E256="Werken",D256=""),"Werken zonder klant - koppelen","OK"))))))</f>
        <v/>
      </c>
    </row>
    <row r="257" ht="15" customHeight="1" s="42">
      <c r="A257" s="55" t="n"/>
      <c r="B257" s="56">
        <f>IF(A257="","",WEEKNUM(A257,21))</f>
        <v/>
      </c>
      <c r="C257" s="57" t="n"/>
      <c r="D257" s="57" t="n"/>
      <c r="E257" s="58" t="n"/>
      <c r="F257" s="57" t="n"/>
      <c r="G257" s="59" t="n"/>
      <c r="H257" s="59" t="n"/>
      <c r="I257" s="60">
        <f>IF(OR(G257="",H257=""),"",MOD(H257-G257,1))</f>
        <v/>
      </c>
      <c r="J257" s="61">
        <f>IF(OR(G257="",H257=""),"",ROUND(MOD(H257-G257,1)*24,2))</f>
        <v/>
      </c>
      <c r="K257" s="62">
        <f>IF(E257="","",IF(E257="Werken","JA","NEE"))</f>
        <v/>
      </c>
      <c r="L257" s="61">
        <f>IF(K257="JA",N(J257),IF(E257="","",0))</f>
        <v/>
      </c>
      <c r="M257" s="62">
        <f>IF(AND(A257="",E257=""),"",IF(E257="","Segment ontbreekt",IF(OR(G257="",H257=""),"Van/tot ontbreekt",IF(N(J257)=0,"Duur is nul",IF(N(J257)&gt;12,"Langer dan 12 uur - controleren",IF(AND(E257="Werken",D257=""),"Werken zonder klant - koppelen","OK"))))))</f>
        <v/>
      </c>
    </row>
    <row r="258" ht="15" customHeight="1" s="42">
      <c r="A258" s="55" t="n"/>
      <c r="B258" s="56">
        <f>IF(A258="","",WEEKNUM(A258,21))</f>
        <v/>
      </c>
      <c r="C258" s="57" t="n"/>
      <c r="D258" s="57" t="n"/>
      <c r="E258" s="58" t="n"/>
      <c r="F258" s="57" t="n"/>
      <c r="G258" s="59" t="n"/>
      <c r="H258" s="59" t="n"/>
      <c r="I258" s="60">
        <f>IF(OR(G258="",H258=""),"",MOD(H258-G258,1))</f>
        <v/>
      </c>
      <c r="J258" s="61">
        <f>IF(OR(G258="",H258=""),"",ROUND(MOD(H258-G258,1)*24,2))</f>
        <v/>
      </c>
      <c r="K258" s="62">
        <f>IF(E258="","",IF(E258="Werken","JA","NEE"))</f>
        <v/>
      </c>
      <c r="L258" s="61">
        <f>IF(K258="JA",N(J258),IF(E258="","",0))</f>
        <v/>
      </c>
      <c r="M258" s="62">
        <f>IF(AND(A258="",E258=""),"",IF(E258="","Segment ontbreekt",IF(OR(G258="",H258=""),"Van/tot ontbreekt",IF(N(J258)=0,"Duur is nul",IF(N(J258)&gt;12,"Langer dan 12 uur - controleren",IF(AND(E258="Werken",D258=""),"Werken zonder klant - koppelen","OK"))))))</f>
        <v/>
      </c>
    </row>
    <row r="259" ht="15" customHeight="1" s="42">
      <c r="A259" s="55" t="n"/>
      <c r="B259" s="56">
        <f>IF(A259="","",WEEKNUM(A259,21))</f>
        <v/>
      </c>
      <c r="C259" s="57" t="n"/>
      <c r="D259" s="57" t="n"/>
      <c r="E259" s="58" t="n"/>
      <c r="F259" s="57" t="n"/>
      <c r="G259" s="59" t="n"/>
      <c r="H259" s="59" t="n"/>
      <c r="I259" s="60">
        <f>IF(OR(G259="",H259=""),"",MOD(H259-G259,1))</f>
        <v/>
      </c>
      <c r="J259" s="61">
        <f>IF(OR(G259="",H259=""),"",ROUND(MOD(H259-G259,1)*24,2))</f>
        <v/>
      </c>
      <c r="K259" s="62">
        <f>IF(E259="","",IF(E259="Werken","JA","NEE"))</f>
        <v/>
      </c>
      <c r="L259" s="61">
        <f>IF(K259="JA",N(J259),IF(E259="","",0))</f>
        <v/>
      </c>
      <c r="M259" s="62">
        <f>IF(AND(A259="",E259=""),"",IF(E259="","Segment ontbreekt",IF(OR(G259="",H259=""),"Van/tot ontbreekt",IF(N(J259)=0,"Duur is nul",IF(N(J259)&gt;12,"Langer dan 12 uur - controleren",IF(AND(E259="Werken",D259=""),"Werken zonder klant - koppelen","OK"))))))</f>
        <v/>
      </c>
    </row>
    <row r="260" ht="15" customHeight="1" s="42">
      <c r="A260" s="55" t="n"/>
      <c r="B260" s="56">
        <f>IF(A260="","",WEEKNUM(A260,21))</f>
        <v/>
      </c>
      <c r="C260" s="57" t="n"/>
      <c r="D260" s="57" t="n"/>
      <c r="E260" s="58" t="n"/>
      <c r="F260" s="57" t="n"/>
      <c r="G260" s="59" t="n"/>
      <c r="H260" s="59" t="n"/>
      <c r="I260" s="60">
        <f>IF(OR(G260="",H260=""),"",MOD(H260-G260,1))</f>
        <v/>
      </c>
      <c r="J260" s="61">
        <f>IF(OR(G260="",H260=""),"",ROUND(MOD(H260-G260,1)*24,2))</f>
        <v/>
      </c>
      <c r="K260" s="62">
        <f>IF(E260="","",IF(E260="Werken","JA","NEE"))</f>
        <v/>
      </c>
      <c r="L260" s="61">
        <f>IF(K260="JA",N(J260),IF(E260="","",0))</f>
        <v/>
      </c>
      <c r="M260" s="62">
        <f>IF(AND(A260="",E260=""),"",IF(E260="","Segment ontbreekt",IF(OR(G260="",H260=""),"Van/tot ontbreekt",IF(N(J260)=0,"Duur is nul",IF(N(J260)&gt;12,"Langer dan 12 uur - controleren",IF(AND(E260="Werken",D260=""),"Werken zonder klant - koppelen","OK"))))))</f>
        <v/>
      </c>
    </row>
    <row r="261" ht="15" customHeight="1" s="42">
      <c r="A261" s="55" t="n"/>
      <c r="B261" s="56">
        <f>IF(A261="","",WEEKNUM(A261,21))</f>
        <v/>
      </c>
      <c r="C261" s="57" t="n"/>
      <c r="D261" s="57" t="n"/>
      <c r="E261" s="58" t="n"/>
      <c r="F261" s="57" t="n"/>
      <c r="G261" s="59" t="n"/>
      <c r="H261" s="59" t="n"/>
      <c r="I261" s="60">
        <f>IF(OR(G261="",H261=""),"",MOD(H261-G261,1))</f>
        <v/>
      </c>
      <c r="J261" s="61">
        <f>IF(OR(G261="",H261=""),"",ROUND(MOD(H261-G261,1)*24,2))</f>
        <v/>
      </c>
      <c r="K261" s="62">
        <f>IF(E261="","",IF(E261="Werken","JA","NEE"))</f>
        <v/>
      </c>
      <c r="L261" s="61">
        <f>IF(K261="JA",N(J261),IF(E261="","",0))</f>
        <v/>
      </c>
      <c r="M261" s="62">
        <f>IF(AND(A261="",E261=""),"",IF(E261="","Segment ontbreekt",IF(OR(G261="",H261=""),"Van/tot ontbreekt",IF(N(J261)=0,"Duur is nul",IF(N(J261)&gt;12,"Langer dan 12 uur - controleren",IF(AND(E261="Werken",D261=""),"Werken zonder klant - koppelen","OK"))))))</f>
        <v/>
      </c>
    </row>
    <row r="262" ht="15" customHeight="1" s="42">
      <c r="A262" s="55" t="n"/>
      <c r="B262" s="56">
        <f>IF(A262="","",WEEKNUM(A262,21))</f>
        <v/>
      </c>
      <c r="C262" s="57" t="n"/>
      <c r="D262" s="57" t="n"/>
      <c r="E262" s="58" t="n"/>
      <c r="F262" s="57" t="n"/>
      <c r="G262" s="59" t="n"/>
      <c r="H262" s="59" t="n"/>
      <c r="I262" s="60">
        <f>IF(OR(G262="",H262=""),"",MOD(H262-G262,1))</f>
        <v/>
      </c>
      <c r="J262" s="61">
        <f>IF(OR(G262="",H262=""),"",ROUND(MOD(H262-G262,1)*24,2))</f>
        <v/>
      </c>
      <c r="K262" s="62">
        <f>IF(E262="","",IF(E262="Werken","JA","NEE"))</f>
        <v/>
      </c>
      <c r="L262" s="61">
        <f>IF(K262="JA",N(J262),IF(E262="","",0))</f>
        <v/>
      </c>
      <c r="M262" s="62">
        <f>IF(AND(A262="",E262=""),"",IF(E262="","Segment ontbreekt",IF(OR(G262="",H262=""),"Van/tot ontbreekt",IF(N(J262)=0,"Duur is nul",IF(N(J262)&gt;12,"Langer dan 12 uur - controleren",IF(AND(E262="Werken",D262=""),"Werken zonder klant - koppelen","OK"))))))</f>
        <v/>
      </c>
    </row>
    <row r="263" ht="15" customHeight="1" s="42">
      <c r="A263" s="55" t="n"/>
      <c r="B263" s="56">
        <f>IF(A263="","",WEEKNUM(A263,21))</f>
        <v/>
      </c>
      <c r="C263" s="57" t="n"/>
      <c r="D263" s="57" t="n"/>
      <c r="E263" s="58" t="n"/>
      <c r="F263" s="57" t="n"/>
      <c r="G263" s="59" t="n"/>
      <c r="H263" s="59" t="n"/>
      <c r="I263" s="60">
        <f>IF(OR(G263="",H263=""),"",MOD(H263-G263,1))</f>
        <v/>
      </c>
      <c r="J263" s="61">
        <f>IF(OR(G263="",H263=""),"",ROUND(MOD(H263-G263,1)*24,2))</f>
        <v/>
      </c>
      <c r="K263" s="62">
        <f>IF(E263="","",IF(E263="Werken","JA","NEE"))</f>
        <v/>
      </c>
      <c r="L263" s="61">
        <f>IF(K263="JA",N(J263),IF(E263="","",0))</f>
        <v/>
      </c>
      <c r="M263" s="62">
        <f>IF(AND(A263="",E263=""),"",IF(E263="","Segment ontbreekt",IF(OR(G263="",H263=""),"Van/tot ontbreekt",IF(N(J263)=0,"Duur is nul",IF(N(J263)&gt;12,"Langer dan 12 uur - controleren",IF(AND(E263="Werken",D263=""),"Werken zonder klant - koppelen","OK"))))))</f>
        <v/>
      </c>
    </row>
    <row r="264" ht="15" customHeight="1" s="42">
      <c r="A264" s="55" t="n"/>
      <c r="B264" s="56">
        <f>IF(A264="","",WEEKNUM(A264,21))</f>
        <v/>
      </c>
      <c r="C264" s="57" t="n"/>
      <c r="D264" s="57" t="n"/>
      <c r="E264" s="58" t="n"/>
      <c r="F264" s="57" t="n"/>
      <c r="G264" s="59" t="n"/>
      <c r="H264" s="59" t="n"/>
      <c r="I264" s="60">
        <f>IF(OR(G264="",H264=""),"",MOD(H264-G264,1))</f>
        <v/>
      </c>
      <c r="J264" s="61">
        <f>IF(OR(G264="",H264=""),"",ROUND(MOD(H264-G264,1)*24,2))</f>
        <v/>
      </c>
      <c r="K264" s="62">
        <f>IF(E264="","",IF(E264="Werken","JA","NEE"))</f>
        <v/>
      </c>
      <c r="L264" s="61">
        <f>IF(K264="JA",N(J264),IF(E264="","",0))</f>
        <v/>
      </c>
      <c r="M264" s="62">
        <f>IF(AND(A264="",E264=""),"",IF(E264="","Segment ontbreekt",IF(OR(G264="",H264=""),"Van/tot ontbreekt",IF(N(J264)=0,"Duur is nul",IF(N(J264)&gt;12,"Langer dan 12 uur - controleren",IF(AND(E264="Werken",D264=""),"Werken zonder klant - koppelen","OK"))))))</f>
        <v/>
      </c>
    </row>
    <row r="265" ht="15" customHeight="1" s="42">
      <c r="A265" s="55" t="n"/>
      <c r="B265" s="56">
        <f>IF(A265="","",WEEKNUM(A265,21))</f>
        <v/>
      </c>
      <c r="C265" s="57" t="n"/>
      <c r="D265" s="57" t="n"/>
      <c r="E265" s="58" t="n"/>
      <c r="F265" s="57" t="n"/>
      <c r="G265" s="59" t="n"/>
      <c r="H265" s="59" t="n"/>
      <c r="I265" s="60">
        <f>IF(OR(G265="",H265=""),"",MOD(H265-G265,1))</f>
        <v/>
      </c>
      <c r="J265" s="61">
        <f>IF(OR(G265="",H265=""),"",ROUND(MOD(H265-G265,1)*24,2))</f>
        <v/>
      </c>
      <c r="K265" s="62">
        <f>IF(E265="","",IF(E265="Werken","JA","NEE"))</f>
        <v/>
      </c>
      <c r="L265" s="61">
        <f>IF(K265="JA",N(J265),IF(E265="","",0))</f>
        <v/>
      </c>
      <c r="M265" s="62">
        <f>IF(AND(A265="",E265=""),"",IF(E265="","Segment ontbreekt",IF(OR(G265="",H265=""),"Van/tot ontbreekt",IF(N(J265)=0,"Duur is nul",IF(N(J265)&gt;12,"Langer dan 12 uur - controleren",IF(AND(E265="Werken",D265=""),"Werken zonder klant - koppelen","OK"))))))</f>
        <v/>
      </c>
    </row>
    <row r="266" ht="15" customHeight="1" s="42">
      <c r="A266" s="55" t="n"/>
      <c r="B266" s="56">
        <f>IF(A266="","",WEEKNUM(A266,21))</f>
        <v/>
      </c>
      <c r="C266" s="57" t="n"/>
      <c r="D266" s="57" t="n"/>
      <c r="E266" s="58" t="n"/>
      <c r="F266" s="57" t="n"/>
      <c r="G266" s="59" t="n"/>
      <c r="H266" s="59" t="n"/>
      <c r="I266" s="60">
        <f>IF(OR(G266="",H266=""),"",MOD(H266-G266,1))</f>
        <v/>
      </c>
      <c r="J266" s="61">
        <f>IF(OR(G266="",H266=""),"",ROUND(MOD(H266-G266,1)*24,2))</f>
        <v/>
      </c>
      <c r="K266" s="62">
        <f>IF(E266="","",IF(E266="Werken","JA","NEE"))</f>
        <v/>
      </c>
      <c r="L266" s="61">
        <f>IF(K266="JA",N(J266),IF(E266="","",0))</f>
        <v/>
      </c>
      <c r="M266" s="62">
        <f>IF(AND(A266="",E266=""),"",IF(E266="","Segment ontbreekt",IF(OR(G266="",H266=""),"Van/tot ontbreekt",IF(N(J266)=0,"Duur is nul",IF(N(J266)&gt;12,"Langer dan 12 uur - controleren",IF(AND(E266="Werken",D266=""),"Werken zonder klant - koppelen","OK"))))))</f>
        <v/>
      </c>
    </row>
    <row r="267" ht="15" customHeight="1" s="42">
      <c r="A267" s="55" t="n"/>
      <c r="B267" s="56">
        <f>IF(A267="","",WEEKNUM(A267,21))</f>
        <v/>
      </c>
      <c r="C267" s="57" t="n"/>
      <c r="D267" s="57" t="n"/>
      <c r="E267" s="58" t="n"/>
      <c r="F267" s="57" t="n"/>
      <c r="G267" s="59" t="n"/>
      <c r="H267" s="59" t="n"/>
      <c r="I267" s="60">
        <f>IF(OR(G267="",H267=""),"",MOD(H267-G267,1))</f>
        <v/>
      </c>
      <c r="J267" s="61">
        <f>IF(OR(G267="",H267=""),"",ROUND(MOD(H267-G267,1)*24,2))</f>
        <v/>
      </c>
      <c r="K267" s="62">
        <f>IF(E267="","",IF(E267="Werken","JA","NEE"))</f>
        <v/>
      </c>
      <c r="L267" s="61">
        <f>IF(K267="JA",N(J267),IF(E267="","",0))</f>
        <v/>
      </c>
      <c r="M267" s="62">
        <f>IF(AND(A267="",E267=""),"",IF(E267="","Segment ontbreekt",IF(OR(G267="",H267=""),"Van/tot ontbreekt",IF(N(J267)=0,"Duur is nul",IF(N(J267)&gt;12,"Langer dan 12 uur - controleren",IF(AND(E267="Werken",D267=""),"Werken zonder klant - koppelen","OK"))))))</f>
        <v/>
      </c>
    </row>
    <row r="268" ht="15" customHeight="1" s="42">
      <c r="A268" s="55" t="n"/>
      <c r="B268" s="56">
        <f>IF(A268="","",WEEKNUM(A268,21))</f>
        <v/>
      </c>
      <c r="C268" s="57" t="n"/>
      <c r="D268" s="57" t="n"/>
      <c r="E268" s="58" t="n"/>
      <c r="F268" s="57" t="n"/>
      <c r="G268" s="59" t="n"/>
      <c r="H268" s="59" t="n"/>
      <c r="I268" s="60">
        <f>IF(OR(G268="",H268=""),"",MOD(H268-G268,1))</f>
        <v/>
      </c>
      <c r="J268" s="61">
        <f>IF(OR(G268="",H268=""),"",ROUND(MOD(H268-G268,1)*24,2))</f>
        <v/>
      </c>
      <c r="K268" s="62">
        <f>IF(E268="","",IF(E268="Werken","JA","NEE"))</f>
        <v/>
      </c>
      <c r="L268" s="61">
        <f>IF(K268="JA",N(J268),IF(E268="","",0))</f>
        <v/>
      </c>
      <c r="M268" s="62">
        <f>IF(AND(A268="",E268=""),"",IF(E268="","Segment ontbreekt",IF(OR(G268="",H268=""),"Van/tot ontbreekt",IF(N(J268)=0,"Duur is nul",IF(N(J268)&gt;12,"Langer dan 12 uur - controleren",IF(AND(E268="Werken",D268=""),"Werken zonder klant - koppelen","OK"))))))</f>
        <v/>
      </c>
    </row>
    <row r="269" ht="15" customHeight="1" s="42">
      <c r="A269" s="55" t="n"/>
      <c r="B269" s="56">
        <f>IF(A269="","",WEEKNUM(A269,21))</f>
        <v/>
      </c>
      <c r="C269" s="57" t="n"/>
      <c r="D269" s="57" t="n"/>
      <c r="E269" s="58" t="n"/>
      <c r="F269" s="57" t="n"/>
      <c r="G269" s="59" t="n"/>
      <c r="H269" s="59" t="n"/>
      <c r="I269" s="60">
        <f>IF(OR(G269="",H269=""),"",MOD(H269-G269,1))</f>
        <v/>
      </c>
      <c r="J269" s="61">
        <f>IF(OR(G269="",H269=""),"",ROUND(MOD(H269-G269,1)*24,2))</f>
        <v/>
      </c>
      <c r="K269" s="62">
        <f>IF(E269="","",IF(E269="Werken","JA","NEE"))</f>
        <v/>
      </c>
      <c r="L269" s="61">
        <f>IF(K269="JA",N(J269),IF(E269="","",0))</f>
        <v/>
      </c>
      <c r="M269" s="62">
        <f>IF(AND(A269="",E269=""),"",IF(E269="","Segment ontbreekt",IF(OR(G269="",H269=""),"Van/tot ontbreekt",IF(N(J269)=0,"Duur is nul",IF(N(J269)&gt;12,"Langer dan 12 uur - controleren",IF(AND(E269="Werken",D269=""),"Werken zonder klant - koppelen","OK"))))))</f>
        <v/>
      </c>
    </row>
    <row r="270" ht="15" customHeight="1" s="42">
      <c r="A270" s="55" t="n"/>
      <c r="B270" s="56">
        <f>IF(A270="","",WEEKNUM(A270,21))</f>
        <v/>
      </c>
      <c r="C270" s="57" t="n"/>
      <c r="D270" s="57" t="n"/>
      <c r="E270" s="58" t="n"/>
      <c r="F270" s="57" t="n"/>
      <c r="G270" s="59" t="n"/>
      <c r="H270" s="59" t="n"/>
      <c r="I270" s="60">
        <f>IF(OR(G270="",H270=""),"",MOD(H270-G270,1))</f>
        <v/>
      </c>
      <c r="J270" s="61">
        <f>IF(OR(G270="",H270=""),"",ROUND(MOD(H270-G270,1)*24,2))</f>
        <v/>
      </c>
      <c r="K270" s="62">
        <f>IF(E270="","",IF(E270="Werken","JA","NEE"))</f>
        <v/>
      </c>
      <c r="L270" s="61">
        <f>IF(K270="JA",N(J270),IF(E270="","",0))</f>
        <v/>
      </c>
      <c r="M270" s="62">
        <f>IF(AND(A270="",E270=""),"",IF(E270="","Segment ontbreekt",IF(OR(G270="",H270=""),"Van/tot ontbreekt",IF(N(J270)=0,"Duur is nul",IF(N(J270)&gt;12,"Langer dan 12 uur - controleren",IF(AND(E270="Werken",D270=""),"Werken zonder klant - koppelen","OK"))))))</f>
        <v/>
      </c>
    </row>
    <row r="271" ht="15" customHeight="1" s="42">
      <c r="A271" s="55" t="n"/>
      <c r="B271" s="56">
        <f>IF(A271="","",WEEKNUM(A271,21))</f>
        <v/>
      </c>
      <c r="C271" s="57" t="n"/>
      <c r="D271" s="57" t="n"/>
      <c r="E271" s="58" t="n"/>
      <c r="F271" s="57" t="n"/>
      <c r="G271" s="59" t="n"/>
      <c r="H271" s="59" t="n"/>
      <c r="I271" s="60">
        <f>IF(OR(G271="",H271=""),"",MOD(H271-G271,1))</f>
        <v/>
      </c>
      <c r="J271" s="61">
        <f>IF(OR(G271="",H271=""),"",ROUND(MOD(H271-G271,1)*24,2))</f>
        <v/>
      </c>
      <c r="K271" s="62">
        <f>IF(E271="","",IF(E271="Werken","JA","NEE"))</f>
        <v/>
      </c>
      <c r="L271" s="61">
        <f>IF(K271="JA",N(J271),IF(E271="","",0))</f>
        <v/>
      </c>
      <c r="M271" s="62">
        <f>IF(AND(A271="",E271=""),"",IF(E271="","Segment ontbreekt",IF(OR(G271="",H271=""),"Van/tot ontbreekt",IF(N(J271)=0,"Duur is nul",IF(N(J271)&gt;12,"Langer dan 12 uur - controleren",IF(AND(E271="Werken",D271=""),"Werken zonder klant - koppelen","OK"))))))</f>
        <v/>
      </c>
    </row>
    <row r="272" ht="15" customHeight="1" s="42">
      <c r="A272" s="55" t="n"/>
      <c r="B272" s="56">
        <f>IF(A272="","",WEEKNUM(A272,21))</f>
        <v/>
      </c>
      <c r="C272" s="57" t="n"/>
      <c r="D272" s="57" t="n"/>
      <c r="E272" s="58" t="n"/>
      <c r="F272" s="57" t="n"/>
      <c r="G272" s="59" t="n"/>
      <c r="H272" s="59" t="n"/>
      <c r="I272" s="60">
        <f>IF(OR(G272="",H272=""),"",MOD(H272-G272,1))</f>
        <v/>
      </c>
      <c r="J272" s="61">
        <f>IF(OR(G272="",H272=""),"",ROUND(MOD(H272-G272,1)*24,2))</f>
        <v/>
      </c>
      <c r="K272" s="62">
        <f>IF(E272="","",IF(E272="Werken","JA","NEE"))</f>
        <v/>
      </c>
      <c r="L272" s="61">
        <f>IF(K272="JA",N(J272),IF(E272="","",0))</f>
        <v/>
      </c>
      <c r="M272" s="62">
        <f>IF(AND(A272="",E272=""),"",IF(E272="","Segment ontbreekt",IF(OR(G272="",H272=""),"Van/tot ontbreekt",IF(N(J272)=0,"Duur is nul",IF(N(J272)&gt;12,"Langer dan 12 uur - controleren",IF(AND(E272="Werken",D272=""),"Werken zonder klant - koppelen","OK"))))))</f>
        <v/>
      </c>
    </row>
    <row r="273" ht="15" customHeight="1" s="42">
      <c r="A273" s="55" t="n"/>
      <c r="B273" s="56">
        <f>IF(A273="","",WEEKNUM(A273,21))</f>
        <v/>
      </c>
      <c r="C273" s="57" t="n"/>
      <c r="D273" s="57" t="n"/>
      <c r="E273" s="58" t="n"/>
      <c r="F273" s="57" t="n"/>
      <c r="G273" s="59" t="n"/>
      <c r="H273" s="59" t="n"/>
      <c r="I273" s="60">
        <f>IF(OR(G273="",H273=""),"",MOD(H273-G273,1))</f>
        <v/>
      </c>
      <c r="J273" s="61">
        <f>IF(OR(G273="",H273=""),"",ROUND(MOD(H273-G273,1)*24,2))</f>
        <v/>
      </c>
      <c r="K273" s="62">
        <f>IF(E273="","",IF(E273="Werken","JA","NEE"))</f>
        <v/>
      </c>
      <c r="L273" s="61">
        <f>IF(K273="JA",N(J273),IF(E273="","",0))</f>
        <v/>
      </c>
      <c r="M273" s="62">
        <f>IF(AND(A273="",E273=""),"",IF(E273="","Segment ontbreekt",IF(OR(G273="",H273=""),"Van/tot ontbreekt",IF(N(J273)=0,"Duur is nul",IF(N(J273)&gt;12,"Langer dan 12 uur - controleren",IF(AND(E273="Werken",D273=""),"Werken zonder klant - koppelen","OK"))))))</f>
        <v/>
      </c>
    </row>
    <row r="274" ht="15" customHeight="1" s="42">
      <c r="A274" s="55" t="n"/>
      <c r="B274" s="56">
        <f>IF(A274="","",WEEKNUM(A274,21))</f>
        <v/>
      </c>
      <c r="C274" s="57" t="n"/>
      <c r="D274" s="57" t="n"/>
      <c r="E274" s="58" t="n"/>
      <c r="F274" s="57" t="n"/>
      <c r="G274" s="59" t="n"/>
      <c r="H274" s="59" t="n"/>
      <c r="I274" s="60">
        <f>IF(OR(G274="",H274=""),"",MOD(H274-G274,1))</f>
        <v/>
      </c>
      <c r="J274" s="61">
        <f>IF(OR(G274="",H274=""),"",ROUND(MOD(H274-G274,1)*24,2))</f>
        <v/>
      </c>
      <c r="K274" s="62">
        <f>IF(E274="","",IF(E274="Werken","JA","NEE"))</f>
        <v/>
      </c>
      <c r="L274" s="61">
        <f>IF(K274="JA",N(J274),IF(E274="","",0))</f>
        <v/>
      </c>
      <c r="M274" s="62">
        <f>IF(AND(A274="",E274=""),"",IF(E274="","Segment ontbreekt",IF(OR(G274="",H274=""),"Van/tot ontbreekt",IF(N(J274)=0,"Duur is nul",IF(N(J274)&gt;12,"Langer dan 12 uur - controleren",IF(AND(E274="Werken",D274=""),"Werken zonder klant - koppelen","OK"))))))</f>
        <v/>
      </c>
    </row>
    <row r="275" ht="15" customHeight="1" s="42">
      <c r="A275" s="55" t="n"/>
      <c r="B275" s="56">
        <f>IF(A275="","",WEEKNUM(A275,21))</f>
        <v/>
      </c>
      <c r="C275" s="57" t="n"/>
      <c r="D275" s="57" t="n"/>
      <c r="E275" s="58" t="n"/>
      <c r="F275" s="57" t="n"/>
      <c r="G275" s="59" t="n"/>
      <c r="H275" s="59" t="n"/>
      <c r="I275" s="60">
        <f>IF(OR(G275="",H275=""),"",MOD(H275-G275,1))</f>
        <v/>
      </c>
      <c r="J275" s="61">
        <f>IF(OR(G275="",H275=""),"",ROUND(MOD(H275-G275,1)*24,2))</f>
        <v/>
      </c>
      <c r="K275" s="62">
        <f>IF(E275="","",IF(E275="Werken","JA","NEE"))</f>
        <v/>
      </c>
      <c r="L275" s="61">
        <f>IF(K275="JA",N(J275),IF(E275="","",0))</f>
        <v/>
      </c>
      <c r="M275" s="62">
        <f>IF(AND(A275="",E275=""),"",IF(E275="","Segment ontbreekt",IF(OR(G275="",H275=""),"Van/tot ontbreekt",IF(N(J275)=0,"Duur is nul",IF(N(J275)&gt;12,"Langer dan 12 uur - controleren",IF(AND(E275="Werken",D275=""),"Werken zonder klant - koppelen","OK"))))))</f>
        <v/>
      </c>
    </row>
    <row r="276" ht="15" customHeight="1" s="42">
      <c r="A276" s="55" t="n"/>
      <c r="B276" s="56">
        <f>IF(A276="","",WEEKNUM(A276,21))</f>
        <v/>
      </c>
      <c r="C276" s="57" t="n"/>
      <c r="D276" s="57" t="n"/>
      <c r="E276" s="58" t="n"/>
      <c r="F276" s="57" t="n"/>
      <c r="G276" s="59" t="n"/>
      <c r="H276" s="59" t="n"/>
      <c r="I276" s="60">
        <f>IF(OR(G276="",H276=""),"",MOD(H276-G276,1))</f>
        <v/>
      </c>
      <c r="J276" s="61">
        <f>IF(OR(G276="",H276=""),"",ROUND(MOD(H276-G276,1)*24,2))</f>
        <v/>
      </c>
      <c r="K276" s="62">
        <f>IF(E276="","",IF(E276="Werken","JA","NEE"))</f>
        <v/>
      </c>
      <c r="L276" s="61">
        <f>IF(K276="JA",N(J276),IF(E276="","",0))</f>
        <v/>
      </c>
      <c r="M276" s="62">
        <f>IF(AND(A276="",E276=""),"",IF(E276="","Segment ontbreekt",IF(OR(G276="",H276=""),"Van/tot ontbreekt",IF(N(J276)=0,"Duur is nul",IF(N(J276)&gt;12,"Langer dan 12 uur - controleren",IF(AND(E276="Werken",D276=""),"Werken zonder klant - koppelen","OK"))))))</f>
        <v/>
      </c>
    </row>
    <row r="277" ht="15" customHeight="1" s="42">
      <c r="A277" s="55" t="n"/>
      <c r="B277" s="56">
        <f>IF(A277="","",WEEKNUM(A277,21))</f>
        <v/>
      </c>
      <c r="C277" s="57" t="n"/>
      <c r="D277" s="57" t="n"/>
      <c r="E277" s="58" t="n"/>
      <c r="F277" s="57" t="n"/>
      <c r="G277" s="59" t="n"/>
      <c r="H277" s="59" t="n"/>
      <c r="I277" s="60">
        <f>IF(OR(G277="",H277=""),"",MOD(H277-G277,1))</f>
        <v/>
      </c>
      <c r="J277" s="61">
        <f>IF(OR(G277="",H277=""),"",ROUND(MOD(H277-G277,1)*24,2))</f>
        <v/>
      </c>
      <c r="K277" s="62">
        <f>IF(E277="","",IF(E277="Werken","JA","NEE"))</f>
        <v/>
      </c>
      <c r="L277" s="61">
        <f>IF(K277="JA",N(J277),IF(E277="","",0))</f>
        <v/>
      </c>
      <c r="M277" s="62">
        <f>IF(AND(A277="",E277=""),"",IF(E277="","Segment ontbreekt",IF(OR(G277="",H277=""),"Van/tot ontbreekt",IF(N(J277)=0,"Duur is nul",IF(N(J277)&gt;12,"Langer dan 12 uur - controleren",IF(AND(E277="Werken",D277=""),"Werken zonder klant - koppelen","OK"))))))</f>
        <v/>
      </c>
    </row>
    <row r="278" ht="15" customHeight="1" s="42">
      <c r="A278" s="55" t="n"/>
      <c r="B278" s="56">
        <f>IF(A278="","",WEEKNUM(A278,21))</f>
        <v/>
      </c>
      <c r="C278" s="57" t="n"/>
      <c r="D278" s="57" t="n"/>
      <c r="E278" s="58" t="n"/>
      <c r="F278" s="57" t="n"/>
      <c r="G278" s="59" t="n"/>
      <c r="H278" s="59" t="n"/>
      <c r="I278" s="60">
        <f>IF(OR(G278="",H278=""),"",MOD(H278-G278,1))</f>
        <v/>
      </c>
      <c r="J278" s="61">
        <f>IF(OR(G278="",H278=""),"",ROUND(MOD(H278-G278,1)*24,2))</f>
        <v/>
      </c>
      <c r="K278" s="62">
        <f>IF(E278="","",IF(E278="Werken","JA","NEE"))</f>
        <v/>
      </c>
      <c r="L278" s="61">
        <f>IF(K278="JA",N(J278),IF(E278="","",0))</f>
        <v/>
      </c>
      <c r="M278" s="62">
        <f>IF(AND(A278="",E278=""),"",IF(E278="","Segment ontbreekt",IF(OR(G278="",H278=""),"Van/tot ontbreekt",IF(N(J278)=0,"Duur is nul",IF(N(J278)&gt;12,"Langer dan 12 uur - controleren",IF(AND(E278="Werken",D278=""),"Werken zonder klant - koppelen","OK"))))))</f>
        <v/>
      </c>
    </row>
    <row r="279" ht="15" customHeight="1" s="42">
      <c r="A279" s="55" t="n"/>
      <c r="B279" s="56">
        <f>IF(A279="","",WEEKNUM(A279,21))</f>
        <v/>
      </c>
      <c r="C279" s="57" t="n"/>
      <c r="D279" s="57" t="n"/>
      <c r="E279" s="58" t="n"/>
      <c r="F279" s="57" t="n"/>
      <c r="G279" s="59" t="n"/>
      <c r="H279" s="59" t="n"/>
      <c r="I279" s="60">
        <f>IF(OR(G279="",H279=""),"",MOD(H279-G279,1))</f>
        <v/>
      </c>
      <c r="J279" s="61">
        <f>IF(OR(G279="",H279=""),"",ROUND(MOD(H279-G279,1)*24,2))</f>
        <v/>
      </c>
      <c r="K279" s="62">
        <f>IF(E279="","",IF(E279="Werken","JA","NEE"))</f>
        <v/>
      </c>
      <c r="L279" s="61">
        <f>IF(K279="JA",N(J279),IF(E279="","",0))</f>
        <v/>
      </c>
      <c r="M279" s="62">
        <f>IF(AND(A279="",E279=""),"",IF(E279="","Segment ontbreekt",IF(OR(G279="",H279=""),"Van/tot ontbreekt",IF(N(J279)=0,"Duur is nul",IF(N(J279)&gt;12,"Langer dan 12 uur - controleren",IF(AND(E279="Werken",D279=""),"Werken zonder klant - koppelen","OK"))))))</f>
        <v/>
      </c>
    </row>
    <row r="280" ht="15" customHeight="1" s="42">
      <c r="A280" s="55" t="n"/>
      <c r="B280" s="56">
        <f>IF(A280="","",WEEKNUM(A280,21))</f>
        <v/>
      </c>
      <c r="C280" s="57" t="n"/>
      <c r="D280" s="57" t="n"/>
      <c r="E280" s="58" t="n"/>
      <c r="F280" s="57" t="n"/>
      <c r="G280" s="59" t="n"/>
      <c r="H280" s="59" t="n"/>
      <c r="I280" s="60">
        <f>IF(OR(G280="",H280=""),"",MOD(H280-G280,1))</f>
        <v/>
      </c>
      <c r="J280" s="61">
        <f>IF(OR(G280="",H280=""),"",ROUND(MOD(H280-G280,1)*24,2))</f>
        <v/>
      </c>
      <c r="K280" s="62">
        <f>IF(E280="","",IF(E280="Werken","JA","NEE"))</f>
        <v/>
      </c>
      <c r="L280" s="61">
        <f>IF(K280="JA",N(J280),IF(E280="","",0))</f>
        <v/>
      </c>
      <c r="M280" s="62">
        <f>IF(AND(A280="",E280=""),"",IF(E280="","Segment ontbreekt",IF(OR(G280="",H280=""),"Van/tot ontbreekt",IF(N(J280)=0,"Duur is nul",IF(N(J280)&gt;12,"Langer dan 12 uur - controleren",IF(AND(E280="Werken",D280=""),"Werken zonder klant - koppelen","OK"))))))</f>
        <v/>
      </c>
    </row>
    <row r="281" ht="15" customHeight="1" s="42">
      <c r="A281" s="55" t="n"/>
      <c r="B281" s="56">
        <f>IF(A281="","",WEEKNUM(A281,21))</f>
        <v/>
      </c>
      <c r="C281" s="57" t="n"/>
      <c r="D281" s="57" t="n"/>
      <c r="E281" s="58" t="n"/>
      <c r="F281" s="57" t="n"/>
      <c r="G281" s="59" t="n"/>
      <c r="H281" s="59" t="n"/>
      <c r="I281" s="60">
        <f>IF(OR(G281="",H281=""),"",MOD(H281-G281,1))</f>
        <v/>
      </c>
      <c r="J281" s="61">
        <f>IF(OR(G281="",H281=""),"",ROUND(MOD(H281-G281,1)*24,2))</f>
        <v/>
      </c>
      <c r="K281" s="62">
        <f>IF(E281="","",IF(E281="Werken","JA","NEE"))</f>
        <v/>
      </c>
      <c r="L281" s="61">
        <f>IF(K281="JA",N(J281),IF(E281="","",0))</f>
        <v/>
      </c>
      <c r="M281" s="62">
        <f>IF(AND(A281="",E281=""),"",IF(E281="","Segment ontbreekt",IF(OR(G281="",H281=""),"Van/tot ontbreekt",IF(N(J281)=0,"Duur is nul",IF(N(J281)&gt;12,"Langer dan 12 uur - controleren",IF(AND(E281="Werken",D281=""),"Werken zonder klant - koppelen","OK"))))))</f>
        <v/>
      </c>
    </row>
    <row r="282" ht="15" customHeight="1" s="42">
      <c r="A282" s="55" t="n"/>
      <c r="B282" s="56">
        <f>IF(A282="","",WEEKNUM(A282,21))</f>
        <v/>
      </c>
      <c r="C282" s="57" t="n"/>
      <c r="D282" s="57" t="n"/>
      <c r="E282" s="58" t="n"/>
      <c r="F282" s="57" t="n"/>
      <c r="G282" s="59" t="n"/>
      <c r="H282" s="59" t="n"/>
      <c r="I282" s="60">
        <f>IF(OR(G282="",H282=""),"",MOD(H282-G282,1))</f>
        <v/>
      </c>
      <c r="J282" s="61">
        <f>IF(OR(G282="",H282=""),"",ROUND(MOD(H282-G282,1)*24,2))</f>
        <v/>
      </c>
      <c r="K282" s="62">
        <f>IF(E282="","",IF(E282="Werken","JA","NEE"))</f>
        <v/>
      </c>
      <c r="L282" s="61">
        <f>IF(K282="JA",N(J282),IF(E282="","",0))</f>
        <v/>
      </c>
      <c r="M282" s="62">
        <f>IF(AND(A282="",E282=""),"",IF(E282="","Segment ontbreekt",IF(OR(G282="",H282=""),"Van/tot ontbreekt",IF(N(J282)=0,"Duur is nul",IF(N(J282)&gt;12,"Langer dan 12 uur - controleren",IF(AND(E282="Werken",D282=""),"Werken zonder klant - koppelen","OK"))))))</f>
        <v/>
      </c>
    </row>
    <row r="283" ht="15" customHeight="1" s="42">
      <c r="A283" s="55" t="n"/>
      <c r="B283" s="56">
        <f>IF(A283="","",WEEKNUM(A283,21))</f>
        <v/>
      </c>
      <c r="C283" s="57" t="n"/>
      <c r="D283" s="57" t="n"/>
      <c r="E283" s="58" t="n"/>
      <c r="F283" s="57" t="n"/>
      <c r="G283" s="59" t="n"/>
      <c r="H283" s="59" t="n"/>
      <c r="I283" s="60">
        <f>IF(OR(G283="",H283=""),"",MOD(H283-G283,1))</f>
        <v/>
      </c>
      <c r="J283" s="61">
        <f>IF(OR(G283="",H283=""),"",ROUND(MOD(H283-G283,1)*24,2))</f>
        <v/>
      </c>
      <c r="K283" s="62">
        <f>IF(E283="","",IF(E283="Werken","JA","NEE"))</f>
        <v/>
      </c>
      <c r="L283" s="61">
        <f>IF(K283="JA",N(J283),IF(E283="","",0))</f>
        <v/>
      </c>
      <c r="M283" s="62">
        <f>IF(AND(A283="",E283=""),"",IF(E283="","Segment ontbreekt",IF(OR(G283="",H283=""),"Van/tot ontbreekt",IF(N(J283)=0,"Duur is nul",IF(N(J283)&gt;12,"Langer dan 12 uur - controleren",IF(AND(E283="Werken",D283=""),"Werken zonder klant - koppelen","OK"))))))</f>
        <v/>
      </c>
    </row>
    <row r="284" ht="15" customHeight="1" s="42">
      <c r="A284" s="55" t="n"/>
      <c r="B284" s="56">
        <f>IF(A284="","",WEEKNUM(A284,21))</f>
        <v/>
      </c>
      <c r="C284" s="57" t="n"/>
      <c r="D284" s="57" t="n"/>
      <c r="E284" s="58" t="n"/>
      <c r="F284" s="57" t="n"/>
      <c r="G284" s="59" t="n"/>
      <c r="H284" s="59" t="n"/>
      <c r="I284" s="60">
        <f>IF(OR(G284="",H284=""),"",MOD(H284-G284,1))</f>
        <v/>
      </c>
      <c r="J284" s="61">
        <f>IF(OR(G284="",H284=""),"",ROUND(MOD(H284-G284,1)*24,2))</f>
        <v/>
      </c>
      <c r="K284" s="62">
        <f>IF(E284="","",IF(E284="Werken","JA","NEE"))</f>
        <v/>
      </c>
      <c r="L284" s="61">
        <f>IF(K284="JA",N(J284),IF(E284="","",0))</f>
        <v/>
      </c>
      <c r="M284" s="62">
        <f>IF(AND(A284="",E284=""),"",IF(E284="","Segment ontbreekt",IF(OR(G284="",H284=""),"Van/tot ontbreekt",IF(N(J284)=0,"Duur is nul",IF(N(J284)&gt;12,"Langer dan 12 uur - controleren",IF(AND(E284="Werken",D284=""),"Werken zonder klant - koppelen","OK"))))))</f>
        <v/>
      </c>
    </row>
    <row r="285" ht="15" customHeight="1" s="42">
      <c r="A285" s="55" t="n"/>
      <c r="B285" s="56">
        <f>IF(A285="","",WEEKNUM(A285,21))</f>
        <v/>
      </c>
      <c r="C285" s="57" t="n"/>
      <c r="D285" s="57" t="n"/>
      <c r="E285" s="58" t="n"/>
      <c r="F285" s="57" t="n"/>
      <c r="G285" s="59" t="n"/>
      <c r="H285" s="59" t="n"/>
      <c r="I285" s="60">
        <f>IF(OR(G285="",H285=""),"",MOD(H285-G285,1))</f>
        <v/>
      </c>
      <c r="J285" s="61">
        <f>IF(OR(G285="",H285=""),"",ROUND(MOD(H285-G285,1)*24,2))</f>
        <v/>
      </c>
      <c r="K285" s="62">
        <f>IF(E285="","",IF(E285="Werken","JA","NEE"))</f>
        <v/>
      </c>
      <c r="L285" s="61">
        <f>IF(K285="JA",N(J285),IF(E285="","",0))</f>
        <v/>
      </c>
      <c r="M285" s="62">
        <f>IF(AND(A285="",E285=""),"",IF(E285="","Segment ontbreekt",IF(OR(G285="",H285=""),"Van/tot ontbreekt",IF(N(J285)=0,"Duur is nul",IF(N(J285)&gt;12,"Langer dan 12 uur - controleren",IF(AND(E285="Werken",D285=""),"Werken zonder klant - koppelen","OK"))))))</f>
        <v/>
      </c>
    </row>
    <row r="286" ht="15" customHeight="1" s="42">
      <c r="A286" s="55" t="n"/>
      <c r="B286" s="56">
        <f>IF(A286="","",WEEKNUM(A286,21))</f>
        <v/>
      </c>
      <c r="C286" s="57" t="n"/>
      <c r="D286" s="57" t="n"/>
      <c r="E286" s="58" t="n"/>
      <c r="F286" s="57" t="n"/>
      <c r="G286" s="59" t="n"/>
      <c r="H286" s="59" t="n"/>
      <c r="I286" s="60">
        <f>IF(OR(G286="",H286=""),"",MOD(H286-G286,1))</f>
        <v/>
      </c>
      <c r="J286" s="61">
        <f>IF(OR(G286="",H286=""),"",ROUND(MOD(H286-G286,1)*24,2))</f>
        <v/>
      </c>
      <c r="K286" s="62">
        <f>IF(E286="","",IF(E286="Werken","JA","NEE"))</f>
        <v/>
      </c>
      <c r="L286" s="61">
        <f>IF(K286="JA",N(J286),IF(E286="","",0))</f>
        <v/>
      </c>
      <c r="M286" s="62">
        <f>IF(AND(A286="",E286=""),"",IF(E286="","Segment ontbreekt",IF(OR(G286="",H286=""),"Van/tot ontbreekt",IF(N(J286)=0,"Duur is nul",IF(N(J286)&gt;12,"Langer dan 12 uur - controleren",IF(AND(E286="Werken",D286=""),"Werken zonder klant - koppelen","OK"))))))</f>
        <v/>
      </c>
    </row>
    <row r="287" ht="15" customHeight="1" s="42">
      <c r="A287" s="55" t="n"/>
      <c r="B287" s="56">
        <f>IF(A287="","",WEEKNUM(A287,21))</f>
        <v/>
      </c>
      <c r="C287" s="57" t="n"/>
      <c r="D287" s="57" t="n"/>
      <c r="E287" s="58" t="n"/>
      <c r="F287" s="57" t="n"/>
      <c r="G287" s="59" t="n"/>
      <c r="H287" s="59" t="n"/>
      <c r="I287" s="60">
        <f>IF(OR(G287="",H287=""),"",MOD(H287-G287,1))</f>
        <v/>
      </c>
      <c r="J287" s="61">
        <f>IF(OR(G287="",H287=""),"",ROUND(MOD(H287-G287,1)*24,2))</f>
        <v/>
      </c>
      <c r="K287" s="62">
        <f>IF(E287="","",IF(E287="Werken","JA","NEE"))</f>
        <v/>
      </c>
      <c r="L287" s="61">
        <f>IF(K287="JA",N(J287),IF(E287="","",0))</f>
        <v/>
      </c>
      <c r="M287" s="62">
        <f>IF(AND(A287="",E287=""),"",IF(E287="","Segment ontbreekt",IF(OR(G287="",H287=""),"Van/tot ontbreekt",IF(N(J287)=0,"Duur is nul",IF(N(J287)&gt;12,"Langer dan 12 uur - controleren",IF(AND(E287="Werken",D287=""),"Werken zonder klant - koppelen","OK"))))))</f>
        <v/>
      </c>
    </row>
    <row r="288" ht="15" customHeight="1" s="42">
      <c r="A288" s="55" t="n"/>
      <c r="B288" s="56">
        <f>IF(A288="","",WEEKNUM(A288,21))</f>
        <v/>
      </c>
      <c r="C288" s="57" t="n"/>
      <c r="D288" s="57" t="n"/>
      <c r="E288" s="58" t="n"/>
      <c r="F288" s="57" t="n"/>
      <c r="G288" s="59" t="n"/>
      <c r="H288" s="59" t="n"/>
      <c r="I288" s="60">
        <f>IF(OR(G288="",H288=""),"",MOD(H288-G288,1))</f>
        <v/>
      </c>
      <c r="J288" s="61">
        <f>IF(OR(G288="",H288=""),"",ROUND(MOD(H288-G288,1)*24,2))</f>
        <v/>
      </c>
      <c r="K288" s="62">
        <f>IF(E288="","",IF(E288="Werken","JA","NEE"))</f>
        <v/>
      </c>
      <c r="L288" s="61">
        <f>IF(K288="JA",N(J288),IF(E288="","",0))</f>
        <v/>
      </c>
      <c r="M288" s="62">
        <f>IF(AND(A288="",E288=""),"",IF(E288="","Segment ontbreekt",IF(OR(G288="",H288=""),"Van/tot ontbreekt",IF(N(J288)=0,"Duur is nul",IF(N(J288)&gt;12,"Langer dan 12 uur - controleren",IF(AND(E288="Werken",D288=""),"Werken zonder klant - koppelen","OK"))))))</f>
        <v/>
      </c>
    </row>
    <row r="289" ht="15" customHeight="1" s="42">
      <c r="A289" s="55" t="n"/>
      <c r="B289" s="56">
        <f>IF(A289="","",WEEKNUM(A289,21))</f>
        <v/>
      </c>
      <c r="C289" s="57" t="n"/>
      <c r="D289" s="57" t="n"/>
      <c r="E289" s="58" t="n"/>
      <c r="F289" s="57" t="n"/>
      <c r="G289" s="59" t="n"/>
      <c r="H289" s="59" t="n"/>
      <c r="I289" s="60">
        <f>IF(OR(G289="",H289=""),"",MOD(H289-G289,1))</f>
        <v/>
      </c>
      <c r="J289" s="61">
        <f>IF(OR(G289="",H289=""),"",ROUND(MOD(H289-G289,1)*24,2))</f>
        <v/>
      </c>
      <c r="K289" s="62">
        <f>IF(E289="","",IF(E289="Werken","JA","NEE"))</f>
        <v/>
      </c>
      <c r="L289" s="61">
        <f>IF(K289="JA",N(J289),IF(E289="","",0))</f>
        <v/>
      </c>
      <c r="M289" s="62">
        <f>IF(AND(A289="",E289=""),"",IF(E289="","Segment ontbreekt",IF(OR(G289="",H289=""),"Van/tot ontbreekt",IF(N(J289)=0,"Duur is nul",IF(N(J289)&gt;12,"Langer dan 12 uur - controleren",IF(AND(E289="Werken",D289=""),"Werken zonder klant - koppelen","OK"))))))</f>
        <v/>
      </c>
    </row>
    <row r="290" ht="15" customHeight="1" s="42">
      <c r="A290" s="55" t="n"/>
      <c r="B290" s="56">
        <f>IF(A290="","",WEEKNUM(A290,21))</f>
        <v/>
      </c>
      <c r="C290" s="57" t="n"/>
      <c r="D290" s="57" t="n"/>
      <c r="E290" s="58" t="n"/>
      <c r="F290" s="57" t="n"/>
      <c r="G290" s="59" t="n"/>
      <c r="H290" s="59" t="n"/>
      <c r="I290" s="60">
        <f>IF(OR(G290="",H290=""),"",MOD(H290-G290,1))</f>
        <v/>
      </c>
      <c r="J290" s="61">
        <f>IF(OR(G290="",H290=""),"",ROUND(MOD(H290-G290,1)*24,2))</f>
        <v/>
      </c>
      <c r="K290" s="62">
        <f>IF(E290="","",IF(E290="Werken","JA","NEE"))</f>
        <v/>
      </c>
      <c r="L290" s="61">
        <f>IF(K290="JA",N(J290),IF(E290="","",0))</f>
        <v/>
      </c>
      <c r="M290" s="62">
        <f>IF(AND(A290="",E290=""),"",IF(E290="","Segment ontbreekt",IF(OR(G290="",H290=""),"Van/tot ontbreekt",IF(N(J290)=0,"Duur is nul",IF(N(J290)&gt;12,"Langer dan 12 uur - controleren",IF(AND(E290="Werken",D290=""),"Werken zonder klant - koppelen","OK"))))))</f>
        <v/>
      </c>
    </row>
    <row r="291" ht="15" customHeight="1" s="42">
      <c r="A291" s="55" t="n"/>
      <c r="B291" s="56">
        <f>IF(A291="","",WEEKNUM(A291,21))</f>
        <v/>
      </c>
      <c r="C291" s="57" t="n"/>
      <c r="D291" s="57" t="n"/>
      <c r="E291" s="58" t="n"/>
      <c r="F291" s="57" t="n"/>
      <c r="G291" s="59" t="n"/>
      <c r="H291" s="59" t="n"/>
      <c r="I291" s="60">
        <f>IF(OR(G291="",H291=""),"",MOD(H291-G291,1))</f>
        <v/>
      </c>
      <c r="J291" s="61">
        <f>IF(OR(G291="",H291=""),"",ROUND(MOD(H291-G291,1)*24,2))</f>
        <v/>
      </c>
      <c r="K291" s="62">
        <f>IF(E291="","",IF(E291="Werken","JA","NEE"))</f>
        <v/>
      </c>
      <c r="L291" s="61">
        <f>IF(K291="JA",N(J291),IF(E291="","",0))</f>
        <v/>
      </c>
      <c r="M291" s="62">
        <f>IF(AND(A291="",E291=""),"",IF(E291="","Segment ontbreekt",IF(OR(G291="",H291=""),"Van/tot ontbreekt",IF(N(J291)=0,"Duur is nul",IF(N(J291)&gt;12,"Langer dan 12 uur - controleren",IF(AND(E291="Werken",D291=""),"Werken zonder klant - koppelen","OK"))))))</f>
        <v/>
      </c>
    </row>
    <row r="292" ht="15" customHeight="1" s="42">
      <c r="A292" s="55" t="n"/>
      <c r="B292" s="56">
        <f>IF(A292="","",WEEKNUM(A292,21))</f>
        <v/>
      </c>
      <c r="C292" s="57" t="n"/>
      <c r="D292" s="57" t="n"/>
      <c r="E292" s="58" t="n"/>
      <c r="F292" s="57" t="n"/>
      <c r="G292" s="59" t="n"/>
      <c r="H292" s="59" t="n"/>
      <c r="I292" s="60">
        <f>IF(OR(G292="",H292=""),"",MOD(H292-G292,1))</f>
        <v/>
      </c>
      <c r="J292" s="61">
        <f>IF(OR(G292="",H292=""),"",ROUND(MOD(H292-G292,1)*24,2))</f>
        <v/>
      </c>
      <c r="K292" s="62">
        <f>IF(E292="","",IF(E292="Werken","JA","NEE"))</f>
        <v/>
      </c>
      <c r="L292" s="61">
        <f>IF(K292="JA",N(J292),IF(E292="","",0))</f>
        <v/>
      </c>
      <c r="M292" s="62">
        <f>IF(AND(A292="",E292=""),"",IF(E292="","Segment ontbreekt",IF(OR(G292="",H292=""),"Van/tot ontbreekt",IF(N(J292)=0,"Duur is nul",IF(N(J292)&gt;12,"Langer dan 12 uur - controleren",IF(AND(E292="Werken",D292=""),"Werken zonder klant - koppelen","OK"))))))</f>
        <v/>
      </c>
    </row>
    <row r="293" ht="15" customHeight="1" s="42">
      <c r="A293" s="55" t="n"/>
      <c r="B293" s="56">
        <f>IF(A293="","",WEEKNUM(A293,21))</f>
        <v/>
      </c>
      <c r="C293" s="57" t="n"/>
      <c r="D293" s="57" t="n"/>
      <c r="E293" s="58" t="n"/>
      <c r="F293" s="57" t="n"/>
      <c r="G293" s="59" t="n"/>
      <c r="H293" s="59" t="n"/>
      <c r="I293" s="60">
        <f>IF(OR(G293="",H293=""),"",MOD(H293-G293,1))</f>
        <v/>
      </c>
      <c r="J293" s="61">
        <f>IF(OR(G293="",H293=""),"",ROUND(MOD(H293-G293,1)*24,2))</f>
        <v/>
      </c>
      <c r="K293" s="62">
        <f>IF(E293="","",IF(E293="Werken","JA","NEE"))</f>
        <v/>
      </c>
      <c r="L293" s="61">
        <f>IF(K293="JA",N(J293),IF(E293="","",0))</f>
        <v/>
      </c>
      <c r="M293" s="62">
        <f>IF(AND(A293="",E293=""),"",IF(E293="","Segment ontbreekt",IF(OR(G293="",H293=""),"Van/tot ontbreekt",IF(N(J293)=0,"Duur is nul",IF(N(J293)&gt;12,"Langer dan 12 uur - controleren",IF(AND(E293="Werken",D293=""),"Werken zonder klant - koppelen","OK"))))))</f>
        <v/>
      </c>
    </row>
    <row r="294" ht="15" customHeight="1" s="42">
      <c r="A294" s="55" t="n"/>
      <c r="B294" s="56">
        <f>IF(A294="","",WEEKNUM(A294,21))</f>
        <v/>
      </c>
      <c r="C294" s="57" t="n"/>
      <c r="D294" s="57" t="n"/>
      <c r="E294" s="58" t="n"/>
      <c r="F294" s="57" t="n"/>
      <c r="G294" s="59" t="n"/>
      <c r="H294" s="59" t="n"/>
      <c r="I294" s="60">
        <f>IF(OR(G294="",H294=""),"",MOD(H294-G294,1))</f>
        <v/>
      </c>
      <c r="J294" s="61">
        <f>IF(OR(G294="",H294=""),"",ROUND(MOD(H294-G294,1)*24,2))</f>
        <v/>
      </c>
      <c r="K294" s="62">
        <f>IF(E294="","",IF(E294="Werken","JA","NEE"))</f>
        <v/>
      </c>
      <c r="L294" s="61">
        <f>IF(K294="JA",N(J294),IF(E294="","",0))</f>
        <v/>
      </c>
      <c r="M294" s="62">
        <f>IF(AND(A294="",E294=""),"",IF(E294="","Segment ontbreekt",IF(OR(G294="",H294=""),"Van/tot ontbreekt",IF(N(J294)=0,"Duur is nul",IF(N(J294)&gt;12,"Langer dan 12 uur - controleren",IF(AND(E294="Werken",D294=""),"Werken zonder klant - koppelen","OK"))))))</f>
        <v/>
      </c>
    </row>
    <row r="295" ht="15" customHeight="1" s="42">
      <c r="A295" s="55" t="n"/>
      <c r="B295" s="56">
        <f>IF(A295="","",WEEKNUM(A295,21))</f>
        <v/>
      </c>
      <c r="C295" s="57" t="n"/>
      <c r="D295" s="57" t="n"/>
      <c r="E295" s="58" t="n"/>
      <c r="F295" s="57" t="n"/>
      <c r="G295" s="59" t="n"/>
      <c r="H295" s="59" t="n"/>
      <c r="I295" s="60">
        <f>IF(OR(G295="",H295=""),"",MOD(H295-G295,1))</f>
        <v/>
      </c>
      <c r="J295" s="61">
        <f>IF(OR(G295="",H295=""),"",ROUND(MOD(H295-G295,1)*24,2))</f>
        <v/>
      </c>
      <c r="K295" s="62">
        <f>IF(E295="","",IF(E295="Werken","JA","NEE"))</f>
        <v/>
      </c>
      <c r="L295" s="61">
        <f>IF(K295="JA",N(J295),IF(E295="","",0))</f>
        <v/>
      </c>
      <c r="M295" s="62">
        <f>IF(AND(A295="",E295=""),"",IF(E295="","Segment ontbreekt",IF(OR(G295="",H295=""),"Van/tot ontbreekt",IF(N(J295)=0,"Duur is nul",IF(N(J295)&gt;12,"Langer dan 12 uur - controleren",IF(AND(E295="Werken",D295=""),"Werken zonder klant - koppelen","OK"))))))</f>
        <v/>
      </c>
    </row>
    <row r="296" ht="15" customHeight="1" s="42">
      <c r="A296" s="55" t="n"/>
      <c r="B296" s="56">
        <f>IF(A296="","",WEEKNUM(A296,21))</f>
        <v/>
      </c>
      <c r="C296" s="57" t="n"/>
      <c r="D296" s="57" t="n"/>
      <c r="E296" s="58" t="n"/>
      <c r="F296" s="57" t="n"/>
      <c r="G296" s="59" t="n"/>
      <c r="H296" s="59" t="n"/>
      <c r="I296" s="60">
        <f>IF(OR(G296="",H296=""),"",MOD(H296-G296,1))</f>
        <v/>
      </c>
      <c r="J296" s="61">
        <f>IF(OR(G296="",H296=""),"",ROUND(MOD(H296-G296,1)*24,2))</f>
        <v/>
      </c>
      <c r="K296" s="62">
        <f>IF(E296="","",IF(E296="Werken","JA","NEE"))</f>
        <v/>
      </c>
      <c r="L296" s="61">
        <f>IF(K296="JA",N(J296),IF(E296="","",0))</f>
        <v/>
      </c>
      <c r="M296" s="62">
        <f>IF(AND(A296="",E296=""),"",IF(E296="","Segment ontbreekt",IF(OR(G296="",H296=""),"Van/tot ontbreekt",IF(N(J296)=0,"Duur is nul",IF(N(J296)&gt;12,"Langer dan 12 uur - controleren",IF(AND(E296="Werken",D296=""),"Werken zonder klant - koppelen","OK"))))))</f>
        <v/>
      </c>
    </row>
    <row r="297" ht="15" customHeight="1" s="42">
      <c r="A297" s="55" t="n"/>
      <c r="B297" s="56">
        <f>IF(A297="","",WEEKNUM(A297,21))</f>
        <v/>
      </c>
      <c r="C297" s="57" t="n"/>
      <c r="D297" s="57" t="n"/>
      <c r="E297" s="58" t="n"/>
      <c r="F297" s="57" t="n"/>
      <c r="G297" s="59" t="n"/>
      <c r="H297" s="59" t="n"/>
      <c r="I297" s="60">
        <f>IF(OR(G297="",H297=""),"",MOD(H297-G297,1))</f>
        <v/>
      </c>
      <c r="J297" s="61">
        <f>IF(OR(G297="",H297=""),"",ROUND(MOD(H297-G297,1)*24,2))</f>
        <v/>
      </c>
      <c r="K297" s="62">
        <f>IF(E297="","",IF(E297="Werken","JA","NEE"))</f>
        <v/>
      </c>
      <c r="L297" s="61">
        <f>IF(K297="JA",N(J297),IF(E297="","",0))</f>
        <v/>
      </c>
      <c r="M297" s="62">
        <f>IF(AND(A297="",E297=""),"",IF(E297="","Segment ontbreekt",IF(OR(G297="",H297=""),"Van/tot ontbreekt",IF(N(J297)=0,"Duur is nul",IF(N(J297)&gt;12,"Langer dan 12 uur - controleren",IF(AND(E297="Werken",D297=""),"Werken zonder klant - koppelen","OK"))))))</f>
        <v/>
      </c>
    </row>
    <row r="298" ht="15" customHeight="1" s="42">
      <c r="A298" s="55" t="n"/>
      <c r="B298" s="56">
        <f>IF(A298="","",WEEKNUM(A298,21))</f>
        <v/>
      </c>
      <c r="C298" s="57" t="n"/>
      <c r="D298" s="57" t="n"/>
      <c r="E298" s="58" t="n"/>
      <c r="F298" s="57" t="n"/>
      <c r="G298" s="59" t="n"/>
      <c r="H298" s="59" t="n"/>
      <c r="I298" s="60">
        <f>IF(OR(G298="",H298=""),"",MOD(H298-G298,1))</f>
        <v/>
      </c>
      <c r="J298" s="61">
        <f>IF(OR(G298="",H298=""),"",ROUND(MOD(H298-G298,1)*24,2))</f>
        <v/>
      </c>
      <c r="K298" s="62">
        <f>IF(E298="","",IF(E298="Werken","JA","NEE"))</f>
        <v/>
      </c>
      <c r="L298" s="61">
        <f>IF(K298="JA",N(J298),IF(E298="","",0))</f>
        <v/>
      </c>
      <c r="M298" s="62">
        <f>IF(AND(A298="",E298=""),"",IF(E298="","Segment ontbreekt",IF(OR(G298="",H298=""),"Van/tot ontbreekt",IF(N(J298)=0,"Duur is nul",IF(N(J298)&gt;12,"Langer dan 12 uur - controleren",IF(AND(E298="Werken",D298=""),"Werken zonder klant - koppelen","OK"))))))</f>
        <v/>
      </c>
    </row>
    <row r="299" ht="15" customHeight="1" s="42">
      <c r="A299" s="55" t="n"/>
      <c r="B299" s="56">
        <f>IF(A299="","",WEEKNUM(A299,21))</f>
        <v/>
      </c>
      <c r="C299" s="57" t="n"/>
      <c r="D299" s="57" t="n"/>
      <c r="E299" s="58" t="n"/>
      <c r="F299" s="57" t="n"/>
      <c r="G299" s="59" t="n"/>
      <c r="H299" s="59" t="n"/>
      <c r="I299" s="60">
        <f>IF(OR(G299="",H299=""),"",MOD(H299-G299,1))</f>
        <v/>
      </c>
      <c r="J299" s="61">
        <f>IF(OR(G299="",H299=""),"",ROUND(MOD(H299-G299,1)*24,2))</f>
        <v/>
      </c>
      <c r="K299" s="62">
        <f>IF(E299="","",IF(E299="Werken","JA","NEE"))</f>
        <v/>
      </c>
      <c r="L299" s="61">
        <f>IF(K299="JA",N(J299),IF(E299="","",0))</f>
        <v/>
      </c>
      <c r="M299" s="62">
        <f>IF(AND(A299="",E299=""),"",IF(E299="","Segment ontbreekt",IF(OR(G299="",H299=""),"Van/tot ontbreekt",IF(N(J299)=0,"Duur is nul",IF(N(J299)&gt;12,"Langer dan 12 uur - controleren",IF(AND(E299="Werken",D299=""),"Werken zonder klant - koppelen","OK"))))))</f>
        <v/>
      </c>
    </row>
    <row r="300" ht="15" customHeight="1" s="42">
      <c r="A300" s="55" t="n"/>
      <c r="B300" s="56">
        <f>IF(A300="","",WEEKNUM(A300,21))</f>
        <v/>
      </c>
      <c r="C300" s="57" t="n"/>
      <c r="D300" s="57" t="n"/>
      <c r="E300" s="58" t="n"/>
      <c r="F300" s="57" t="n"/>
      <c r="G300" s="59" t="n"/>
      <c r="H300" s="59" t="n"/>
      <c r="I300" s="60">
        <f>IF(OR(G300="",H300=""),"",MOD(H300-G300,1))</f>
        <v/>
      </c>
      <c r="J300" s="61">
        <f>IF(OR(G300="",H300=""),"",ROUND(MOD(H300-G300,1)*24,2))</f>
        <v/>
      </c>
      <c r="K300" s="62">
        <f>IF(E300="","",IF(E300="Werken","JA","NEE"))</f>
        <v/>
      </c>
      <c r="L300" s="61">
        <f>IF(K300="JA",N(J300),IF(E300="","",0))</f>
        <v/>
      </c>
      <c r="M300" s="62">
        <f>IF(AND(A300="",E300=""),"",IF(E300="","Segment ontbreekt",IF(OR(G300="",H300=""),"Van/tot ontbreekt",IF(N(J300)=0,"Duur is nul",IF(N(J300)&gt;12,"Langer dan 12 uur - controleren",IF(AND(E300="Werken",D300=""),"Werken zonder klant - koppelen","OK"))))))</f>
        <v/>
      </c>
    </row>
    <row r="301" ht="15" customHeight="1" s="42">
      <c r="A301" s="55" t="n"/>
      <c r="B301" s="56">
        <f>IF(A301="","",WEEKNUM(A301,21))</f>
        <v/>
      </c>
      <c r="C301" s="57" t="n"/>
      <c r="D301" s="57" t="n"/>
      <c r="E301" s="58" t="n"/>
      <c r="F301" s="57" t="n"/>
      <c r="G301" s="59" t="n"/>
      <c r="H301" s="59" t="n"/>
      <c r="I301" s="60">
        <f>IF(OR(G301="",H301=""),"",MOD(H301-G301,1))</f>
        <v/>
      </c>
      <c r="J301" s="61">
        <f>IF(OR(G301="",H301=""),"",ROUND(MOD(H301-G301,1)*24,2))</f>
        <v/>
      </c>
      <c r="K301" s="62">
        <f>IF(E301="","",IF(E301="Werken","JA","NEE"))</f>
        <v/>
      </c>
      <c r="L301" s="61">
        <f>IF(K301="JA",N(J301),IF(E301="","",0))</f>
        <v/>
      </c>
      <c r="M301" s="62">
        <f>IF(AND(A301="",E301=""),"",IF(E301="","Segment ontbreekt",IF(OR(G301="",H301=""),"Van/tot ontbreekt",IF(N(J301)=0,"Duur is nul",IF(N(J301)&gt;12,"Langer dan 12 uur - controleren",IF(AND(E301="Werken",D301=""),"Werken zonder klant - koppelen","OK"))))))</f>
        <v/>
      </c>
    </row>
    <row r="302" ht="15" customHeight="1" s="42">
      <c r="A302" s="55" t="n"/>
      <c r="B302" s="56">
        <f>IF(A302="","",WEEKNUM(A302,21))</f>
        <v/>
      </c>
      <c r="C302" s="57" t="n"/>
      <c r="D302" s="57" t="n"/>
      <c r="E302" s="58" t="n"/>
      <c r="F302" s="57" t="n"/>
      <c r="G302" s="59" t="n"/>
      <c r="H302" s="59" t="n"/>
      <c r="I302" s="60">
        <f>IF(OR(G302="",H302=""),"",MOD(H302-G302,1))</f>
        <v/>
      </c>
      <c r="J302" s="61">
        <f>IF(OR(G302="",H302=""),"",ROUND(MOD(H302-G302,1)*24,2))</f>
        <v/>
      </c>
      <c r="K302" s="62">
        <f>IF(E302="","",IF(E302="Werken","JA","NEE"))</f>
        <v/>
      </c>
      <c r="L302" s="61">
        <f>IF(K302="JA",N(J302),IF(E302="","",0))</f>
        <v/>
      </c>
      <c r="M302" s="62">
        <f>IF(AND(A302="",E302=""),"",IF(E302="","Segment ontbreekt",IF(OR(G302="",H302=""),"Van/tot ontbreekt",IF(N(J302)=0,"Duur is nul",IF(N(J302)&gt;12,"Langer dan 12 uur - controleren",IF(AND(E302="Werken",D302=""),"Werken zonder klant - koppelen","OK"))))))</f>
        <v/>
      </c>
    </row>
    <row r="303" ht="15" customHeight="1" s="42">
      <c r="A303" s="55" t="n"/>
      <c r="B303" s="56">
        <f>IF(A303="","",WEEKNUM(A303,21))</f>
        <v/>
      </c>
      <c r="C303" s="57" t="n"/>
      <c r="D303" s="57" t="n"/>
      <c r="E303" s="58" t="n"/>
      <c r="F303" s="57" t="n"/>
      <c r="G303" s="59" t="n"/>
      <c r="H303" s="59" t="n"/>
      <c r="I303" s="60">
        <f>IF(OR(G303="",H303=""),"",MOD(H303-G303,1))</f>
        <v/>
      </c>
      <c r="J303" s="61">
        <f>IF(OR(G303="",H303=""),"",ROUND(MOD(H303-G303,1)*24,2))</f>
        <v/>
      </c>
      <c r="K303" s="62">
        <f>IF(E303="","",IF(E303="Werken","JA","NEE"))</f>
        <v/>
      </c>
      <c r="L303" s="61">
        <f>IF(K303="JA",N(J303),IF(E303="","",0))</f>
        <v/>
      </c>
      <c r="M303" s="62">
        <f>IF(AND(A303="",E303=""),"",IF(E303="","Segment ontbreekt",IF(OR(G303="",H303=""),"Van/tot ontbreekt",IF(N(J303)=0,"Duur is nul",IF(N(J303)&gt;12,"Langer dan 12 uur - controleren",IF(AND(E303="Werken",D303=""),"Werken zonder klant - koppelen","OK"))))))</f>
        <v/>
      </c>
    </row>
    <row r="304" ht="15" customHeight="1" s="42">
      <c r="A304" s="55" t="n"/>
      <c r="B304" s="56">
        <f>IF(A304="","",WEEKNUM(A304,21))</f>
        <v/>
      </c>
      <c r="C304" s="57" t="n"/>
      <c r="D304" s="57" t="n"/>
      <c r="E304" s="58" t="n"/>
      <c r="F304" s="57" t="n"/>
      <c r="G304" s="59" t="n"/>
      <c r="H304" s="59" t="n"/>
      <c r="I304" s="60">
        <f>IF(OR(G304="",H304=""),"",MOD(H304-G304,1))</f>
        <v/>
      </c>
      <c r="J304" s="61">
        <f>IF(OR(G304="",H304=""),"",ROUND(MOD(H304-G304,1)*24,2))</f>
        <v/>
      </c>
      <c r="K304" s="62">
        <f>IF(E304="","",IF(E304="Werken","JA","NEE"))</f>
        <v/>
      </c>
      <c r="L304" s="61">
        <f>IF(K304="JA",N(J304),IF(E304="","",0))</f>
        <v/>
      </c>
      <c r="M304" s="62">
        <f>IF(AND(A304="",E304=""),"",IF(E304="","Segment ontbreekt",IF(OR(G304="",H304=""),"Van/tot ontbreekt",IF(N(J304)=0,"Duur is nul",IF(N(J304)&gt;12,"Langer dan 12 uur - controleren",IF(AND(E304="Werken",D304=""),"Werken zonder klant - koppelen","OK"))))))</f>
        <v/>
      </c>
    </row>
    <row r="305" ht="15" customHeight="1" s="42">
      <c r="A305" s="55" t="n"/>
      <c r="B305" s="56">
        <f>IF(A305="","",WEEKNUM(A305,21))</f>
        <v/>
      </c>
      <c r="C305" s="57" t="n"/>
      <c r="D305" s="57" t="n"/>
      <c r="E305" s="58" t="n"/>
      <c r="F305" s="57" t="n"/>
      <c r="G305" s="59" t="n"/>
      <c r="H305" s="59" t="n"/>
      <c r="I305" s="60">
        <f>IF(OR(G305="",H305=""),"",MOD(H305-G305,1))</f>
        <v/>
      </c>
      <c r="J305" s="61">
        <f>IF(OR(G305="",H305=""),"",ROUND(MOD(H305-G305,1)*24,2))</f>
        <v/>
      </c>
      <c r="K305" s="62">
        <f>IF(E305="","",IF(E305="Werken","JA","NEE"))</f>
        <v/>
      </c>
      <c r="L305" s="61">
        <f>IF(K305="JA",N(J305),IF(E305="","",0))</f>
        <v/>
      </c>
      <c r="M305" s="62">
        <f>IF(AND(A305="",E305=""),"",IF(E305="","Segment ontbreekt",IF(OR(G305="",H305=""),"Van/tot ontbreekt",IF(N(J305)=0,"Duur is nul",IF(N(J305)&gt;12,"Langer dan 12 uur - controleren",IF(AND(E305="Werken",D305=""),"Werken zonder klant - koppelen","OK"))))))</f>
        <v/>
      </c>
    </row>
    <row r="306" ht="15" customHeight="1" s="42">
      <c r="A306" s="55" t="n"/>
      <c r="B306" s="56">
        <f>IF(A306="","",WEEKNUM(A306,21))</f>
        <v/>
      </c>
      <c r="C306" s="57" t="n"/>
      <c r="D306" s="57" t="n"/>
      <c r="E306" s="58" t="n"/>
      <c r="F306" s="57" t="n"/>
      <c r="G306" s="59" t="n"/>
      <c r="H306" s="59" t="n"/>
      <c r="I306" s="60">
        <f>IF(OR(G306="",H306=""),"",MOD(H306-G306,1))</f>
        <v/>
      </c>
      <c r="J306" s="61">
        <f>IF(OR(G306="",H306=""),"",ROUND(MOD(H306-G306,1)*24,2))</f>
        <v/>
      </c>
      <c r="K306" s="62">
        <f>IF(E306="","",IF(E306="Werken","JA","NEE"))</f>
        <v/>
      </c>
      <c r="L306" s="61">
        <f>IF(K306="JA",N(J306),IF(E306="","",0))</f>
        <v/>
      </c>
      <c r="M306" s="62">
        <f>IF(AND(A306="",E306=""),"",IF(E306="","Segment ontbreekt",IF(OR(G306="",H306=""),"Van/tot ontbreekt",IF(N(J306)=0,"Duur is nul",IF(N(J306)&gt;12,"Langer dan 12 uur - controleren",IF(AND(E306="Werken",D306=""),"Werken zonder klant - koppelen","OK"))))))</f>
        <v/>
      </c>
    </row>
    <row r="307" ht="15" customHeight="1" s="42">
      <c r="A307" s="55" t="n"/>
      <c r="B307" s="56">
        <f>IF(A307="","",WEEKNUM(A307,21))</f>
        <v/>
      </c>
      <c r="C307" s="57" t="n"/>
      <c r="D307" s="57" t="n"/>
      <c r="E307" s="58" t="n"/>
      <c r="F307" s="57" t="n"/>
      <c r="G307" s="59" t="n"/>
      <c r="H307" s="59" t="n"/>
      <c r="I307" s="60">
        <f>IF(OR(G307="",H307=""),"",MOD(H307-G307,1))</f>
        <v/>
      </c>
      <c r="J307" s="61">
        <f>IF(OR(G307="",H307=""),"",ROUND(MOD(H307-G307,1)*24,2))</f>
        <v/>
      </c>
      <c r="K307" s="62">
        <f>IF(E307="","",IF(E307="Werken","JA","NEE"))</f>
        <v/>
      </c>
      <c r="L307" s="61">
        <f>IF(K307="JA",N(J307),IF(E307="","",0))</f>
        <v/>
      </c>
      <c r="M307" s="62">
        <f>IF(AND(A307="",E307=""),"",IF(E307="","Segment ontbreekt",IF(OR(G307="",H307=""),"Van/tot ontbreekt",IF(N(J307)=0,"Duur is nul",IF(N(J307)&gt;12,"Langer dan 12 uur - controleren",IF(AND(E307="Werken",D307=""),"Werken zonder klant - koppelen","OK"))))))</f>
        <v/>
      </c>
    </row>
    <row r="308" ht="15" customHeight="1" s="42">
      <c r="A308" s="55" t="n"/>
      <c r="B308" s="56">
        <f>IF(A308="","",WEEKNUM(A308,21))</f>
        <v/>
      </c>
      <c r="C308" s="57" t="n"/>
      <c r="D308" s="57" t="n"/>
      <c r="E308" s="58" t="n"/>
      <c r="F308" s="57" t="n"/>
      <c r="G308" s="59" t="n"/>
      <c r="H308" s="59" t="n"/>
      <c r="I308" s="60">
        <f>IF(OR(G308="",H308=""),"",MOD(H308-G308,1))</f>
        <v/>
      </c>
      <c r="J308" s="61">
        <f>IF(OR(G308="",H308=""),"",ROUND(MOD(H308-G308,1)*24,2))</f>
        <v/>
      </c>
      <c r="K308" s="62">
        <f>IF(E308="","",IF(E308="Werken","JA","NEE"))</f>
        <v/>
      </c>
      <c r="L308" s="61">
        <f>IF(K308="JA",N(J308),IF(E308="","",0))</f>
        <v/>
      </c>
      <c r="M308" s="62">
        <f>IF(AND(A308="",E308=""),"",IF(E308="","Segment ontbreekt",IF(OR(G308="",H308=""),"Van/tot ontbreekt",IF(N(J308)=0,"Duur is nul",IF(N(J308)&gt;12,"Langer dan 12 uur - controleren",IF(AND(E308="Werken",D308=""),"Werken zonder klant - koppelen","OK"))))))</f>
        <v/>
      </c>
    </row>
    <row r="309" ht="15" customHeight="1" s="42">
      <c r="A309" s="55" t="n"/>
      <c r="B309" s="56">
        <f>IF(A309="","",WEEKNUM(A309,21))</f>
        <v/>
      </c>
      <c r="C309" s="57" t="n"/>
      <c r="D309" s="57" t="n"/>
      <c r="E309" s="58" t="n"/>
      <c r="F309" s="57" t="n"/>
      <c r="G309" s="59" t="n"/>
      <c r="H309" s="59" t="n"/>
      <c r="I309" s="60">
        <f>IF(OR(G309="",H309=""),"",MOD(H309-G309,1))</f>
        <v/>
      </c>
      <c r="J309" s="61">
        <f>IF(OR(G309="",H309=""),"",ROUND(MOD(H309-G309,1)*24,2))</f>
        <v/>
      </c>
      <c r="K309" s="62">
        <f>IF(E309="","",IF(E309="Werken","JA","NEE"))</f>
        <v/>
      </c>
      <c r="L309" s="61">
        <f>IF(K309="JA",N(J309),IF(E309="","",0))</f>
        <v/>
      </c>
      <c r="M309" s="62">
        <f>IF(AND(A309="",E309=""),"",IF(E309="","Segment ontbreekt",IF(OR(G309="",H309=""),"Van/tot ontbreekt",IF(N(J309)=0,"Duur is nul",IF(N(J309)&gt;12,"Langer dan 12 uur - controleren",IF(AND(E309="Werken",D309=""),"Werken zonder klant - koppelen","OK"))))))</f>
        <v/>
      </c>
    </row>
    <row r="310" ht="15" customHeight="1" s="42">
      <c r="A310" s="55" t="n"/>
      <c r="B310" s="56">
        <f>IF(A310="","",WEEKNUM(A310,21))</f>
        <v/>
      </c>
      <c r="C310" s="57" t="n"/>
      <c r="D310" s="57" t="n"/>
      <c r="E310" s="58" t="n"/>
      <c r="F310" s="57" t="n"/>
      <c r="G310" s="59" t="n"/>
      <c r="H310" s="59" t="n"/>
      <c r="I310" s="60">
        <f>IF(OR(G310="",H310=""),"",MOD(H310-G310,1))</f>
        <v/>
      </c>
      <c r="J310" s="61">
        <f>IF(OR(G310="",H310=""),"",ROUND(MOD(H310-G310,1)*24,2))</f>
        <v/>
      </c>
      <c r="K310" s="62">
        <f>IF(E310="","",IF(E310="Werken","JA","NEE"))</f>
        <v/>
      </c>
      <c r="L310" s="61">
        <f>IF(K310="JA",N(J310),IF(E310="","",0))</f>
        <v/>
      </c>
      <c r="M310" s="62">
        <f>IF(AND(A310="",E310=""),"",IF(E310="","Segment ontbreekt",IF(OR(G310="",H310=""),"Van/tot ontbreekt",IF(N(J310)=0,"Duur is nul",IF(N(J310)&gt;12,"Langer dan 12 uur - controleren",IF(AND(E310="Werken",D310=""),"Werken zonder klant - koppelen","OK"))))))</f>
        <v/>
      </c>
    </row>
    <row r="311" ht="15" customHeight="1" s="42">
      <c r="A311" s="55" t="n"/>
      <c r="B311" s="56">
        <f>IF(A311="","",WEEKNUM(A311,21))</f>
        <v/>
      </c>
      <c r="C311" s="57" t="n"/>
      <c r="D311" s="57" t="n"/>
      <c r="E311" s="58" t="n"/>
      <c r="F311" s="57" t="n"/>
      <c r="G311" s="59" t="n"/>
      <c r="H311" s="59" t="n"/>
      <c r="I311" s="60">
        <f>IF(OR(G311="",H311=""),"",MOD(H311-G311,1))</f>
        <v/>
      </c>
      <c r="J311" s="61">
        <f>IF(OR(G311="",H311=""),"",ROUND(MOD(H311-G311,1)*24,2))</f>
        <v/>
      </c>
      <c r="K311" s="62">
        <f>IF(E311="","",IF(E311="Werken","JA","NEE"))</f>
        <v/>
      </c>
      <c r="L311" s="61">
        <f>IF(K311="JA",N(J311),IF(E311="","",0))</f>
        <v/>
      </c>
      <c r="M311" s="62">
        <f>IF(AND(A311="",E311=""),"",IF(E311="","Segment ontbreekt",IF(OR(G311="",H311=""),"Van/tot ontbreekt",IF(N(J311)=0,"Duur is nul",IF(N(J311)&gt;12,"Langer dan 12 uur - controleren",IF(AND(E311="Werken",D311=""),"Werken zonder klant - koppelen","OK"))))))</f>
        <v/>
      </c>
    </row>
    <row r="312" ht="15" customHeight="1" s="42">
      <c r="A312" s="55" t="n"/>
      <c r="B312" s="56">
        <f>IF(A312="","",WEEKNUM(A312,21))</f>
        <v/>
      </c>
      <c r="C312" s="57" t="n"/>
      <c r="D312" s="57" t="n"/>
      <c r="E312" s="58" t="n"/>
      <c r="F312" s="57" t="n"/>
      <c r="G312" s="59" t="n"/>
      <c r="H312" s="59" t="n"/>
      <c r="I312" s="60">
        <f>IF(OR(G312="",H312=""),"",MOD(H312-G312,1))</f>
        <v/>
      </c>
      <c r="J312" s="61">
        <f>IF(OR(G312="",H312=""),"",ROUND(MOD(H312-G312,1)*24,2))</f>
        <v/>
      </c>
      <c r="K312" s="62">
        <f>IF(E312="","",IF(E312="Werken","JA","NEE"))</f>
        <v/>
      </c>
      <c r="L312" s="61">
        <f>IF(K312="JA",N(J312),IF(E312="","",0))</f>
        <v/>
      </c>
      <c r="M312" s="62">
        <f>IF(AND(A312="",E312=""),"",IF(E312="","Segment ontbreekt",IF(OR(G312="",H312=""),"Van/tot ontbreekt",IF(N(J312)=0,"Duur is nul",IF(N(J312)&gt;12,"Langer dan 12 uur - controleren",IF(AND(E312="Werken",D312=""),"Werken zonder klant - koppelen","OK"))))))</f>
        <v/>
      </c>
    </row>
    <row r="313" ht="15" customHeight="1" s="42">
      <c r="A313" s="55" t="n"/>
      <c r="B313" s="56">
        <f>IF(A313="","",WEEKNUM(A313,21))</f>
        <v/>
      </c>
      <c r="C313" s="57" t="n"/>
      <c r="D313" s="57" t="n"/>
      <c r="E313" s="58" t="n"/>
      <c r="F313" s="57" t="n"/>
      <c r="G313" s="59" t="n"/>
      <c r="H313" s="59" t="n"/>
      <c r="I313" s="60">
        <f>IF(OR(G313="",H313=""),"",MOD(H313-G313,1))</f>
        <v/>
      </c>
      <c r="J313" s="61">
        <f>IF(OR(G313="",H313=""),"",ROUND(MOD(H313-G313,1)*24,2))</f>
        <v/>
      </c>
      <c r="K313" s="62">
        <f>IF(E313="","",IF(E313="Werken","JA","NEE"))</f>
        <v/>
      </c>
      <c r="L313" s="61">
        <f>IF(K313="JA",N(J313),IF(E313="","",0))</f>
        <v/>
      </c>
      <c r="M313" s="62">
        <f>IF(AND(A313="",E313=""),"",IF(E313="","Segment ontbreekt",IF(OR(G313="",H313=""),"Van/tot ontbreekt",IF(N(J313)=0,"Duur is nul",IF(N(J313)&gt;12,"Langer dan 12 uur - controleren",IF(AND(E313="Werken",D313=""),"Werken zonder klant - koppelen","OK"))))))</f>
        <v/>
      </c>
    </row>
    <row r="314" ht="15" customHeight="1" s="42">
      <c r="A314" s="55" t="n"/>
      <c r="B314" s="56">
        <f>IF(A314="","",WEEKNUM(A314,21))</f>
        <v/>
      </c>
      <c r="C314" s="57" t="n"/>
      <c r="D314" s="57" t="n"/>
      <c r="E314" s="58" t="n"/>
      <c r="F314" s="57" t="n"/>
      <c r="G314" s="59" t="n"/>
      <c r="H314" s="59" t="n"/>
      <c r="I314" s="60">
        <f>IF(OR(G314="",H314=""),"",MOD(H314-G314,1))</f>
        <v/>
      </c>
      <c r="J314" s="61">
        <f>IF(OR(G314="",H314=""),"",ROUND(MOD(H314-G314,1)*24,2))</f>
        <v/>
      </c>
      <c r="K314" s="62">
        <f>IF(E314="","",IF(E314="Werken","JA","NEE"))</f>
        <v/>
      </c>
      <c r="L314" s="61">
        <f>IF(K314="JA",N(J314),IF(E314="","",0))</f>
        <v/>
      </c>
      <c r="M314" s="62">
        <f>IF(AND(A314="",E314=""),"",IF(E314="","Segment ontbreekt",IF(OR(G314="",H314=""),"Van/tot ontbreekt",IF(N(J314)=0,"Duur is nul",IF(N(J314)&gt;12,"Langer dan 12 uur - controleren",IF(AND(E314="Werken",D314=""),"Werken zonder klant - koppelen","OK"))))))</f>
        <v/>
      </c>
    </row>
    <row r="315" ht="15" customHeight="1" s="42">
      <c r="A315" s="55" t="n"/>
      <c r="B315" s="56">
        <f>IF(A315="","",WEEKNUM(A315,21))</f>
        <v/>
      </c>
      <c r="C315" s="57" t="n"/>
      <c r="D315" s="57" t="n"/>
      <c r="E315" s="58" t="n"/>
      <c r="F315" s="57" t="n"/>
      <c r="G315" s="59" t="n"/>
      <c r="H315" s="59" t="n"/>
      <c r="I315" s="60">
        <f>IF(OR(G315="",H315=""),"",MOD(H315-G315,1))</f>
        <v/>
      </c>
      <c r="J315" s="61">
        <f>IF(OR(G315="",H315=""),"",ROUND(MOD(H315-G315,1)*24,2))</f>
        <v/>
      </c>
      <c r="K315" s="62">
        <f>IF(E315="","",IF(E315="Werken","JA","NEE"))</f>
        <v/>
      </c>
      <c r="L315" s="61">
        <f>IF(K315="JA",N(J315),IF(E315="","",0))</f>
        <v/>
      </c>
      <c r="M315" s="62">
        <f>IF(AND(A315="",E315=""),"",IF(E315="","Segment ontbreekt",IF(OR(G315="",H315=""),"Van/tot ontbreekt",IF(N(J315)=0,"Duur is nul",IF(N(J315)&gt;12,"Langer dan 12 uur - controleren",IF(AND(E315="Werken",D315=""),"Werken zonder klant - koppelen","OK"))))))</f>
        <v/>
      </c>
    </row>
    <row r="316" ht="15" customHeight="1" s="42">
      <c r="A316" s="55" t="n"/>
      <c r="B316" s="56">
        <f>IF(A316="","",WEEKNUM(A316,21))</f>
        <v/>
      </c>
      <c r="C316" s="57" t="n"/>
      <c r="D316" s="57" t="n"/>
      <c r="E316" s="58" t="n"/>
      <c r="F316" s="57" t="n"/>
      <c r="G316" s="59" t="n"/>
      <c r="H316" s="59" t="n"/>
      <c r="I316" s="60">
        <f>IF(OR(G316="",H316=""),"",MOD(H316-G316,1))</f>
        <v/>
      </c>
      <c r="J316" s="61">
        <f>IF(OR(G316="",H316=""),"",ROUND(MOD(H316-G316,1)*24,2))</f>
        <v/>
      </c>
      <c r="K316" s="62">
        <f>IF(E316="","",IF(E316="Werken","JA","NEE"))</f>
        <v/>
      </c>
      <c r="L316" s="61">
        <f>IF(K316="JA",N(J316),IF(E316="","",0))</f>
        <v/>
      </c>
      <c r="M316" s="62">
        <f>IF(AND(A316="",E316=""),"",IF(E316="","Segment ontbreekt",IF(OR(G316="",H316=""),"Van/tot ontbreekt",IF(N(J316)=0,"Duur is nul",IF(N(J316)&gt;12,"Langer dan 12 uur - controleren",IF(AND(E316="Werken",D316=""),"Werken zonder klant - koppelen","OK"))))))</f>
        <v/>
      </c>
    </row>
    <row r="317" ht="15" customHeight="1" s="42">
      <c r="A317" s="55" t="n"/>
      <c r="B317" s="56">
        <f>IF(A317="","",WEEKNUM(A317,21))</f>
        <v/>
      </c>
      <c r="C317" s="57" t="n"/>
      <c r="D317" s="57" t="n"/>
      <c r="E317" s="58" t="n"/>
      <c r="F317" s="57" t="n"/>
      <c r="G317" s="59" t="n"/>
      <c r="H317" s="59" t="n"/>
      <c r="I317" s="60">
        <f>IF(OR(G317="",H317=""),"",MOD(H317-G317,1))</f>
        <v/>
      </c>
      <c r="J317" s="61">
        <f>IF(OR(G317="",H317=""),"",ROUND(MOD(H317-G317,1)*24,2))</f>
        <v/>
      </c>
      <c r="K317" s="62">
        <f>IF(E317="","",IF(E317="Werken","JA","NEE"))</f>
        <v/>
      </c>
      <c r="L317" s="61">
        <f>IF(K317="JA",N(J317),IF(E317="","",0))</f>
        <v/>
      </c>
      <c r="M317" s="62">
        <f>IF(AND(A317="",E317=""),"",IF(E317="","Segment ontbreekt",IF(OR(G317="",H317=""),"Van/tot ontbreekt",IF(N(J317)=0,"Duur is nul",IF(N(J317)&gt;12,"Langer dan 12 uur - controleren",IF(AND(E317="Werken",D317=""),"Werken zonder klant - koppelen","OK"))))))</f>
        <v/>
      </c>
    </row>
    <row r="318" ht="15" customHeight="1" s="42">
      <c r="A318" s="55" t="n"/>
      <c r="B318" s="56">
        <f>IF(A318="","",WEEKNUM(A318,21))</f>
        <v/>
      </c>
      <c r="C318" s="57" t="n"/>
      <c r="D318" s="57" t="n"/>
      <c r="E318" s="58" t="n"/>
      <c r="F318" s="57" t="n"/>
      <c r="G318" s="59" t="n"/>
      <c r="H318" s="59" t="n"/>
      <c r="I318" s="60">
        <f>IF(OR(G318="",H318=""),"",MOD(H318-G318,1))</f>
        <v/>
      </c>
      <c r="J318" s="61">
        <f>IF(OR(G318="",H318=""),"",ROUND(MOD(H318-G318,1)*24,2))</f>
        <v/>
      </c>
      <c r="K318" s="62">
        <f>IF(E318="","",IF(E318="Werken","JA","NEE"))</f>
        <v/>
      </c>
      <c r="L318" s="61">
        <f>IF(K318="JA",N(J318),IF(E318="","",0))</f>
        <v/>
      </c>
      <c r="M318" s="62">
        <f>IF(AND(A318="",E318=""),"",IF(E318="","Segment ontbreekt",IF(OR(G318="",H318=""),"Van/tot ontbreekt",IF(N(J318)=0,"Duur is nul",IF(N(J318)&gt;12,"Langer dan 12 uur - controleren",IF(AND(E318="Werken",D318=""),"Werken zonder klant - koppelen","OK"))))))</f>
        <v/>
      </c>
    </row>
    <row r="319" ht="15" customHeight="1" s="42">
      <c r="A319" s="55" t="n"/>
      <c r="B319" s="56">
        <f>IF(A319="","",WEEKNUM(A319,21))</f>
        <v/>
      </c>
      <c r="C319" s="57" t="n"/>
      <c r="D319" s="57" t="n"/>
      <c r="E319" s="58" t="n"/>
      <c r="F319" s="57" t="n"/>
      <c r="G319" s="59" t="n"/>
      <c r="H319" s="59" t="n"/>
      <c r="I319" s="60">
        <f>IF(OR(G319="",H319=""),"",MOD(H319-G319,1))</f>
        <v/>
      </c>
      <c r="J319" s="61">
        <f>IF(OR(G319="",H319=""),"",ROUND(MOD(H319-G319,1)*24,2))</f>
        <v/>
      </c>
      <c r="K319" s="62">
        <f>IF(E319="","",IF(E319="Werken","JA","NEE"))</f>
        <v/>
      </c>
      <c r="L319" s="61">
        <f>IF(K319="JA",N(J319),IF(E319="","",0))</f>
        <v/>
      </c>
      <c r="M319" s="62">
        <f>IF(AND(A319="",E319=""),"",IF(E319="","Segment ontbreekt",IF(OR(G319="",H319=""),"Van/tot ontbreekt",IF(N(J319)=0,"Duur is nul",IF(N(J319)&gt;12,"Langer dan 12 uur - controleren",IF(AND(E319="Werken",D319=""),"Werken zonder klant - koppelen","OK"))))))</f>
        <v/>
      </c>
    </row>
    <row r="320" ht="15" customHeight="1" s="42">
      <c r="A320" s="55" t="n"/>
      <c r="B320" s="56">
        <f>IF(A320="","",WEEKNUM(A320,21))</f>
        <v/>
      </c>
      <c r="C320" s="57" t="n"/>
      <c r="D320" s="57" t="n"/>
      <c r="E320" s="58" t="n"/>
      <c r="F320" s="57" t="n"/>
      <c r="G320" s="59" t="n"/>
      <c r="H320" s="59" t="n"/>
      <c r="I320" s="60">
        <f>IF(OR(G320="",H320=""),"",MOD(H320-G320,1))</f>
        <v/>
      </c>
      <c r="J320" s="61">
        <f>IF(OR(G320="",H320=""),"",ROUND(MOD(H320-G320,1)*24,2))</f>
        <v/>
      </c>
      <c r="K320" s="62">
        <f>IF(E320="","",IF(E320="Werken","JA","NEE"))</f>
        <v/>
      </c>
      <c r="L320" s="61">
        <f>IF(K320="JA",N(J320),IF(E320="","",0))</f>
        <v/>
      </c>
      <c r="M320" s="62">
        <f>IF(AND(A320="",E320=""),"",IF(E320="","Segment ontbreekt",IF(OR(G320="",H320=""),"Van/tot ontbreekt",IF(N(J320)=0,"Duur is nul",IF(N(J320)&gt;12,"Langer dan 12 uur - controleren",IF(AND(E320="Werken",D320=""),"Werken zonder klant - koppelen","OK"))))))</f>
        <v/>
      </c>
    </row>
    <row r="321" ht="15" customHeight="1" s="42">
      <c r="A321" s="55" t="n"/>
      <c r="B321" s="56">
        <f>IF(A321="","",WEEKNUM(A321,21))</f>
        <v/>
      </c>
      <c r="C321" s="57" t="n"/>
      <c r="D321" s="57" t="n"/>
      <c r="E321" s="58" t="n"/>
      <c r="F321" s="57" t="n"/>
      <c r="G321" s="59" t="n"/>
      <c r="H321" s="59" t="n"/>
      <c r="I321" s="60">
        <f>IF(OR(G321="",H321=""),"",MOD(H321-G321,1))</f>
        <v/>
      </c>
      <c r="J321" s="61">
        <f>IF(OR(G321="",H321=""),"",ROUND(MOD(H321-G321,1)*24,2))</f>
        <v/>
      </c>
      <c r="K321" s="62">
        <f>IF(E321="","",IF(E321="Werken","JA","NEE"))</f>
        <v/>
      </c>
      <c r="L321" s="61">
        <f>IF(K321="JA",N(J321),IF(E321="","",0))</f>
        <v/>
      </c>
      <c r="M321" s="62">
        <f>IF(AND(A321="",E321=""),"",IF(E321="","Segment ontbreekt",IF(OR(G321="",H321=""),"Van/tot ontbreekt",IF(N(J321)=0,"Duur is nul",IF(N(J321)&gt;12,"Langer dan 12 uur - controleren",IF(AND(E321="Werken",D321=""),"Werken zonder klant - koppelen","OK"))))))</f>
        <v/>
      </c>
    </row>
    <row r="322" ht="15" customHeight="1" s="42">
      <c r="A322" s="55" t="n"/>
      <c r="B322" s="56">
        <f>IF(A322="","",WEEKNUM(A322,21))</f>
        <v/>
      </c>
      <c r="C322" s="57" t="n"/>
      <c r="D322" s="57" t="n"/>
      <c r="E322" s="58" t="n"/>
      <c r="F322" s="57" t="n"/>
      <c r="G322" s="59" t="n"/>
      <c r="H322" s="59" t="n"/>
      <c r="I322" s="60">
        <f>IF(OR(G322="",H322=""),"",MOD(H322-G322,1))</f>
        <v/>
      </c>
      <c r="J322" s="61">
        <f>IF(OR(G322="",H322=""),"",ROUND(MOD(H322-G322,1)*24,2))</f>
        <v/>
      </c>
      <c r="K322" s="62">
        <f>IF(E322="","",IF(E322="Werken","JA","NEE"))</f>
        <v/>
      </c>
      <c r="L322" s="61">
        <f>IF(K322="JA",N(J322),IF(E322="","",0))</f>
        <v/>
      </c>
      <c r="M322" s="62">
        <f>IF(AND(A322="",E322=""),"",IF(E322="","Segment ontbreekt",IF(OR(G322="",H322=""),"Van/tot ontbreekt",IF(N(J322)=0,"Duur is nul",IF(N(J322)&gt;12,"Langer dan 12 uur - controleren",IF(AND(E322="Werken",D322=""),"Werken zonder klant - koppelen","OK"))))))</f>
        <v/>
      </c>
    </row>
    <row r="323" ht="15" customHeight="1" s="42">
      <c r="A323" s="55" t="n"/>
      <c r="B323" s="56">
        <f>IF(A323="","",WEEKNUM(A323,21))</f>
        <v/>
      </c>
      <c r="C323" s="57" t="n"/>
      <c r="D323" s="57" t="n"/>
      <c r="E323" s="58" t="n"/>
      <c r="F323" s="57" t="n"/>
      <c r="G323" s="59" t="n"/>
      <c r="H323" s="59" t="n"/>
      <c r="I323" s="60">
        <f>IF(OR(G323="",H323=""),"",MOD(H323-G323,1))</f>
        <v/>
      </c>
      <c r="J323" s="61">
        <f>IF(OR(G323="",H323=""),"",ROUND(MOD(H323-G323,1)*24,2))</f>
        <v/>
      </c>
      <c r="K323" s="62">
        <f>IF(E323="","",IF(E323="Werken","JA","NEE"))</f>
        <v/>
      </c>
      <c r="L323" s="61">
        <f>IF(K323="JA",N(J323),IF(E323="","",0))</f>
        <v/>
      </c>
      <c r="M323" s="62">
        <f>IF(AND(A323="",E323=""),"",IF(E323="","Segment ontbreekt",IF(OR(G323="",H323=""),"Van/tot ontbreekt",IF(N(J323)=0,"Duur is nul",IF(N(J323)&gt;12,"Langer dan 12 uur - controleren",IF(AND(E323="Werken",D323=""),"Werken zonder klant - koppelen","OK"))))))</f>
        <v/>
      </c>
    </row>
    <row r="324" ht="15" customHeight="1" s="42">
      <c r="A324" s="55" t="n"/>
      <c r="B324" s="56">
        <f>IF(A324="","",WEEKNUM(A324,21))</f>
        <v/>
      </c>
      <c r="C324" s="57" t="n"/>
      <c r="D324" s="57" t="n"/>
      <c r="E324" s="58" t="n"/>
      <c r="F324" s="57" t="n"/>
      <c r="G324" s="59" t="n"/>
      <c r="H324" s="59" t="n"/>
      <c r="I324" s="60">
        <f>IF(OR(G324="",H324=""),"",MOD(H324-G324,1))</f>
        <v/>
      </c>
      <c r="J324" s="61">
        <f>IF(OR(G324="",H324=""),"",ROUND(MOD(H324-G324,1)*24,2))</f>
        <v/>
      </c>
      <c r="K324" s="62">
        <f>IF(E324="","",IF(E324="Werken","JA","NEE"))</f>
        <v/>
      </c>
      <c r="L324" s="61">
        <f>IF(K324="JA",N(J324),IF(E324="","",0))</f>
        <v/>
      </c>
      <c r="M324" s="62">
        <f>IF(AND(A324="",E324=""),"",IF(E324="","Segment ontbreekt",IF(OR(G324="",H324=""),"Van/tot ontbreekt",IF(N(J324)=0,"Duur is nul",IF(N(J324)&gt;12,"Langer dan 12 uur - controleren",IF(AND(E324="Werken",D324=""),"Werken zonder klant - koppelen","OK"))))))</f>
        <v/>
      </c>
    </row>
    <row r="325" ht="15" customHeight="1" s="42">
      <c r="A325" s="55" t="n"/>
      <c r="B325" s="56">
        <f>IF(A325="","",WEEKNUM(A325,21))</f>
        <v/>
      </c>
      <c r="C325" s="57" t="n"/>
      <c r="D325" s="57" t="n"/>
      <c r="E325" s="58" t="n"/>
      <c r="F325" s="57" t="n"/>
      <c r="G325" s="59" t="n"/>
      <c r="H325" s="59" t="n"/>
      <c r="I325" s="60">
        <f>IF(OR(G325="",H325=""),"",MOD(H325-G325,1))</f>
        <v/>
      </c>
      <c r="J325" s="61">
        <f>IF(OR(G325="",H325=""),"",ROUND(MOD(H325-G325,1)*24,2))</f>
        <v/>
      </c>
      <c r="K325" s="62">
        <f>IF(E325="","",IF(E325="Werken","JA","NEE"))</f>
        <v/>
      </c>
      <c r="L325" s="61">
        <f>IF(K325="JA",N(J325),IF(E325="","",0))</f>
        <v/>
      </c>
      <c r="M325" s="62">
        <f>IF(AND(A325="",E325=""),"",IF(E325="","Segment ontbreekt",IF(OR(G325="",H325=""),"Van/tot ontbreekt",IF(N(J325)=0,"Duur is nul",IF(N(J325)&gt;12,"Langer dan 12 uur - controleren",IF(AND(E325="Werken",D325=""),"Werken zonder klant - koppelen","OK"))))))</f>
        <v/>
      </c>
    </row>
    <row r="326" ht="15" customHeight="1" s="42">
      <c r="A326" s="55" t="n"/>
      <c r="B326" s="56">
        <f>IF(A326="","",WEEKNUM(A326,21))</f>
        <v/>
      </c>
      <c r="C326" s="57" t="n"/>
      <c r="D326" s="57" t="n"/>
      <c r="E326" s="58" t="n"/>
      <c r="F326" s="57" t="n"/>
      <c r="G326" s="59" t="n"/>
      <c r="H326" s="59" t="n"/>
      <c r="I326" s="60">
        <f>IF(OR(G326="",H326=""),"",MOD(H326-G326,1))</f>
        <v/>
      </c>
      <c r="J326" s="61">
        <f>IF(OR(G326="",H326=""),"",ROUND(MOD(H326-G326,1)*24,2))</f>
        <v/>
      </c>
      <c r="K326" s="62">
        <f>IF(E326="","",IF(E326="Werken","JA","NEE"))</f>
        <v/>
      </c>
      <c r="L326" s="61">
        <f>IF(K326="JA",N(J326),IF(E326="","",0))</f>
        <v/>
      </c>
      <c r="M326" s="62">
        <f>IF(AND(A326="",E326=""),"",IF(E326="","Segment ontbreekt",IF(OR(G326="",H326=""),"Van/tot ontbreekt",IF(N(J326)=0,"Duur is nul",IF(N(J326)&gt;12,"Langer dan 12 uur - controleren",IF(AND(E326="Werken",D326=""),"Werken zonder klant - koppelen","OK"))))))</f>
        <v/>
      </c>
    </row>
    <row r="327" ht="15" customHeight="1" s="42">
      <c r="A327" s="55" t="n"/>
      <c r="B327" s="56">
        <f>IF(A327="","",WEEKNUM(A327,21))</f>
        <v/>
      </c>
      <c r="C327" s="57" t="n"/>
      <c r="D327" s="57" t="n"/>
      <c r="E327" s="58" t="n"/>
      <c r="F327" s="57" t="n"/>
      <c r="G327" s="59" t="n"/>
      <c r="H327" s="59" t="n"/>
      <c r="I327" s="60">
        <f>IF(OR(G327="",H327=""),"",MOD(H327-G327,1))</f>
        <v/>
      </c>
      <c r="J327" s="61">
        <f>IF(OR(G327="",H327=""),"",ROUND(MOD(H327-G327,1)*24,2))</f>
        <v/>
      </c>
      <c r="K327" s="62">
        <f>IF(E327="","",IF(E327="Werken","JA","NEE"))</f>
        <v/>
      </c>
      <c r="L327" s="61">
        <f>IF(K327="JA",N(J327),IF(E327="","",0))</f>
        <v/>
      </c>
      <c r="M327" s="62">
        <f>IF(AND(A327="",E327=""),"",IF(E327="","Segment ontbreekt",IF(OR(G327="",H327=""),"Van/tot ontbreekt",IF(N(J327)=0,"Duur is nul",IF(N(J327)&gt;12,"Langer dan 12 uur - controleren",IF(AND(E327="Werken",D327=""),"Werken zonder klant - koppelen","OK"))))))</f>
        <v/>
      </c>
    </row>
    <row r="328" ht="15" customHeight="1" s="42">
      <c r="A328" s="55" t="n"/>
      <c r="B328" s="56">
        <f>IF(A328="","",WEEKNUM(A328,21))</f>
        <v/>
      </c>
      <c r="C328" s="57" t="n"/>
      <c r="D328" s="57" t="n"/>
      <c r="E328" s="58" t="n"/>
      <c r="F328" s="57" t="n"/>
      <c r="G328" s="59" t="n"/>
      <c r="H328" s="59" t="n"/>
      <c r="I328" s="60">
        <f>IF(OR(G328="",H328=""),"",MOD(H328-G328,1))</f>
        <v/>
      </c>
      <c r="J328" s="61">
        <f>IF(OR(G328="",H328=""),"",ROUND(MOD(H328-G328,1)*24,2))</f>
        <v/>
      </c>
      <c r="K328" s="62">
        <f>IF(E328="","",IF(E328="Werken","JA","NEE"))</f>
        <v/>
      </c>
      <c r="L328" s="61">
        <f>IF(K328="JA",N(J328),IF(E328="","",0))</f>
        <v/>
      </c>
      <c r="M328" s="62">
        <f>IF(AND(A328="",E328=""),"",IF(E328="","Segment ontbreekt",IF(OR(G328="",H328=""),"Van/tot ontbreekt",IF(N(J328)=0,"Duur is nul",IF(N(J328)&gt;12,"Langer dan 12 uur - controleren",IF(AND(E328="Werken",D328=""),"Werken zonder klant - koppelen","OK"))))))</f>
        <v/>
      </c>
    </row>
    <row r="329" ht="15" customHeight="1" s="42">
      <c r="A329" s="55" t="n"/>
      <c r="B329" s="56">
        <f>IF(A329="","",WEEKNUM(A329,21))</f>
        <v/>
      </c>
      <c r="C329" s="57" t="n"/>
      <c r="D329" s="57" t="n"/>
      <c r="E329" s="58" t="n"/>
      <c r="F329" s="57" t="n"/>
      <c r="G329" s="59" t="n"/>
      <c r="H329" s="59" t="n"/>
      <c r="I329" s="60">
        <f>IF(OR(G329="",H329=""),"",MOD(H329-G329,1))</f>
        <v/>
      </c>
      <c r="J329" s="61">
        <f>IF(OR(G329="",H329=""),"",ROUND(MOD(H329-G329,1)*24,2))</f>
        <v/>
      </c>
      <c r="K329" s="62">
        <f>IF(E329="","",IF(E329="Werken","JA","NEE"))</f>
        <v/>
      </c>
      <c r="L329" s="61">
        <f>IF(K329="JA",N(J329),IF(E329="","",0))</f>
        <v/>
      </c>
      <c r="M329" s="62">
        <f>IF(AND(A329="",E329=""),"",IF(E329="","Segment ontbreekt",IF(OR(G329="",H329=""),"Van/tot ontbreekt",IF(N(J329)=0,"Duur is nul",IF(N(J329)&gt;12,"Langer dan 12 uur - controleren",IF(AND(E329="Werken",D329=""),"Werken zonder klant - koppelen","OK"))))))</f>
        <v/>
      </c>
    </row>
    <row r="330" ht="15" customHeight="1" s="42">
      <c r="A330" s="55" t="n"/>
      <c r="B330" s="56">
        <f>IF(A330="","",WEEKNUM(A330,21))</f>
        <v/>
      </c>
      <c r="C330" s="57" t="n"/>
      <c r="D330" s="57" t="n"/>
      <c r="E330" s="58" t="n"/>
      <c r="F330" s="57" t="n"/>
      <c r="G330" s="59" t="n"/>
      <c r="H330" s="59" t="n"/>
      <c r="I330" s="60">
        <f>IF(OR(G330="",H330=""),"",MOD(H330-G330,1))</f>
        <v/>
      </c>
      <c r="J330" s="61">
        <f>IF(OR(G330="",H330=""),"",ROUND(MOD(H330-G330,1)*24,2))</f>
        <v/>
      </c>
      <c r="K330" s="62">
        <f>IF(E330="","",IF(E330="Werken","JA","NEE"))</f>
        <v/>
      </c>
      <c r="L330" s="61">
        <f>IF(K330="JA",N(J330),IF(E330="","",0))</f>
        <v/>
      </c>
      <c r="M330" s="62">
        <f>IF(AND(A330="",E330=""),"",IF(E330="","Segment ontbreekt",IF(OR(G330="",H330=""),"Van/tot ontbreekt",IF(N(J330)=0,"Duur is nul",IF(N(J330)&gt;12,"Langer dan 12 uur - controleren",IF(AND(E330="Werken",D330=""),"Werken zonder klant - koppelen","OK"))))))</f>
        <v/>
      </c>
    </row>
    <row r="331" ht="15" customHeight="1" s="42">
      <c r="A331" s="55" t="n"/>
      <c r="B331" s="56">
        <f>IF(A331="","",WEEKNUM(A331,21))</f>
        <v/>
      </c>
      <c r="C331" s="57" t="n"/>
      <c r="D331" s="57" t="n"/>
      <c r="E331" s="58" t="n"/>
      <c r="F331" s="57" t="n"/>
      <c r="G331" s="59" t="n"/>
      <c r="H331" s="59" t="n"/>
      <c r="I331" s="60">
        <f>IF(OR(G331="",H331=""),"",MOD(H331-G331,1))</f>
        <v/>
      </c>
      <c r="J331" s="61">
        <f>IF(OR(G331="",H331=""),"",ROUND(MOD(H331-G331,1)*24,2))</f>
        <v/>
      </c>
      <c r="K331" s="62">
        <f>IF(E331="","",IF(E331="Werken","JA","NEE"))</f>
        <v/>
      </c>
      <c r="L331" s="61">
        <f>IF(K331="JA",N(J331),IF(E331="","",0))</f>
        <v/>
      </c>
      <c r="M331" s="62">
        <f>IF(AND(A331="",E331=""),"",IF(E331="","Segment ontbreekt",IF(OR(G331="",H331=""),"Van/tot ontbreekt",IF(N(J331)=0,"Duur is nul",IF(N(J331)&gt;12,"Langer dan 12 uur - controleren",IF(AND(E331="Werken",D331=""),"Werken zonder klant - koppelen","OK"))))))</f>
        <v/>
      </c>
    </row>
    <row r="332" ht="15" customHeight="1" s="42">
      <c r="A332" s="55" t="n"/>
      <c r="B332" s="56">
        <f>IF(A332="","",WEEKNUM(A332,21))</f>
        <v/>
      </c>
      <c r="C332" s="57" t="n"/>
      <c r="D332" s="57" t="n"/>
      <c r="E332" s="58" t="n"/>
      <c r="F332" s="57" t="n"/>
      <c r="G332" s="59" t="n"/>
      <c r="H332" s="59" t="n"/>
      <c r="I332" s="60">
        <f>IF(OR(G332="",H332=""),"",MOD(H332-G332,1))</f>
        <v/>
      </c>
      <c r="J332" s="61">
        <f>IF(OR(G332="",H332=""),"",ROUND(MOD(H332-G332,1)*24,2))</f>
        <v/>
      </c>
      <c r="K332" s="62">
        <f>IF(E332="","",IF(E332="Werken","JA","NEE"))</f>
        <v/>
      </c>
      <c r="L332" s="61">
        <f>IF(K332="JA",N(J332),IF(E332="","",0))</f>
        <v/>
      </c>
      <c r="M332" s="62">
        <f>IF(AND(A332="",E332=""),"",IF(E332="","Segment ontbreekt",IF(OR(G332="",H332=""),"Van/tot ontbreekt",IF(N(J332)=0,"Duur is nul",IF(N(J332)&gt;12,"Langer dan 12 uur - controleren",IF(AND(E332="Werken",D332=""),"Werken zonder klant - koppelen","OK"))))))</f>
        <v/>
      </c>
    </row>
    <row r="333" ht="15" customHeight="1" s="42">
      <c r="A333" s="55" t="n"/>
      <c r="B333" s="56">
        <f>IF(A333="","",WEEKNUM(A333,21))</f>
        <v/>
      </c>
      <c r="C333" s="57" t="n"/>
      <c r="D333" s="57" t="n"/>
      <c r="E333" s="58" t="n"/>
      <c r="F333" s="57" t="n"/>
      <c r="G333" s="59" t="n"/>
      <c r="H333" s="59" t="n"/>
      <c r="I333" s="60">
        <f>IF(OR(G333="",H333=""),"",MOD(H333-G333,1))</f>
        <v/>
      </c>
      <c r="J333" s="61">
        <f>IF(OR(G333="",H333=""),"",ROUND(MOD(H333-G333,1)*24,2))</f>
        <v/>
      </c>
      <c r="K333" s="62">
        <f>IF(E333="","",IF(E333="Werken","JA","NEE"))</f>
        <v/>
      </c>
      <c r="L333" s="61">
        <f>IF(K333="JA",N(J333),IF(E333="","",0))</f>
        <v/>
      </c>
      <c r="M333" s="62">
        <f>IF(AND(A333="",E333=""),"",IF(E333="","Segment ontbreekt",IF(OR(G333="",H333=""),"Van/tot ontbreekt",IF(N(J333)=0,"Duur is nul",IF(N(J333)&gt;12,"Langer dan 12 uur - controleren",IF(AND(E333="Werken",D333=""),"Werken zonder klant - koppelen","OK"))))))</f>
        <v/>
      </c>
    </row>
    <row r="334" ht="15" customHeight="1" s="42">
      <c r="A334" s="55" t="n"/>
      <c r="B334" s="56">
        <f>IF(A334="","",WEEKNUM(A334,21))</f>
        <v/>
      </c>
      <c r="C334" s="57" t="n"/>
      <c r="D334" s="57" t="n"/>
      <c r="E334" s="58" t="n"/>
      <c r="F334" s="57" t="n"/>
      <c r="G334" s="59" t="n"/>
      <c r="H334" s="59" t="n"/>
      <c r="I334" s="60">
        <f>IF(OR(G334="",H334=""),"",MOD(H334-G334,1))</f>
        <v/>
      </c>
      <c r="J334" s="61">
        <f>IF(OR(G334="",H334=""),"",ROUND(MOD(H334-G334,1)*24,2))</f>
        <v/>
      </c>
      <c r="K334" s="62">
        <f>IF(E334="","",IF(E334="Werken","JA","NEE"))</f>
        <v/>
      </c>
      <c r="L334" s="61">
        <f>IF(K334="JA",N(J334),IF(E334="","",0))</f>
        <v/>
      </c>
      <c r="M334" s="62">
        <f>IF(AND(A334="",E334=""),"",IF(E334="","Segment ontbreekt",IF(OR(G334="",H334=""),"Van/tot ontbreekt",IF(N(J334)=0,"Duur is nul",IF(N(J334)&gt;12,"Langer dan 12 uur - controleren",IF(AND(E334="Werken",D334=""),"Werken zonder klant - koppelen","OK"))))))</f>
        <v/>
      </c>
    </row>
    <row r="335" ht="15" customHeight="1" s="42">
      <c r="A335" s="55" t="n"/>
      <c r="B335" s="56">
        <f>IF(A335="","",WEEKNUM(A335,21))</f>
        <v/>
      </c>
      <c r="C335" s="57" t="n"/>
      <c r="D335" s="57" t="n"/>
      <c r="E335" s="58" t="n"/>
      <c r="F335" s="57" t="n"/>
      <c r="G335" s="59" t="n"/>
      <c r="H335" s="59" t="n"/>
      <c r="I335" s="60">
        <f>IF(OR(G335="",H335=""),"",MOD(H335-G335,1))</f>
        <v/>
      </c>
      <c r="J335" s="61">
        <f>IF(OR(G335="",H335=""),"",ROUND(MOD(H335-G335,1)*24,2))</f>
        <v/>
      </c>
      <c r="K335" s="62">
        <f>IF(E335="","",IF(E335="Werken","JA","NEE"))</f>
        <v/>
      </c>
      <c r="L335" s="61">
        <f>IF(K335="JA",N(J335),IF(E335="","",0))</f>
        <v/>
      </c>
      <c r="M335" s="62">
        <f>IF(AND(A335="",E335=""),"",IF(E335="","Segment ontbreekt",IF(OR(G335="",H335=""),"Van/tot ontbreekt",IF(N(J335)=0,"Duur is nul",IF(N(J335)&gt;12,"Langer dan 12 uur - controleren",IF(AND(E335="Werken",D335=""),"Werken zonder klant - koppelen","OK"))))))</f>
        <v/>
      </c>
    </row>
    <row r="336" ht="15" customHeight="1" s="42">
      <c r="A336" s="55" t="n"/>
      <c r="B336" s="56">
        <f>IF(A336="","",WEEKNUM(A336,21))</f>
        <v/>
      </c>
      <c r="C336" s="57" t="n"/>
      <c r="D336" s="57" t="n"/>
      <c r="E336" s="58" t="n"/>
      <c r="F336" s="57" t="n"/>
      <c r="G336" s="59" t="n"/>
      <c r="H336" s="59" t="n"/>
      <c r="I336" s="60">
        <f>IF(OR(G336="",H336=""),"",MOD(H336-G336,1))</f>
        <v/>
      </c>
      <c r="J336" s="61">
        <f>IF(OR(G336="",H336=""),"",ROUND(MOD(H336-G336,1)*24,2))</f>
        <v/>
      </c>
      <c r="K336" s="62">
        <f>IF(E336="","",IF(E336="Werken","JA","NEE"))</f>
        <v/>
      </c>
      <c r="L336" s="61">
        <f>IF(K336="JA",N(J336),IF(E336="","",0))</f>
        <v/>
      </c>
      <c r="M336" s="62">
        <f>IF(AND(A336="",E336=""),"",IF(E336="","Segment ontbreekt",IF(OR(G336="",H336=""),"Van/tot ontbreekt",IF(N(J336)=0,"Duur is nul",IF(N(J336)&gt;12,"Langer dan 12 uur - controleren",IF(AND(E336="Werken",D336=""),"Werken zonder klant - koppelen","OK"))))))</f>
        <v/>
      </c>
    </row>
    <row r="337" ht="15" customHeight="1" s="42">
      <c r="A337" s="55" t="n"/>
      <c r="B337" s="56">
        <f>IF(A337="","",WEEKNUM(A337,21))</f>
        <v/>
      </c>
      <c r="C337" s="57" t="n"/>
      <c r="D337" s="57" t="n"/>
      <c r="E337" s="58" t="n"/>
      <c r="F337" s="57" t="n"/>
      <c r="G337" s="59" t="n"/>
      <c r="H337" s="59" t="n"/>
      <c r="I337" s="60">
        <f>IF(OR(G337="",H337=""),"",MOD(H337-G337,1))</f>
        <v/>
      </c>
      <c r="J337" s="61">
        <f>IF(OR(G337="",H337=""),"",ROUND(MOD(H337-G337,1)*24,2))</f>
        <v/>
      </c>
      <c r="K337" s="62">
        <f>IF(E337="","",IF(E337="Werken","JA","NEE"))</f>
        <v/>
      </c>
      <c r="L337" s="61">
        <f>IF(K337="JA",N(J337),IF(E337="","",0))</f>
        <v/>
      </c>
      <c r="M337" s="62">
        <f>IF(AND(A337="",E337=""),"",IF(E337="","Segment ontbreekt",IF(OR(G337="",H337=""),"Van/tot ontbreekt",IF(N(J337)=0,"Duur is nul",IF(N(J337)&gt;12,"Langer dan 12 uur - controleren",IF(AND(E337="Werken",D337=""),"Werken zonder klant - koppelen","OK"))))))</f>
        <v/>
      </c>
    </row>
    <row r="338" ht="15" customHeight="1" s="42">
      <c r="A338" s="55" t="n"/>
      <c r="B338" s="56">
        <f>IF(A338="","",WEEKNUM(A338,21))</f>
        <v/>
      </c>
      <c r="C338" s="57" t="n"/>
      <c r="D338" s="57" t="n"/>
      <c r="E338" s="58" t="n"/>
      <c r="F338" s="57" t="n"/>
      <c r="G338" s="59" t="n"/>
      <c r="H338" s="59" t="n"/>
      <c r="I338" s="60">
        <f>IF(OR(G338="",H338=""),"",MOD(H338-G338,1))</f>
        <v/>
      </c>
      <c r="J338" s="61">
        <f>IF(OR(G338="",H338=""),"",ROUND(MOD(H338-G338,1)*24,2))</f>
        <v/>
      </c>
      <c r="K338" s="62">
        <f>IF(E338="","",IF(E338="Werken","JA","NEE"))</f>
        <v/>
      </c>
      <c r="L338" s="61">
        <f>IF(K338="JA",N(J338),IF(E338="","",0))</f>
        <v/>
      </c>
      <c r="M338" s="62">
        <f>IF(AND(A338="",E338=""),"",IF(E338="","Segment ontbreekt",IF(OR(G338="",H338=""),"Van/tot ontbreekt",IF(N(J338)=0,"Duur is nul",IF(N(J338)&gt;12,"Langer dan 12 uur - controleren",IF(AND(E338="Werken",D338=""),"Werken zonder klant - koppelen","OK"))))))</f>
        <v/>
      </c>
    </row>
    <row r="339" ht="15" customHeight="1" s="42">
      <c r="A339" s="55" t="n"/>
      <c r="B339" s="56">
        <f>IF(A339="","",WEEKNUM(A339,21))</f>
        <v/>
      </c>
      <c r="C339" s="57" t="n"/>
      <c r="D339" s="57" t="n"/>
      <c r="E339" s="58" t="n"/>
      <c r="F339" s="57" t="n"/>
      <c r="G339" s="59" t="n"/>
      <c r="H339" s="59" t="n"/>
      <c r="I339" s="60">
        <f>IF(OR(G339="",H339=""),"",MOD(H339-G339,1))</f>
        <v/>
      </c>
      <c r="J339" s="61">
        <f>IF(OR(G339="",H339=""),"",ROUND(MOD(H339-G339,1)*24,2))</f>
        <v/>
      </c>
      <c r="K339" s="62">
        <f>IF(E339="","",IF(E339="Werken","JA","NEE"))</f>
        <v/>
      </c>
      <c r="L339" s="61">
        <f>IF(K339="JA",N(J339),IF(E339="","",0))</f>
        <v/>
      </c>
      <c r="M339" s="62">
        <f>IF(AND(A339="",E339=""),"",IF(E339="","Segment ontbreekt",IF(OR(G339="",H339=""),"Van/tot ontbreekt",IF(N(J339)=0,"Duur is nul",IF(N(J339)&gt;12,"Langer dan 12 uur - controleren",IF(AND(E339="Werken",D339=""),"Werken zonder klant - koppelen","OK"))))))</f>
        <v/>
      </c>
    </row>
    <row r="340" ht="15" customHeight="1" s="42">
      <c r="A340" s="55" t="n"/>
      <c r="B340" s="56">
        <f>IF(A340="","",WEEKNUM(A340,21))</f>
        <v/>
      </c>
      <c r="C340" s="57" t="n"/>
      <c r="D340" s="57" t="n"/>
      <c r="E340" s="58" t="n"/>
      <c r="F340" s="57" t="n"/>
      <c r="G340" s="59" t="n"/>
      <c r="H340" s="59" t="n"/>
      <c r="I340" s="60">
        <f>IF(OR(G340="",H340=""),"",MOD(H340-G340,1))</f>
        <v/>
      </c>
      <c r="J340" s="61">
        <f>IF(OR(G340="",H340=""),"",ROUND(MOD(H340-G340,1)*24,2))</f>
        <v/>
      </c>
      <c r="K340" s="62">
        <f>IF(E340="","",IF(E340="Werken","JA","NEE"))</f>
        <v/>
      </c>
      <c r="L340" s="61">
        <f>IF(K340="JA",N(J340),IF(E340="","",0))</f>
        <v/>
      </c>
      <c r="M340" s="62">
        <f>IF(AND(A340="",E340=""),"",IF(E340="","Segment ontbreekt",IF(OR(G340="",H340=""),"Van/tot ontbreekt",IF(N(J340)=0,"Duur is nul",IF(N(J340)&gt;12,"Langer dan 12 uur - controleren",IF(AND(E340="Werken",D340=""),"Werken zonder klant - koppelen","OK"))))))</f>
        <v/>
      </c>
    </row>
    <row r="341" ht="15" customHeight="1" s="42">
      <c r="A341" s="55" t="n"/>
      <c r="B341" s="56">
        <f>IF(A341="","",WEEKNUM(A341,21))</f>
        <v/>
      </c>
      <c r="C341" s="57" t="n"/>
      <c r="D341" s="57" t="n"/>
      <c r="E341" s="58" t="n"/>
      <c r="F341" s="57" t="n"/>
      <c r="G341" s="59" t="n"/>
      <c r="H341" s="59" t="n"/>
      <c r="I341" s="60">
        <f>IF(OR(G341="",H341=""),"",MOD(H341-G341,1))</f>
        <v/>
      </c>
      <c r="J341" s="61">
        <f>IF(OR(G341="",H341=""),"",ROUND(MOD(H341-G341,1)*24,2))</f>
        <v/>
      </c>
      <c r="K341" s="62">
        <f>IF(E341="","",IF(E341="Werken","JA","NEE"))</f>
        <v/>
      </c>
      <c r="L341" s="61">
        <f>IF(K341="JA",N(J341),IF(E341="","",0))</f>
        <v/>
      </c>
      <c r="M341" s="62">
        <f>IF(AND(A341="",E341=""),"",IF(E341="","Segment ontbreekt",IF(OR(G341="",H341=""),"Van/tot ontbreekt",IF(N(J341)=0,"Duur is nul",IF(N(J341)&gt;12,"Langer dan 12 uur - controleren",IF(AND(E341="Werken",D341=""),"Werken zonder klant - koppelen","OK"))))))</f>
        <v/>
      </c>
    </row>
    <row r="342" ht="15" customHeight="1" s="42">
      <c r="A342" s="55" t="n"/>
      <c r="B342" s="56">
        <f>IF(A342="","",WEEKNUM(A342,21))</f>
        <v/>
      </c>
      <c r="C342" s="57" t="n"/>
      <c r="D342" s="57" t="n"/>
      <c r="E342" s="58" t="n"/>
      <c r="F342" s="57" t="n"/>
      <c r="G342" s="59" t="n"/>
      <c r="H342" s="59" t="n"/>
      <c r="I342" s="60">
        <f>IF(OR(G342="",H342=""),"",MOD(H342-G342,1))</f>
        <v/>
      </c>
      <c r="J342" s="61">
        <f>IF(OR(G342="",H342=""),"",ROUND(MOD(H342-G342,1)*24,2))</f>
        <v/>
      </c>
      <c r="K342" s="62">
        <f>IF(E342="","",IF(E342="Werken","JA","NEE"))</f>
        <v/>
      </c>
      <c r="L342" s="61">
        <f>IF(K342="JA",N(J342),IF(E342="","",0))</f>
        <v/>
      </c>
      <c r="M342" s="62">
        <f>IF(AND(A342="",E342=""),"",IF(E342="","Segment ontbreekt",IF(OR(G342="",H342=""),"Van/tot ontbreekt",IF(N(J342)=0,"Duur is nul",IF(N(J342)&gt;12,"Langer dan 12 uur - controleren",IF(AND(E342="Werken",D342=""),"Werken zonder klant - koppelen","OK"))))))</f>
        <v/>
      </c>
    </row>
    <row r="343" ht="15" customHeight="1" s="42">
      <c r="A343" s="55" t="n"/>
      <c r="B343" s="56">
        <f>IF(A343="","",WEEKNUM(A343,21))</f>
        <v/>
      </c>
      <c r="C343" s="57" t="n"/>
      <c r="D343" s="57" t="n"/>
      <c r="E343" s="58" t="n"/>
      <c r="F343" s="57" t="n"/>
      <c r="G343" s="59" t="n"/>
      <c r="H343" s="59" t="n"/>
      <c r="I343" s="60">
        <f>IF(OR(G343="",H343=""),"",MOD(H343-G343,1))</f>
        <v/>
      </c>
      <c r="J343" s="61">
        <f>IF(OR(G343="",H343=""),"",ROUND(MOD(H343-G343,1)*24,2))</f>
        <v/>
      </c>
      <c r="K343" s="62">
        <f>IF(E343="","",IF(E343="Werken","JA","NEE"))</f>
        <v/>
      </c>
      <c r="L343" s="61">
        <f>IF(K343="JA",N(J343),IF(E343="","",0))</f>
        <v/>
      </c>
      <c r="M343" s="62">
        <f>IF(AND(A343="",E343=""),"",IF(E343="","Segment ontbreekt",IF(OR(G343="",H343=""),"Van/tot ontbreekt",IF(N(J343)=0,"Duur is nul",IF(N(J343)&gt;12,"Langer dan 12 uur - controleren",IF(AND(E343="Werken",D343=""),"Werken zonder klant - koppelen","OK"))))))</f>
        <v/>
      </c>
    </row>
    <row r="344" ht="15" customHeight="1" s="42">
      <c r="A344" s="55" t="n"/>
      <c r="B344" s="56">
        <f>IF(A344="","",WEEKNUM(A344,21))</f>
        <v/>
      </c>
      <c r="C344" s="57" t="n"/>
      <c r="D344" s="57" t="n"/>
      <c r="E344" s="58" t="n"/>
      <c r="F344" s="57" t="n"/>
      <c r="G344" s="59" t="n"/>
      <c r="H344" s="59" t="n"/>
      <c r="I344" s="60">
        <f>IF(OR(G344="",H344=""),"",MOD(H344-G344,1))</f>
        <v/>
      </c>
      <c r="J344" s="61">
        <f>IF(OR(G344="",H344=""),"",ROUND(MOD(H344-G344,1)*24,2))</f>
        <v/>
      </c>
      <c r="K344" s="62">
        <f>IF(E344="","",IF(E344="Werken","JA","NEE"))</f>
        <v/>
      </c>
      <c r="L344" s="61">
        <f>IF(K344="JA",N(J344),IF(E344="","",0))</f>
        <v/>
      </c>
      <c r="M344" s="62">
        <f>IF(AND(A344="",E344=""),"",IF(E344="","Segment ontbreekt",IF(OR(G344="",H344=""),"Van/tot ontbreekt",IF(N(J344)=0,"Duur is nul",IF(N(J344)&gt;12,"Langer dan 12 uur - controleren",IF(AND(E344="Werken",D344=""),"Werken zonder klant - koppelen","OK"))))))</f>
        <v/>
      </c>
    </row>
    <row r="345" ht="15" customHeight="1" s="42">
      <c r="A345" s="55" t="n"/>
      <c r="B345" s="56">
        <f>IF(A345="","",WEEKNUM(A345,21))</f>
        <v/>
      </c>
      <c r="C345" s="57" t="n"/>
      <c r="D345" s="57" t="n"/>
      <c r="E345" s="58" t="n"/>
      <c r="F345" s="57" t="n"/>
      <c r="G345" s="59" t="n"/>
      <c r="H345" s="59" t="n"/>
      <c r="I345" s="60">
        <f>IF(OR(G345="",H345=""),"",MOD(H345-G345,1))</f>
        <v/>
      </c>
      <c r="J345" s="61">
        <f>IF(OR(G345="",H345=""),"",ROUND(MOD(H345-G345,1)*24,2))</f>
        <v/>
      </c>
      <c r="K345" s="62">
        <f>IF(E345="","",IF(E345="Werken","JA","NEE"))</f>
        <v/>
      </c>
      <c r="L345" s="61">
        <f>IF(K345="JA",N(J345),IF(E345="","",0))</f>
        <v/>
      </c>
      <c r="M345" s="62">
        <f>IF(AND(A345="",E345=""),"",IF(E345="","Segment ontbreekt",IF(OR(G345="",H345=""),"Van/tot ontbreekt",IF(N(J345)=0,"Duur is nul",IF(N(J345)&gt;12,"Langer dan 12 uur - controleren",IF(AND(E345="Werken",D345=""),"Werken zonder klant - koppelen","OK"))))))</f>
        <v/>
      </c>
    </row>
    <row r="346" ht="15" customHeight="1" s="42">
      <c r="A346" s="55" t="n"/>
      <c r="B346" s="56">
        <f>IF(A346="","",WEEKNUM(A346,21))</f>
        <v/>
      </c>
      <c r="C346" s="57" t="n"/>
      <c r="D346" s="57" t="n"/>
      <c r="E346" s="58" t="n"/>
      <c r="F346" s="57" t="n"/>
      <c r="G346" s="59" t="n"/>
      <c r="H346" s="59" t="n"/>
      <c r="I346" s="60">
        <f>IF(OR(G346="",H346=""),"",MOD(H346-G346,1))</f>
        <v/>
      </c>
      <c r="J346" s="61">
        <f>IF(OR(G346="",H346=""),"",ROUND(MOD(H346-G346,1)*24,2))</f>
        <v/>
      </c>
      <c r="K346" s="62">
        <f>IF(E346="","",IF(E346="Werken","JA","NEE"))</f>
        <v/>
      </c>
      <c r="L346" s="61">
        <f>IF(K346="JA",N(J346),IF(E346="","",0))</f>
        <v/>
      </c>
      <c r="M346" s="62">
        <f>IF(AND(A346="",E346=""),"",IF(E346="","Segment ontbreekt",IF(OR(G346="",H346=""),"Van/tot ontbreekt",IF(N(J346)=0,"Duur is nul",IF(N(J346)&gt;12,"Langer dan 12 uur - controleren",IF(AND(E346="Werken",D346=""),"Werken zonder klant - koppelen","OK"))))))</f>
        <v/>
      </c>
    </row>
    <row r="347" ht="15" customHeight="1" s="42">
      <c r="A347" s="55" t="n"/>
      <c r="B347" s="56">
        <f>IF(A347="","",WEEKNUM(A347,21))</f>
        <v/>
      </c>
      <c r="C347" s="57" t="n"/>
      <c r="D347" s="57" t="n"/>
      <c r="E347" s="58" t="n"/>
      <c r="F347" s="57" t="n"/>
      <c r="G347" s="59" t="n"/>
      <c r="H347" s="59" t="n"/>
      <c r="I347" s="60">
        <f>IF(OR(G347="",H347=""),"",MOD(H347-G347,1))</f>
        <v/>
      </c>
      <c r="J347" s="61">
        <f>IF(OR(G347="",H347=""),"",ROUND(MOD(H347-G347,1)*24,2))</f>
        <v/>
      </c>
      <c r="K347" s="62">
        <f>IF(E347="","",IF(E347="Werken","JA","NEE"))</f>
        <v/>
      </c>
      <c r="L347" s="61">
        <f>IF(K347="JA",N(J347),IF(E347="","",0))</f>
        <v/>
      </c>
      <c r="M347" s="62">
        <f>IF(AND(A347="",E347=""),"",IF(E347="","Segment ontbreekt",IF(OR(G347="",H347=""),"Van/tot ontbreekt",IF(N(J347)=0,"Duur is nul",IF(N(J347)&gt;12,"Langer dan 12 uur - controleren",IF(AND(E347="Werken",D347=""),"Werken zonder klant - koppelen","OK"))))))</f>
        <v/>
      </c>
    </row>
    <row r="348" ht="15" customHeight="1" s="42">
      <c r="A348" s="55" t="n"/>
      <c r="B348" s="56">
        <f>IF(A348="","",WEEKNUM(A348,21))</f>
        <v/>
      </c>
      <c r="C348" s="57" t="n"/>
      <c r="D348" s="57" t="n"/>
      <c r="E348" s="58" t="n"/>
      <c r="F348" s="57" t="n"/>
      <c r="G348" s="59" t="n"/>
      <c r="H348" s="59" t="n"/>
      <c r="I348" s="60">
        <f>IF(OR(G348="",H348=""),"",MOD(H348-G348,1))</f>
        <v/>
      </c>
      <c r="J348" s="61">
        <f>IF(OR(G348="",H348=""),"",ROUND(MOD(H348-G348,1)*24,2))</f>
        <v/>
      </c>
      <c r="K348" s="62">
        <f>IF(E348="","",IF(E348="Werken","JA","NEE"))</f>
        <v/>
      </c>
      <c r="L348" s="61">
        <f>IF(K348="JA",N(J348),IF(E348="","",0))</f>
        <v/>
      </c>
      <c r="M348" s="62">
        <f>IF(AND(A348="",E348=""),"",IF(E348="","Segment ontbreekt",IF(OR(G348="",H348=""),"Van/tot ontbreekt",IF(N(J348)=0,"Duur is nul",IF(N(J348)&gt;12,"Langer dan 12 uur - controleren",IF(AND(E348="Werken",D348=""),"Werken zonder klant - koppelen","OK"))))))</f>
        <v/>
      </c>
    </row>
    <row r="349" ht="15" customHeight="1" s="42">
      <c r="A349" s="55" t="n"/>
      <c r="B349" s="56">
        <f>IF(A349="","",WEEKNUM(A349,21))</f>
        <v/>
      </c>
      <c r="C349" s="57" t="n"/>
      <c r="D349" s="57" t="n"/>
      <c r="E349" s="58" t="n"/>
      <c r="F349" s="57" t="n"/>
      <c r="G349" s="59" t="n"/>
      <c r="H349" s="59" t="n"/>
      <c r="I349" s="60">
        <f>IF(OR(G349="",H349=""),"",MOD(H349-G349,1))</f>
        <v/>
      </c>
      <c r="J349" s="61">
        <f>IF(OR(G349="",H349=""),"",ROUND(MOD(H349-G349,1)*24,2))</f>
        <v/>
      </c>
      <c r="K349" s="62">
        <f>IF(E349="","",IF(E349="Werken","JA","NEE"))</f>
        <v/>
      </c>
      <c r="L349" s="61">
        <f>IF(K349="JA",N(J349),IF(E349="","",0))</f>
        <v/>
      </c>
      <c r="M349" s="62">
        <f>IF(AND(A349="",E349=""),"",IF(E349="","Segment ontbreekt",IF(OR(G349="",H349=""),"Van/tot ontbreekt",IF(N(J349)=0,"Duur is nul",IF(N(J349)&gt;12,"Langer dan 12 uur - controleren",IF(AND(E349="Werken",D349=""),"Werken zonder klant - koppelen","OK"))))))</f>
        <v/>
      </c>
    </row>
    <row r="350" ht="15" customHeight="1" s="42">
      <c r="A350" s="55" t="n"/>
      <c r="B350" s="56">
        <f>IF(A350="","",WEEKNUM(A350,21))</f>
        <v/>
      </c>
      <c r="C350" s="57" t="n"/>
      <c r="D350" s="57" t="n"/>
      <c r="E350" s="58" t="n"/>
      <c r="F350" s="57" t="n"/>
      <c r="G350" s="59" t="n"/>
      <c r="H350" s="59" t="n"/>
      <c r="I350" s="60">
        <f>IF(OR(G350="",H350=""),"",MOD(H350-G350,1))</f>
        <v/>
      </c>
      <c r="J350" s="61">
        <f>IF(OR(G350="",H350=""),"",ROUND(MOD(H350-G350,1)*24,2))</f>
        <v/>
      </c>
      <c r="K350" s="62">
        <f>IF(E350="","",IF(E350="Werken","JA","NEE"))</f>
        <v/>
      </c>
      <c r="L350" s="61">
        <f>IF(K350="JA",N(J350),IF(E350="","",0))</f>
        <v/>
      </c>
      <c r="M350" s="62">
        <f>IF(AND(A350="",E350=""),"",IF(E350="","Segment ontbreekt",IF(OR(G350="",H350=""),"Van/tot ontbreekt",IF(N(J350)=0,"Duur is nul",IF(N(J350)&gt;12,"Langer dan 12 uur - controleren",IF(AND(E350="Werken",D350=""),"Werken zonder klant - koppelen","OK"))))))</f>
        <v/>
      </c>
    </row>
    <row r="351" ht="15" customHeight="1" s="42">
      <c r="A351" s="55" t="n"/>
      <c r="B351" s="56">
        <f>IF(A351="","",WEEKNUM(A351,21))</f>
        <v/>
      </c>
      <c r="C351" s="57" t="n"/>
      <c r="D351" s="57" t="n"/>
      <c r="E351" s="58" t="n"/>
      <c r="F351" s="57" t="n"/>
      <c r="G351" s="59" t="n"/>
      <c r="H351" s="59" t="n"/>
      <c r="I351" s="60">
        <f>IF(OR(G351="",H351=""),"",MOD(H351-G351,1))</f>
        <v/>
      </c>
      <c r="J351" s="61">
        <f>IF(OR(G351="",H351=""),"",ROUND(MOD(H351-G351,1)*24,2))</f>
        <v/>
      </c>
      <c r="K351" s="62">
        <f>IF(E351="","",IF(E351="Werken","JA","NEE"))</f>
        <v/>
      </c>
      <c r="L351" s="61">
        <f>IF(K351="JA",N(J351),IF(E351="","",0))</f>
        <v/>
      </c>
      <c r="M351" s="62">
        <f>IF(AND(A351="",E351=""),"",IF(E351="","Segment ontbreekt",IF(OR(G351="",H351=""),"Van/tot ontbreekt",IF(N(J351)=0,"Duur is nul",IF(N(J351)&gt;12,"Langer dan 12 uur - controleren",IF(AND(E351="Werken",D351=""),"Werken zonder klant - koppelen","OK"))))))</f>
        <v/>
      </c>
    </row>
    <row r="352" ht="15" customHeight="1" s="42">
      <c r="A352" s="55" t="n"/>
      <c r="B352" s="56">
        <f>IF(A352="","",WEEKNUM(A352,21))</f>
        <v/>
      </c>
      <c r="C352" s="57" t="n"/>
      <c r="D352" s="57" t="n"/>
      <c r="E352" s="58" t="n"/>
      <c r="F352" s="57" t="n"/>
      <c r="G352" s="59" t="n"/>
      <c r="H352" s="59" t="n"/>
      <c r="I352" s="60">
        <f>IF(OR(G352="",H352=""),"",MOD(H352-G352,1))</f>
        <v/>
      </c>
      <c r="J352" s="61">
        <f>IF(OR(G352="",H352=""),"",ROUND(MOD(H352-G352,1)*24,2))</f>
        <v/>
      </c>
      <c r="K352" s="62">
        <f>IF(E352="","",IF(E352="Werken","JA","NEE"))</f>
        <v/>
      </c>
      <c r="L352" s="61">
        <f>IF(K352="JA",N(J352),IF(E352="","",0))</f>
        <v/>
      </c>
      <c r="M352" s="62">
        <f>IF(AND(A352="",E352=""),"",IF(E352="","Segment ontbreekt",IF(OR(G352="",H352=""),"Van/tot ontbreekt",IF(N(J352)=0,"Duur is nul",IF(N(J352)&gt;12,"Langer dan 12 uur - controleren",IF(AND(E352="Werken",D352=""),"Werken zonder klant - koppelen","OK"))))))</f>
        <v/>
      </c>
    </row>
    <row r="353" ht="15" customHeight="1" s="42">
      <c r="A353" s="55" t="n"/>
      <c r="B353" s="56">
        <f>IF(A353="","",WEEKNUM(A353,21))</f>
        <v/>
      </c>
      <c r="C353" s="57" t="n"/>
      <c r="D353" s="57" t="n"/>
      <c r="E353" s="58" t="n"/>
      <c r="F353" s="57" t="n"/>
      <c r="G353" s="59" t="n"/>
      <c r="H353" s="59" t="n"/>
      <c r="I353" s="60">
        <f>IF(OR(G353="",H353=""),"",MOD(H353-G353,1))</f>
        <v/>
      </c>
      <c r="J353" s="61">
        <f>IF(OR(G353="",H353=""),"",ROUND(MOD(H353-G353,1)*24,2))</f>
        <v/>
      </c>
      <c r="K353" s="62">
        <f>IF(E353="","",IF(E353="Werken","JA","NEE"))</f>
        <v/>
      </c>
      <c r="L353" s="61">
        <f>IF(K353="JA",N(J353),IF(E353="","",0))</f>
        <v/>
      </c>
      <c r="M353" s="62">
        <f>IF(AND(A353="",E353=""),"",IF(E353="","Segment ontbreekt",IF(OR(G353="",H353=""),"Van/tot ontbreekt",IF(N(J353)=0,"Duur is nul",IF(N(J353)&gt;12,"Langer dan 12 uur - controleren",IF(AND(E353="Werken",D353=""),"Werken zonder klant - koppelen","OK"))))))</f>
        <v/>
      </c>
    </row>
    <row r="354" ht="15" customHeight="1" s="42">
      <c r="A354" s="55" t="n"/>
      <c r="B354" s="56">
        <f>IF(A354="","",WEEKNUM(A354,21))</f>
        <v/>
      </c>
      <c r="C354" s="57" t="n"/>
      <c r="D354" s="57" t="n"/>
      <c r="E354" s="58" t="n"/>
      <c r="F354" s="57" t="n"/>
      <c r="G354" s="59" t="n"/>
      <c r="H354" s="59" t="n"/>
      <c r="I354" s="60">
        <f>IF(OR(G354="",H354=""),"",MOD(H354-G354,1))</f>
        <v/>
      </c>
      <c r="J354" s="61">
        <f>IF(OR(G354="",H354=""),"",ROUND(MOD(H354-G354,1)*24,2))</f>
        <v/>
      </c>
      <c r="K354" s="62">
        <f>IF(E354="","",IF(E354="Werken","JA","NEE"))</f>
        <v/>
      </c>
      <c r="L354" s="61">
        <f>IF(K354="JA",N(J354),IF(E354="","",0))</f>
        <v/>
      </c>
      <c r="M354" s="62">
        <f>IF(AND(A354="",E354=""),"",IF(E354="","Segment ontbreekt",IF(OR(G354="",H354=""),"Van/tot ontbreekt",IF(N(J354)=0,"Duur is nul",IF(N(J354)&gt;12,"Langer dan 12 uur - controleren",IF(AND(E354="Werken",D354=""),"Werken zonder klant - koppelen","OK"))))))</f>
        <v/>
      </c>
    </row>
    <row r="355" ht="15" customHeight="1" s="42">
      <c r="A355" s="55" t="n"/>
      <c r="B355" s="56">
        <f>IF(A355="","",WEEKNUM(A355,21))</f>
        <v/>
      </c>
      <c r="C355" s="57" t="n"/>
      <c r="D355" s="57" t="n"/>
      <c r="E355" s="58" t="n"/>
      <c r="F355" s="57" t="n"/>
      <c r="G355" s="59" t="n"/>
      <c r="H355" s="59" t="n"/>
      <c r="I355" s="60">
        <f>IF(OR(G355="",H355=""),"",MOD(H355-G355,1))</f>
        <v/>
      </c>
      <c r="J355" s="61">
        <f>IF(OR(G355="",H355=""),"",ROUND(MOD(H355-G355,1)*24,2))</f>
        <v/>
      </c>
      <c r="K355" s="62">
        <f>IF(E355="","",IF(E355="Werken","JA","NEE"))</f>
        <v/>
      </c>
      <c r="L355" s="61">
        <f>IF(K355="JA",N(J355),IF(E355="","",0))</f>
        <v/>
      </c>
      <c r="M355" s="62">
        <f>IF(AND(A355="",E355=""),"",IF(E355="","Segment ontbreekt",IF(OR(G355="",H355=""),"Van/tot ontbreekt",IF(N(J355)=0,"Duur is nul",IF(N(J355)&gt;12,"Langer dan 12 uur - controleren",IF(AND(E355="Werken",D355=""),"Werken zonder klant - koppelen","OK"))))))</f>
        <v/>
      </c>
    </row>
    <row r="356" ht="15" customHeight="1" s="42">
      <c r="A356" s="55" t="n"/>
      <c r="B356" s="56">
        <f>IF(A356="","",WEEKNUM(A356,21))</f>
        <v/>
      </c>
      <c r="C356" s="57" t="n"/>
      <c r="D356" s="57" t="n"/>
      <c r="E356" s="58" t="n"/>
      <c r="F356" s="57" t="n"/>
      <c r="G356" s="59" t="n"/>
      <c r="H356" s="59" t="n"/>
      <c r="I356" s="60">
        <f>IF(OR(G356="",H356=""),"",MOD(H356-G356,1))</f>
        <v/>
      </c>
      <c r="J356" s="61">
        <f>IF(OR(G356="",H356=""),"",ROUND(MOD(H356-G356,1)*24,2))</f>
        <v/>
      </c>
      <c r="K356" s="62">
        <f>IF(E356="","",IF(E356="Werken","JA","NEE"))</f>
        <v/>
      </c>
      <c r="L356" s="61">
        <f>IF(K356="JA",N(J356),IF(E356="","",0))</f>
        <v/>
      </c>
      <c r="M356" s="62">
        <f>IF(AND(A356="",E356=""),"",IF(E356="","Segment ontbreekt",IF(OR(G356="",H356=""),"Van/tot ontbreekt",IF(N(J356)=0,"Duur is nul",IF(N(J356)&gt;12,"Langer dan 12 uur - controleren",IF(AND(E356="Werken",D356=""),"Werken zonder klant - koppelen","OK"))))))</f>
        <v/>
      </c>
    </row>
    <row r="357" ht="15" customHeight="1" s="42">
      <c r="A357" s="55" t="n"/>
      <c r="B357" s="56">
        <f>IF(A357="","",WEEKNUM(A357,21))</f>
        <v/>
      </c>
      <c r="C357" s="57" t="n"/>
      <c r="D357" s="57" t="n"/>
      <c r="E357" s="58" t="n"/>
      <c r="F357" s="57" t="n"/>
      <c r="G357" s="59" t="n"/>
      <c r="H357" s="59" t="n"/>
      <c r="I357" s="60">
        <f>IF(OR(G357="",H357=""),"",MOD(H357-G357,1))</f>
        <v/>
      </c>
      <c r="J357" s="61">
        <f>IF(OR(G357="",H357=""),"",ROUND(MOD(H357-G357,1)*24,2))</f>
        <v/>
      </c>
      <c r="K357" s="62">
        <f>IF(E357="","",IF(E357="Werken","JA","NEE"))</f>
        <v/>
      </c>
      <c r="L357" s="61">
        <f>IF(K357="JA",N(J357),IF(E357="","",0))</f>
        <v/>
      </c>
      <c r="M357" s="62">
        <f>IF(AND(A357="",E357=""),"",IF(E357="","Segment ontbreekt",IF(OR(G357="",H357=""),"Van/tot ontbreekt",IF(N(J357)=0,"Duur is nul",IF(N(J357)&gt;12,"Langer dan 12 uur - controleren",IF(AND(E357="Werken",D357=""),"Werken zonder klant - koppelen","OK"))))))</f>
        <v/>
      </c>
    </row>
    <row r="358" ht="15" customHeight="1" s="42">
      <c r="A358" s="55" t="n"/>
      <c r="B358" s="56">
        <f>IF(A358="","",WEEKNUM(A358,21))</f>
        <v/>
      </c>
      <c r="C358" s="57" t="n"/>
      <c r="D358" s="57" t="n"/>
      <c r="E358" s="58" t="n"/>
      <c r="F358" s="57" t="n"/>
      <c r="G358" s="59" t="n"/>
      <c r="H358" s="59" t="n"/>
      <c r="I358" s="60">
        <f>IF(OR(G358="",H358=""),"",MOD(H358-G358,1))</f>
        <v/>
      </c>
      <c r="J358" s="61">
        <f>IF(OR(G358="",H358=""),"",ROUND(MOD(H358-G358,1)*24,2))</f>
        <v/>
      </c>
      <c r="K358" s="62">
        <f>IF(E358="","",IF(E358="Werken","JA","NEE"))</f>
        <v/>
      </c>
      <c r="L358" s="61">
        <f>IF(K358="JA",N(J358),IF(E358="","",0))</f>
        <v/>
      </c>
      <c r="M358" s="62">
        <f>IF(AND(A358="",E358=""),"",IF(E358="","Segment ontbreekt",IF(OR(G358="",H358=""),"Van/tot ontbreekt",IF(N(J358)=0,"Duur is nul",IF(N(J358)&gt;12,"Langer dan 12 uur - controleren",IF(AND(E358="Werken",D358=""),"Werken zonder klant - koppelen","OK"))))))</f>
        <v/>
      </c>
    </row>
    <row r="359" ht="15" customHeight="1" s="42">
      <c r="A359" s="55" t="n"/>
      <c r="B359" s="56">
        <f>IF(A359="","",WEEKNUM(A359,21))</f>
        <v/>
      </c>
      <c r="C359" s="57" t="n"/>
      <c r="D359" s="57" t="n"/>
      <c r="E359" s="58" t="n"/>
      <c r="F359" s="57" t="n"/>
      <c r="G359" s="59" t="n"/>
      <c r="H359" s="59" t="n"/>
      <c r="I359" s="60">
        <f>IF(OR(G359="",H359=""),"",MOD(H359-G359,1))</f>
        <v/>
      </c>
      <c r="J359" s="61">
        <f>IF(OR(G359="",H359=""),"",ROUND(MOD(H359-G359,1)*24,2))</f>
        <v/>
      </c>
      <c r="K359" s="62">
        <f>IF(E359="","",IF(E359="Werken","JA","NEE"))</f>
        <v/>
      </c>
      <c r="L359" s="61">
        <f>IF(K359="JA",N(J359),IF(E359="","",0))</f>
        <v/>
      </c>
      <c r="M359" s="62">
        <f>IF(AND(A359="",E359=""),"",IF(E359="","Segment ontbreekt",IF(OR(G359="",H359=""),"Van/tot ontbreekt",IF(N(J359)=0,"Duur is nul",IF(N(J359)&gt;12,"Langer dan 12 uur - controleren",IF(AND(E359="Werken",D359=""),"Werken zonder klant - koppelen","OK"))))))</f>
        <v/>
      </c>
    </row>
    <row r="360" ht="15" customHeight="1" s="42">
      <c r="A360" s="55" t="n"/>
      <c r="B360" s="56">
        <f>IF(A360="","",WEEKNUM(A360,21))</f>
        <v/>
      </c>
      <c r="C360" s="57" t="n"/>
      <c r="D360" s="57" t="n"/>
      <c r="E360" s="58" t="n"/>
      <c r="F360" s="57" t="n"/>
      <c r="G360" s="59" t="n"/>
      <c r="H360" s="59" t="n"/>
      <c r="I360" s="60">
        <f>IF(OR(G360="",H360=""),"",MOD(H360-G360,1))</f>
        <v/>
      </c>
      <c r="J360" s="61">
        <f>IF(OR(G360="",H360=""),"",ROUND(MOD(H360-G360,1)*24,2))</f>
        <v/>
      </c>
      <c r="K360" s="62">
        <f>IF(E360="","",IF(E360="Werken","JA","NEE"))</f>
        <v/>
      </c>
      <c r="L360" s="61">
        <f>IF(K360="JA",N(J360),IF(E360="","",0))</f>
        <v/>
      </c>
      <c r="M360" s="62">
        <f>IF(AND(A360="",E360=""),"",IF(E360="","Segment ontbreekt",IF(OR(G360="",H360=""),"Van/tot ontbreekt",IF(N(J360)=0,"Duur is nul",IF(N(J360)&gt;12,"Langer dan 12 uur - controleren",IF(AND(E360="Werken",D360=""),"Werken zonder klant - koppelen","OK"))))))</f>
        <v/>
      </c>
    </row>
    <row r="361" ht="15" customHeight="1" s="42">
      <c r="A361" s="55" t="n"/>
      <c r="B361" s="56">
        <f>IF(A361="","",WEEKNUM(A361,21))</f>
        <v/>
      </c>
      <c r="C361" s="57" t="n"/>
      <c r="D361" s="57" t="n"/>
      <c r="E361" s="58" t="n"/>
      <c r="F361" s="57" t="n"/>
      <c r="G361" s="59" t="n"/>
      <c r="H361" s="59" t="n"/>
      <c r="I361" s="60">
        <f>IF(OR(G361="",H361=""),"",MOD(H361-G361,1))</f>
        <v/>
      </c>
      <c r="J361" s="61">
        <f>IF(OR(G361="",H361=""),"",ROUND(MOD(H361-G361,1)*24,2))</f>
        <v/>
      </c>
      <c r="K361" s="62">
        <f>IF(E361="","",IF(E361="Werken","JA","NEE"))</f>
        <v/>
      </c>
      <c r="L361" s="61">
        <f>IF(K361="JA",N(J361),IF(E361="","",0))</f>
        <v/>
      </c>
      <c r="M361" s="62">
        <f>IF(AND(A361="",E361=""),"",IF(E361="","Segment ontbreekt",IF(OR(G361="",H361=""),"Van/tot ontbreekt",IF(N(J361)=0,"Duur is nul",IF(N(J361)&gt;12,"Langer dan 12 uur - controleren",IF(AND(E361="Werken",D361=""),"Werken zonder klant - koppelen","OK"))))))</f>
        <v/>
      </c>
    </row>
    <row r="362" ht="15" customHeight="1" s="42">
      <c r="A362" s="55" t="n"/>
      <c r="B362" s="56">
        <f>IF(A362="","",WEEKNUM(A362,21))</f>
        <v/>
      </c>
      <c r="C362" s="57" t="n"/>
      <c r="D362" s="57" t="n"/>
      <c r="E362" s="58" t="n"/>
      <c r="F362" s="57" t="n"/>
      <c r="G362" s="59" t="n"/>
      <c r="H362" s="59" t="n"/>
      <c r="I362" s="60">
        <f>IF(OR(G362="",H362=""),"",MOD(H362-G362,1))</f>
        <v/>
      </c>
      <c r="J362" s="61">
        <f>IF(OR(G362="",H362=""),"",ROUND(MOD(H362-G362,1)*24,2))</f>
        <v/>
      </c>
      <c r="K362" s="62">
        <f>IF(E362="","",IF(E362="Werken","JA","NEE"))</f>
        <v/>
      </c>
      <c r="L362" s="61">
        <f>IF(K362="JA",N(J362),IF(E362="","",0))</f>
        <v/>
      </c>
      <c r="M362" s="62">
        <f>IF(AND(A362="",E362=""),"",IF(E362="","Segment ontbreekt",IF(OR(G362="",H362=""),"Van/tot ontbreekt",IF(N(J362)=0,"Duur is nul",IF(N(J362)&gt;12,"Langer dan 12 uur - controleren",IF(AND(E362="Werken",D362=""),"Werken zonder klant - koppelen","OK"))))))</f>
        <v/>
      </c>
    </row>
    <row r="363" ht="15" customHeight="1" s="42">
      <c r="A363" s="55" t="n"/>
      <c r="B363" s="56">
        <f>IF(A363="","",WEEKNUM(A363,21))</f>
        <v/>
      </c>
      <c r="C363" s="57" t="n"/>
      <c r="D363" s="57" t="n"/>
      <c r="E363" s="58" t="n"/>
      <c r="F363" s="57" t="n"/>
      <c r="G363" s="59" t="n"/>
      <c r="H363" s="59" t="n"/>
      <c r="I363" s="60">
        <f>IF(OR(G363="",H363=""),"",MOD(H363-G363,1))</f>
        <v/>
      </c>
      <c r="J363" s="61">
        <f>IF(OR(G363="",H363=""),"",ROUND(MOD(H363-G363,1)*24,2))</f>
        <v/>
      </c>
      <c r="K363" s="62">
        <f>IF(E363="","",IF(E363="Werken","JA","NEE"))</f>
        <v/>
      </c>
      <c r="L363" s="61">
        <f>IF(K363="JA",N(J363),IF(E363="","",0))</f>
        <v/>
      </c>
      <c r="M363" s="62">
        <f>IF(AND(A363="",E363=""),"",IF(E363="","Segment ontbreekt",IF(OR(G363="",H363=""),"Van/tot ontbreekt",IF(N(J363)=0,"Duur is nul",IF(N(J363)&gt;12,"Langer dan 12 uur - controleren",IF(AND(E363="Werken",D363=""),"Werken zonder klant - koppelen","OK"))))))</f>
        <v/>
      </c>
    </row>
    <row r="364" ht="15" customHeight="1" s="42">
      <c r="A364" s="55" t="n"/>
      <c r="B364" s="56">
        <f>IF(A364="","",WEEKNUM(A364,21))</f>
        <v/>
      </c>
      <c r="C364" s="57" t="n"/>
      <c r="D364" s="57" t="n"/>
      <c r="E364" s="58" t="n"/>
      <c r="F364" s="57" t="n"/>
      <c r="G364" s="59" t="n"/>
      <c r="H364" s="59" t="n"/>
      <c r="I364" s="60">
        <f>IF(OR(G364="",H364=""),"",MOD(H364-G364,1))</f>
        <v/>
      </c>
      <c r="J364" s="61">
        <f>IF(OR(G364="",H364=""),"",ROUND(MOD(H364-G364,1)*24,2))</f>
        <v/>
      </c>
      <c r="K364" s="62">
        <f>IF(E364="","",IF(E364="Werken","JA","NEE"))</f>
        <v/>
      </c>
      <c r="L364" s="61">
        <f>IF(K364="JA",N(J364),IF(E364="","",0))</f>
        <v/>
      </c>
      <c r="M364" s="62">
        <f>IF(AND(A364="",E364=""),"",IF(E364="","Segment ontbreekt",IF(OR(G364="",H364=""),"Van/tot ontbreekt",IF(N(J364)=0,"Duur is nul",IF(N(J364)&gt;12,"Langer dan 12 uur - controleren",IF(AND(E364="Werken",D364=""),"Werken zonder klant - koppelen","OK"))))))</f>
        <v/>
      </c>
    </row>
    <row r="365" ht="15" customHeight="1" s="42">
      <c r="A365" s="55" t="n"/>
      <c r="B365" s="56">
        <f>IF(A365="","",WEEKNUM(A365,21))</f>
        <v/>
      </c>
      <c r="C365" s="57" t="n"/>
      <c r="D365" s="57" t="n"/>
      <c r="E365" s="58" t="n"/>
      <c r="F365" s="57" t="n"/>
      <c r="G365" s="59" t="n"/>
      <c r="H365" s="59" t="n"/>
      <c r="I365" s="60">
        <f>IF(OR(G365="",H365=""),"",MOD(H365-G365,1))</f>
        <v/>
      </c>
      <c r="J365" s="61">
        <f>IF(OR(G365="",H365=""),"",ROUND(MOD(H365-G365,1)*24,2))</f>
        <v/>
      </c>
      <c r="K365" s="62">
        <f>IF(E365="","",IF(E365="Werken","JA","NEE"))</f>
        <v/>
      </c>
      <c r="L365" s="61">
        <f>IF(K365="JA",N(J365),IF(E365="","",0))</f>
        <v/>
      </c>
      <c r="M365" s="62">
        <f>IF(AND(A365="",E365=""),"",IF(E365="","Segment ontbreekt",IF(OR(G365="",H365=""),"Van/tot ontbreekt",IF(N(J365)=0,"Duur is nul",IF(N(J365)&gt;12,"Langer dan 12 uur - controleren",IF(AND(E365="Werken",D365=""),"Werken zonder klant - koppelen","OK"))))))</f>
        <v/>
      </c>
    </row>
    <row r="366" ht="15" customHeight="1" s="42">
      <c r="A366" s="55" t="n"/>
      <c r="B366" s="56">
        <f>IF(A366="","",WEEKNUM(A366,21))</f>
        <v/>
      </c>
      <c r="C366" s="57" t="n"/>
      <c r="D366" s="57" t="n"/>
      <c r="E366" s="58" t="n"/>
      <c r="F366" s="57" t="n"/>
      <c r="G366" s="59" t="n"/>
      <c r="H366" s="59" t="n"/>
      <c r="I366" s="60">
        <f>IF(OR(G366="",H366=""),"",MOD(H366-G366,1))</f>
        <v/>
      </c>
      <c r="J366" s="61">
        <f>IF(OR(G366="",H366=""),"",ROUND(MOD(H366-G366,1)*24,2))</f>
        <v/>
      </c>
      <c r="K366" s="62">
        <f>IF(E366="","",IF(E366="Werken","JA","NEE"))</f>
        <v/>
      </c>
      <c r="L366" s="61">
        <f>IF(K366="JA",N(J366),IF(E366="","",0))</f>
        <v/>
      </c>
      <c r="M366" s="62">
        <f>IF(AND(A366="",E366=""),"",IF(E366="","Segment ontbreekt",IF(OR(G366="",H366=""),"Van/tot ontbreekt",IF(N(J366)=0,"Duur is nul",IF(N(J366)&gt;12,"Langer dan 12 uur - controleren",IF(AND(E366="Werken",D366=""),"Werken zonder klant - koppelen","OK"))))))</f>
        <v/>
      </c>
    </row>
    <row r="367" ht="15" customHeight="1" s="42">
      <c r="A367" s="55" t="n"/>
      <c r="B367" s="56">
        <f>IF(A367="","",WEEKNUM(A367,21))</f>
        <v/>
      </c>
      <c r="C367" s="57" t="n"/>
      <c r="D367" s="57" t="n"/>
      <c r="E367" s="58" t="n"/>
      <c r="F367" s="57" t="n"/>
      <c r="G367" s="59" t="n"/>
      <c r="H367" s="59" t="n"/>
      <c r="I367" s="60">
        <f>IF(OR(G367="",H367=""),"",MOD(H367-G367,1))</f>
        <v/>
      </c>
      <c r="J367" s="61">
        <f>IF(OR(G367="",H367=""),"",ROUND(MOD(H367-G367,1)*24,2))</f>
        <v/>
      </c>
      <c r="K367" s="62">
        <f>IF(E367="","",IF(E367="Werken","JA","NEE"))</f>
        <v/>
      </c>
      <c r="L367" s="61">
        <f>IF(K367="JA",N(J367),IF(E367="","",0))</f>
        <v/>
      </c>
      <c r="M367" s="62">
        <f>IF(AND(A367="",E367=""),"",IF(E367="","Segment ontbreekt",IF(OR(G367="",H367=""),"Van/tot ontbreekt",IF(N(J367)=0,"Duur is nul",IF(N(J367)&gt;12,"Langer dan 12 uur - controleren",IF(AND(E367="Werken",D367=""),"Werken zonder klant - koppelen","OK"))))))</f>
        <v/>
      </c>
    </row>
    <row r="368" ht="15" customHeight="1" s="42">
      <c r="A368" s="55" t="n"/>
      <c r="B368" s="56">
        <f>IF(A368="","",WEEKNUM(A368,21))</f>
        <v/>
      </c>
      <c r="C368" s="57" t="n"/>
      <c r="D368" s="57" t="n"/>
      <c r="E368" s="58" t="n"/>
      <c r="F368" s="57" t="n"/>
      <c r="G368" s="59" t="n"/>
      <c r="H368" s="59" t="n"/>
      <c r="I368" s="60">
        <f>IF(OR(G368="",H368=""),"",MOD(H368-G368,1))</f>
        <v/>
      </c>
      <c r="J368" s="61">
        <f>IF(OR(G368="",H368=""),"",ROUND(MOD(H368-G368,1)*24,2))</f>
        <v/>
      </c>
      <c r="K368" s="62">
        <f>IF(E368="","",IF(E368="Werken","JA","NEE"))</f>
        <v/>
      </c>
      <c r="L368" s="61">
        <f>IF(K368="JA",N(J368),IF(E368="","",0))</f>
        <v/>
      </c>
      <c r="M368" s="62">
        <f>IF(AND(A368="",E368=""),"",IF(E368="","Segment ontbreekt",IF(OR(G368="",H368=""),"Van/tot ontbreekt",IF(N(J368)=0,"Duur is nul",IF(N(J368)&gt;12,"Langer dan 12 uur - controleren",IF(AND(E368="Werken",D368=""),"Werken zonder klant - koppelen","OK"))))))</f>
        <v/>
      </c>
    </row>
    <row r="369" ht="15" customHeight="1" s="42">
      <c r="A369" s="55" t="n"/>
      <c r="B369" s="56">
        <f>IF(A369="","",WEEKNUM(A369,21))</f>
        <v/>
      </c>
      <c r="C369" s="57" t="n"/>
      <c r="D369" s="57" t="n"/>
      <c r="E369" s="58" t="n"/>
      <c r="F369" s="57" t="n"/>
      <c r="G369" s="59" t="n"/>
      <c r="H369" s="59" t="n"/>
      <c r="I369" s="60">
        <f>IF(OR(G369="",H369=""),"",MOD(H369-G369,1))</f>
        <v/>
      </c>
      <c r="J369" s="61">
        <f>IF(OR(G369="",H369=""),"",ROUND(MOD(H369-G369,1)*24,2))</f>
        <v/>
      </c>
      <c r="K369" s="62">
        <f>IF(E369="","",IF(E369="Werken","JA","NEE"))</f>
        <v/>
      </c>
      <c r="L369" s="61">
        <f>IF(K369="JA",N(J369),IF(E369="","",0))</f>
        <v/>
      </c>
      <c r="M369" s="62">
        <f>IF(AND(A369="",E369=""),"",IF(E369="","Segment ontbreekt",IF(OR(G369="",H369=""),"Van/tot ontbreekt",IF(N(J369)=0,"Duur is nul",IF(N(J369)&gt;12,"Langer dan 12 uur - controleren",IF(AND(E369="Werken",D369=""),"Werken zonder klant - koppelen","OK"))))))</f>
        <v/>
      </c>
    </row>
    <row r="370" ht="15" customHeight="1" s="42">
      <c r="A370" s="55" t="n"/>
      <c r="B370" s="56">
        <f>IF(A370="","",WEEKNUM(A370,21))</f>
        <v/>
      </c>
      <c r="C370" s="57" t="n"/>
      <c r="D370" s="57" t="n"/>
      <c r="E370" s="58" t="n"/>
      <c r="F370" s="57" t="n"/>
      <c r="G370" s="59" t="n"/>
      <c r="H370" s="59" t="n"/>
      <c r="I370" s="60">
        <f>IF(OR(G370="",H370=""),"",MOD(H370-G370,1))</f>
        <v/>
      </c>
      <c r="J370" s="61">
        <f>IF(OR(G370="",H370=""),"",ROUND(MOD(H370-G370,1)*24,2))</f>
        <v/>
      </c>
      <c r="K370" s="62">
        <f>IF(E370="","",IF(E370="Werken","JA","NEE"))</f>
        <v/>
      </c>
      <c r="L370" s="61">
        <f>IF(K370="JA",N(J370),IF(E370="","",0))</f>
        <v/>
      </c>
      <c r="M370" s="62">
        <f>IF(AND(A370="",E370=""),"",IF(E370="","Segment ontbreekt",IF(OR(G370="",H370=""),"Van/tot ontbreekt",IF(N(J370)=0,"Duur is nul",IF(N(J370)&gt;12,"Langer dan 12 uur - controleren",IF(AND(E370="Werken",D370=""),"Werken zonder klant - koppelen","OK"))))))</f>
        <v/>
      </c>
    </row>
    <row r="371" ht="15" customHeight="1" s="42">
      <c r="A371" s="55" t="n"/>
      <c r="B371" s="56">
        <f>IF(A371="","",WEEKNUM(A371,21))</f>
        <v/>
      </c>
      <c r="C371" s="57" t="n"/>
      <c r="D371" s="57" t="n"/>
      <c r="E371" s="58" t="n"/>
      <c r="F371" s="57" t="n"/>
      <c r="G371" s="59" t="n"/>
      <c r="H371" s="59" t="n"/>
      <c r="I371" s="60">
        <f>IF(OR(G371="",H371=""),"",MOD(H371-G371,1))</f>
        <v/>
      </c>
      <c r="J371" s="61">
        <f>IF(OR(G371="",H371=""),"",ROUND(MOD(H371-G371,1)*24,2))</f>
        <v/>
      </c>
      <c r="K371" s="62">
        <f>IF(E371="","",IF(E371="Werken","JA","NEE"))</f>
        <v/>
      </c>
      <c r="L371" s="61">
        <f>IF(K371="JA",N(J371),IF(E371="","",0))</f>
        <v/>
      </c>
      <c r="M371" s="62">
        <f>IF(AND(A371="",E371=""),"",IF(E371="","Segment ontbreekt",IF(OR(G371="",H371=""),"Van/tot ontbreekt",IF(N(J371)=0,"Duur is nul",IF(N(J371)&gt;12,"Langer dan 12 uur - controleren",IF(AND(E371="Werken",D371=""),"Werken zonder klant - koppelen","OK"))))))</f>
        <v/>
      </c>
    </row>
    <row r="372" ht="15" customHeight="1" s="42">
      <c r="A372" s="55" t="n"/>
      <c r="B372" s="56">
        <f>IF(A372="","",WEEKNUM(A372,21))</f>
        <v/>
      </c>
      <c r="C372" s="57" t="n"/>
      <c r="D372" s="57" t="n"/>
      <c r="E372" s="58" t="n"/>
      <c r="F372" s="57" t="n"/>
      <c r="G372" s="59" t="n"/>
      <c r="H372" s="59" t="n"/>
      <c r="I372" s="60">
        <f>IF(OR(G372="",H372=""),"",MOD(H372-G372,1))</f>
        <v/>
      </c>
      <c r="J372" s="61">
        <f>IF(OR(G372="",H372=""),"",ROUND(MOD(H372-G372,1)*24,2))</f>
        <v/>
      </c>
      <c r="K372" s="62">
        <f>IF(E372="","",IF(E372="Werken","JA","NEE"))</f>
        <v/>
      </c>
      <c r="L372" s="61">
        <f>IF(K372="JA",N(J372),IF(E372="","",0))</f>
        <v/>
      </c>
      <c r="M372" s="62">
        <f>IF(AND(A372="",E372=""),"",IF(E372="","Segment ontbreekt",IF(OR(G372="",H372=""),"Van/tot ontbreekt",IF(N(J372)=0,"Duur is nul",IF(N(J372)&gt;12,"Langer dan 12 uur - controleren",IF(AND(E372="Werken",D372=""),"Werken zonder klant - koppelen","OK"))))))</f>
        <v/>
      </c>
    </row>
    <row r="373" ht="15" customHeight="1" s="42">
      <c r="A373" s="55" t="n"/>
      <c r="B373" s="56">
        <f>IF(A373="","",WEEKNUM(A373,21))</f>
        <v/>
      </c>
      <c r="C373" s="57" t="n"/>
      <c r="D373" s="57" t="n"/>
      <c r="E373" s="58" t="n"/>
      <c r="F373" s="57" t="n"/>
      <c r="G373" s="59" t="n"/>
      <c r="H373" s="59" t="n"/>
      <c r="I373" s="60">
        <f>IF(OR(G373="",H373=""),"",MOD(H373-G373,1))</f>
        <v/>
      </c>
      <c r="J373" s="61">
        <f>IF(OR(G373="",H373=""),"",ROUND(MOD(H373-G373,1)*24,2))</f>
        <v/>
      </c>
      <c r="K373" s="62">
        <f>IF(E373="","",IF(E373="Werken","JA","NEE"))</f>
        <v/>
      </c>
      <c r="L373" s="61">
        <f>IF(K373="JA",N(J373),IF(E373="","",0))</f>
        <v/>
      </c>
      <c r="M373" s="62">
        <f>IF(AND(A373="",E373=""),"",IF(E373="","Segment ontbreekt",IF(OR(G373="",H373=""),"Van/tot ontbreekt",IF(N(J373)=0,"Duur is nul",IF(N(J373)&gt;12,"Langer dan 12 uur - controleren",IF(AND(E373="Werken",D373=""),"Werken zonder klant - koppelen","OK"))))))</f>
        <v/>
      </c>
    </row>
    <row r="374" ht="15" customHeight="1" s="42">
      <c r="A374" s="55" t="n"/>
      <c r="B374" s="56">
        <f>IF(A374="","",WEEKNUM(A374,21))</f>
        <v/>
      </c>
      <c r="C374" s="57" t="n"/>
      <c r="D374" s="57" t="n"/>
      <c r="E374" s="58" t="n"/>
      <c r="F374" s="57" t="n"/>
      <c r="G374" s="59" t="n"/>
      <c r="H374" s="59" t="n"/>
      <c r="I374" s="60">
        <f>IF(OR(G374="",H374=""),"",MOD(H374-G374,1))</f>
        <v/>
      </c>
      <c r="J374" s="61">
        <f>IF(OR(G374="",H374=""),"",ROUND(MOD(H374-G374,1)*24,2))</f>
        <v/>
      </c>
      <c r="K374" s="62">
        <f>IF(E374="","",IF(E374="Werken","JA","NEE"))</f>
        <v/>
      </c>
      <c r="L374" s="61">
        <f>IF(K374="JA",N(J374),IF(E374="","",0))</f>
        <v/>
      </c>
      <c r="M374" s="62">
        <f>IF(AND(A374="",E374=""),"",IF(E374="","Segment ontbreekt",IF(OR(G374="",H374=""),"Van/tot ontbreekt",IF(N(J374)=0,"Duur is nul",IF(N(J374)&gt;12,"Langer dan 12 uur - controleren",IF(AND(E374="Werken",D374=""),"Werken zonder klant - koppelen","OK"))))))</f>
        <v/>
      </c>
    </row>
    <row r="375" ht="15" customHeight="1" s="42">
      <c r="A375" s="55" t="n"/>
      <c r="B375" s="56">
        <f>IF(A375="","",WEEKNUM(A375,21))</f>
        <v/>
      </c>
      <c r="C375" s="57" t="n"/>
      <c r="D375" s="57" t="n"/>
      <c r="E375" s="58" t="n"/>
      <c r="F375" s="57" t="n"/>
      <c r="G375" s="59" t="n"/>
      <c r="H375" s="59" t="n"/>
      <c r="I375" s="60">
        <f>IF(OR(G375="",H375=""),"",MOD(H375-G375,1))</f>
        <v/>
      </c>
      <c r="J375" s="61">
        <f>IF(OR(G375="",H375=""),"",ROUND(MOD(H375-G375,1)*24,2))</f>
        <v/>
      </c>
      <c r="K375" s="62">
        <f>IF(E375="","",IF(E375="Werken","JA","NEE"))</f>
        <v/>
      </c>
      <c r="L375" s="61">
        <f>IF(K375="JA",N(J375),IF(E375="","",0))</f>
        <v/>
      </c>
      <c r="M375" s="62">
        <f>IF(AND(A375="",E375=""),"",IF(E375="","Segment ontbreekt",IF(OR(G375="",H375=""),"Van/tot ontbreekt",IF(N(J375)=0,"Duur is nul",IF(N(J375)&gt;12,"Langer dan 12 uur - controleren",IF(AND(E375="Werken",D375=""),"Werken zonder klant - koppelen","OK"))))))</f>
        <v/>
      </c>
    </row>
    <row r="376" ht="15" customHeight="1" s="42">
      <c r="A376" s="55" t="n"/>
      <c r="B376" s="56">
        <f>IF(A376="","",WEEKNUM(A376,21))</f>
        <v/>
      </c>
      <c r="C376" s="57" t="n"/>
      <c r="D376" s="57" t="n"/>
      <c r="E376" s="58" t="n"/>
      <c r="F376" s="57" t="n"/>
      <c r="G376" s="59" t="n"/>
      <c r="H376" s="59" t="n"/>
      <c r="I376" s="60">
        <f>IF(OR(G376="",H376=""),"",MOD(H376-G376,1))</f>
        <v/>
      </c>
      <c r="J376" s="61">
        <f>IF(OR(G376="",H376=""),"",ROUND(MOD(H376-G376,1)*24,2))</f>
        <v/>
      </c>
      <c r="K376" s="62">
        <f>IF(E376="","",IF(E376="Werken","JA","NEE"))</f>
        <v/>
      </c>
      <c r="L376" s="61">
        <f>IF(K376="JA",N(J376),IF(E376="","",0))</f>
        <v/>
      </c>
      <c r="M376" s="62">
        <f>IF(AND(A376="",E376=""),"",IF(E376="","Segment ontbreekt",IF(OR(G376="",H376=""),"Van/tot ontbreekt",IF(N(J376)=0,"Duur is nul",IF(N(J376)&gt;12,"Langer dan 12 uur - controleren",IF(AND(E376="Werken",D376=""),"Werken zonder klant - koppelen","OK"))))))</f>
        <v/>
      </c>
    </row>
    <row r="377" ht="15" customHeight="1" s="42">
      <c r="A377" s="55" t="n"/>
      <c r="B377" s="56">
        <f>IF(A377="","",WEEKNUM(A377,21))</f>
        <v/>
      </c>
      <c r="C377" s="57" t="n"/>
      <c r="D377" s="57" t="n"/>
      <c r="E377" s="58" t="n"/>
      <c r="F377" s="57" t="n"/>
      <c r="G377" s="59" t="n"/>
      <c r="H377" s="59" t="n"/>
      <c r="I377" s="60">
        <f>IF(OR(G377="",H377=""),"",MOD(H377-G377,1))</f>
        <v/>
      </c>
      <c r="J377" s="61">
        <f>IF(OR(G377="",H377=""),"",ROUND(MOD(H377-G377,1)*24,2))</f>
        <v/>
      </c>
      <c r="K377" s="62">
        <f>IF(E377="","",IF(E377="Werken","JA","NEE"))</f>
        <v/>
      </c>
      <c r="L377" s="61">
        <f>IF(K377="JA",N(J377),IF(E377="","",0))</f>
        <v/>
      </c>
      <c r="M377" s="62">
        <f>IF(AND(A377="",E377=""),"",IF(E377="","Segment ontbreekt",IF(OR(G377="",H377=""),"Van/tot ontbreekt",IF(N(J377)=0,"Duur is nul",IF(N(J377)&gt;12,"Langer dan 12 uur - controleren",IF(AND(E377="Werken",D377=""),"Werken zonder klant - koppelen","OK"))))))</f>
        <v/>
      </c>
    </row>
    <row r="378" ht="15" customHeight="1" s="42">
      <c r="A378" s="55" t="n"/>
      <c r="B378" s="56">
        <f>IF(A378="","",WEEKNUM(A378,21))</f>
        <v/>
      </c>
      <c r="C378" s="57" t="n"/>
      <c r="D378" s="57" t="n"/>
      <c r="E378" s="58" t="n"/>
      <c r="F378" s="57" t="n"/>
      <c r="G378" s="59" t="n"/>
      <c r="H378" s="59" t="n"/>
      <c r="I378" s="60">
        <f>IF(OR(G378="",H378=""),"",MOD(H378-G378,1))</f>
        <v/>
      </c>
      <c r="J378" s="61">
        <f>IF(OR(G378="",H378=""),"",ROUND(MOD(H378-G378,1)*24,2))</f>
        <v/>
      </c>
      <c r="K378" s="62">
        <f>IF(E378="","",IF(E378="Werken","JA","NEE"))</f>
        <v/>
      </c>
      <c r="L378" s="61">
        <f>IF(K378="JA",N(J378),IF(E378="","",0))</f>
        <v/>
      </c>
      <c r="M378" s="62">
        <f>IF(AND(A378="",E378=""),"",IF(E378="","Segment ontbreekt",IF(OR(G378="",H378=""),"Van/tot ontbreekt",IF(N(J378)=0,"Duur is nul",IF(N(J378)&gt;12,"Langer dan 12 uur - controleren",IF(AND(E378="Werken",D378=""),"Werken zonder klant - koppelen","OK"))))))</f>
        <v/>
      </c>
    </row>
    <row r="379" ht="15" customHeight="1" s="42">
      <c r="A379" s="55" t="n"/>
      <c r="B379" s="56">
        <f>IF(A379="","",WEEKNUM(A379,21))</f>
        <v/>
      </c>
      <c r="C379" s="57" t="n"/>
      <c r="D379" s="57" t="n"/>
      <c r="E379" s="58" t="n"/>
      <c r="F379" s="57" t="n"/>
      <c r="G379" s="59" t="n"/>
      <c r="H379" s="59" t="n"/>
      <c r="I379" s="60">
        <f>IF(OR(G379="",H379=""),"",MOD(H379-G379,1))</f>
        <v/>
      </c>
      <c r="J379" s="61">
        <f>IF(OR(G379="",H379=""),"",ROUND(MOD(H379-G379,1)*24,2))</f>
        <v/>
      </c>
      <c r="K379" s="62">
        <f>IF(E379="","",IF(E379="Werken","JA","NEE"))</f>
        <v/>
      </c>
      <c r="L379" s="61">
        <f>IF(K379="JA",N(J379),IF(E379="","",0))</f>
        <v/>
      </c>
      <c r="M379" s="62">
        <f>IF(AND(A379="",E379=""),"",IF(E379="","Segment ontbreekt",IF(OR(G379="",H379=""),"Van/tot ontbreekt",IF(N(J379)=0,"Duur is nul",IF(N(J379)&gt;12,"Langer dan 12 uur - controleren",IF(AND(E379="Werken",D379=""),"Werken zonder klant - koppelen","OK"))))))</f>
        <v/>
      </c>
    </row>
    <row r="380" ht="15" customHeight="1" s="42">
      <c r="A380" s="55" t="n"/>
      <c r="B380" s="56">
        <f>IF(A380="","",WEEKNUM(A380,21))</f>
        <v/>
      </c>
      <c r="C380" s="57" t="n"/>
      <c r="D380" s="57" t="n"/>
      <c r="E380" s="58" t="n"/>
      <c r="F380" s="57" t="n"/>
      <c r="G380" s="59" t="n"/>
      <c r="H380" s="59" t="n"/>
      <c r="I380" s="60">
        <f>IF(OR(G380="",H380=""),"",MOD(H380-G380,1))</f>
        <v/>
      </c>
      <c r="J380" s="61">
        <f>IF(OR(G380="",H380=""),"",ROUND(MOD(H380-G380,1)*24,2))</f>
        <v/>
      </c>
      <c r="K380" s="62">
        <f>IF(E380="","",IF(E380="Werken","JA","NEE"))</f>
        <v/>
      </c>
      <c r="L380" s="61">
        <f>IF(K380="JA",N(J380),IF(E380="","",0))</f>
        <v/>
      </c>
      <c r="M380" s="62">
        <f>IF(AND(A380="",E380=""),"",IF(E380="","Segment ontbreekt",IF(OR(G380="",H380=""),"Van/tot ontbreekt",IF(N(J380)=0,"Duur is nul",IF(N(J380)&gt;12,"Langer dan 12 uur - controleren",IF(AND(E380="Werken",D380=""),"Werken zonder klant - koppelen","OK"))))))</f>
        <v/>
      </c>
    </row>
    <row r="381" ht="15" customHeight="1" s="42">
      <c r="A381" s="55" t="n"/>
      <c r="B381" s="56">
        <f>IF(A381="","",WEEKNUM(A381,21))</f>
        <v/>
      </c>
      <c r="C381" s="57" t="n"/>
      <c r="D381" s="57" t="n"/>
      <c r="E381" s="58" t="n"/>
      <c r="F381" s="57" t="n"/>
      <c r="G381" s="59" t="n"/>
      <c r="H381" s="59" t="n"/>
      <c r="I381" s="60">
        <f>IF(OR(G381="",H381=""),"",MOD(H381-G381,1))</f>
        <v/>
      </c>
      <c r="J381" s="61">
        <f>IF(OR(G381="",H381=""),"",ROUND(MOD(H381-G381,1)*24,2))</f>
        <v/>
      </c>
      <c r="K381" s="62">
        <f>IF(E381="","",IF(E381="Werken","JA","NEE"))</f>
        <v/>
      </c>
      <c r="L381" s="61">
        <f>IF(K381="JA",N(J381),IF(E381="","",0))</f>
        <v/>
      </c>
      <c r="M381" s="62">
        <f>IF(AND(A381="",E381=""),"",IF(E381="","Segment ontbreekt",IF(OR(G381="",H381=""),"Van/tot ontbreekt",IF(N(J381)=0,"Duur is nul",IF(N(J381)&gt;12,"Langer dan 12 uur - controleren",IF(AND(E381="Werken",D381=""),"Werken zonder klant - koppelen","OK"))))))</f>
        <v/>
      </c>
    </row>
    <row r="382" ht="15" customHeight="1" s="42">
      <c r="A382" s="55" t="n"/>
      <c r="B382" s="56">
        <f>IF(A382="","",WEEKNUM(A382,21))</f>
        <v/>
      </c>
      <c r="C382" s="57" t="n"/>
      <c r="D382" s="57" t="n"/>
      <c r="E382" s="58" t="n"/>
      <c r="F382" s="57" t="n"/>
      <c r="G382" s="59" t="n"/>
      <c r="H382" s="59" t="n"/>
      <c r="I382" s="60">
        <f>IF(OR(G382="",H382=""),"",MOD(H382-G382,1))</f>
        <v/>
      </c>
      <c r="J382" s="61">
        <f>IF(OR(G382="",H382=""),"",ROUND(MOD(H382-G382,1)*24,2))</f>
        <v/>
      </c>
      <c r="K382" s="62">
        <f>IF(E382="","",IF(E382="Werken","JA","NEE"))</f>
        <v/>
      </c>
      <c r="L382" s="61">
        <f>IF(K382="JA",N(J382),IF(E382="","",0))</f>
        <v/>
      </c>
      <c r="M382" s="62">
        <f>IF(AND(A382="",E382=""),"",IF(E382="","Segment ontbreekt",IF(OR(G382="",H382=""),"Van/tot ontbreekt",IF(N(J382)=0,"Duur is nul",IF(N(J382)&gt;12,"Langer dan 12 uur - controleren",IF(AND(E382="Werken",D382=""),"Werken zonder klant - koppelen","OK"))))))</f>
        <v/>
      </c>
    </row>
    <row r="383" ht="15" customHeight="1" s="42">
      <c r="A383" s="55" t="n"/>
      <c r="B383" s="56">
        <f>IF(A383="","",WEEKNUM(A383,21))</f>
        <v/>
      </c>
      <c r="C383" s="57" t="n"/>
      <c r="D383" s="57" t="n"/>
      <c r="E383" s="58" t="n"/>
      <c r="F383" s="57" t="n"/>
      <c r="G383" s="59" t="n"/>
      <c r="H383" s="59" t="n"/>
      <c r="I383" s="60">
        <f>IF(OR(G383="",H383=""),"",MOD(H383-G383,1))</f>
        <v/>
      </c>
      <c r="J383" s="61">
        <f>IF(OR(G383="",H383=""),"",ROUND(MOD(H383-G383,1)*24,2))</f>
        <v/>
      </c>
      <c r="K383" s="62">
        <f>IF(E383="","",IF(E383="Werken","JA","NEE"))</f>
        <v/>
      </c>
      <c r="L383" s="61">
        <f>IF(K383="JA",N(J383),IF(E383="","",0))</f>
        <v/>
      </c>
      <c r="M383" s="62">
        <f>IF(AND(A383="",E383=""),"",IF(E383="","Segment ontbreekt",IF(OR(G383="",H383=""),"Van/tot ontbreekt",IF(N(J383)=0,"Duur is nul",IF(N(J383)&gt;12,"Langer dan 12 uur - controleren",IF(AND(E383="Werken",D383=""),"Werken zonder klant - koppelen","OK"))))))</f>
        <v/>
      </c>
    </row>
    <row r="384" ht="15" customHeight="1" s="42">
      <c r="A384" s="55" t="n"/>
      <c r="B384" s="56">
        <f>IF(A384="","",WEEKNUM(A384,21))</f>
        <v/>
      </c>
      <c r="C384" s="57" t="n"/>
      <c r="D384" s="57" t="n"/>
      <c r="E384" s="58" t="n"/>
      <c r="F384" s="57" t="n"/>
      <c r="G384" s="59" t="n"/>
      <c r="H384" s="59" t="n"/>
      <c r="I384" s="60">
        <f>IF(OR(G384="",H384=""),"",MOD(H384-G384,1))</f>
        <v/>
      </c>
      <c r="J384" s="61">
        <f>IF(OR(G384="",H384=""),"",ROUND(MOD(H384-G384,1)*24,2))</f>
        <v/>
      </c>
      <c r="K384" s="62">
        <f>IF(E384="","",IF(E384="Werken","JA","NEE"))</f>
        <v/>
      </c>
      <c r="L384" s="61">
        <f>IF(K384="JA",N(J384),IF(E384="","",0))</f>
        <v/>
      </c>
      <c r="M384" s="62">
        <f>IF(AND(A384="",E384=""),"",IF(E384="","Segment ontbreekt",IF(OR(G384="",H384=""),"Van/tot ontbreekt",IF(N(J384)=0,"Duur is nul",IF(N(J384)&gt;12,"Langer dan 12 uur - controleren",IF(AND(E384="Werken",D384=""),"Werken zonder klant - koppelen","OK"))))))</f>
        <v/>
      </c>
    </row>
    <row r="385" ht="15" customHeight="1" s="42">
      <c r="A385" s="55" t="n"/>
      <c r="B385" s="56">
        <f>IF(A385="","",WEEKNUM(A385,21))</f>
        <v/>
      </c>
      <c r="C385" s="57" t="n"/>
      <c r="D385" s="57" t="n"/>
      <c r="E385" s="58" t="n"/>
      <c r="F385" s="57" t="n"/>
      <c r="G385" s="59" t="n"/>
      <c r="H385" s="59" t="n"/>
      <c r="I385" s="60">
        <f>IF(OR(G385="",H385=""),"",MOD(H385-G385,1))</f>
        <v/>
      </c>
      <c r="J385" s="61">
        <f>IF(OR(G385="",H385=""),"",ROUND(MOD(H385-G385,1)*24,2))</f>
        <v/>
      </c>
      <c r="K385" s="62">
        <f>IF(E385="","",IF(E385="Werken","JA","NEE"))</f>
        <v/>
      </c>
      <c r="L385" s="61">
        <f>IF(K385="JA",N(J385),IF(E385="","",0))</f>
        <v/>
      </c>
      <c r="M385" s="62">
        <f>IF(AND(A385="",E385=""),"",IF(E385="","Segment ontbreekt",IF(OR(G385="",H385=""),"Van/tot ontbreekt",IF(N(J385)=0,"Duur is nul",IF(N(J385)&gt;12,"Langer dan 12 uur - controleren",IF(AND(E385="Werken",D385=""),"Werken zonder klant - koppelen","OK"))))))</f>
        <v/>
      </c>
    </row>
    <row r="386" ht="15" customHeight="1" s="42">
      <c r="A386" s="55" t="n"/>
      <c r="B386" s="56">
        <f>IF(A386="","",WEEKNUM(A386,21))</f>
        <v/>
      </c>
      <c r="C386" s="57" t="n"/>
      <c r="D386" s="57" t="n"/>
      <c r="E386" s="58" t="n"/>
      <c r="F386" s="57" t="n"/>
      <c r="G386" s="59" t="n"/>
      <c r="H386" s="59" t="n"/>
      <c r="I386" s="60">
        <f>IF(OR(G386="",H386=""),"",MOD(H386-G386,1))</f>
        <v/>
      </c>
      <c r="J386" s="61">
        <f>IF(OR(G386="",H386=""),"",ROUND(MOD(H386-G386,1)*24,2))</f>
        <v/>
      </c>
      <c r="K386" s="62">
        <f>IF(E386="","",IF(E386="Werken","JA","NEE"))</f>
        <v/>
      </c>
      <c r="L386" s="61">
        <f>IF(K386="JA",N(J386),IF(E386="","",0))</f>
        <v/>
      </c>
      <c r="M386" s="62">
        <f>IF(AND(A386="",E386=""),"",IF(E386="","Segment ontbreekt",IF(OR(G386="",H386=""),"Van/tot ontbreekt",IF(N(J386)=0,"Duur is nul",IF(N(J386)&gt;12,"Langer dan 12 uur - controleren",IF(AND(E386="Werken",D386=""),"Werken zonder klant - koppelen","OK"))))))</f>
        <v/>
      </c>
    </row>
    <row r="387" ht="15" customHeight="1" s="42">
      <c r="A387" s="55" t="n"/>
      <c r="B387" s="56">
        <f>IF(A387="","",WEEKNUM(A387,21))</f>
        <v/>
      </c>
      <c r="C387" s="57" t="n"/>
      <c r="D387" s="57" t="n"/>
      <c r="E387" s="58" t="n"/>
      <c r="F387" s="57" t="n"/>
      <c r="G387" s="59" t="n"/>
      <c r="H387" s="59" t="n"/>
      <c r="I387" s="60">
        <f>IF(OR(G387="",H387=""),"",MOD(H387-G387,1))</f>
        <v/>
      </c>
      <c r="J387" s="61">
        <f>IF(OR(G387="",H387=""),"",ROUND(MOD(H387-G387,1)*24,2))</f>
        <v/>
      </c>
      <c r="K387" s="62">
        <f>IF(E387="","",IF(E387="Werken","JA","NEE"))</f>
        <v/>
      </c>
      <c r="L387" s="61">
        <f>IF(K387="JA",N(J387),IF(E387="","",0))</f>
        <v/>
      </c>
      <c r="M387" s="62">
        <f>IF(AND(A387="",E387=""),"",IF(E387="","Segment ontbreekt",IF(OR(G387="",H387=""),"Van/tot ontbreekt",IF(N(J387)=0,"Duur is nul",IF(N(J387)&gt;12,"Langer dan 12 uur - controleren",IF(AND(E387="Werken",D387=""),"Werken zonder klant - koppelen","OK"))))))</f>
        <v/>
      </c>
    </row>
    <row r="388" ht="15" customHeight="1" s="42">
      <c r="A388" s="55" t="n"/>
      <c r="B388" s="56">
        <f>IF(A388="","",WEEKNUM(A388,21))</f>
        <v/>
      </c>
      <c r="C388" s="57" t="n"/>
      <c r="D388" s="57" t="n"/>
      <c r="E388" s="58" t="n"/>
      <c r="F388" s="57" t="n"/>
      <c r="G388" s="59" t="n"/>
      <c r="H388" s="59" t="n"/>
      <c r="I388" s="60">
        <f>IF(OR(G388="",H388=""),"",MOD(H388-G388,1))</f>
        <v/>
      </c>
      <c r="J388" s="61">
        <f>IF(OR(G388="",H388=""),"",ROUND(MOD(H388-G388,1)*24,2))</f>
        <v/>
      </c>
      <c r="K388" s="62">
        <f>IF(E388="","",IF(E388="Werken","JA","NEE"))</f>
        <v/>
      </c>
      <c r="L388" s="61">
        <f>IF(K388="JA",N(J388),IF(E388="","",0))</f>
        <v/>
      </c>
      <c r="M388" s="62">
        <f>IF(AND(A388="",E388=""),"",IF(E388="","Segment ontbreekt",IF(OR(G388="",H388=""),"Van/tot ontbreekt",IF(N(J388)=0,"Duur is nul",IF(N(J388)&gt;12,"Langer dan 12 uur - controleren",IF(AND(E388="Werken",D388=""),"Werken zonder klant - koppelen","OK"))))))</f>
        <v/>
      </c>
    </row>
    <row r="389" ht="15" customHeight="1" s="42">
      <c r="A389" s="55" t="n"/>
      <c r="B389" s="56">
        <f>IF(A389="","",WEEKNUM(A389,21))</f>
        <v/>
      </c>
      <c r="C389" s="57" t="n"/>
      <c r="D389" s="57" t="n"/>
      <c r="E389" s="58" t="n"/>
      <c r="F389" s="57" t="n"/>
      <c r="G389" s="59" t="n"/>
      <c r="H389" s="59" t="n"/>
      <c r="I389" s="60">
        <f>IF(OR(G389="",H389=""),"",MOD(H389-G389,1))</f>
        <v/>
      </c>
      <c r="J389" s="61">
        <f>IF(OR(G389="",H389=""),"",ROUND(MOD(H389-G389,1)*24,2))</f>
        <v/>
      </c>
      <c r="K389" s="62">
        <f>IF(E389="","",IF(E389="Werken","JA","NEE"))</f>
        <v/>
      </c>
      <c r="L389" s="61">
        <f>IF(K389="JA",N(J389),IF(E389="","",0))</f>
        <v/>
      </c>
      <c r="M389" s="62">
        <f>IF(AND(A389="",E389=""),"",IF(E389="","Segment ontbreekt",IF(OR(G389="",H389=""),"Van/tot ontbreekt",IF(N(J389)=0,"Duur is nul",IF(N(J389)&gt;12,"Langer dan 12 uur - controleren",IF(AND(E389="Werken",D389=""),"Werken zonder klant - koppelen","OK"))))))</f>
        <v/>
      </c>
    </row>
    <row r="390" ht="15" customHeight="1" s="42">
      <c r="A390" s="55" t="n"/>
      <c r="B390" s="56">
        <f>IF(A390="","",WEEKNUM(A390,21))</f>
        <v/>
      </c>
      <c r="C390" s="57" t="n"/>
      <c r="D390" s="57" t="n"/>
      <c r="E390" s="58" t="n"/>
      <c r="F390" s="57" t="n"/>
      <c r="G390" s="59" t="n"/>
      <c r="H390" s="59" t="n"/>
      <c r="I390" s="60">
        <f>IF(OR(G390="",H390=""),"",MOD(H390-G390,1))</f>
        <v/>
      </c>
      <c r="J390" s="61">
        <f>IF(OR(G390="",H390=""),"",ROUND(MOD(H390-G390,1)*24,2))</f>
        <v/>
      </c>
      <c r="K390" s="62">
        <f>IF(E390="","",IF(E390="Werken","JA","NEE"))</f>
        <v/>
      </c>
      <c r="L390" s="61">
        <f>IF(K390="JA",N(J390),IF(E390="","",0))</f>
        <v/>
      </c>
      <c r="M390" s="62">
        <f>IF(AND(A390="",E390=""),"",IF(E390="","Segment ontbreekt",IF(OR(G390="",H390=""),"Van/tot ontbreekt",IF(N(J390)=0,"Duur is nul",IF(N(J390)&gt;12,"Langer dan 12 uur - controleren",IF(AND(E390="Werken",D390=""),"Werken zonder klant - koppelen","OK"))))))</f>
        <v/>
      </c>
    </row>
    <row r="391" ht="15" customHeight="1" s="42">
      <c r="A391" s="55" t="n"/>
      <c r="B391" s="56">
        <f>IF(A391="","",WEEKNUM(A391,21))</f>
        <v/>
      </c>
      <c r="C391" s="57" t="n"/>
      <c r="D391" s="57" t="n"/>
      <c r="E391" s="58" t="n"/>
      <c r="F391" s="57" t="n"/>
      <c r="G391" s="59" t="n"/>
      <c r="H391" s="59" t="n"/>
      <c r="I391" s="60">
        <f>IF(OR(G391="",H391=""),"",MOD(H391-G391,1))</f>
        <v/>
      </c>
      <c r="J391" s="61">
        <f>IF(OR(G391="",H391=""),"",ROUND(MOD(H391-G391,1)*24,2))</f>
        <v/>
      </c>
      <c r="K391" s="62">
        <f>IF(E391="","",IF(E391="Werken","JA","NEE"))</f>
        <v/>
      </c>
      <c r="L391" s="61">
        <f>IF(K391="JA",N(J391),IF(E391="","",0))</f>
        <v/>
      </c>
      <c r="M391" s="62">
        <f>IF(AND(A391="",E391=""),"",IF(E391="","Segment ontbreekt",IF(OR(G391="",H391=""),"Van/tot ontbreekt",IF(N(J391)=0,"Duur is nul",IF(N(J391)&gt;12,"Langer dan 12 uur - controleren",IF(AND(E391="Werken",D391=""),"Werken zonder klant - koppelen","OK"))))))</f>
        <v/>
      </c>
    </row>
    <row r="392" ht="15" customHeight="1" s="42">
      <c r="A392" s="55" t="n"/>
      <c r="B392" s="56">
        <f>IF(A392="","",WEEKNUM(A392,21))</f>
        <v/>
      </c>
      <c r="C392" s="57" t="n"/>
      <c r="D392" s="57" t="n"/>
      <c r="E392" s="58" t="n"/>
      <c r="F392" s="57" t="n"/>
      <c r="G392" s="59" t="n"/>
      <c r="H392" s="59" t="n"/>
      <c r="I392" s="60">
        <f>IF(OR(G392="",H392=""),"",MOD(H392-G392,1))</f>
        <v/>
      </c>
      <c r="J392" s="61">
        <f>IF(OR(G392="",H392=""),"",ROUND(MOD(H392-G392,1)*24,2))</f>
        <v/>
      </c>
      <c r="K392" s="62">
        <f>IF(E392="","",IF(E392="Werken","JA","NEE"))</f>
        <v/>
      </c>
      <c r="L392" s="61">
        <f>IF(K392="JA",N(J392),IF(E392="","",0))</f>
        <v/>
      </c>
      <c r="M392" s="62">
        <f>IF(AND(A392="",E392=""),"",IF(E392="","Segment ontbreekt",IF(OR(G392="",H392=""),"Van/tot ontbreekt",IF(N(J392)=0,"Duur is nul",IF(N(J392)&gt;12,"Langer dan 12 uur - controleren",IF(AND(E392="Werken",D392=""),"Werken zonder klant - koppelen","OK"))))))</f>
        <v/>
      </c>
    </row>
    <row r="393" ht="15" customHeight="1" s="42">
      <c r="A393" s="55" t="n"/>
      <c r="B393" s="56">
        <f>IF(A393="","",WEEKNUM(A393,21))</f>
        <v/>
      </c>
      <c r="C393" s="57" t="n"/>
      <c r="D393" s="57" t="n"/>
      <c r="E393" s="58" t="n"/>
      <c r="F393" s="57" t="n"/>
      <c r="G393" s="59" t="n"/>
      <c r="H393" s="59" t="n"/>
      <c r="I393" s="60">
        <f>IF(OR(G393="",H393=""),"",MOD(H393-G393,1))</f>
        <v/>
      </c>
      <c r="J393" s="61">
        <f>IF(OR(G393="",H393=""),"",ROUND(MOD(H393-G393,1)*24,2))</f>
        <v/>
      </c>
      <c r="K393" s="62">
        <f>IF(E393="","",IF(E393="Werken","JA","NEE"))</f>
        <v/>
      </c>
      <c r="L393" s="61">
        <f>IF(K393="JA",N(J393),IF(E393="","",0))</f>
        <v/>
      </c>
      <c r="M393" s="62">
        <f>IF(AND(A393="",E393=""),"",IF(E393="","Segment ontbreekt",IF(OR(G393="",H393=""),"Van/tot ontbreekt",IF(N(J393)=0,"Duur is nul",IF(N(J393)&gt;12,"Langer dan 12 uur - controleren",IF(AND(E393="Werken",D393=""),"Werken zonder klant - koppelen","OK"))))))</f>
        <v/>
      </c>
    </row>
    <row r="394" ht="15" customHeight="1" s="42">
      <c r="A394" s="55" t="n"/>
      <c r="B394" s="56">
        <f>IF(A394="","",WEEKNUM(A394,21))</f>
        <v/>
      </c>
      <c r="C394" s="57" t="n"/>
      <c r="D394" s="57" t="n"/>
      <c r="E394" s="58" t="n"/>
      <c r="F394" s="57" t="n"/>
      <c r="G394" s="59" t="n"/>
      <c r="H394" s="59" t="n"/>
      <c r="I394" s="60">
        <f>IF(OR(G394="",H394=""),"",MOD(H394-G394,1))</f>
        <v/>
      </c>
      <c r="J394" s="61">
        <f>IF(OR(G394="",H394=""),"",ROUND(MOD(H394-G394,1)*24,2))</f>
        <v/>
      </c>
      <c r="K394" s="62">
        <f>IF(E394="","",IF(E394="Werken","JA","NEE"))</f>
        <v/>
      </c>
      <c r="L394" s="61">
        <f>IF(K394="JA",N(J394),IF(E394="","",0))</f>
        <v/>
      </c>
      <c r="M394" s="62">
        <f>IF(AND(A394="",E394=""),"",IF(E394="","Segment ontbreekt",IF(OR(G394="",H394=""),"Van/tot ontbreekt",IF(N(J394)=0,"Duur is nul",IF(N(J394)&gt;12,"Langer dan 12 uur - controleren",IF(AND(E394="Werken",D394=""),"Werken zonder klant - koppelen","OK"))))))</f>
        <v/>
      </c>
    </row>
    <row r="395" ht="15" customHeight="1" s="42">
      <c r="A395" s="55" t="n"/>
      <c r="B395" s="56">
        <f>IF(A395="","",WEEKNUM(A395,21))</f>
        <v/>
      </c>
      <c r="C395" s="57" t="n"/>
      <c r="D395" s="57" t="n"/>
      <c r="E395" s="58" t="n"/>
      <c r="F395" s="57" t="n"/>
      <c r="G395" s="59" t="n"/>
      <c r="H395" s="59" t="n"/>
      <c r="I395" s="60">
        <f>IF(OR(G395="",H395=""),"",MOD(H395-G395,1))</f>
        <v/>
      </c>
      <c r="J395" s="61">
        <f>IF(OR(G395="",H395=""),"",ROUND(MOD(H395-G395,1)*24,2))</f>
        <v/>
      </c>
      <c r="K395" s="62">
        <f>IF(E395="","",IF(E395="Werken","JA","NEE"))</f>
        <v/>
      </c>
      <c r="L395" s="61">
        <f>IF(K395="JA",N(J395),IF(E395="","",0))</f>
        <v/>
      </c>
      <c r="M395" s="62">
        <f>IF(AND(A395="",E395=""),"",IF(E395="","Segment ontbreekt",IF(OR(G395="",H395=""),"Van/tot ontbreekt",IF(N(J395)=0,"Duur is nul",IF(N(J395)&gt;12,"Langer dan 12 uur - controleren",IF(AND(E395="Werken",D395=""),"Werken zonder klant - koppelen","OK"))))))</f>
        <v/>
      </c>
    </row>
    <row r="396" ht="15" customHeight="1" s="42">
      <c r="A396" s="55" t="n"/>
      <c r="B396" s="56">
        <f>IF(A396="","",WEEKNUM(A396,21))</f>
        <v/>
      </c>
      <c r="C396" s="57" t="n"/>
      <c r="D396" s="57" t="n"/>
      <c r="E396" s="58" t="n"/>
      <c r="F396" s="57" t="n"/>
      <c r="G396" s="59" t="n"/>
      <c r="H396" s="59" t="n"/>
      <c r="I396" s="60">
        <f>IF(OR(G396="",H396=""),"",MOD(H396-G396,1))</f>
        <v/>
      </c>
      <c r="J396" s="61">
        <f>IF(OR(G396="",H396=""),"",ROUND(MOD(H396-G396,1)*24,2))</f>
        <v/>
      </c>
      <c r="K396" s="62">
        <f>IF(E396="","",IF(E396="Werken","JA","NEE"))</f>
        <v/>
      </c>
      <c r="L396" s="61">
        <f>IF(K396="JA",N(J396),IF(E396="","",0))</f>
        <v/>
      </c>
      <c r="M396" s="62">
        <f>IF(AND(A396="",E396=""),"",IF(E396="","Segment ontbreekt",IF(OR(G396="",H396=""),"Van/tot ontbreekt",IF(N(J396)=0,"Duur is nul",IF(N(J396)&gt;12,"Langer dan 12 uur - controleren",IF(AND(E396="Werken",D396=""),"Werken zonder klant - koppelen","OK"))))))</f>
        <v/>
      </c>
    </row>
    <row r="397" ht="15" customHeight="1" s="42">
      <c r="A397" s="55" t="n"/>
      <c r="B397" s="56">
        <f>IF(A397="","",WEEKNUM(A397,21))</f>
        <v/>
      </c>
      <c r="C397" s="57" t="n"/>
      <c r="D397" s="57" t="n"/>
      <c r="E397" s="58" t="n"/>
      <c r="F397" s="57" t="n"/>
      <c r="G397" s="59" t="n"/>
      <c r="H397" s="59" t="n"/>
      <c r="I397" s="60">
        <f>IF(OR(G397="",H397=""),"",MOD(H397-G397,1))</f>
        <v/>
      </c>
      <c r="J397" s="61">
        <f>IF(OR(G397="",H397=""),"",ROUND(MOD(H397-G397,1)*24,2))</f>
        <v/>
      </c>
      <c r="K397" s="62">
        <f>IF(E397="","",IF(E397="Werken","JA","NEE"))</f>
        <v/>
      </c>
      <c r="L397" s="61">
        <f>IF(K397="JA",N(J397),IF(E397="","",0))</f>
        <v/>
      </c>
      <c r="M397" s="62">
        <f>IF(AND(A397="",E397=""),"",IF(E397="","Segment ontbreekt",IF(OR(G397="",H397=""),"Van/tot ontbreekt",IF(N(J397)=0,"Duur is nul",IF(N(J397)&gt;12,"Langer dan 12 uur - controleren",IF(AND(E397="Werken",D397=""),"Werken zonder klant - koppelen","OK"))))))</f>
        <v/>
      </c>
    </row>
    <row r="398" ht="15" customHeight="1" s="42">
      <c r="A398" s="55" t="n"/>
      <c r="B398" s="56">
        <f>IF(A398="","",WEEKNUM(A398,21))</f>
        <v/>
      </c>
      <c r="C398" s="57" t="n"/>
      <c r="D398" s="57" t="n"/>
      <c r="E398" s="58" t="n"/>
      <c r="F398" s="57" t="n"/>
      <c r="G398" s="59" t="n"/>
      <c r="H398" s="59" t="n"/>
      <c r="I398" s="60">
        <f>IF(OR(G398="",H398=""),"",MOD(H398-G398,1))</f>
        <v/>
      </c>
      <c r="J398" s="61">
        <f>IF(OR(G398="",H398=""),"",ROUND(MOD(H398-G398,1)*24,2))</f>
        <v/>
      </c>
      <c r="K398" s="62">
        <f>IF(E398="","",IF(E398="Werken","JA","NEE"))</f>
        <v/>
      </c>
      <c r="L398" s="61">
        <f>IF(K398="JA",N(J398),IF(E398="","",0))</f>
        <v/>
      </c>
      <c r="M398" s="62">
        <f>IF(AND(A398="",E398=""),"",IF(E398="","Segment ontbreekt",IF(OR(G398="",H398=""),"Van/tot ontbreekt",IF(N(J398)=0,"Duur is nul",IF(N(J398)&gt;12,"Langer dan 12 uur - controleren",IF(AND(E398="Werken",D398=""),"Werken zonder klant - koppelen","OK"))))))</f>
        <v/>
      </c>
    </row>
    <row r="399" ht="15" customHeight="1" s="42">
      <c r="A399" s="55" t="n"/>
      <c r="B399" s="56">
        <f>IF(A399="","",WEEKNUM(A399,21))</f>
        <v/>
      </c>
      <c r="C399" s="57" t="n"/>
      <c r="D399" s="57" t="n"/>
      <c r="E399" s="58" t="n"/>
      <c r="F399" s="57" t="n"/>
      <c r="G399" s="59" t="n"/>
      <c r="H399" s="59" t="n"/>
      <c r="I399" s="60">
        <f>IF(OR(G399="",H399=""),"",MOD(H399-G399,1))</f>
        <v/>
      </c>
      <c r="J399" s="61">
        <f>IF(OR(G399="",H399=""),"",ROUND(MOD(H399-G399,1)*24,2))</f>
        <v/>
      </c>
      <c r="K399" s="62">
        <f>IF(E399="","",IF(E399="Werken","JA","NEE"))</f>
        <v/>
      </c>
      <c r="L399" s="61">
        <f>IF(K399="JA",N(J399),IF(E399="","",0))</f>
        <v/>
      </c>
      <c r="M399" s="62">
        <f>IF(AND(A399="",E399=""),"",IF(E399="","Segment ontbreekt",IF(OR(G399="",H399=""),"Van/tot ontbreekt",IF(N(J399)=0,"Duur is nul",IF(N(J399)&gt;12,"Langer dan 12 uur - controleren",IF(AND(E399="Werken",D399=""),"Werken zonder klant - koppelen","OK"))))))</f>
        <v/>
      </c>
    </row>
    <row r="400" ht="15" customHeight="1" s="42">
      <c r="A400" s="55" t="n"/>
      <c r="B400" s="56">
        <f>IF(A400="","",WEEKNUM(A400,21))</f>
        <v/>
      </c>
      <c r="C400" s="57" t="n"/>
      <c r="D400" s="57" t="n"/>
      <c r="E400" s="58" t="n"/>
      <c r="F400" s="57" t="n"/>
      <c r="G400" s="59" t="n"/>
      <c r="H400" s="59" t="n"/>
      <c r="I400" s="60">
        <f>IF(OR(G400="",H400=""),"",MOD(H400-G400,1))</f>
        <v/>
      </c>
      <c r="J400" s="61">
        <f>IF(OR(G400="",H400=""),"",ROUND(MOD(H400-G400,1)*24,2))</f>
        <v/>
      </c>
      <c r="K400" s="62">
        <f>IF(E400="","",IF(E400="Werken","JA","NEE"))</f>
        <v/>
      </c>
      <c r="L400" s="61">
        <f>IF(K400="JA",N(J400),IF(E400="","",0))</f>
        <v/>
      </c>
      <c r="M400" s="62">
        <f>IF(AND(A400="",E400=""),"",IF(E400="","Segment ontbreekt",IF(OR(G400="",H400=""),"Van/tot ontbreekt",IF(N(J400)=0,"Duur is nul",IF(N(J400)&gt;12,"Langer dan 12 uur - controleren",IF(AND(E400="Werken",D400=""),"Werken zonder klant - koppelen","OK"))))))</f>
        <v/>
      </c>
    </row>
    <row r="401" ht="15" customHeight="1" s="42">
      <c r="A401" s="55" t="n"/>
      <c r="B401" s="56">
        <f>IF(A401="","",WEEKNUM(A401,21))</f>
        <v/>
      </c>
      <c r="C401" s="57" t="n"/>
      <c r="D401" s="57" t="n"/>
      <c r="E401" s="58" t="n"/>
      <c r="F401" s="57" t="n"/>
      <c r="G401" s="59" t="n"/>
      <c r="H401" s="59" t="n"/>
      <c r="I401" s="60">
        <f>IF(OR(G401="",H401=""),"",MOD(H401-G401,1))</f>
        <v/>
      </c>
      <c r="J401" s="61">
        <f>IF(OR(G401="",H401=""),"",ROUND(MOD(H401-G401,1)*24,2))</f>
        <v/>
      </c>
      <c r="K401" s="62">
        <f>IF(E401="","",IF(E401="Werken","JA","NEE"))</f>
        <v/>
      </c>
      <c r="L401" s="61">
        <f>IF(K401="JA",N(J401),IF(E401="","",0))</f>
        <v/>
      </c>
      <c r="M401" s="62">
        <f>IF(AND(A401="",E401=""),"",IF(E401="","Segment ontbreekt",IF(OR(G401="",H401=""),"Van/tot ontbreekt",IF(N(J401)=0,"Duur is nul",IF(N(J401)&gt;12,"Langer dan 12 uur - controleren",IF(AND(E401="Werken",D401=""),"Werken zonder klant - koppelen","OK"))))))</f>
        <v/>
      </c>
    </row>
    <row r="402" ht="15" customHeight="1" s="42">
      <c r="A402" s="55" t="n"/>
      <c r="B402" s="56">
        <f>IF(A402="","",WEEKNUM(A402,21))</f>
        <v/>
      </c>
      <c r="C402" s="57" t="n"/>
      <c r="D402" s="57" t="n"/>
      <c r="E402" s="58" t="n"/>
      <c r="F402" s="57" t="n"/>
      <c r="G402" s="59" t="n"/>
      <c r="H402" s="59" t="n"/>
      <c r="I402" s="60">
        <f>IF(OR(G402="",H402=""),"",MOD(H402-G402,1))</f>
        <v/>
      </c>
      <c r="J402" s="61">
        <f>IF(OR(G402="",H402=""),"",ROUND(MOD(H402-G402,1)*24,2))</f>
        <v/>
      </c>
      <c r="K402" s="62">
        <f>IF(E402="","",IF(E402="Werken","JA","NEE"))</f>
        <v/>
      </c>
      <c r="L402" s="61">
        <f>IF(K402="JA",N(J402),IF(E402="","",0))</f>
        <v/>
      </c>
      <c r="M402" s="62">
        <f>IF(AND(A402="",E402=""),"",IF(E402="","Segment ontbreekt",IF(OR(G402="",H402=""),"Van/tot ontbreekt",IF(N(J402)=0,"Duur is nul",IF(N(J402)&gt;12,"Langer dan 12 uur - controleren",IF(AND(E402="Werken",D402=""),"Werken zonder klant - koppelen","OK"))))))</f>
        <v/>
      </c>
    </row>
    <row r="403" ht="15" customHeight="1" s="42">
      <c r="A403" s="55" t="n"/>
      <c r="B403" s="56">
        <f>IF(A403="","",WEEKNUM(A403,21))</f>
        <v/>
      </c>
      <c r="C403" s="57" t="n"/>
      <c r="D403" s="57" t="n"/>
      <c r="E403" s="58" t="n"/>
      <c r="F403" s="57" t="n"/>
      <c r="G403" s="59" t="n"/>
      <c r="H403" s="59" t="n"/>
      <c r="I403" s="60">
        <f>IF(OR(G403="",H403=""),"",MOD(H403-G403,1))</f>
        <v/>
      </c>
      <c r="J403" s="61">
        <f>IF(OR(G403="",H403=""),"",ROUND(MOD(H403-G403,1)*24,2))</f>
        <v/>
      </c>
      <c r="K403" s="62">
        <f>IF(E403="","",IF(E403="Werken","JA","NEE"))</f>
        <v/>
      </c>
      <c r="L403" s="61">
        <f>IF(K403="JA",N(J403),IF(E403="","",0))</f>
        <v/>
      </c>
      <c r="M403" s="62">
        <f>IF(AND(A403="",E403=""),"",IF(E403="","Segment ontbreekt",IF(OR(G403="",H403=""),"Van/tot ontbreekt",IF(N(J403)=0,"Duur is nul",IF(N(J403)&gt;12,"Langer dan 12 uur - controleren",IF(AND(E403="Werken",D403=""),"Werken zonder klant - koppelen","OK"))))))</f>
        <v/>
      </c>
    </row>
    <row r="404" ht="15" customHeight="1" s="42">
      <c r="A404" s="55" t="n"/>
      <c r="B404" s="56">
        <f>IF(A404="","",WEEKNUM(A404,21))</f>
        <v/>
      </c>
      <c r="C404" s="57" t="n"/>
      <c r="D404" s="57" t="n"/>
      <c r="E404" s="58" t="n"/>
      <c r="F404" s="57" t="n"/>
      <c r="G404" s="59" t="n"/>
      <c r="H404" s="59" t="n"/>
      <c r="I404" s="60">
        <f>IF(OR(G404="",H404=""),"",MOD(H404-G404,1))</f>
        <v/>
      </c>
      <c r="J404" s="61">
        <f>IF(OR(G404="",H404=""),"",ROUND(MOD(H404-G404,1)*24,2))</f>
        <v/>
      </c>
      <c r="K404" s="62">
        <f>IF(E404="","",IF(E404="Werken","JA","NEE"))</f>
        <v/>
      </c>
      <c r="L404" s="61">
        <f>IF(K404="JA",N(J404),IF(E404="","",0))</f>
        <v/>
      </c>
      <c r="M404" s="62">
        <f>IF(AND(A404="",E404=""),"",IF(E404="","Segment ontbreekt",IF(OR(G404="",H404=""),"Van/tot ontbreekt",IF(N(J404)=0,"Duur is nul",IF(N(J404)&gt;12,"Langer dan 12 uur - controleren",IF(AND(E404="Werken",D404=""),"Werken zonder klant - koppelen","OK"))))))</f>
        <v/>
      </c>
    </row>
    <row r="405" ht="15" customHeight="1" s="42">
      <c r="A405" s="55" t="n"/>
      <c r="B405" s="56">
        <f>IF(A405="","",WEEKNUM(A405,21))</f>
        <v/>
      </c>
      <c r="C405" s="57" t="n"/>
      <c r="D405" s="57" t="n"/>
      <c r="E405" s="58" t="n"/>
      <c r="F405" s="57" t="n"/>
      <c r="G405" s="59" t="n"/>
      <c r="H405" s="59" t="n"/>
      <c r="I405" s="60">
        <f>IF(OR(G405="",H405=""),"",MOD(H405-G405,1))</f>
        <v/>
      </c>
      <c r="J405" s="61">
        <f>IF(OR(G405="",H405=""),"",ROUND(MOD(H405-G405,1)*24,2))</f>
        <v/>
      </c>
      <c r="K405" s="62">
        <f>IF(E405="","",IF(E405="Werken","JA","NEE"))</f>
        <v/>
      </c>
      <c r="L405" s="61">
        <f>IF(K405="JA",N(J405),IF(E405="","",0))</f>
        <v/>
      </c>
      <c r="M405" s="62">
        <f>IF(AND(A405="",E405=""),"",IF(E405="","Segment ontbreekt",IF(OR(G405="",H405=""),"Van/tot ontbreekt",IF(N(J405)=0,"Duur is nul",IF(N(J405)&gt;12,"Langer dan 12 uur - controleren",IF(AND(E405="Werken",D405=""),"Werken zonder klant - koppelen","OK"))))))</f>
        <v/>
      </c>
    </row>
    <row r="406" ht="15" customHeight="1" s="42">
      <c r="A406" s="55" t="n"/>
      <c r="B406" s="56">
        <f>IF(A406="","",WEEKNUM(A406,21))</f>
        <v/>
      </c>
      <c r="C406" s="57" t="n"/>
      <c r="D406" s="57" t="n"/>
      <c r="E406" s="58" t="n"/>
      <c r="F406" s="57" t="n"/>
      <c r="G406" s="59" t="n"/>
      <c r="H406" s="59" t="n"/>
      <c r="I406" s="60">
        <f>IF(OR(G406="",H406=""),"",MOD(H406-G406,1))</f>
        <v/>
      </c>
      <c r="J406" s="61">
        <f>IF(OR(G406="",H406=""),"",ROUND(MOD(H406-G406,1)*24,2))</f>
        <v/>
      </c>
      <c r="K406" s="62">
        <f>IF(E406="","",IF(E406="Werken","JA","NEE"))</f>
        <v/>
      </c>
      <c r="L406" s="61">
        <f>IF(K406="JA",N(J406),IF(E406="","",0))</f>
        <v/>
      </c>
      <c r="M406" s="62">
        <f>IF(AND(A406="",E406=""),"",IF(E406="","Segment ontbreekt",IF(OR(G406="",H406=""),"Van/tot ontbreekt",IF(N(J406)=0,"Duur is nul",IF(N(J406)&gt;12,"Langer dan 12 uur - controleren",IF(AND(E406="Werken",D406=""),"Werken zonder klant - koppelen","OK"))))))</f>
        <v/>
      </c>
    </row>
    <row r="407" ht="15" customHeight="1" s="42">
      <c r="A407" s="55" t="n"/>
      <c r="B407" s="56">
        <f>IF(A407="","",WEEKNUM(A407,21))</f>
        <v/>
      </c>
      <c r="C407" s="57" t="n"/>
      <c r="D407" s="57" t="n"/>
      <c r="E407" s="58" t="n"/>
      <c r="F407" s="57" t="n"/>
      <c r="G407" s="59" t="n"/>
      <c r="H407" s="59" t="n"/>
      <c r="I407" s="60">
        <f>IF(OR(G407="",H407=""),"",MOD(H407-G407,1))</f>
        <v/>
      </c>
      <c r="J407" s="61">
        <f>IF(OR(G407="",H407=""),"",ROUND(MOD(H407-G407,1)*24,2))</f>
        <v/>
      </c>
      <c r="K407" s="62">
        <f>IF(E407="","",IF(E407="Werken","JA","NEE"))</f>
        <v/>
      </c>
      <c r="L407" s="61">
        <f>IF(K407="JA",N(J407),IF(E407="","",0))</f>
        <v/>
      </c>
      <c r="M407" s="62">
        <f>IF(AND(A407="",E407=""),"",IF(E407="","Segment ontbreekt",IF(OR(G407="",H407=""),"Van/tot ontbreekt",IF(N(J407)=0,"Duur is nul",IF(N(J407)&gt;12,"Langer dan 12 uur - controleren",IF(AND(E407="Werken",D407=""),"Werken zonder klant - koppelen","OK"))))))</f>
        <v/>
      </c>
    </row>
    <row r="408" ht="15" customHeight="1" s="42">
      <c r="A408" s="55" t="n"/>
      <c r="B408" s="56">
        <f>IF(A408="","",WEEKNUM(A408,21))</f>
        <v/>
      </c>
      <c r="C408" s="57" t="n"/>
      <c r="D408" s="57" t="n"/>
      <c r="E408" s="58" t="n"/>
      <c r="F408" s="57" t="n"/>
      <c r="G408" s="59" t="n"/>
      <c r="H408" s="59" t="n"/>
      <c r="I408" s="60">
        <f>IF(OR(G408="",H408=""),"",MOD(H408-G408,1))</f>
        <v/>
      </c>
      <c r="J408" s="61">
        <f>IF(OR(G408="",H408=""),"",ROUND(MOD(H408-G408,1)*24,2))</f>
        <v/>
      </c>
      <c r="K408" s="62">
        <f>IF(E408="","",IF(E408="Werken","JA","NEE"))</f>
        <v/>
      </c>
      <c r="L408" s="61">
        <f>IF(K408="JA",N(J408),IF(E408="","",0))</f>
        <v/>
      </c>
      <c r="M408" s="62">
        <f>IF(AND(A408="",E408=""),"",IF(E408="","Segment ontbreekt",IF(OR(G408="",H408=""),"Van/tot ontbreekt",IF(N(J408)=0,"Duur is nul",IF(N(J408)&gt;12,"Langer dan 12 uur - controleren",IF(AND(E408="Werken",D408=""),"Werken zonder klant - koppelen","OK"))))))</f>
        <v/>
      </c>
    </row>
    <row r="409" ht="15" customHeight="1" s="42">
      <c r="A409" s="55" t="n"/>
      <c r="B409" s="56">
        <f>IF(A409="","",WEEKNUM(A409,21))</f>
        <v/>
      </c>
      <c r="C409" s="57" t="n"/>
      <c r="D409" s="57" t="n"/>
      <c r="E409" s="58" t="n"/>
      <c r="F409" s="57" t="n"/>
      <c r="G409" s="59" t="n"/>
      <c r="H409" s="59" t="n"/>
      <c r="I409" s="60">
        <f>IF(OR(G409="",H409=""),"",MOD(H409-G409,1))</f>
        <v/>
      </c>
      <c r="J409" s="61">
        <f>IF(OR(G409="",H409=""),"",ROUND(MOD(H409-G409,1)*24,2))</f>
        <v/>
      </c>
      <c r="K409" s="62">
        <f>IF(E409="","",IF(E409="Werken","JA","NEE"))</f>
        <v/>
      </c>
      <c r="L409" s="61">
        <f>IF(K409="JA",N(J409),IF(E409="","",0))</f>
        <v/>
      </c>
      <c r="M409" s="62">
        <f>IF(AND(A409="",E409=""),"",IF(E409="","Segment ontbreekt",IF(OR(G409="",H409=""),"Van/tot ontbreekt",IF(N(J409)=0,"Duur is nul",IF(N(J409)&gt;12,"Langer dan 12 uur - controleren",IF(AND(E409="Werken",D409=""),"Werken zonder klant - koppelen","OK"))))))</f>
        <v/>
      </c>
    </row>
    <row r="410" ht="15" customHeight="1" s="42">
      <c r="A410" s="55" t="n"/>
      <c r="B410" s="56">
        <f>IF(A410="","",WEEKNUM(A410,21))</f>
        <v/>
      </c>
      <c r="C410" s="57" t="n"/>
      <c r="D410" s="57" t="n"/>
      <c r="E410" s="58" t="n"/>
      <c r="F410" s="57" t="n"/>
      <c r="G410" s="59" t="n"/>
      <c r="H410" s="59" t="n"/>
      <c r="I410" s="60">
        <f>IF(OR(G410="",H410=""),"",MOD(H410-G410,1))</f>
        <v/>
      </c>
      <c r="J410" s="61">
        <f>IF(OR(G410="",H410=""),"",ROUND(MOD(H410-G410,1)*24,2))</f>
        <v/>
      </c>
      <c r="K410" s="62">
        <f>IF(E410="","",IF(E410="Werken","JA","NEE"))</f>
        <v/>
      </c>
      <c r="L410" s="61">
        <f>IF(K410="JA",N(J410),IF(E410="","",0))</f>
        <v/>
      </c>
      <c r="M410" s="62">
        <f>IF(AND(A410="",E410=""),"",IF(E410="","Segment ontbreekt",IF(OR(G410="",H410=""),"Van/tot ontbreekt",IF(N(J410)=0,"Duur is nul",IF(N(J410)&gt;12,"Langer dan 12 uur - controleren",IF(AND(E410="Werken",D410=""),"Werken zonder klant - koppelen","OK"))))))</f>
        <v/>
      </c>
    </row>
    <row r="411" ht="15" customHeight="1" s="42">
      <c r="A411" s="55" t="n"/>
      <c r="B411" s="56">
        <f>IF(A411="","",WEEKNUM(A411,21))</f>
        <v/>
      </c>
      <c r="C411" s="57" t="n"/>
      <c r="D411" s="57" t="n"/>
      <c r="E411" s="58" t="n"/>
      <c r="F411" s="57" t="n"/>
      <c r="G411" s="59" t="n"/>
      <c r="H411" s="59" t="n"/>
      <c r="I411" s="60">
        <f>IF(OR(G411="",H411=""),"",MOD(H411-G411,1))</f>
        <v/>
      </c>
      <c r="J411" s="61">
        <f>IF(OR(G411="",H411=""),"",ROUND(MOD(H411-G411,1)*24,2))</f>
        <v/>
      </c>
      <c r="K411" s="62">
        <f>IF(E411="","",IF(E411="Werken","JA","NEE"))</f>
        <v/>
      </c>
      <c r="L411" s="61">
        <f>IF(K411="JA",N(J411),IF(E411="","",0))</f>
        <v/>
      </c>
      <c r="M411" s="62">
        <f>IF(AND(A411="",E411=""),"",IF(E411="","Segment ontbreekt",IF(OR(G411="",H411=""),"Van/tot ontbreekt",IF(N(J411)=0,"Duur is nul",IF(N(J411)&gt;12,"Langer dan 12 uur - controleren",IF(AND(E411="Werken",D411=""),"Werken zonder klant - koppelen","OK"))))))</f>
        <v/>
      </c>
    </row>
    <row r="412" ht="15" customHeight="1" s="42">
      <c r="A412" s="55" t="n"/>
      <c r="B412" s="56">
        <f>IF(A412="","",WEEKNUM(A412,21))</f>
        <v/>
      </c>
      <c r="C412" s="57" t="n"/>
      <c r="D412" s="57" t="n"/>
      <c r="E412" s="58" t="n"/>
      <c r="F412" s="57" t="n"/>
      <c r="G412" s="59" t="n"/>
      <c r="H412" s="59" t="n"/>
      <c r="I412" s="60">
        <f>IF(OR(G412="",H412=""),"",MOD(H412-G412,1))</f>
        <v/>
      </c>
      <c r="J412" s="61">
        <f>IF(OR(G412="",H412=""),"",ROUND(MOD(H412-G412,1)*24,2))</f>
        <v/>
      </c>
      <c r="K412" s="62">
        <f>IF(E412="","",IF(E412="Werken","JA","NEE"))</f>
        <v/>
      </c>
      <c r="L412" s="61">
        <f>IF(K412="JA",N(J412),IF(E412="","",0))</f>
        <v/>
      </c>
      <c r="M412" s="62">
        <f>IF(AND(A412="",E412=""),"",IF(E412="","Segment ontbreekt",IF(OR(G412="",H412=""),"Van/tot ontbreekt",IF(N(J412)=0,"Duur is nul",IF(N(J412)&gt;12,"Langer dan 12 uur - controleren",IF(AND(E412="Werken",D412=""),"Werken zonder klant - koppelen","OK"))))))</f>
        <v/>
      </c>
    </row>
    <row r="413" ht="15" customHeight="1" s="42">
      <c r="A413" s="55" t="n"/>
      <c r="B413" s="56">
        <f>IF(A413="","",WEEKNUM(A413,21))</f>
        <v/>
      </c>
      <c r="C413" s="57" t="n"/>
      <c r="D413" s="57" t="n"/>
      <c r="E413" s="58" t="n"/>
      <c r="F413" s="57" t="n"/>
      <c r="G413" s="59" t="n"/>
      <c r="H413" s="59" t="n"/>
      <c r="I413" s="60">
        <f>IF(OR(G413="",H413=""),"",MOD(H413-G413,1))</f>
        <v/>
      </c>
      <c r="J413" s="61">
        <f>IF(OR(G413="",H413=""),"",ROUND(MOD(H413-G413,1)*24,2))</f>
        <v/>
      </c>
      <c r="K413" s="62">
        <f>IF(E413="","",IF(E413="Werken","JA","NEE"))</f>
        <v/>
      </c>
      <c r="L413" s="61">
        <f>IF(K413="JA",N(J413),IF(E413="","",0))</f>
        <v/>
      </c>
      <c r="M413" s="62">
        <f>IF(AND(A413="",E413=""),"",IF(E413="","Segment ontbreekt",IF(OR(G413="",H413=""),"Van/tot ontbreekt",IF(N(J413)=0,"Duur is nul",IF(N(J413)&gt;12,"Langer dan 12 uur - controleren",IF(AND(E413="Werken",D413=""),"Werken zonder klant - koppelen","OK"))))))</f>
        <v/>
      </c>
    </row>
    <row r="414" ht="15" customHeight="1" s="42">
      <c r="A414" s="55" t="n"/>
      <c r="B414" s="56">
        <f>IF(A414="","",WEEKNUM(A414,21))</f>
        <v/>
      </c>
      <c r="C414" s="57" t="n"/>
      <c r="D414" s="57" t="n"/>
      <c r="E414" s="58" t="n"/>
      <c r="F414" s="57" t="n"/>
      <c r="G414" s="59" t="n"/>
      <c r="H414" s="59" t="n"/>
      <c r="I414" s="60">
        <f>IF(OR(G414="",H414=""),"",MOD(H414-G414,1))</f>
        <v/>
      </c>
      <c r="J414" s="61">
        <f>IF(OR(G414="",H414=""),"",ROUND(MOD(H414-G414,1)*24,2))</f>
        <v/>
      </c>
      <c r="K414" s="62">
        <f>IF(E414="","",IF(E414="Werken","JA","NEE"))</f>
        <v/>
      </c>
      <c r="L414" s="61">
        <f>IF(K414="JA",N(J414),IF(E414="","",0))</f>
        <v/>
      </c>
      <c r="M414" s="62">
        <f>IF(AND(A414="",E414=""),"",IF(E414="","Segment ontbreekt",IF(OR(G414="",H414=""),"Van/tot ontbreekt",IF(N(J414)=0,"Duur is nul",IF(N(J414)&gt;12,"Langer dan 12 uur - controleren",IF(AND(E414="Werken",D414=""),"Werken zonder klant - koppelen","OK"))))))</f>
        <v/>
      </c>
    </row>
    <row r="415" ht="15" customHeight="1" s="42">
      <c r="A415" s="55" t="n"/>
      <c r="B415" s="56">
        <f>IF(A415="","",WEEKNUM(A415,21))</f>
        <v/>
      </c>
      <c r="C415" s="57" t="n"/>
      <c r="D415" s="57" t="n"/>
      <c r="E415" s="58" t="n"/>
      <c r="F415" s="57" t="n"/>
      <c r="G415" s="59" t="n"/>
      <c r="H415" s="59" t="n"/>
      <c r="I415" s="60">
        <f>IF(OR(G415="",H415=""),"",MOD(H415-G415,1))</f>
        <v/>
      </c>
      <c r="J415" s="61">
        <f>IF(OR(G415="",H415=""),"",ROUND(MOD(H415-G415,1)*24,2))</f>
        <v/>
      </c>
      <c r="K415" s="62">
        <f>IF(E415="","",IF(E415="Werken","JA","NEE"))</f>
        <v/>
      </c>
      <c r="L415" s="61">
        <f>IF(K415="JA",N(J415),IF(E415="","",0))</f>
        <v/>
      </c>
      <c r="M415" s="62">
        <f>IF(AND(A415="",E415=""),"",IF(E415="","Segment ontbreekt",IF(OR(G415="",H415=""),"Van/tot ontbreekt",IF(N(J415)=0,"Duur is nul",IF(N(J415)&gt;12,"Langer dan 12 uur - controleren",IF(AND(E415="Werken",D415=""),"Werken zonder klant - koppelen","OK"))))))</f>
        <v/>
      </c>
    </row>
    <row r="416" ht="15" customHeight="1" s="42">
      <c r="A416" s="55" t="n"/>
      <c r="B416" s="56">
        <f>IF(A416="","",WEEKNUM(A416,21))</f>
        <v/>
      </c>
      <c r="C416" s="57" t="n"/>
      <c r="D416" s="57" t="n"/>
      <c r="E416" s="58" t="n"/>
      <c r="F416" s="57" t="n"/>
      <c r="G416" s="59" t="n"/>
      <c r="H416" s="59" t="n"/>
      <c r="I416" s="60">
        <f>IF(OR(G416="",H416=""),"",MOD(H416-G416,1))</f>
        <v/>
      </c>
      <c r="J416" s="61">
        <f>IF(OR(G416="",H416=""),"",ROUND(MOD(H416-G416,1)*24,2))</f>
        <v/>
      </c>
      <c r="K416" s="62">
        <f>IF(E416="","",IF(E416="Werken","JA","NEE"))</f>
        <v/>
      </c>
      <c r="L416" s="61">
        <f>IF(K416="JA",N(J416),IF(E416="","",0))</f>
        <v/>
      </c>
      <c r="M416" s="62">
        <f>IF(AND(A416="",E416=""),"",IF(E416="","Segment ontbreekt",IF(OR(G416="",H416=""),"Van/tot ontbreekt",IF(N(J416)=0,"Duur is nul",IF(N(J416)&gt;12,"Langer dan 12 uur - controleren",IF(AND(E416="Werken",D416=""),"Werken zonder klant - koppelen","OK"))))))</f>
        <v/>
      </c>
    </row>
    <row r="417" ht="15" customHeight="1" s="42">
      <c r="A417" s="55" t="n"/>
      <c r="B417" s="56">
        <f>IF(A417="","",WEEKNUM(A417,21))</f>
        <v/>
      </c>
      <c r="C417" s="57" t="n"/>
      <c r="D417" s="57" t="n"/>
      <c r="E417" s="58" t="n"/>
      <c r="F417" s="57" t="n"/>
      <c r="G417" s="59" t="n"/>
      <c r="H417" s="59" t="n"/>
      <c r="I417" s="60">
        <f>IF(OR(G417="",H417=""),"",MOD(H417-G417,1))</f>
        <v/>
      </c>
      <c r="J417" s="61">
        <f>IF(OR(G417="",H417=""),"",ROUND(MOD(H417-G417,1)*24,2))</f>
        <v/>
      </c>
      <c r="K417" s="62">
        <f>IF(E417="","",IF(E417="Werken","JA","NEE"))</f>
        <v/>
      </c>
      <c r="L417" s="61">
        <f>IF(K417="JA",N(J417),IF(E417="","",0))</f>
        <v/>
      </c>
      <c r="M417" s="62">
        <f>IF(AND(A417="",E417=""),"",IF(E417="","Segment ontbreekt",IF(OR(G417="",H417=""),"Van/tot ontbreekt",IF(N(J417)=0,"Duur is nul",IF(N(J417)&gt;12,"Langer dan 12 uur - controleren",IF(AND(E417="Werken",D417=""),"Werken zonder klant - koppelen","OK"))))))</f>
        <v/>
      </c>
    </row>
    <row r="418" ht="15" customHeight="1" s="42">
      <c r="A418" s="55" t="n"/>
      <c r="B418" s="56">
        <f>IF(A418="","",WEEKNUM(A418,21))</f>
        <v/>
      </c>
      <c r="C418" s="57" t="n"/>
      <c r="D418" s="57" t="n"/>
      <c r="E418" s="58" t="n"/>
      <c r="F418" s="57" t="n"/>
      <c r="G418" s="59" t="n"/>
      <c r="H418" s="59" t="n"/>
      <c r="I418" s="60">
        <f>IF(OR(G418="",H418=""),"",MOD(H418-G418,1))</f>
        <v/>
      </c>
      <c r="J418" s="61">
        <f>IF(OR(G418="",H418=""),"",ROUND(MOD(H418-G418,1)*24,2))</f>
        <v/>
      </c>
      <c r="K418" s="62">
        <f>IF(E418="","",IF(E418="Werken","JA","NEE"))</f>
        <v/>
      </c>
      <c r="L418" s="61">
        <f>IF(K418="JA",N(J418),IF(E418="","",0))</f>
        <v/>
      </c>
      <c r="M418" s="62">
        <f>IF(AND(A418="",E418=""),"",IF(E418="","Segment ontbreekt",IF(OR(G418="",H418=""),"Van/tot ontbreekt",IF(N(J418)=0,"Duur is nul",IF(N(J418)&gt;12,"Langer dan 12 uur - controleren",IF(AND(E418="Werken",D418=""),"Werken zonder klant - koppelen","OK"))))))</f>
        <v/>
      </c>
    </row>
    <row r="419" ht="15" customHeight="1" s="42">
      <c r="A419" s="55" t="n"/>
      <c r="B419" s="56">
        <f>IF(A419="","",WEEKNUM(A419,21))</f>
        <v/>
      </c>
      <c r="C419" s="57" t="n"/>
      <c r="D419" s="57" t="n"/>
      <c r="E419" s="58" t="n"/>
      <c r="F419" s="57" t="n"/>
      <c r="G419" s="59" t="n"/>
      <c r="H419" s="59" t="n"/>
      <c r="I419" s="60">
        <f>IF(OR(G419="",H419=""),"",MOD(H419-G419,1))</f>
        <v/>
      </c>
      <c r="J419" s="61">
        <f>IF(OR(G419="",H419=""),"",ROUND(MOD(H419-G419,1)*24,2))</f>
        <v/>
      </c>
      <c r="K419" s="62">
        <f>IF(E419="","",IF(E419="Werken","JA","NEE"))</f>
        <v/>
      </c>
      <c r="L419" s="61">
        <f>IF(K419="JA",N(J419),IF(E419="","",0))</f>
        <v/>
      </c>
      <c r="M419" s="62">
        <f>IF(AND(A419="",E419=""),"",IF(E419="","Segment ontbreekt",IF(OR(G419="",H419=""),"Van/tot ontbreekt",IF(N(J419)=0,"Duur is nul",IF(N(J419)&gt;12,"Langer dan 12 uur - controleren",IF(AND(E419="Werken",D419=""),"Werken zonder klant - koppelen","OK"))))))</f>
        <v/>
      </c>
    </row>
    <row r="420" ht="15" customHeight="1" s="42">
      <c r="A420" s="55" t="n"/>
      <c r="B420" s="56">
        <f>IF(A420="","",WEEKNUM(A420,21))</f>
        <v/>
      </c>
      <c r="C420" s="57" t="n"/>
      <c r="D420" s="57" t="n"/>
      <c r="E420" s="58" t="n"/>
      <c r="F420" s="57" t="n"/>
      <c r="G420" s="59" t="n"/>
      <c r="H420" s="59" t="n"/>
      <c r="I420" s="60">
        <f>IF(OR(G420="",H420=""),"",MOD(H420-G420,1))</f>
        <v/>
      </c>
      <c r="J420" s="61">
        <f>IF(OR(G420="",H420=""),"",ROUND(MOD(H420-G420,1)*24,2))</f>
        <v/>
      </c>
      <c r="K420" s="62">
        <f>IF(E420="","",IF(E420="Werken","JA","NEE"))</f>
        <v/>
      </c>
      <c r="L420" s="61">
        <f>IF(K420="JA",N(J420),IF(E420="","",0))</f>
        <v/>
      </c>
      <c r="M420" s="62">
        <f>IF(AND(A420="",E420=""),"",IF(E420="","Segment ontbreekt",IF(OR(G420="",H420=""),"Van/tot ontbreekt",IF(N(J420)=0,"Duur is nul",IF(N(J420)&gt;12,"Langer dan 12 uur - controleren",IF(AND(E420="Werken",D420=""),"Werken zonder klant - koppelen","OK"))))))</f>
        <v/>
      </c>
    </row>
    <row r="421" ht="15" customHeight="1" s="42">
      <c r="A421" s="55" t="n"/>
      <c r="B421" s="56">
        <f>IF(A421="","",WEEKNUM(A421,21))</f>
        <v/>
      </c>
      <c r="C421" s="57" t="n"/>
      <c r="D421" s="57" t="n"/>
      <c r="E421" s="58" t="n"/>
      <c r="F421" s="57" t="n"/>
      <c r="G421" s="59" t="n"/>
      <c r="H421" s="59" t="n"/>
      <c r="I421" s="60">
        <f>IF(OR(G421="",H421=""),"",MOD(H421-G421,1))</f>
        <v/>
      </c>
      <c r="J421" s="61">
        <f>IF(OR(G421="",H421=""),"",ROUND(MOD(H421-G421,1)*24,2))</f>
        <v/>
      </c>
      <c r="K421" s="62">
        <f>IF(E421="","",IF(E421="Werken","JA","NEE"))</f>
        <v/>
      </c>
      <c r="L421" s="61">
        <f>IF(K421="JA",N(J421),IF(E421="","",0))</f>
        <v/>
      </c>
      <c r="M421" s="62">
        <f>IF(AND(A421="",E421=""),"",IF(E421="","Segment ontbreekt",IF(OR(G421="",H421=""),"Van/tot ontbreekt",IF(N(J421)=0,"Duur is nul",IF(N(J421)&gt;12,"Langer dan 12 uur - controleren",IF(AND(E421="Werken",D421=""),"Werken zonder klant - koppelen","OK"))))))</f>
        <v/>
      </c>
    </row>
    <row r="422" ht="15" customHeight="1" s="42">
      <c r="A422" s="55" t="n"/>
      <c r="B422" s="56">
        <f>IF(A422="","",WEEKNUM(A422,21))</f>
        <v/>
      </c>
      <c r="C422" s="57" t="n"/>
      <c r="D422" s="57" t="n"/>
      <c r="E422" s="58" t="n"/>
      <c r="F422" s="57" t="n"/>
      <c r="G422" s="59" t="n"/>
      <c r="H422" s="59" t="n"/>
      <c r="I422" s="60">
        <f>IF(OR(G422="",H422=""),"",MOD(H422-G422,1))</f>
        <v/>
      </c>
      <c r="J422" s="61">
        <f>IF(OR(G422="",H422=""),"",ROUND(MOD(H422-G422,1)*24,2))</f>
        <v/>
      </c>
      <c r="K422" s="62">
        <f>IF(E422="","",IF(E422="Werken","JA","NEE"))</f>
        <v/>
      </c>
      <c r="L422" s="61">
        <f>IF(K422="JA",N(J422),IF(E422="","",0))</f>
        <v/>
      </c>
      <c r="M422" s="62">
        <f>IF(AND(A422="",E422=""),"",IF(E422="","Segment ontbreekt",IF(OR(G422="",H422=""),"Van/tot ontbreekt",IF(N(J422)=0,"Duur is nul",IF(N(J422)&gt;12,"Langer dan 12 uur - controleren",IF(AND(E422="Werken",D422=""),"Werken zonder klant - koppelen","OK"))))))</f>
        <v/>
      </c>
    </row>
    <row r="423" ht="15" customHeight="1" s="42">
      <c r="A423" s="55" t="n"/>
      <c r="B423" s="56">
        <f>IF(A423="","",WEEKNUM(A423,21))</f>
        <v/>
      </c>
      <c r="C423" s="57" t="n"/>
      <c r="D423" s="57" t="n"/>
      <c r="E423" s="58" t="n"/>
      <c r="F423" s="57" t="n"/>
      <c r="G423" s="59" t="n"/>
      <c r="H423" s="59" t="n"/>
      <c r="I423" s="60">
        <f>IF(OR(G423="",H423=""),"",MOD(H423-G423,1))</f>
        <v/>
      </c>
      <c r="J423" s="61">
        <f>IF(OR(G423="",H423=""),"",ROUND(MOD(H423-G423,1)*24,2))</f>
        <v/>
      </c>
      <c r="K423" s="62">
        <f>IF(E423="","",IF(E423="Werken","JA","NEE"))</f>
        <v/>
      </c>
      <c r="L423" s="61">
        <f>IF(K423="JA",N(J423),IF(E423="","",0))</f>
        <v/>
      </c>
      <c r="M423" s="62">
        <f>IF(AND(A423="",E423=""),"",IF(E423="","Segment ontbreekt",IF(OR(G423="",H423=""),"Van/tot ontbreekt",IF(N(J423)=0,"Duur is nul",IF(N(J423)&gt;12,"Langer dan 12 uur - controleren",IF(AND(E423="Werken",D423=""),"Werken zonder klant - koppelen","OK"))))))</f>
        <v/>
      </c>
    </row>
    <row r="424" ht="15" customHeight="1" s="42">
      <c r="A424" s="55" t="n"/>
      <c r="B424" s="56">
        <f>IF(A424="","",WEEKNUM(A424,21))</f>
        <v/>
      </c>
      <c r="C424" s="57" t="n"/>
      <c r="D424" s="57" t="n"/>
      <c r="E424" s="58" t="n"/>
      <c r="F424" s="57" t="n"/>
      <c r="G424" s="59" t="n"/>
      <c r="H424" s="59" t="n"/>
      <c r="I424" s="60">
        <f>IF(OR(G424="",H424=""),"",MOD(H424-G424,1))</f>
        <v/>
      </c>
      <c r="J424" s="61">
        <f>IF(OR(G424="",H424=""),"",ROUND(MOD(H424-G424,1)*24,2))</f>
        <v/>
      </c>
      <c r="K424" s="62">
        <f>IF(E424="","",IF(E424="Werken","JA","NEE"))</f>
        <v/>
      </c>
      <c r="L424" s="61">
        <f>IF(K424="JA",N(J424),IF(E424="","",0))</f>
        <v/>
      </c>
      <c r="M424" s="62">
        <f>IF(AND(A424="",E424=""),"",IF(E424="","Segment ontbreekt",IF(OR(G424="",H424=""),"Van/tot ontbreekt",IF(N(J424)=0,"Duur is nul",IF(N(J424)&gt;12,"Langer dan 12 uur - controleren",IF(AND(E424="Werken",D424=""),"Werken zonder klant - koppelen","OK"))))))</f>
        <v/>
      </c>
    </row>
    <row r="425" ht="15" customHeight="1" s="42">
      <c r="A425" s="55" t="n"/>
      <c r="B425" s="56">
        <f>IF(A425="","",WEEKNUM(A425,21))</f>
        <v/>
      </c>
      <c r="C425" s="57" t="n"/>
      <c r="D425" s="57" t="n"/>
      <c r="E425" s="58" t="n"/>
      <c r="F425" s="57" t="n"/>
      <c r="G425" s="59" t="n"/>
      <c r="H425" s="59" t="n"/>
      <c r="I425" s="60">
        <f>IF(OR(G425="",H425=""),"",MOD(H425-G425,1))</f>
        <v/>
      </c>
      <c r="J425" s="61">
        <f>IF(OR(G425="",H425=""),"",ROUND(MOD(H425-G425,1)*24,2))</f>
        <v/>
      </c>
      <c r="K425" s="62">
        <f>IF(E425="","",IF(E425="Werken","JA","NEE"))</f>
        <v/>
      </c>
      <c r="L425" s="61">
        <f>IF(K425="JA",N(J425),IF(E425="","",0))</f>
        <v/>
      </c>
      <c r="M425" s="62">
        <f>IF(AND(A425="",E425=""),"",IF(E425="","Segment ontbreekt",IF(OR(G425="",H425=""),"Van/tot ontbreekt",IF(N(J425)=0,"Duur is nul",IF(N(J425)&gt;12,"Langer dan 12 uur - controleren",IF(AND(E425="Werken",D425=""),"Werken zonder klant - koppelen","OK"))))))</f>
        <v/>
      </c>
    </row>
    <row r="426" ht="15" customHeight="1" s="42">
      <c r="A426" s="55" t="n"/>
      <c r="B426" s="56">
        <f>IF(A426="","",WEEKNUM(A426,21))</f>
        <v/>
      </c>
      <c r="C426" s="57" t="n"/>
      <c r="D426" s="57" t="n"/>
      <c r="E426" s="58" t="n"/>
      <c r="F426" s="57" t="n"/>
      <c r="G426" s="59" t="n"/>
      <c r="H426" s="59" t="n"/>
      <c r="I426" s="60">
        <f>IF(OR(G426="",H426=""),"",MOD(H426-G426,1))</f>
        <v/>
      </c>
      <c r="J426" s="61">
        <f>IF(OR(G426="",H426=""),"",ROUND(MOD(H426-G426,1)*24,2))</f>
        <v/>
      </c>
      <c r="K426" s="62">
        <f>IF(E426="","",IF(E426="Werken","JA","NEE"))</f>
        <v/>
      </c>
      <c r="L426" s="61">
        <f>IF(K426="JA",N(J426),IF(E426="","",0))</f>
        <v/>
      </c>
      <c r="M426" s="62">
        <f>IF(AND(A426="",E426=""),"",IF(E426="","Segment ontbreekt",IF(OR(G426="",H426=""),"Van/tot ontbreekt",IF(N(J426)=0,"Duur is nul",IF(N(J426)&gt;12,"Langer dan 12 uur - controleren",IF(AND(E426="Werken",D426=""),"Werken zonder klant - koppelen","OK"))))))</f>
        <v/>
      </c>
    </row>
    <row r="427" ht="15" customHeight="1" s="42">
      <c r="A427" s="55" t="n"/>
      <c r="B427" s="56">
        <f>IF(A427="","",WEEKNUM(A427,21))</f>
        <v/>
      </c>
      <c r="C427" s="57" t="n"/>
      <c r="D427" s="57" t="n"/>
      <c r="E427" s="58" t="n"/>
      <c r="F427" s="57" t="n"/>
      <c r="G427" s="59" t="n"/>
      <c r="H427" s="59" t="n"/>
      <c r="I427" s="60">
        <f>IF(OR(G427="",H427=""),"",MOD(H427-G427,1))</f>
        <v/>
      </c>
      <c r="J427" s="61">
        <f>IF(OR(G427="",H427=""),"",ROUND(MOD(H427-G427,1)*24,2))</f>
        <v/>
      </c>
      <c r="K427" s="62">
        <f>IF(E427="","",IF(E427="Werken","JA","NEE"))</f>
        <v/>
      </c>
      <c r="L427" s="61">
        <f>IF(K427="JA",N(J427),IF(E427="","",0))</f>
        <v/>
      </c>
      <c r="M427" s="62">
        <f>IF(AND(A427="",E427=""),"",IF(E427="","Segment ontbreekt",IF(OR(G427="",H427=""),"Van/tot ontbreekt",IF(N(J427)=0,"Duur is nul",IF(N(J427)&gt;12,"Langer dan 12 uur - controleren",IF(AND(E427="Werken",D427=""),"Werken zonder klant - koppelen","OK"))))))</f>
        <v/>
      </c>
    </row>
    <row r="428" ht="15" customHeight="1" s="42">
      <c r="A428" s="55" t="n"/>
      <c r="B428" s="56">
        <f>IF(A428="","",WEEKNUM(A428,21))</f>
        <v/>
      </c>
      <c r="C428" s="57" t="n"/>
      <c r="D428" s="57" t="n"/>
      <c r="E428" s="58" t="n"/>
      <c r="F428" s="57" t="n"/>
      <c r="G428" s="59" t="n"/>
      <c r="H428" s="59" t="n"/>
      <c r="I428" s="60">
        <f>IF(OR(G428="",H428=""),"",MOD(H428-G428,1))</f>
        <v/>
      </c>
      <c r="J428" s="61">
        <f>IF(OR(G428="",H428=""),"",ROUND(MOD(H428-G428,1)*24,2))</f>
        <v/>
      </c>
      <c r="K428" s="62">
        <f>IF(E428="","",IF(E428="Werken","JA","NEE"))</f>
        <v/>
      </c>
      <c r="L428" s="61">
        <f>IF(K428="JA",N(J428),IF(E428="","",0))</f>
        <v/>
      </c>
      <c r="M428" s="62">
        <f>IF(AND(A428="",E428=""),"",IF(E428="","Segment ontbreekt",IF(OR(G428="",H428=""),"Van/tot ontbreekt",IF(N(J428)=0,"Duur is nul",IF(N(J428)&gt;12,"Langer dan 12 uur - controleren",IF(AND(E428="Werken",D428=""),"Werken zonder klant - koppelen","OK"))))))</f>
        <v/>
      </c>
    </row>
    <row r="429" ht="15" customHeight="1" s="42">
      <c r="A429" s="55" t="n"/>
      <c r="B429" s="56">
        <f>IF(A429="","",WEEKNUM(A429,21))</f>
        <v/>
      </c>
      <c r="C429" s="57" t="n"/>
      <c r="D429" s="57" t="n"/>
      <c r="E429" s="58" t="n"/>
      <c r="F429" s="57" t="n"/>
      <c r="G429" s="59" t="n"/>
      <c r="H429" s="59" t="n"/>
      <c r="I429" s="60">
        <f>IF(OR(G429="",H429=""),"",MOD(H429-G429,1))</f>
        <v/>
      </c>
      <c r="J429" s="61">
        <f>IF(OR(G429="",H429=""),"",ROUND(MOD(H429-G429,1)*24,2))</f>
        <v/>
      </c>
      <c r="K429" s="62">
        <f>IF(E429="","",IF(E429="Werken","JA","NEE"))</f>
        <v/>
      </c>
      <c r="L429" s="61">
        <f>IF(K429="JA",N(J429),IF(E429="","",0))</f>
        <v/>
      </c>
      <c r="M429" s="62">
        <f>IF(AND(A429="",E429=""),"",IF(E429="","Segment ontbreekt",IF(OR(G429="",H429=""),"Van/tot ontbreekt",IF(N(J429)=0,"Duur is nul",IF(N(J429)&gt;12,"Langer dan 12 uur - controleren",IF(AND(E429="Werken",D429=""),"Werken zonder klant - koppelen","OK"))))))</f>
        <v/>
      </c>
    </row>
    <row r="430" ht="15" customHeight="1" s="42">
      <c r="A430" s="55" t="n"/>
      <c r="B430" s="56">
        <f>IF(A430="","",WEEKNUM(A430,21))</f>
        <v/>
      </c>
      <c r="C430" s="57" t="n"/>
      <c r="D430" s="57" t="n"/>
      <c r="E430" s="58" t="n"/>
      <c r="F430" s="57" t="n"/>
      <c r="G430" s="59" t="n"/>
      <c r="H430" s="59" t="n"/>
      <c r="I430" s="60">
        <f>IF(OR(G430="",H430=""),"",MOD(H430-G430,1))</f>
        <v/>
      </c>
      <c r="J430" s="61">
        <f>IF(OR(G430="",H430=""),"",ROUND(MOD(H430-G430,1)*24,2))</f>
        <v/>
      </c>
      <c r="K430" s="62">
        <f>IF(E430="","",IF(E430="Werken","JA","NEE"))</f>
        <v/>
      </c>
      <c r="L430" s="61">
        <f>IF(K430="JA",N(J430),IF(E430="","",0))</f>
        <v/>
      </c>
      <c r="M430" s="62">
        <f>IF(AND(A430="",E430=""),"",IF(E430="","Segment ontbreekt",IF(OR(G430="",H430=""),"Van/tot ontbreekt",IF(N(J430)=0,"Duur is nul",IF(N(J430)&gt;12,"Langer dan 12 uur - controleren",IF(AND(E430="Werken",D430=""),"Werken zonder klant - koppelen","OK"))))))</f>
        <v/>
      </c>
    </row>
    <row r="431" ht="15" customHeight="1" s="42">
      <c r="A431" s="55" t="n"/>
      <c r="B431" s="56">
        <f>IF(A431="","",WEEKNUM(A431,21))</f>
        <v/>
      </c>
      <c r="C431" s="57" t="n"/>
      <c r="D431" s="57" t="n"/>
      <c r="E431" s="58" t="n"/>
      <c r="F431" s="57" t="n"/>
      <c r="G431" s="59" t="n"/>
      <c r="H431" s="59" t="n"/>
      <c r="I431" s="60">
        <f>IF(OR(G431="",H431=""),"",MOD(H431-G431,1))</f>
        <v/>
      </c>
      <c r="J431" s="61">
        <f>IF(OR(G431="",H431=""),"",ROUND(MOD(H431-G431,1)*24,2))</f>
        <v/>
      </c>
      <c r="K431" s="62">
        <f>IF(E431="","",IF(E431="Werken","JA","NEE"))</f>
        <v/>
      </c>
      <c r="L431" s="61">
        <f>IF(K431="JA",N(J431),IF(E431="","",0))</f>
        <v/>
      </c>
      <c r="M431" s="62">
        <f>IF(AND(A431="",E431=""),"",IF(E431="","Segment ontbreekt",IF(OR(G431="",H431=""),"Van/tot ontbreekt",IF(N(J431)=0,"Duur is nul",IF(N(J431)&gt;12,"Langer dan 12 uur - controleren",IF(AND(E431="Werken",D431=""),"Werken zonder klant - koppelen","OK"))))))</f>
        <v/>
      </c>
    </row>
    <row r="432" ht="15" customHeight="1" s="42">
      <c r="A432" s="55" t="n"/>
      <c r="B432" s="56">
        <f>IF(A432="","",WEEKNUM(A432,21))</f>
        <v/>
      </c>
      <c r="C432" s="57" t="n"/>
      <c r="D432" s="57" t="n"/>
      <c r="E432" s="58" t="n"/>
      <c r="F432" s="57" t="n"/>
      <c r="G432" s="59" t="n"/>
      <c r="H432" s="59" t="n"/>
      <c r="I432" s="60">
        <f>IF(OR(G432="",H432=""),"",MOD(H432-G432,1))</f>
        <v/>
      </c>
      <c r="J432" s="61">
        <f>IF(OR(G432="",H432=""),"",ROUND(MOD(H432-G432,1)*24,2))</f>
        <v/>
      </c>
      <c r="K432" s="62">
        <f>IF(E432="","",IF(E432="Werken","JA","NEE"))</f>
        <v/>
      </c>
      <c r="L432" s="61">
        <f>IF(K432="JA",N(J432),IF(E432="","",0))</f>
        <v/>
      </c>
      <c r="M432" s="62">
        <f>IF(AND(A432="",E432=""),"",IF(E432="","Segment ontbreekt",IF(OR(G432="",H432=""),"Van/tot ontbreekt",IF(N(J432)=0,"Duur is nul",IF(N(J432)&gt;12,"Langer dan 12 uur - controleren",IF(AND(E432="Werken",D432=""),"Werken zonder klant - koppelen","OK"))))))</f>
        <v/>
      </c>
    </row>
    <row r="433" ht="15" customHeight="1" s="42">
      <c r="A433" s="55" t="n"/>
      <c r="B433" s="56">
        <f>IF(A433="","",WEEKNUM(A433,21))</f>
        <v/>
      </c>
      <c r="C433" s="57" t="n"/>
      <c r="D433" s="57" t="n"/>
      <c r="E433" s="58" t="n"/>
      <c r="F433" s="57" t="n"/>
      <c r="G433" s="59" t="n"/>
      <c r="H433" s="59" t="n"/>
      <c r="I433" s="60">
        <f>IF(OR(G433="",H433=""),"",MOD(H433-G433,1))</f>
        <v/>
      </c>
      <c r="J433" s="61">
        <f>IF(OR(G433="",H433=""),"",ROUND(MOD(H433-G433,1)*24,2))</f>
        <v/>
      </c>
      <c r="K433" s="62">
        <f>IF(E433="","",IF(E433="Werken","JA","NEE"))</f>
        <v/>
      </c>
      <c r="L433" s="61">
        <f>IF(K433="JA",N(J433),IF(E433="","",0))</f>
        <v/>
      </c>
      <c r="M433" s="62">
        <f>IF(AND(A433="",E433=""),"",IF(E433="","Segment ontbreekt",IF(OR(G433="",H433=""),"Van/tot ontbreekt",IF(N(J433)=0,"Duur is nul",IF(N(J433)&gt;12,"Langer dan 12 uur - controleren",IF(AND(E433="Werken",D433=""),"Werken zonder klant - koppelen","OK"))))))</f>
        <v/>
      </c>
    </row>
    <row r="434" ht="15" customHeight="1" s="42">
      <c r="A434" s="55" t="n"/>
      <c r="B434" s="56">
        <f>IF(A434="","",WEEKNUM(A434,21))</f>
        <v/>
      </c>
      <c r="C434" s="57" t="n"/>
      <c r="D434" s="57" t="n"/>
      <c r="E434" s="58" t="n"/>
      <c r="F434" s="57" t="n"/>
      <c r="G434" s="59" t="n"/>
      <c r="H434" s="59" t="n"/>
      <c r="I434" s="60">
        <f>IF(OR(G434="",H434=""),"",MOD(H434-G434,1))</f>
        <v/>
      </c>
      <c r="J434" s="61">
        <f>IF(OR(G434="",H434=""),"",ROUND(MOD(H434-G434,1)*24,2))</f>
        <v/>
      </c>
      <c r="K434" s="62">
        <f>IF(E434="","",IF(E434="Werken","JA","NEE"))</f>
        <v/>
      </c>
      <c r="L434" s="61">
        <f>IF(K434="JA",N(J434),IF(E434="","",0))</f>
        <v/>
      </c>
      <c r="M434" s="62">
        <f>IF(AND(A434="",E434=""),"",IF(E434="","Segment ontbreekt",IF(OR(G434="",H434=""),"Van/tot ontbreekt",IF(N(J434)=0,"Duur is nul",IF(N(J434)&gt;12,"Langer dan 12 uur - controleren",IF(AND(E434="Werken",D434=""),"Werken zonder klant - koppelen","OK"))))))</f>
        <v/>
      </c>
    </row>
    <row r="435" ht="15" customHeight="1" s="42">
      <c r="A435" s="55" t="n"/>
      <c r="B435" s="56">
        <f>IF(A435="","",WEEKNUM(A435,21))</f>
        <v/>
      </c>
      <c r="C435" s="57" t="n"/>
      <c r="D435" s="57" t="n"/>
      <c r="E435" s="58" t="n"/>
      <c r="F435" s="57" t="n"/>
      <c r="G435" s="59" t="n"/>
      <c r="H435" s="59" t="n"/>
      <c r="I435" s="60">
        <f>IF(OR(G435="",H435=""),"",MOD(H435-G435,1))</f>
        <v/>
      </c>
      <c r="J435" s="61">
        <f>IF(OR(G435="",H435=""),"",ROUND(MOD(H435-G435,1)*24,2))</f>
        <v/>
      </c>
      <c r="K435" s="62">
        <f>IF(E435="","",IF(E435="Werken","JA","NEE"))</f>
        <v/>
      </c>
      <c r="L435" s="61">
        <f>IF(K435="JA",N(J435),IF(E435="","",0))</f>
        <v/>
      </c>
      <c r="M435" s="62">
        <f>IF(AND(A435="",E435=""),"",IF(E435="","Segment ontbreekt",IF(OR(G435="",H435=""),"Van/tot ontbreekt",IF(N(J435)=0,"Duur is nul",IF(N(J435)&gt;12,"Langer dan 12 uur - controleren",IF(AND(E435="Werken",D435=""),"Werken zonder klant - koppelen","OK"))))))</f>
        <v/>
      </c>
    </row>
    <row r="436" ht="15" customHeight="1" s="42">
      <c r="A436" s="55" t="n"/>
      <c r="B436" s="56">
        <f>IF(A436="","",WEEKNUM(A436,21))</f>
        <v/>
      </c>
      <c r="C436" s="57" t="n"/>
      <c r="D436" s="57" t="n"/>
      <c r="E436" s="58" t="n"/>
      <c r="F436" s="57" t="n"/>
      <c r="G436" s="59" t="n"/>
      <c r="H436" s="59" t="n"/>
      <c r="I436" s="60">
        <f>IF(OR(G436="",H436=""),"",MOD(H436-G436,1))</f>
        <v/>
      </c>
      <c r="J436" s="61">
        <f>IF(OR(G436="",H436=""),"",ROUND(MOD(H436-G436,1)*24,2))</f>
        <v/>
      </c>
      <c r="K436" s="62">
        <f>IF(E436="","",IF(E436="Werken","JA","NEE"))</f>
        <v/>
      </c>
      <c r="L436" s="61">
        <f>IF(K436="JA",N(J436),IF(E436="","",0))</f>
        <v/>
      </c>
      <c r="M436" s="62">
        <f>IF(AND(A436="",E436=""),"",IF(E436="","Segment ontbreekt",IF(OR(G436="",H436=""),"Van/tot ontbreekt",IF(N(J436)=0,"Duur is nul",IF(N(J436)&gt;12,"Langer dan 12 uur - controleren",IF(AND(E436="Werken",D436=""),"Werken zonder klant - koppelen","OK"))))))</f>
        <v/>
      </c>
    </row>
    <row r="437" ht="15" customHeight="1" s="42">
      <c r="A437" s="55" t="n"/>
      <c r="B437" s="56">
        <f>IF(A437="","",WEEKNUM(A437,21))</f>
        <v/>
      </c>
      <c r="C437" s="57" t="n"/>
      <c r="D437" s="57" t="n"/>
      <c r="E437" s="58" t="n"/>
      <c r="F437" s="57" t="n"/>
      <c r="G437" s="59" t="n"/>
      <c r="H437" s="59" t="n"/>
      <c r="I437" s="60">
        <f>IF(OR(G437="",H437=""),"",MOD(H437-G437,1))</f>
        <v/>
      </c>
      <c r="J437" s="61">
        <f>IF(OR(G437="",H437=""),"",ROUND(MOD(H437-G437,1)*24,2))</f>
        <v/>
      </c>
      <c r="K437" s="62">
        <f>IF(E437="","",IF(E437="Werken","JA","NEE"))</f>
        <v/>
      </c>
      <c r="L437" s="61">
        <f>IF(K437="JA",N(J437),IF(E437="","",0))</f>
        <v/>
      </c>
      <c r="M437" s="62">
        <f>IF(AND(A437="",E437=""),"",IF(E437="","Segment ontbreekt",IF(OR(G437="",H437=""),"Van/tot ontbreekt",IF(N(J437)=0,"Duur is nul",IF(N(J437)&gt;12,"Langer dan 12 uur - controleren",IF(AND(E437="Werken",D437=""),"Werken zonder klant - koppelen","OK"))))))</f>
        <v/>
      </c>
    </row>
    <row r="438" ht="15" customHeight="1" s="42">
      <c r="A438" s="55" t="n"/>
      <c r="B438" s="56">
        <f>IF(A438="","",WEEKNUM(A438,21))</f>
        <v/>
      </c>
      <c r="C438" s="57" t="n"/>
      <c r="D438" s="57" t="n"/>
      <c r="E438" s="58" t="n"/>
      <c r="F438" s="57" t="n"/>
      <c r="G438" s="59" t="n"/>
      <c r="H438" s="59" t="n"/>
      <c r="I438" s="60">
        <f>IF(OR(G438="",H438=""),"",MOD(H438-G438,1))</f>
        <v/>
      </c>
      <c r="J438" s="61">
        <f>IF(OR(G438="",H438=""),"",ROUND(MOD(H438-G438,1)*24,2))</f>
        <v/>
      </c>
      <c r="K438" s="62">
        <f>IF(E438="","",IF(E438="Werken","JA","NEE"))</f>
        <v/>
      </c>
      <c r="L438" s="61">
        <f>IF(K438="JA",N(J438),IF(E438="","",0))</f>
        <v/>
      </c>
      <c r="M438" s="62">
        <f>IF(AND(A438="",E438=""),"",IF(E438="","Segment ontbreekt",IF(OR(G438="",H438=""),"Van/tot ontbreekt",IF(N(J438)=0,"Duur is nul",IF(N(J438)&gt;12,"Langer dan 12 uur - controleren",IF(AND(E438="Werken",D438=""),"Werken zonder klant - koppelen","OK"))))))</f>
        <v/>
      </c>
    </row>
    <row r="439" ht="15" customHeight="1" s="42">
      <c r="A439" s="55" t="n"/>
      <c r="B439" s="56">
        <f>IF(A439="","",WEEKNUM(A439,21))</f>
        <v/>
      </c>
      <c r="C439" s="57" t="n"/>
      <c r="D439" s="57" t="n"/>
      <c r="E439" s="58" t="n"/>
      <c r="F439" s="57" t="n"/>
      <c r="G439" s="59" t="n"/>
      <c r="H439" s="59" t="n"/>
      <c r="I439" s="60">
        <f>IF(OR(G439="",H439=""),"",MOD(H439-G439,1))</f>
        <v/>
      </c>
      <c r="J439" s="61">
        <f>IF(OR(G439="",H439=""),"",ROUND(MOD(H439-G439,1)*24,2))</f>
        <v/>
      </c>
      <c r="K439" s="62">
        <f>IF(E439="","",IF(E439="Werken","JA","NEE"))</f>
        <v/>
      </c>
      <c r="L439" s="61">
        <f>IF(K439="JA",N(J439),IF(E439="","",0))</f>
        <v/>
      </c>
      <c r="M439" s="62">
        <f>IF(AND(A439="",E439=""),"",IF(E439="","Segment ontbreekt",IF(OR(G439="",H439=""),"Van/tot ontbreekt",IF(N(J439)=0,"Duur is nul",IF(N(J439)&gt;12,"Langer dan 12 uur - controleren",IF(AND(E439="Werken",D439=""),"Werken zonder klant - koppelen","OK"))))))</f>
        <v/>
      </c>
    </row>
    <row r="440" ht="15" customHeight="1" s="42">
      <c r="A440" s="55" t="n"/>
      <c r="B440" s="56">
        <f>IF(A440="","",WEEKNUM(A440,21))</f>
        <v/>
      </c>
      <c r="C440" s="57" t="n"/>
      <c r="D440" s="57" t="n"/>
      <c r="E440" s="58" t="n"/>
      <c r="F440" s="57" t="n"/>
      <c r="G440" s="59" t="n"/>
      <c r="H440" s="59" t="n"/>
      <c r="I440" s="60">
        <f>IF(OR(G440="",H440=""),"",MOD(H440-G440,1))</f>
        <v/>
      </c>
      <c r="J440" s="61">
        <f>IF(OR(G440="",H440=""),"",ROUND(MOD(H440-G440,1)*24,2))</f>
        <v/>
      </c>
      <c r="K440" s="62">
        <f>IF(E440="","",IF(E440="Werken","JA","NEE"))</f>
        <v/>
      </c>
      <c r="L440" s="61">
        <f>IF(K440="JA",N(J440),IF(E440="","",0))</f>
        <v/>
      </c>
      <c r="M440" s="62">
        <f>IF(AND(A440="",E440=""),"",IF(E440="","Segment ontbreekt",IF(OR(G440="",H440=""),"Van/tot ontbreekt",IF(N(J440)=0,"Duur is nul",IF(N(J440)&gt;12,"Langer dan 12 uur - controleren",IF(AND(E440="Werken",D440=""),"Werken zonder klant - koppelen","OK"))))))</f>
        <v/>
      </c>
    </row>
    <row r="441" ht="15" customHeight="1" s="42">
      <c r="A441" s="55" t="n"/>
      <c r="B441" s="56">
        <f>IF(A441="","",WEEKNUM(A441,21))</f>
        <v/>
      </c>
      <c r="C441" s="57" t="n"/>
      <c r="D441" s="57" t="n"/>
      <c r="E441" s="58" t="n"/>
      <c r="F441" s="57" t="n"/>
      <c r="G441" s="59" t="n"/>
      <c r="H441" s="59" t="n"/>
      <c r="I441" s="60">
        <f>IF(OR(G441="",H441=""),"",MOD(H441-G441,1))</f>
        <v/>
      </c>
      <c r="J441" s="61">
        <f>IF(OR(G441="",H441=""),"",ROUND(MOD(H441-G441,1)*24,2))</f>
        <v/>
      </c>
      <c r="K441" s="62">
        <f>IF(E441="","",IF(E441="Werken","JA","NEE"))</f>
        <v/>
      </c>
      <c r="L441" s="61">
        <f>IF(K441="JA",N(J441),IF(E441="","",0))</f>
        <v/>
      </c>
      <c r="M441" s="62">
        <f>IF(AND(A441="",E441=""),"",IF(E441="","Segment ontbreekt",IF(OR(G441="",H441=""),"Van/tot ontbreekt",IF(N(J441)=0,"Duur is nul",IF(N(J441)&gt;12,"Langer dan 12 uur - controleren",IF(AND(E441="Werken",D441=""),"Werken zonder klant - koppelen","OK"))))))</f>
        <v/>
      </c>
    </row>
    <row r="442" ht="15" customHeight="1" s="42">
      <c r="A442" s="55" t="n"/>
      <c r="B442" s="56">
        <f>IF(A442="","",WEEKNUM(A442,21))</f>
        <v/>
      </c>
      <c r="C442" s="57" t="n"/>
      <c r="D442" s="57" t="n"/>
      <c r="E442" s="58" t="n"/>
      <c r="F442" s="57" t="n"/>
      <c r="G442" s="59" t="n"/>
      <c r="H442" s="59" t="n"/>
      <c r="I442" s="60">
        <f>IF(OR(G442="",H442=""),"",MOD(H442-G442,1))</f>
        <v/>
      </c>
      <c r="J442" s="61">
        <f>IF(OR(G442="",H442=""),"",ROUND(MOD(H442-G442,1)*24,2))</f>
        <v/>
      </c>
      <c r="K442" s="62">
        <f>IF(E442="","",IF(E442="Werken","JA","NEE"))</f>
        <v/>
      </c>
      <c r="L442" s="61">
        <f>IF(K442="JA",N(J442),IF(E442="","",0))</f>
        <v/>
      </c>
      <c r="M442" s="62">
        <f>IF(AND(A442="",E442=""),"",IF(E442="","Segment ontbreekt",IF(OR(G442="",H442=""),"Van/tot ontbreekt",IF(N(J442)=0,"Duur is nul",IF(N(J442)&gt;12,"Langer dan 12 uur - controleren",IF(AND(E442="Werken",D442=""),"Werken zonder klant - koppelen","OK"))))))</f>
        <v/>
      </c>
    </row>
    <row r="443" ht="15" customHeight="1" s="42">
      <c r="A443" s="55" t="n"/>
      <c r="B443" s="56">
        <f>IF(A443="","",WEEKNUM(A443,21))</f>
        <v/>
      </c>
      <c r="C443" s="57" t="n"/>
      <c r="D443" s="57" t="n"/>
      <c r="E443" s="58" t="n"/>
      <c r="F443" s="57" t="n"/>
      <c r="G443" s="59" t="n"/>
      <c r="H443" s="59" t="n"/>
      <c r="I443" s="60">
        <f>IF(OR(G443="",H443=""),"",MOD(H443-G443,1))</f>
        <v/>
      </c>
      <c r="J443" s="61">
        <f>IF(OR(G443="",H443=""),"",ROUND(MOD(H443-G443,1)*24,2))</f>
        <v/>
      </c>
      <c r="K443" s="62">
        <f>IF(E443="","",IF(E443="Werken","JA","NEE"))</f>
        <v/>
      </c>
      <c r="L443" s="61">
        <f>IF(K443="JA",N(J443),IF(E443="","",0))</f>
        <v/>
      </c>
      <c r="M443" s="62">
        <f>IF(AND(A443="",E443=""),"",IF(E443="","Segment ontbreekt",IF(OR(G443="",H443=""),"Van/tot ontbreekt",IF(N(J443)=0,"Duur is nul",IF(N(J443)&gt;12,"Langer dan 12 uur - controleren",IF(AND(E443="Werken",D443=""),"Werken zonder klant - koppelen","OK"))))))</f>
        <v/>
      </c>
    </row>
    <row r="444" ht="15" customHeight="1" s="42">
      <c r="A444" s="55" t="n"/>
      <c r="B444" s="56">
        <f>IF(A444="","",WEEKNUM(A444,21))</f>
        <v/>
      </c>
      <c r="C444" s="57" t="n"/>
      <c r="D444" s="57" t="n"/>
      <c r="E444" s="58" t="n"/>
      <c r="F444" s="57" t="n"/>
      <c r="G444" s="59" t="n"/>
      <c r="H444" s="59" t="n"/>
      <c r="I444" s="60">
        <f>IF(OR(G444="",H444=""),"",MOD(H444-G444,1))</f>
        <v/>
      </c>
      <c r="J444" s="61">
        <f>IF(OR(G444="",H444=""),"",ROUND(MOD(H444-G444,1)*24,2))</f>
        <v/>
      </c>
      <c r="K444" s="62">
        <f>IF(E444="","",IF(E444="Werken","JA","NEE"))</f>
        <v/>
      </c>
      <c r="L444" s="61">
        <f>IF(K444="JA",N(J444),IF(E444="","",0))</f>
        <v/>
      </c>
      <c r="M444" s="62">
        <f>IF(AND(A444="",E444=""),"",IF(E444="","Segment ontbreekt",IF(OR(G444="",H444=""),"Van/tot ontbreekt",IF(N(J444)=0,"Duur is nul",IF(N(J444)&gt;12,"Langer dan 12 uur - controleren",IF(AND(E444="Werken",D444=""),"Werken zonder klant - koppelen","OK"))))))</f>
        <v/>
      </c>
    </row>
    <row r="445" ht="15" customHeight="1" s="42">
      <c r="A445" s="55" t="n"/>
      <c r="B445" s="56">
        <f>IF(A445="","",WEEKNUM(A445,21))</f>
        <v/>
      </c>
      <c r="C445" s="57" t="n"/>
      <c r="D445" s="57" t="n"/>
      <c r="E445" s="58" t="n"/>
      <c r="F445" s="57" t="n"/>
      <c r="G445" s="59" t="n"/>
      <c r="H445" s="59" t="n"/>
      <c r="I445" s="60">
        <f>IF(OR(G445="",H445=""),"",MOD(H445-G445,1))</f>
        <v/>
      </c>
      <c r="J445" s="61">
        <f>IF(OR(G445="",H445=""),"",ROUND(MOD(H445-G445,1)*24,2))</f>
        <v/>
      </c>
      <c r="K445" s="62">
        <f>IF(E445="","",IF(E445="Werken","JA","NEE"))</f>
        <v/>
      </c>
      <c r="L445" s="61">
        <f>IF(K445="JA",N(J445),IF(E445="","",0))</f>
        <v/>
      </c>
      <c r="M445" s="62">
        <f>IF(AND(A445="",E445=""),"",IF(E445="","Segment ontbreekt",IF(OR(G445="",H445=""),"Van/tot ontbreekt",IF(N(J445)=0,"Duur is nul",IF(N(J445)&gt;12,"Langer dan 12 uur - controleren",IF(AND(E445="Werken",D445=""),"Werken zonder klant - koppelen","OK"))))))</f>
        <v/>
      </c>
    </row>
    <row r="446" ht="15" customHeight="1" s="42">
      <c r="A446" s="55" t="n"/>
      <c r="B446" s="56">
        <f>IF(A446="","",WEEKNUM(A446,21))</f>
        <v/>
      </c>
      <c r="C446" s="57" t="n"/>
      <c r="D446" s="57" t="n"/>
      <c r="E446" s="58" t="n"/>
      <c r="F446" s="57" t="n"/>
      <c r="G446" s="59" t="n"/>
      <c r="H446" s="59" t="n"/>
      <c r="I446" s="60">
        <f>IF(OR(G446="",H446=""),"",MOD(H446-G446,1))</f>
        <v/>
      </c>
      <c r="J446" s="61">
        <f>IF(OR(G446="",H446=""),"",ROUND(MOD(H446-G446,1)*24,2))</f>
        <v/>
      </c>
      <c r="K446" s="62">
        <f>IF(E446="","",IF(E446="Werken","JA","NEE"))</f>
        <v/>
      </c>
      <c r="L446" s="61">
        <f>IF(K446="JA",N(J446),IF(E446="","",0))</f>
        <v/>
      </c>
      <c r="M446" s="62">
        <f>IF(AND(A446="",E446=""),"",IF(E446="","Segment ontbreekt",IF(OR(G446="",H446=""),"Van/tot ontbreekt",IF(N(J446)=0,"Duur is nul",IF(N(J446)&gt;12,"Langer dan 12 uur - controleren",IF(AND(E446="Werken",D446=""),"Werken zonder klant - koppelen","OK"))))))</f>
        <v/>
      </c>
    </row>
    <row r="447" ht="15" customHeight="1" s="42">
      <c r="A447" s="55" t="n"/>
      <c r="B447" s="56">
        <f>IF(A447="","",WEEKNUM(A447,21))</f>
        <v/>
      </c>
      <c r="C447" s="57" t="n"/>
      <c r="D447" s="57" t="n"/>
      <c r="E447" s="58" t="n"/>
      <c r="F447" s="57" t="n"/>
      <c r="G447" s="59" t="n"/>
      <c r="H447" s="59" t="n"/>
      <c r="I447" s="60">
        <f>IF(OR(G447="",H447=""),"",MOD(H447-G447,1))</f>
        <v/>
      </c>
      <c r="J447" s="61">
        <f>IF(OR(G447="",H447=""),"",ROUND(MOD(H447-G447,1)*24,2))</f>
        <v/>
      </c>
      <c r="K447" s="62">
        <f>IF(E447="","",IF(E447="Werken","JA","NEE"))</f>
        <v/>
      </c>
      <c r="L447" s="61">
        <f>IF(K447="JA",N(J447),IF(E447="","",0))</f>
        <v/>
      </c>
      <c r="M447" s="62">
        <f>IF(AND(A447="",E447=""),"",IF(E447="","Segment ontbreekt",IF(OR(G447="",H447=""),"Van/tot ontbreekt",IF(N(J447)=0,"Duur is nul",IF(N(J447)&gt;12,"Langer dan 12 uur - controleren",IF(AND(E447="Werken",D447=""),"Werken zonder klant - koppelen","OK"))))))</f>
        <v/>
      </c>
    </row>
    <row r="448" ht="15" customHeight="1" s="42">
      <c r="A448" s="55" t="n"/>
      <c r="B448" s="56">
        <f>IF(A448="","",WEEKNUM(A448,21))</f>
        <v/>
      </c>
      <c r="C448" s="57" t="n"/>
      <c r="D448" s="57" t="n"/>
      <c r="E448" s="58" t="n"/>
      <c r="F448" s="57" t="n"/>
      <c r="G448" s="59" t="n"/>
      <c r="H448" s="59" t="n"/>
      <c r="I448" s="60">
        <f>IF(OR(G448="",H448=""),"",MOD(H448-G448,1))</f>
        <v/>
      </c>
      <c r="J448" s="61">
        <f>IF(OR(G448="",H448=""),"",ROUND(MOD(H448-G448,1)*24,2))</f>
        <v/>
      </c>
      <c r="K448" s="62">
        <f>IF(E448="","",IF(E448="Werken","JA","NEE"))</f>
        <v/>
      </c>
      <c r="L448" s="61">
        <f>IF(K448="JA",N(J448),IF(E448="","",0))</f>
        <v/>
      </c>
      <c r="M448" s="62">
        <f>IF(AND(A448="",E448=""),"",IF(E448="","Segment ontbreekt",IF(OR(G448="",H448=""),"Van/tot ontbreekt",IF(N(J448)=0,"Duur is nul",IF(N(J448)&gt;12,"Langer dan 12 uur - controleren",IF(AND(E448="Werken",D448=""),"Werken zonder klant - koppelen","OK"))))))</f>
        <v/>
      </c>
    </row>
    <row r="449" ht="15" customHeight="1" s="42">
      <c r="A449" s="55" t="n"/>
      <c r="B449" s="56">
        <f>IF(A449="","",WEEKNUM(A449,21))</f>
        <v/>
      </c>
      <c r="C449" s="57" t="n"/>
      <c r="D449" s="57" t="n"/>
      <c r="E449" s="58" t="n"/>
      <c r="F449" s="57" t="n"/>
      <c r="G449" s="59" t="n"/>
      <c r="H449" s="59" t="n"/>
      <c r="I449" s="60">
        <f>IF(OR(G449="",H449=""),"",MOD(H449-G449,1))</f>
        <v/>
      </c>
      <c r="J449" s="61">
        <f>IF(OR(G449="",H449=""),"",ROUND(MOD(H449-G449,1)*24,2))</f>
        <v/>
      </c>
      <c r="K449" s="62">
        <f>IF(E449="","",IF(E449="Werken","JA","NEE"))</f>
        <v/>
      </c>
      <c r="L449" s="61">
        <f>IF(K449="JA",N(J449),IF(E449="","",0))</f>
        <v/>
      </c>
      <c r="M449" s="62">
        <f>IF(AND(A449="",E449=""),"",IF(E449="","Segment ontbreekt",IF(OR(G449="",H449=""),"Van/tot ontbreekt",IF(N(J449)=0,"Duur is nul",IF(N(J449)&gt;12,"Langer dan 12 uur - controleren",IF(AND(E449="Werken",D449=""),"Werken zonder klant - koppelen","OK"))))))</f>
        <v/>
      </c>
    </row>
    <row r="450" ht="15" customHeight="1" s="42">
      <c r="A450" s="55" t="n"/>
      <c r="B450" s="56">
        <f>IF(A450="","",WEEKNUM(A450,21))</f>
        <v/>
      </c>
      <c r="C450" s="57" t="n"/>
      <c r="D450" s="57" t="n"/>
      <c r="E450" s="58" t="n"/>
      <c r="F450" s="57" t="n"/>
      <c r="G450" s="59" t="n"/>
      <c r="H450" s="59" t="n"/>
      <c r="I450" s="60">
        <f>IF(OR(G450="",H450=""),"",MOD(H450-G450,1))</f>
        <v/>
      </c>
      <c r="J450" s="61">
        <f>IF(OR(G450="",H450=""),"",ROUND(MOD(H450-G450,1)*24,2))</f>
        <v/>
      </c>
      <c r="K450" s="62">
        <f>IF(E450="","",IF(E450="Werken","JA","NEE"))</f>
        <v/>
      </c>
      <c r="L450" s="61">
        <f>IF(K450="JA",N(J450),IF(E450="","",0))</f>
        <v/>
      </c>
      <c r="M450" s="62">
        <f>IF(AND(A450="",E450=""),"",IF(E450="","Segment ontbreekt",IF(OR(G450="",H450=""),"Van/tot ontbreekt",IF(N(J450)=0,"Duur is nul",IF(N(J450)&gt;12,"Langer dan 12 uur - controleren",IF(AND(E450="Werken",D450=""),"Werken zonder klant - koppelen","OK"))))))</f>
        <v/>
      </c>
    </row>
    <row r="451" ht="15" customHeight="1" s="42">
      <c r="A451" s="55" t="n"/>
      <c r="B451" s="56">
        <f>IF(A451="","",WEEKNUM(A451,21))</f>
        <v/>
      </c>
      <c r="C451" s="57" t="n"/>
      <c r="D451" s="57" t="n"/>
      <c r="E451" s="58" t="n"/>
      <c r="F451" s="57" t="n"/>
      <c r="G451" s="59" t="n"/>
      <c r="H451" s="59" t="n"/>
      <c r="I451" s="60">
        <f>IF(OR(G451="",H451=""),"",MOD(H451-G451,1))</f>
        <v/>
      </c>
      <c r="J451" s="61">
        <f>IF(OR(G451="",H451=""),"",ROUND(MOD(H451-G451,1)*24,2))</f>
        <v/>
      </c>
      <c r="K451" s="62">
        <f>IF(E451="","",IF(E451="Werken","JA","NEE"))</f>
        <v/>
      </c>
      <c r="L451" s="61">
        <f>IF(K451="JA",N(J451),IF(E451="","",0))</f>
        <v/>
      </c>
      <c r="M451" s="62">
        <f>IF(AND(A451="",E451=""),"",IF(E451="","Segment ontbreekt",IF(OR(G451="",H451=""),"Van/tot ontbreekt",IF(N(J451)=0,"Duur is nul",IF(N(J451)&gt;12,"Langer dan 12 uur - controleren",IF(AND(E451="Werken",D451=""),"Werken zonder klant - koppelen","OK"))))))</f>
        <v/>
      </c>
    </row>
    <row r="452" ht="15" customHeight="1" s="42">
      <c r="A452" s="55" t="n"/>
      <c r="B452" s="56">
        <f>IF(A452="","",WEEKNUM(A452,21))</f>
        <v/>
      </c>
      <c r="C452" s="57" t="n"/>
      <c r="D452" s="57" t="n"/>
      <c r="E452" s="58" t="n"/>
      <c r="F452" s="57" t="n"/>
      <c r="G452" s="59" t="n"/>
      <c r="H452" s="59" t="n"/>
      <c r="I452" s="60">
        <f>IF(OR(G452="",H452=""),"",MOD(H452-G452,1))</f>
        <v/>
      </c>
      <c r="J452" s="61">
        <f>IF(OR(G452="",H452=""),"",ROUND(MOD(H452-G452,1)*24,2))</f>
        <v/>
      </c>
      <c r="K452" s="62">
        <f>IF(E452="","",IF(E452="Werken","JA","NEE"))</f>
        <v/>
      </c>
      <c r="L452" s="61">
        <f>IF(K452="JA",N(J452),IF(E452="","",0))</f>
        <v/>
      </c>
      <c r="M452" s="62">
        <f>IF(AND(A452="",E452=""),"",IF(E452="","Segment ontbreekt",IF(OR(G452="",H452=""),"Van/tot ontbreekt",IF(N(J452)=0,"Duur is nul",IF(N(J452)&gt;12,"Langer dan 12 uur - controleren",IF(AND(E452="Werken",D452=""),"Werken zonder klant - koppelen","OK"))))))</f>
        <v/>
      </c>
    </row>
    <row r="453" ht="15" customHeight="1" s="42">
      <c r="A453" s="55" t="n"/>
      <c r="B453" s="56">
        <f>IF(A453="","",WEEKNUM(A453,21))</f>
        <v/>
      </c>
      <c r="C453" s="57" t="n"/>
      <c r="D453" s="57" t="n"/>
      <c r="E453" s="58" t="n"/>
      <c r="F453" s="57" t="n"/>
      <c r="G453" s="59" t="n"/>
      <c r="H453" s="59" t="n"/>
      <c r="I453" s="60">
        <f>IF(OR(G453="",H453=""),"",MOD(H453-G453,1))</f>
        <v/>
      </c>
      <c r="J453" s="61">
        <f>IF(OR(G453="",H453=""),"",ROUND(MOD(H453-G453,1)*24,2))</f>
        <v/>
      </c>
      <c r="K453" s="62">
        <f>IF(E453="","",IF(E453="Werken","JA","NEE"))</f>
        <v/>
      </c>
      <c r="L453" s="61">
        <f>IF(K453="JA",N(J453),IF(E453="","",0))</f>
        <v/>
      </c>
      <c r="M453" s="62">
        <f>IF(AND(A453="",E453=""),"",IF(E453="","Segment ontbreekt",IF(OR(G453="",H453=""),"Van/tot ontbreekt",IF(N(J453)=0,"Duur is nul",IF(N(J453)&gt;12,"Langer dan 12 uur - controleren",IF(AND(E453="Werken",D453=""),"Werken zonder klant - koppelen","OK"))))))</f>
        <v/>
      </c>
    </row>
    <row r="454" ht="15" customHeight="1" s="42">
      <c r="A454" s="55" t="n"/>
      <c r="B454" s="56">
        <f>IF(A454="","",WEEKNUM(A454,21))</f>
        <v/>
      </c>
      <c r="C454" s="57" t="n"/>
      <c r="D454" s="57" t="n"/>
      <c r="E454" s="58" t="n"/>
      <c r="F454" s="57" t="n"/>
      <c r="G454" s="59" t="n"/>
      <c r="H454" s="59" t="n"/>
      <c r="I454" s="60">
        <f>IF(OR(G454="",H454=""),"",MOD(H454-G454,1))</f>
        <v/>
      </c>
      <c r="J454" s="61">
        <f>IF(OR(G454="",H454=""),"",ROUND(MOD(H454-G454,1)*24,2))</f>
        <v/>
      </c>
      <c r="K454" s="62">
        <f>IF(E454="","",IF(E454="Werken","JA","NEE"))</f>
        <v/>
      </c>
      <c r="L454" s="61">
        <f>IF(K454="JA",N(J454),IF(E454="","",0))</f>
        <v/>
      </c>
      <c r="M454" s="62">
        <f>IF(AND(A454="",E454=""),"",IF(E454="","Segment ontbreekt",IF(OR(G454="",H454=""),"Van/tot ontbreekt",IF(N(J454)=0,"Duur is nul",IF(N(J454)&gt;12,"Langer dan 12 uur - controleren",IF(AND(E454="Werken",D454=""),"Werken zonder klant - koppelen","OK"))))))</f>
        <v/>
      </c>
    </row>
    <row r="455" ht="15" customHeight="1" s="42">
      <c r="A455" s="55" t="n"/>
      <c r="B455" s="56">
        <f>IF(A455="","",WEEKNUM(A455,21))</f>
        <v/>
      </c>
      <c r="C455" s="57" t="n"/>
      <c r="D455" s="57" t="n"/>
      <c r="E455" s="58" t="n"/>
      <c r="F455" s="57" t="n"/>
      <c r="G455" s="59" t="n"/>
      <c r="H455" s="59" t="n"/>
      <c r="I455" s="60">
        <f>IF(OR(G455="",H455=""),"",MOD(H455-G455,1))</f>
        <v/>
      </c>
      <c r="J455" s="61">
        <f>IF(OR(G455="",H455=""),"",ROUND(MOD(H455-G455,1)*24,2))</f>
        <v/>
      </c>
      <c r="K455" s="62">
        <f>IF(E455="","",IF(E455="Werken","JA","NEE"))</f>
        <v/>
      </c>
      <c r="L455" s="61">
        <f>IF(K455="JA",N(J455),IF(E455="","",0))</f>
        <v/>
      </c>
      <c r="M455" s="62">
        <f>IF(AND(A455="",E455=""),"",IF(E455="","Segment ontbreekt",IF(OR(G455="",H455=""),"Van/tot ontbreekt",IF(N(J455)=0,"Duur is nul",IF(N(J455)&gt;12,"Langer dan 12 uur - controleren",IF(AND(E455="Werken",D455=""),"Werken zonder klant - koppelen","OK"))))))</f>
        <v/>
      </c>
    </row>
    <row r="456" ht="15" customHeight="1" s="42">
      <c r="A456" s="55" t="n"/>
      <c r="B456" s="56">
        <f>IF(A456="","",WEEKNUM(A456,21))</f>
        <v/>
      </c>
      <c r="C456" s="57" t="n"/>
      <c r="D456" s="57" t="n"/>
      <c r="E456" s="58" t="n"/>
      <c r="F456" s="57" t="n"/>
      <c r="G456" s="59" t="n"/>
      <c r="H456" s="59" t="n"/>
      <c r="I456" s="60">
        <f>IF(OR(G456="",H456=""),"",MOD(H456-G456,1))</f>
        <v/>
      </c>
      <c r="J456" s="61">
        <f>IF(OR(G456="",H456=""),"",ROUND(MOD(H456-G456,1)*24,2))</f>
        <v/>
      </c>
      <c r="K456" s="62">
        <f>IF(E456="","",IF(E456="Werken","JA","NEE"))</f>
        <v/>
      </c>
      <c r="L456" s="61">
        <f>IF(K456="JA",N(J456),IF(E456="","",0))</f>
        <v/>
      </c>
      <c r="M456" s="62">
        <f>IF(AND(A456="",E456=""),"",IF(E456="","Segment ontbreekt",IF(OR(G456="",H456=""),"Van/tot ontbreekt",IF(N(J456)=0,"Duur is nul",IF(N(J456)&gt;12,"Langer dan 12 uur - controleren",IF(AND(E456="Werken",D456=""),"Werken zonder klant - koppelen","OK"))))))</f>
        <v/>
      </c>
    </row>
    <row r="457" ht="15" customHeight="1" s="42">
      <c r="A457" s="55" t="n"/>
      <c r="B457" s="56">
        <f>IF(A457="","",WEEKNUM(A457,21))</f>
        <v/>
      </c>
      <c r="C457" s="57" t="n"/>
      <c r="D457" s="57" t="n"/>
      <c r="E457" s="58" t="n"/>
      <c r="F457" s="57" t="n"/>
      <c r="G457" s="59" t="n"/>
      <c r="H457" s="59" t="n"/>
      <c r="I457" s="60">
        <f>IF(OR(G457="",H457=""),"",MOD(H457-G457,1))</f>
        <v/>
      </c>
      <c r="J457" s="61">
        <f>IF(OR(G457="",H457=""),"",ROUND(MOD(H457-G457,1)*24,2))</f>
        <v/>
      </c>
      <c r="K457" s="62">
        <f>IF(E457="","",IF(E457="Werken","JA","NEE"))</f>
        <v/>
      </c>
      <c r="L457" s="61">
        <f>IF(K457="JA",N(J457),IF(E457="","",0))</f>
        <v/>
      </c>
      <c r="M457" s="62">
        <f>IF(AND(A457="",E457=""),"",IF(E457="","Segment ontbreekt",IF(OR(G457="",H457=""),"Van/tot ontbreekt",IF(N(J457)=0,"Duur is nul",IF(N(J457)&gt;12,"Langer dan 12 uur - controleren",IF(AND(E457="Werken",D457=""),"Werken zonder klant - koppelen","OK"))))))</f>
        <v/>
      </c>
    </row>
    <row r="458" ht="15" customHeight="1" s="42">
      <c r="A458" s="55" t="n"/>
      <c r="B458" s="56">
        <f>IF(A458="","",WEEKNUM(A458,21))</f>
        <v/>
      </c>
      <c r="C458" s="57" t="n"/>
      <c r="D458" s="57" t="n"/>
      <c r="E458" s="58" t="n"/>
      <c r="F458" s="57" t="n"/>
      <c r="G458" s="59" t="n"/>
      <c r="H458" s="59" t="n"/>
      <c r="I458" s="60">
        <f>IF(OR(G458="",H458=""),"",MOD(H458-G458,1))</f>
        <v/>
      </c>
      <c r="J458" s="61">
        <f>IF(OR(G458="",H458=""),"",ROUND(MOD(H458-G458,1)*24,2))</f>
        <v/>
      </c>
      <c r="K458" s="62">
        <f>IF(E458="","",IF(E458="Werken","JA","NEE"))</f>
        <v/>
      </c>
      <c r="L458" s="61">
        <f>IF(K458="JA",N(J458),IF(E458="","",0))</f>
        <v/>
      </c>
      <c r="M458" s="62">
        <f>IF(AND(A458="",E458=""),"",IF(E458="","Segment ontbreekt",IF(OR(G458="",H458=""),"Van/tot ontbreekt",IF(N(J458)=0,"Duur is nul",IF(N(J458)&gt;12,"Langer dan 12 uur - controleren",IF(AND(E458="Werken",D458=""),"Werken zonder klant - koppelen","OK"))))))</f>
        <v/>
      </c>
    </row>
    <row r="459" ht="15" customHeight="1" s="42">
      <c r="A459" s="55" t="n"/>
      <c r="B459" s="56">
        <f>IF(A459="","",WEEKNUM(A459,21))</f>
        <v/>
      </c>
      <c r="C459" s="57" t="n"/>
      <c r="D459" s="57" t="n"/>
      <c r="E459" s="58" t="n"/>
      <c r="F459" s="57" t="n"/>
      <c r="G459" s="59" t="n"/>
      <c r="H459" s="59" t="n"/>
      <c r="I459" s="60">
        <f>IF(OR(G459="",H459=""),"",MOD(H459-G459,1))</f>
        <v/>
      </c>
      <c r="J459" s="61">
        <f>IF(OR(G459="",H459=""),"",ROUND(MOD(H459-G459,1)*24,2))</f>
        <v/>
      </c>
      <c r="K459" s="62">
        <f>IF(E459="","",IF(E459="Werken","JA","NEE"))</f>
        <v/>
      </c>
      <c r="L459" s="61">
        <f>IF(K459="JA",N(J459),IF(E459="","",0))</f>
        <v/>
      </c>
      <c r="M459" s="62">
        <f>IF(AND(A459="",E459=""),"",IF(E459="","Segment ontbreekt",IF(OR(G459="",H459=""),"Van/tot ontbreekt",IF(N(J459)=0,"Duur is nul",IF(N(J459)&gt;12,"Langer dan 12 uur - controleren",IF(AND(E459="Werken",D459=""),"Werken zonder klant - koppelen","OK"))))))</f>
        <v/>
      </c>
    </row>
    <row r="460" ht="15" customHeight="1" s="42">
      <c r="A460" s="55" t="n"/>
      <c r="B460" s="56">
        <f>IF(A460="","",WEEKNUM(A460,21))</f>
        <v/>
      </c>
      <c r="C460" s="57" t="n"/>
      <c r="D460" s="57" t="n"/>
      <c r="E460" s="58" t="n"/>
      <c r="F460" s="57" t="n"/>
      <c r="G460" s="59" t="n"/>
      <c r="H460" s="59" t="n"/>
      <c r="I460" s="60">
        <f>IF(OR(G460="",H460=""),"",MOD(H460-G460,1))</f>
        <v/>
      </c>
      <c r="J460" s="61">
        <f>IF(OR(G460="",H460=""),"",ROUND(MOD(H460-G460,1)*24,2))</f>
        <v/>
      </c>
      <c r="K460" s="62">
        <f>IF(E460="","",IF(E460="Werken","JA","NEE"))</f>
        <v/>
      </c>
      <c r="L460" s="61">
        <f>IF(K460="JA",N(J460),IF(E460="","",0))</f>
        <v/>
      </c>
      <c r="M460" s="62">
        <f>IF(AND(A460="",E460=""),"",IF(E460="","Segment ontbreekt",IF(OR(G460="",H460=""),"Van/tot ontbreekt",IF(N(J460)=0,"Duur is nul",IF(N(J460)&gt;12,"Langer dan 12 uur - controleren",IF(AND(E460="Werken",D460=""),"Werken zonder klant - koppelen","OK"))))))</f>
        <v/>
      </c>
    </row>
    <row r="461" ht="15" customHeight="1" s="42">
      <c r="A461" s="55" t="n"/>
      <c r="B461" s="56">
        <f>IF(A461="","",WEEKNUM(A461,21))</f>
        <v/>
      </c>
      <c r="C461" s="57" t="n"/>
      <c r="D461" s="57" t="n"/>
      <c r="E461" s="58" t="n"/>
      <c r="F461" s="57" t="n"/>
      <c r="G461" s="59" t="n"/>
      <c r="H461" s="59" t="n"/>
      <c r="I461" s="60">
        <f>IF(OR(G461="",H461=""),"",MOD(H461-G461,1))</f>
        <v/>
      </c>
      <c r="J461" s="61">
        <f>IF(OR(G461="",H461=""),"",ROUND(MOD(H461-G461,1)*24,2))</f>
        <v/>
      </c>
      <c r="K461" s="62">
        <f>IF(E461="","",IF(E461="Werken","JA","NEE"))</f>
        <v/>
      </c>
      <c r="L461" s="61">
        <f>IF(K461="JA",N(J461),IF(E461="","",0))</f>
        <v/>
      </c>
      <c r="M461" s="62">
        <f>IF(AND(A461="",E461=""),"",IF(E461="","Segment ontbreekt",IF(OR(G461="",H461=""),"Van/tot ontbreekt",IF(N(J461)=0,"Duur is nul",IF(N(J461)&gt;12,"Langer dan 12 uur - controleren",IF(AND(E461="Werken",D461=""),"Werken zonder klant - koppelen","OK"))))))</f>
        <v/>
      </c>
    </row>
    <row r="462" ht="15" customHeight="1" s="42">
      <c r="A462" s="55" t="n"/>
      <c r="B462" s="56">
        <f>IF(A462="","",WEEKNUM(A462,21))</f>
        <v/>
      </c>
      <c r="C462" s="57" t="n"/>
      <c r="D462" s="57" t="n"/>
      <c r="E462" s="58" t="n"/>
      <c r="F462" s="57" t="n"/>
      <c r="G462" s="59" t="n"/>
      <c r="H462" s="59" t="n"/>
      <c r="I462" s="60">
        <f>IF(OR(G462="",H462=""),"",MOD(H462-G462,1))</f>
        <v/>
      </c>
      <c r="J462" s="61">
        <f>IF(OR(G462="",H462=""),"",ROUND(MOD(H462-G462,1)*24,2))</f>
        <v/>
      </c>
      <c r="K462" s="62">
        <f>IF(E462="","",IF(E462="Werken","JA","NEE"))</f>
        <v/>
      </c>
      <c r="L462" s="61">
        <f>IF(K462="JA",N(J462),IF(E462="","",0))</f>
        <v/>
      </c>
      <c r="M462" s="62">
        <f>IF(AND(A462="",E462=""),"",IF(E462="","Segment ontbreekt",IF(OR(G462="",H462=""),"Van/tot ontbreekt",IF(N(J462)=0,"Duur is nul",IF(N(J462)&gt;12,"Langer dan 12 uur - controleren",IF(AND(E462="Werken",D462=""),"Werken zonder klant - koppelen","OK"))))))</f>
        <v/>
      </c>
    </row>
    <row r="463" ht="15" customHeight="1" s="42">
      <c r="A463" s="55" t="n"/>
      <c r="B463" s="56">
        <f>IF(A463="","",WEEKNUM(A463,21))</f>
        <v/>
      </c>
      <c r="C463" s="57" t="n"/>
      <c r="D463" s="57" t="n"/>
      <c r="E463" s="58" t="n"/>
      <c r="F463" s="57" t="n"/>
      <c r="G463" s="59" t="n"/>
      <c r="H463" s="59" t="n"/>
      <c r="I463" s="60">
        <f>IF(OR(G463="",H463=""),"",MOD(H463-G463,1))</f>
        <v/>
      </c>
      <c r="J463" s="61">
        <f>IF(OR(G463="",H463=""),"",ROUND(MOD(H463-G463,1)*24,2))</f>
        <v/>
      </c>
      <c r="K463" s="62">
        <f>IF(E463="","",IF(E463="Werken","JA","NEE"))</f>
        <v/>
      </c>
      <c r="L463" s="61">
        <f>IF(K463="JA",N(J463),IF(E463="","",0))</f>
        <v/>
      </c>
      <c r="M463" s="62">
        <f>IF(AND(A463="",E463=""),"",IF(E463="","Segment ontbreekt",IF(OR(G463="",H463=""),"Van/tot ontbreekt",IF(N(J463)=0,"Duur is nul",IF(N(J463)&gt;12,"Langer dan 12 uur - controleren",IF(AND(E463="Werken",D463=""),"Werken zonder klant - koppelen","OK"))))))</f>
        <v/>
      </c>
    </row>
    <row r="464" ht="15" customHeight="1" s="42">
      <c r="A464" s="55" t="n"/>
      <c r="B464" s="56">
        <f>IF(A464="","",WEEKNUM(A464,21))</f>
        <v/>
      </c>
      <c r="C464" s="57" t="n"/>
      <c r="D464" s="57" t="n"/>
      <c r="E464" s="58" t="n"/>
      <c r="F464" s="57" t="n"/>
      <c r="G464" s="59" t="n"/>
      <c r="H464" s="59" t="n"/>
      <c r="I464" s="60">
        <f>IF(OR(G464="",H464=""),"",MOD(H464-G464,1))</f>
        <v/>
      </c>
      <c r="J464" s="61">
        <f>IF(OR(G464="",H464=""),"",ROUND(MOD(H464-G464,1)*24,2))</f>
        <v/>
      </c>
      <c r="K464" s="62">
        <f>IF(E464="","",IF(E464="Werken","JA","NEE"))</f>
        <v/>
      </c>
      <c r="L464" s="61">
        <f>IF(K464="JA",N(J464),IF(E464="","",0))</f>
        <v/>
      </c>
      <c r="M464" s="62">
        <f>IF(AND(A464="",E464=""),"",IF(E464="","Segment ontbreekt",IF(OR(G464="",H464=""),"Van/tot ontbreekt",IF(N(J464)=0,"Duur is nul",IF(N(J464)&gt;12,"Langer dan 12 uur - controleren",IF(AND(E464="Werken",D464=""),"Werken zonder klant - koppelen","OK"))))))</f>
        <v/>
      </c>
    </row>
    <row r="465" ht="15" customHeight="1" s="42">
      <c r="A465" s="55" t="n"/>
      <c r="B465" s="56">
        <f>IF(A465="","",WEEKNUM(A465,21))</f>
        <v/>
      </c>
      <c r="C465" s="57" t="n"/>
      <c r="D465" s="57" t="n"/>
      <c r="E465" s="58" t="n"/>
      <c r="F465" s="57" t="n"/>
      <c r="G465" s="59" t="n"/>
      <c r="H465" s="59" t="n"/>
      <c r="I465" s="60">
        <f>IF(OR(G465="",H465=""),"",MOD(H465-G465,1))</f>
        <v/>
      </c>
      <c r="J465" s="61">
        <f>IF(OR(G465="",H465=""),"",ROUND(MOD(H465-G465,1)*24,2))</f>
        <v/>
      </c>
      <c r="K465" s="62">
        <f>IF(E465="","",IF(E465="Werken","JA","NEE"))</f>
        <v/>
      </c>
      <c r="L465" s="61">
        <f>IF(K465="JA",N(J465),IF(E465="","",0))</f>
        <v/>
      </c>
      <c r="M465" s="62">
        <f>IF(AND(A465="",E465=""),"",IF(E465="","Segment ontbreekt",IF(OR(G465="",H465=""),"Van/tot ontbreekt",IF(N(J465)=0,"Duur is nul",IF(N(J465)&gt;12,"Langer dan 12 uur - controleren",IF(AND(E465="Werken",D465=""),"Werken zonder klant - koppelen","OK"))))))</f>
        <v/>
      </c>
    </row>
    <row r="466" ht="15" customHeight="1" s="42">
      <c r="A466" s="55" t="n"/>
      <c r="B466" s="56">
        <f>IF(A466="","",WEEKNUM(A466,21))</f>
        <v/>
      </c>
      <c r="C466" s="57" t="n"/>
      <c r="D466" s="57" t="n"/>
      <c r="E466" s="58" t="n"/>
      <c r="F466" s="57" t="n"/>
      <c r="G466" s="59" t="n"/>
      <c r="H466" s="59" t="n"/>
      <c r="I466" s="60">
        <f>IF(OR(G466="",H466=""),"",MOD(H466-G466,1))</f>
        <v/>
      </c>
      <c r="J466" s="61">
        <f>IF(OR(G466="",H466=""),"",ROUND(MOD(H466-G466,1)*24,2))</f>
        <v/>
      </c>
      <c r="K466" s="62">
        <f>IF(E466="","",IF(E466="Werken","JA","NEE"))</f>
        <v/>
      </c>
      <c r="L466" s="61">
        <f>IF(K466="JA",N(J466),IF(E466="","",0))</f>
        <v/>
      </c>
      <c r="M466" s="62">
        <f>IF(AND(A466="",E466=""),"",IF(E466="","Segment ontbreekt",IF(OR(G466="",H466=""),"Van/tot ontbreekt",IF(N(J466)=0,"Duur is nul",IF(N(J466)&gt;12,"Langer dan 12 uur - controleren",IF(AND(E466="Werken",D466=""),"Werken zonder klant - koppelen","OK"))))))</f>
        <v/>
      </c>
    </row>
    <row r="467" ht="15" customHeight="1" s="42">
      <c r="A467" s="55" t="n"/>
      <c r="B467" s="56">
        <f>IF(A467="","",WEEKNUM(A467,21))</f>
        <v/>
      </c>
      <c r="C467" s="57" t="n"/>
      <c r="D467" s="57" t="n"/>
      <c r="E467" s="58" t="n"/>
      <c r="F467" s="57" t="n"/>
      <c r="G467" s="59" t="n"/>
      <c r="H467" s="59" t="n"/>
      <c r="I467" s="60">
        <f>IF(OR(G467="",H467=""),"",MOD(H467-G467,1))</f>
        <v/>
      </c>
      <c r="J467" s="61">
        <f>IF(OR(G467="",H467=""),"",ROUND(MOD(H467-G467,1)*24,2))</f>
        <v/>
      </c>
      <c r="K467" s="62">
        <f>IF(E467="","",IF(E467="Werken","JA","NEE"))</f>
        <v/>
      </c>
      <c r="L467" s="61">
        <f>IF(K467="JA",N(J467),IF(E467="","",0))</f>
        <v/>
      </c>
      <c r="M467" s="62">
        <f>IF(AND(A467="",E467=""),"",IF(E467="","Segment ontbreekt",IF(OR(G467="",H467=""),"Van/tot ontbreekt",IF(N(J467)=0,"Duur is nul",IF(N(J467)&gt;12,"Langer dan 12 uur - controleren",IF(AND(E467="Werken",D467=""),"Werken zonder klant - koppelen","OK"))))))</f>
        <v/>
      </c>
    </row>
    <row r="468" ht="15" customHeight="1" s="42">
      <c r="A468" s="55" t="n"/>
      <c r="B468" s="56">
        <f>IF(A468="","",WEEKNUM(A468,21))</f>
        <v/>
      </c>
      <c r="C468" s="57" t="n"/>
      <c r="D468" s="57" t="n"/>
      <c r="E468" s="58" t="n"/>
      <c r="F468" s="57" t="n"/>
      <c r="G468" s="59" t="n"/>
      <c r="H468" s="59" t="n"/>
      <c r="I468" s="60">
        <f>IF(OR(G468="",H468=""),"",MOD(H468-G468,1))</f>
        <v/>
      </c>
      <c r="J468" s="61">
        <f>IF(OR(G468="",H468=""),"",ROUND(MOD(H468-G468,1)*24,2))</f>
        <v/>
      </c>
      <c r="K468" s="62">
        <f>IF(E468="","",IF(E468="Werken","JA","NEE"))</f>
        <v/>
      </c>
      <c r="L468" s="61">
        <f>IF(K468="JA",N(J468),IF(E468="","",0))</f>
        <v/>
      </c>
      <c r="M468" s="62">
        <f>IF(AND(A468="",E468=""),"",IF(E468="","Segment ontbreekt",IF(OR(G468="",H468=""),"Van/tot ontbreekt",IF(N(J468)=0,"Duur is nul",IF(N(J468)&gt;12,"Langer dan 12 uur - controleren",IF(AND(E468="Werken",D468=""),"Werken zonder klant - koppelen","OK"))))))</f>
        <v/>
      </c>
    </row>
    <row r="469" ht="15" customHeight="1" s="42">
      <c r="A469" s="55" t="n"/>
      <c r="B469" s="56">
        <f>IF(A469="","",WEEKNUM(A469,21))</f>
        <v/>
      </c>
      <c r="C469" s="57" t="n"/>
      <c r="D469" s="57" t="n"/>
      <c r="E469" s="58" t="n"/>
      <c r="F469" s="57" t="n"/>
      <c r="G469" s="59" t="n"/>
      <c r="H469" s="59" t="n"/>
      <c r="I469" s="60">
        <f>IF(OR(G469="",H469=""),"",MOD(H469-G469,1))</f>
        <v/>
      </c>
      <c r="J469" s="61">
        <f>IF(OR(G469="",H469=""),"",ROUND(MOD(H469-G469,1)*24,2))</f>
        <v/>
      </c>
      <c r="K469" s="62">
        <f>IF(E469="","",IF(E469="Werken","JA","NEE"))</f>
        <v/>
      </c>
      <c r="L469" s="61">
        <f>IF(K469="JA",N(J469),IF(E469="","",0))</f>
        <v/>
      </c>
      <c r="M469" s="62">
        <f>IF(AND(A469="",E469=""),"",IF(E469="","Segment ontbreekt",IF(OR(G469="",H469=""),"Van/tot ontbreekt",IF(N(J469)=0,"Duur is nul",IF(N(J469)&gt;12,"Langer dan 12 uur - controleren",IF(AND(E469="Werken",D469=""),"Werken zonder klant - koppelen","OK"))))))</f>
        <v/>
      </c>
    </row>
    <row r="470" ht="15" customHeight="1" s="42">
      <c r="A470" s="55" t="n"/>
      <c r="B470" s="56">
        <f>IF(A470="","",WEEKNUM(A470,21))</f>
        <v/>
      </c>
      <c r="C470" s="57" t="n"/>
      <c r="D470" s="57" t="n"/>
      <c r="E470" s="58" t="n"/>
      <c r="F470" s="57" t="n"/>
      <c r="G470" s="59" t="n"/>
      <c r="H470" s="59" t="n"/>
      <c r="I470" s="60">
        <f>IF(OR(G470="",H470=""),"",MOD(H470-G470,1))</f>
        <v/>
      </c>
      <c r="J470" s="61">
        <f>IF(OR(G470="",H470=""),"",ROUND(MOD(H470-G470,1)*24,2))</f>
        <v/>
      </c>
      <c r="K470" s="62">
        <f>IF(E470="","",IF(E470="Werken","JA","NEE"))</f>
        <v/>
      </c>
      <c r="L470" s="61">
        <f>IF(K470="JA",N(J470),IF(E470="","",0))</f>
        <v/>
      </c>
      <c r="M470" s="62">
        <f>IF(AND(A470="",E470=""),"",IF(E470="","Segment ontbreekt",IF(OR(G470="",H470=""),"Van/tot ontbreekt",IF(N(J470)=0,"Duur is nul",IF(N(J470)&gt;12,"Langer dan 12 uur - controleren",IF(AND(E470="Werken",D470=""),"Werken zonder klant - koppelen","OK"))))))</f>
        <v/>
      </c>
    </row>
    <row r="471" ht="15" customHeight="1" s="42">
      <c r="A471" s="55" t="n"/>
      <c r="B471" s="56">
        <f>IF(A471="","",WEEKNUM(A471,21))</f>
        <v/>
      </c>
      <c r="C471" s="57" t="n"/>
      <c r="D471" s="57" t="n"/>
      <c r="E471" s="58" t="n"/>
      <c r="F471" s="57" t="n"/>
      <c r="G471" s="59" t="n"/>
      <c r="H471" s="59" t="n"/>
      <c r="I471" s="60">
        <f>IF(OR(G471="",H471=""),"",MOD(H471-G471,1))</f>
        <v/>
      </c>
      <c r="J471" s="61">
        <f>IF(OR(G471="",H471=""),"",ROUND(MOD(H471-G471,1)*24,2))</f>
        <v/>
      </c>
      <c r="K471" s="62">
        <f>IF(E471="","",IF(E471="Werken","JA","NEE"))</f>
        <v/>
      </c>
      <c r="L471" s="61">
        <f>IF(K471="JA",N(J471),IF(E471="","",0))</f>
        <v/>
      </c>
      <c r="M471" s="62">
        <f>IF(AND(A471="",E471=""),"",IF(E471="","Segment ontbreekt",IF(OR(G471="",H471=""),"Van/tot ontbreekt",IF(N(J471)=0,"Duur is nul",IF(N(J471)&gt;12,"Langer dan 12 uur - controleren",IF(AND(E471="Werken",D471=""),"Werken zonder klant - koppelen","OK"))))))</f>
        <v/>
      </c>
    </row>
    <row r="472" ht="15" customHeight="1" s="42">
      <c r="A472" s="55" t="n"/>
      <c r="B472" s="56">
        <f>IF(A472="","",WEEKNUM(A472,21))</f>
        <v/>
      </c>
      <c r="C472" s="57" t="n"/>
      <c r="D472" s="57" t="n"/>
      <c r="E472" s="58" t="n"/>
      <c r="F472" s="57" t="n"/>
      <c r="G472" s="59" t="n"/>
      <c r="H472" s="59" t="n"/>
      <c r="I472" s="60">
        <f>IF(OR(G472="",H472=""),"",MOD(H472-G472,1))</f>
        <v/>
      </c>
      <c r="J472" s="61">
        <f>IF(OR(G472="",H472=""),"",ROUND(MOD(H472-G472,1)*24,2))</f>
        <v/>
      </c>
      <c r="K472" s="62">
        <f>IF(E472="","",IF(E472="Werken","JA","NEE"))</f>
        <v/>
      </c>
      <c r="L472" s="61">
        <f>IF(K472="JA",N(J472),IF(E472="","",0))</f>
        <v/>
      </c>
      <c r="M472" s="62">
        <f>IF(AND(A472="",E472=""),"",IF(E472="","Segment ontbreekt",IF(OR(G472="",H472=""),"Van/tot ontbreekt",IF(N(J472)=0,"Duur is nul",IF(N(J472)&gt;12,"Langer dan 12 uur - controleren",IF(AND(E472="Werken",D472=""),"Werken zonder klant - koppelen","OK"))))))</f>
        <v/>
      </c>
    </row>
    <row r="473" ht="15" customHeight="1" s="42">
      <c r="A473" s="55" t="n"/>
      <c r="B473" s="56">
        <f>IF(A473="","",WEEKNUM(A473,21))</f>
        <v/>
      </c>
      <c r="C473" s="57" t="n"/>
      <c r="D473" s="57" t="n"/>
      <c r="E473" s="58" t="n"/>
      <c r="F473" s="57" t="n"/>
      <c r="G473" s="59" t="n"/>
      <c r="H473" s="59" t="n"/>
      <c r="I473" s="60">
        <f>IF(OR(G473="",H473=""),"",MOD(H473-G473,1))</f>
        <v/>
      </c>
      <c r="J473" s="61">
        <f>IF(OR(G473="",H473=""),"",ROUND(MOD(H473-G473,1)*24,2))</f>
        <v/>
      </c>
      <c r="K473" s="62">
        <f>IF(E473="","",IF(E473="Werken","JA","NEE"))</f>
        <v/>
      </c>
      <c r="L473" s="61">
        <f>IF(K473="JA",N(J473),IF(E473="","",0))</f>
        <v/>
      </c>
      <c r="M473" s="62">
        <f>IF(AND(A473="",E473=""),"",IF(E473="","Segment ontbreekt",IF(OR(G473="",H473=""),"Van/tot ontbreekt",IF(N(J473)=0,"Duur is nul",IF(N(J473)&gt;12,"Langer dan 12 uur - controleren",IF(AND(E473="Werken",D473=""),"Werken zonder klant - koppelen","OK"))))))</f>
        <v/>
      </c>
    </row>
    <row r="474" ht="15" customHeight="1" s="42">
      <c r="A474" s="55" t="n"/>
      <c r="B474" s="56">
        <f>IF(A474="","",WEEKNUM(A474,21))</f>
        <v/>
      </c>
      <c r="C474" s="57" t="n"/>
      <c r="D474" s="57" t="n"/>
      <c r="E474" s="58" t="n"/>
      <c r="F474" s="57" t="n"/>
      <c r="G474" s="59" t="n"/>
      <c r="H474" s="59" t="n"/>
      <c r="I474" s="60">
        <f>IF(OR(G474="",H474=""),"",MOD(H474-G474,1))</f>
        <v/>
      </c>
      <c r="J474" s="61">
        <f>IF(OR(G474="",H474=""),"",ROUND(MOD(H474-G474,1)*24,2))</f>
        <v/>
      </c>
      <c r="K474" s="62">
        <f>IF(E474="","",IF(E474="Werken","JA","NEE"))</f>
        <v/>
      </c>
      <c r="L474" s="61">
        <f>IF(K474="JA",N(J474),IF(E474="","",0))</f>
        <v/>
      </c>
      <c r="M474" s="62">
        <f>IF(AND(A474="",E474=""),"",IF(E474="","Segment ontbreekt",IF(OR(G474="",H474=""),"Van/tot ontbreekt",IF(N(J474)=0,"Duur is nul",IF(N(J474)&gt;12,"Langer dan 12 uur - controleren",IF(AND(E474="Werken",D474=""),"Werken zonder klant - koppelen","OK"))))))</f>
        <v/>
      </c>
    </row>
    <row r="475" ht="15" customHeight="1" s="42">
      <c r="A475" s="55" t="n"/>
      <c r="B475" s="56">
        <f>IF(A475="","",WEEKNUM(A475,21))</f>
        <v/>
      </c>
      <c r="C475" s="57" t="n"/>
      <c r="D475" s="57" t="n"/>
      <c r="E475" s="58" t="n"/>
      <c r="F475" s="57" t="n"/>
      <c r="G475" s="59" t="n"/>
      <c r="H475" s="59" t="n"/>
      <c r="I475" s="60">
        <f>IF(OR(G475="",H475=""),"",MOD(H475-G475,1))</f>
        <v/>
      </c>
      <c r="J475" s="61">
        <f>IF(OR(G475="",H475=""),"",ROUND(MOD(H475-G475,1)*24,2))</f>
        <v/>
      </c>
      <c r="K475" s="62">
        <f>IF(E475="","",IF(E475="Werken","JA","NEE"))</f>
        <v/>
      </c>
      <c r="L475" s="61">
        <f>IF(K475="JA",N(J475),IF(E475="","",0))</f>
        <v/>
      </c>
      <c r="M475" s="62">
        <f>IF(AND(A475="",E475=""),"",IF(E475="","Segment ontbreekt",IF(OR(G475="",H475=""),"Van/tot ontbreekt",IF(N(J475)=0,"Duur is nul",IF(N(J475)&gt;12,"Langer dan 12 uur - controleren",IF(AND(E475="Werken",D475=""),"Werken zonder klant - koppelen","OK"))))))</f>
        <v/>
      </c>
    </row>
    <row r="476" ht="15" customHeight="1" s="42">
      <c r="A476" s="55" t="n"/>
      <c r="B476" s="56">
        <f>IF(A476="","",WEEKNUM(A476,21))</f>
        <v/>
      </c>
      <c r="C476" s="57" t="n"/>
      <c r="D476" s="57" t="n"/>
      <c r="E476" s="58" t="n"/>
      <c r="F476" s="57" t="n"/>
      <c r="G476" s="59" t="n"/>
      <c r="H476" s="59" t="n"/>
      <c r="I476" s="60">
        <f>IF(OR(G476="",H476=""),"",MOD(H476-G476,1))</f>
        <v/>
      </c>
      <c r="J476" s="61">
        <f>IF(OR(G476="",H476=""),"",ROUND(MOD(H476-G476,1)*24,2))</f>
        <v/>
      </c>
      <c r="K476" s="62">
        <f>IF(E476="","",IF(E476="Werken","JA","NEE"))</f>
        <v/>
      </c>
      <c r="L476" s="61">
        <f>IF(K476="JA",N(J476),IF(E476="","",0))</f>
        <v/>
      </c>
      <c r="M476" s="62">
        <f>IF(AND(A476="",E476=""),"",IF(E476="","Segment ontbreekt",IF(OR(G476="",H476=""),"Van/tot ontbreekt",IF(N(J476)=0,"Duur is nul",IF(N(J476)&gt;12,"Langer dan 12 uur - controleren",IF(AND(E476="Werken",D476=""),"Werken zonder klant - koppelen","OK"))))))</f>
        <v/>
      </c>
    </row>
    <row r="477" ht="15" customHeight="1" s="42">
      <c r="A477" s="55" t="n"/>
      <c r="B477" s="56">
        <f>IF(A477="","",WEEKNUM(A477,21))</f>
        <v/>
      </c>
      <c r="C477" s="57" t="n"/>
      <c r="D477" s="57" t="n"/>
      <c r="E477" s="58" t="n"/>
      <c r="F477" s="57" t="n"/>
      <c r="G477" s="59" t="n"/>
      <c r="H477" s="59" t="n"/>
      <c r="I477" s="60">
        <f>IF(OR(G477="",H477=""),"",MOD(H477-G477,1))</f>
        <v/>
      </c>
      <c r="J477" s="61">
        <f>IF(OR(G477="",H477=""),"",ROUND(MOD(H477-G477,1)*24,2))</f>
        <v/>
      </c>
      <c r="K477" s="62">
        <f>IF(E477="","",IF(E477="Werken","JA","NEE"))</f>
        <v/>
      </c>
      <c r="L477" s="61">
        <f>IF(K477="JA",N(J477),IF(E477="","",0))</f>
        <v/>
      </c>
      <c r="M477" s="62">
        <f>IF(AND(A477="",E477=""),"",IF(E477="","Segment ontbreekt",IF(OR(G477="",H477=""),"Van/tot ontbreekt",IF(N(J477)=0,"Duur is nul",IF(N(J477)&gt;12,"Langer dan 12 uur - controleren",IF(AND(E477="Werken",D477=""),"Werken zonder klant - koppelen","OK"))))))</f>
        <v/>
      </c>
    </row>
    <row r="478" ht="15" customHeight="1" s="42">
      <c r="A478" s="55" t="n"/>
      <c r="B478" s="56">
        <f>IF(A478="","",WEEKNUM(A478,21))</f>
        <v/>
      </c>
      <c r="C478" s="57" t="n"/>
      <c r="D478" s="57" t="n"/>
      <c r="E478" s="58" t="n"/>
      <c r="F478" s="57" t="n"/>
      <c r="G478" s="59" t="n"/>
      <c r="H478" s="59" t="n"/>
      <c r="I478" s="60">
        <f>IF(OR(G478="",H478=""),"",MOD(H478-G478,1))</f>
        <v/>
      </c>
      <c r="J478" s="61">
        <f>IF(OR(G478="",H478=""),"",ROUND(MOD(H478-G478,1)*24,2))</f>
        <v/>
      </c>
      <c r="K478" s="62">
        <f>IF(E478="","",IF(E478="Werken","JA","NEE"))</f>
        <v/>
      </c>
      <c r="L478" s="61">
        <f>IF(K478="JA",N(J478),IF(E478="","",0))</f>
        <v/>
      </c>
      <c r="M478" s="62">
        <f>IF(AND(A478="",E478=""),"",IF(E478="","Segment ontbreekt",IF(OR(G478="",H478=""),"Van/tot ontbreekt",IF(N(J478)=0,"Duur is nul",IF(N(J478)&gt;12,"Langer dan 12 uur - controleren",IF(AND(E478="Werken",D478=""),"Werken zonder klant - koppelen","OK"))))))</f>
        <v/>
      </c>
    </row>
    <row r="479" ht="15" customHeight="1" s="42">
      <c r="A479" s="55" t="n"/>
      <c r="B479" s="56">
        <f>IF(A479="","",WEEKNUM(A479,21))</f>
        <v/>
      </c>
      <c r="C479" s="57" t="n"/>
      <c r="D479" s="57" t="n"/>
      <c r="E479" s="58" t="n"/>
      <c r="F479" s="57" t="n"/>
      <c r="G479" s="59" t="n"/>
      <c r="H479" s="59" t="n"/>
      <c r="I479" s="60">
        <f>IF(OR(G479="",H479=""),"",MOD(H479-G479,1))</f>
        <v/>
      </c>
      <c r="J479" s="61">
        <f>IF(OR(G479="",H479=""),"",ROUND(MOD(H479-G479,1)*24,2))</f>
        <v/>
      </c>
      <c r="K479" s="62">
        <f>IF(E479="","",IF(E479="Werken","JA","NEE"))</f>
        <v/>
      </c>
      <c r="L479" s="61">
        <f>IF(K479="JA",N(J479),IF(E479="","",0))</f>
        <v/>
      </c>
      <c r="M479" s="62">
        <f>IF(AND(A479="",E479=""),"",IF(E479="","Segment ontbreekt",IF(OR(G479="",H479=""),"Van/tot ontbreekt",IF(N(J479)=0,"Duur is nul",IF(N(J479)&gt;12,"Langer dan 12 uur - controleren",IF(AND(E479="Werken",D479=""),"Werken zonder klant - koppelen","OK"))))))</f>
        <v/>
      </c>
    </row>
    <row r="480" ht="15" customHeight="1" s="42">
      <c r="A480" s="55" t="n"/>
      <c r="B480" s="56">
        <f>IF(A480="","",WEEKNUM(A480,21))</f>
        <v/>
      </c>
      <c r="C480" s="57" t="n"/>
      <c r="D480" s="57" t="n"/>
      <c r="E480" s="58" t="n"/>
      <c r="F480" s="57" t="n"/>
      <c r="G480" s="59" t="n"/>
      <c r="H480" s="59" t="n"/>
      <c r="I480" s="60">
        <f>IF(OR(G480="",H480=""),"",MOD(H480-G480,1))</f>
        <v/>
      </c>
      <c r="J480" s="61">
        <f>IF(OR(G480="",H480=""),"",ROUND(MOD(H480-G480,1)*24,2))</f>
        <v/>
      </c>
      <c r="K480" s="62">
        <f>IF(E480="","",IF(E480="Werken","JA","NEE"))</f>
        <v/>
      </c>
      <c r="L480" s="61">
        <f>IF(K480="JA",N(J480),IF(E480="","",0))</f>
        <v/>
      </c>
      <c r="M480" s="62">
        <f>IF(AND(A480="",E480=""),"",IF(E480="","Segment ontbreekt",IF(OR(G480="",H480=""),"Van/tot ontbreekt",IF(N(J480)=0,"Duur is nul",IF(N(J480)&gt;12,"Langer dan 12 uur - controleren",IF(AND(E480="Werken",D480=""),"Werken zonder klant - koppelen","OK"))))))</f>
        <v/>
      </c>
    </row>
    <row r="481" ht="15" customHeight="1" s="42">
      <c r="A481" s="55" t="n"/>
      <c r="B481" s="56">
        <f>IF(A481="","",WEEKNUM(A481,21))</f>
        <v/>
      </c>
      <c r="C481" s="57" t="n"/>
      <c r="D481" s="57" t="n"/>
      <c r="E481" s="58" t="n"/>
      <c r="F481" s="57" t="n"/>
      <c r="G481" s="59" t="n"/>
      <c r="H481" s="59" t="n"/>
      <c r="I481" s="60">
        <f>IF(OR(G481="",H481=""),"",MOD(H481-G481,1))</f>
        <v/>
      </c>
      <c r="J481" s="61">
        <f>IF(OR(G481="",H481=""),"",ROUND(MOD(H481-G481,1)*24,2))</f>
        <v/>
      </c>
      <c r="K481" s="62">
        <f>IF(E481="","",IF(E481="Werken","JA","NEE"))</f>
        <v/>
      </c>
      <c r="L481" s="61">
        <f>IF(K481="JA",N(J481),IF(E481="","",0))</f>
        <v/>
      </c>
      <c r="M481" s="62">
        <f>IF(AND(A481="",E481=""),"",IF(E481="","Segment ontbreekt",IF(OR(G481="",H481=""),"Van/tot ontbreekt",IF(N(J481)=0,"Duur is nul",IF(N(J481)&gt;12,"Langer dan 12 uur - controleren",IF(AND(E481="Werken",D481=""),"Werken zonder klant - koppelen","OK"))))))</f>
        <v/>
      </c>
    </row>
    <row r="482" ht="15" customHeight="1" s="42">
      <c r="A482" s="55" t="n"/>
      <c r="B482" s="56">
        <f>IF(A482="","",WEEKNUM(A482,21))</f>
        <v/>
      </c>
      <c r="C482" s="57" t="n"/>
      <c r="D482" s="57" t="n"/>
      <c r="E482" s="58" t="n"/>
      <c r="F482" s="57" t="n"/>
      <c r="G482" s="59" t="n"/>
      <c r="H482" s="59" t="n"/>
      <c r="I482" s="60">
        <f>IF(OR(G482="",H482=""),"",MOD(H482-G482,1))</f>
        <v/>
      </c>
      <c r="J482" s="61">
        <f>IF(OR(G482="",H482=""),"",ROUND(MOD(H482-G482,1)*24,2))</f>
        <v/>
      </c>
      <c r="K482" s="62">
        <f>IF(E482="","",IF(E482="Werken","JA","NEE"))</f>
        <v/>
      </c>
      <c r="L482" s="61">
        <f>IF(K482="JA",N(J482),IF(E482="","",0))</f>
        <v/>
      </c>
      <c r="M482" s="62">
        <f>IF(AND(A482="",E482=""),"",IF(E482="","Segment ontbreekt",IF(OR(G482="",H482=""),"Van/tot ontbreekt",IF(N(J482)=0,"Duur is nul",IF(N(J482)&gt;12,"Langer dan 12 uur - controleren",IF(AND(E482="Werken",D482=""),"Werken zonder klant - koppelen","OK"))))))</f>
        <v/>
      </c>
    </row>
    <row r="483" ht="15" customHeight="1" s="42">
      <c r="A483" s="55" t="n"/>
      <c r="B483" s="56">
        <f>IF(A483="","",WEEKNUM(A483,21))</f>
        <v/>
      </c>
      <c r="C483" s="57" t="n"/>
      <c r="D483" s="57" t="n"/>
      <c r="E483" s="58" t="n"/>
      <c r="F483" s="57" t="n"/>
      <c r="G483" s="59" t="n"/>
      <c r="H483" s="59" t="n"/>
      <c r="I483" s="60">
        <f>IF(OR(G483="",H483=""),"",MOD(H483-G483,1))</f>
        <v/>
      </c>
      <c r="J483" s="61">
        <f>IF(OR(G483="",H483=""),"",ROUND(MOD(H483-G483,1)*24,2))</f>
        <v/>
      </c>
      <c r="K483" s="62">
        <f>IF(E483="","",IF(E483="Werken","JA","NEE"))</f>
        <v/>
      </c>
      <c r="L483" s="61">
        <f>IF(K483="JA",N(J483),IF(E483="","",0))</f>
        <v/>
      </c>
      <c r="M483" s="62">
        <f>IF(AND(A483="",E483=""),"",IF(E483="","Segment ontbreekt",IF(OR(G483="",H483=""),"Van/tot ontbreekt",IF(N(J483)=0,"Duur is nul",IF(N(J483)&gt;12,"Langer dan 12 uur - controleren",IF(AND(E483="Werken",D483=""),"Werken zonder klant - koppelen","OK"))))))</f>
        <v/>
      </c>
    </row>
    <row r="484" ht="15" customHeight="1" s="42">
      <c r="A484" s="55" t="n"/>
      <c r="B484" s="56">
        <f>IF(A484="","",WEEKNUM(A484,21))</f>
        <v/>
      </c>
      <c r="C484" s="57" t="n"/>
      <c r="D484" s="57" t="n"/>
      <c r="E484" s="58" t="n"/>
      <c r="F484" s="57" t="n"/>
      <c r="G484" s="59" t="n"/>
      <c r="H484" s="59" t="n"/>
      <c r="I484" s="60">
        <f>IF(OR(G484="",H484=""),"",MOD(H484-G484,1))</f>
        <v/>
      </c>
      <c r="J484" s="61">
        <f>IF(OR(G484="",H484=""),"",ROUND(MOD(H484-G484,1)*24,2))</f>
        <v/>
      </c>
      <c r="K484" s="62">
        <f>IF(E484="","",IF(E484="Werken","JA","NEE"))</f>
        <v/>
      </c>
      <c r="L484" s="61">
        <f>IF(K484="JA",N(J484),IF(E484="","",0))</f>
        <v/>
      </c>
      <c r="M484" s="62">
        <f>IF(AND(A484="",E484=""),"",IF(E484="","Segment ontbreekt",IF(OR(G484="",H484=""),"Van/tot ontbreekt",IF(N(J484)=0,"Duur is nul",IF(N(J484)&gt;12,"Langer dan 12 uur - controleren",IF(AND(E484="Werken",D484=""),"Werken zonder klant - koppelen","OK"))))))</f>
        <v/>
      </c>
    </row>
    <row r="485" ht="15" customHeight="1" s="42">
      <c r="A485" s="55" t="n"/>
      <c r="B485" s="56">
        <f>IF(A485="","",WEEKNUM(A485,21))</f>
        <v/>
      </c>
      <c r="C485" s="57" t="n"/>
      <c r="D485" s="57" t="n"/>
      <c r="E485" s="58" t="n"/>
      <c r="F485" s="57" t="n"/>
      <c r="G485" s="59" t="n"/>
      <c r="H485" s="59" t="n"/>
      <c r="I485" s="60">
        <f>IF(OR(G485="",H485=""),"",MOD(H485-G485,1))</f>
        <v/>
      </c>
      <c r="J485" s="61">
        <f>IF(OR(G485="",H485=""),"",ROUND(MOD(H485-G485,1)*24,2))</f>
        <v/>
      </c>
      <c r="K485" s="62">
        <f>IF(E485="","",IF(E485="Werken","JA","NEE"))</f>
        <v/>
      </c>
      <c r="L485" s="61">
        <f>IF(K485="JA",N(J485),IF(E485="","",0))</f>
        <v/>
      </c>
      <c r="M485" s="62">
        <f>IF(AND(A485="",E485=""),"",IF(E485="","Segment ontbreekt",IF(OR(G485="",H485=""),"Van/tot ontbreekt",IF(N(J485)=0,"Duur is nul",IF(N(J485)&gt;12,"Langer dan 12 uur - controleren",IF(AND(E485="Werken",D485=""),"Werken zonder klant - koppelen","OK"))))))</f>
        <v/>
      </c>
    </row>
    <row r="486" ht="15" customHeight="1" s="42">
      <c r="A486" s="55" t="n"/>
      <c r="B486" s="56">
        <f>IF(A486="","",WEEKNUM(A486,21))</f>
        <v/>
      </c>
      <c r="C486" s="57" t="n"/>
      <c r="D486" s="57" t="n"/>
      <c r="E486" s="58" t="n"/>
      <c r="F486" s="57" t="n"/>
      <c r="G486" s="59" t="n"/>
      <c r="H486" s="59" t="n"/>
      <c r="I486" s="60">
        <f>IF(OR(G486="",H486=""),"",MOD(H486-G486,1))</f>
        <v/>
      </c>
      <c r="J486" s="61">
        <f>IF(OR(G486="",H486=""),"",ROUND(MOD(H486-G486,1)*24,2))</f>
        <v/>
      </c>
      <c r="K486" s="62">
        <f>IF(E486="","",IF(E486="Werken","JA","NEE"))</f>
        <v/>
      </c>
      <c r="L486" s="61">
        <f>IF(K486="JA",N(J486),IF(E486="","",0))</f>
        <v/>
      </c>
      <c r="M486" s="62">
        <f>IF(AND(A486="",E486=""),"",IF(E486="","Segment ontbreekt",IF(OR(G486="",H486=""),"Van/tot ontbreekt",IF(N(J486)=0,"Duur is nul",IF(N(J486)&gt;12,"Langer dan 12 uur - controleren",IF(AND(E486="Werken",D486=""),"Werken zonder klant - koppelen","OK"))))))</f>
        <v/>
      </c>
    </row>
    <row r="487" ht="15" customHeight="1" s="42">
      <c r="A487" s="55" t="n"/>
      <c r="B487" s="56">
        <f>IF(A487="","",WEEKNUM(A487,21))</f>
        <v/>
      </c>
      <c r="C487" s="57" t="n"/>
      <c r="D487" s="57" t="n"/>
      <c r="E487" s="58" t="n"/>
      <c r="F487" s="57" t="n"/>
      <c r="G487" s="59" t="n"/>
      <c r="H487" s="59" t="n"/>
      <c r="I487" s="60">
        <f>IF(OR(G487="",H487=""),"",MOD(H487-G487,1))</f>
        <v/>
      </c>
      <c r="J487" s="61">
        <f>IF(OR(G487="",H487=""),"",ROUND(MOD(H487-G487,1)*24,2))</f>
        <v/>
      </c>
      <c r="K487" s="62">
        <f>IF(E487="","",IF(E487="Werken","JA","NEE"))</f>
        <v/>
      </c>
      <c r="L487" s="61">
        <f>IF(K487="JA",N(J487),IF(E487="","",0))</f>
        <v/>
      </c>
      <c r="M487" s="62">
        <f>IF(AND(A487="",E487=""),"",IF(E487="","Segment ontbreekt",IF(OR(G487="",H487=""),"Van/tot ontbreekt",IF(N(J487)=0,"Duur is nul",IF(N(J487)&gt;12,"Langer dan 12 uur - controleren",IF(AND(E487="Werken",D487=""),"Werken zonder klant - koppelen","OK"))))))</f>
        <v/>
      </c>
    </row>
    <row r="488" ht="15" customHeight="1" s="42">
      <c r="A488" s="55" t="n"/>
      <c r="B488" s="56">
        <f>IF(A488="","",WEEKNUM(A488,21))</f>
        <v/>
      </c>
      <c r="C488" s="57" t="n"/>
      <c r="D488" s="57" t="n"/>
      <c r="E488" s="58" t="n"/>
      <c r="F488" s="57" t="n"/>
      <c r="G488" s="59" t="n"/>
      <c r="H488" s="59" t="n"/>
      <c r="I488" s="60">
        <f>IF(OR(G488="",H488=""),"",MOD(H488-G488,1))</f>
        <v/>
      </c>
      <c r="J488" s="61">
        <f>IF(OR(G488="",H488=""),"",ROUND(MOD(H488-G488,1)*24,2))</f>
        <v/>
      </c>
      <c r="K488" s="62">
        <f>IF(E488="","",IF(E488="Werken","JA","NEE"))</f>
        <v/>
      </c>
      <c r="L488" s="61">
        <f>IF(K488="JA",N(J488),IF(E488="","",0))</f>
        <v/>
      </c>
      <c r="M488" s="62">
        <f>IF(AND(A488="",E488=""),"",IF(E488="","Segment ontbreekt",IF(OR(G488="",H488=""),"Van/tot ontbreekt",IF(N(J488)=0,"Duur is nul",IF(N(J488)&gt;12,"Langer dan 12 uur - controleren",IF(AND(E488="Werken",D488=""),"Werken zonder klant - koppelen","OK"))))))</f>
        <v/>
      </c>
    </row>
    <row r="489" ht="15" customHeight="1" s="42">
      <c r="A489" s="55" t="n"/>
      <c r="B489" s="56">
        <f>IF(A489="","",WEEKNUM(A489,21))</f>
        <v/>
      </c>
      <c r="C489" s="57" t="n"/>
      <c r="D489" s="57" t="n"/>
      <c r="E489" s="58" t="n"/>
      <c r="F489" s="57" t="n"/>
      <c r="G489" s="59" t="n"/>
      <c r="H489" s="59" t="n"/>
      <c r="I489" s="60">
        <f>IF(OR(G489="",H489=""),"",MOD(H489-G489,1))</f>
        <v/>
      </c>
      <c r="J489" s="61">
        <f>IF(OR(G489="",H489=""),"",ROUND(MOD(H489-G489,1)*24,2))</f>
        <v/>
      </c>
      <c r="K489" s="62">
        <f>IF(E489="","",IF(E489="Werken","JA","NEE"))</f>
        <v/>
      </c>
      <c r="L489" s="61">
        <f>IF(K489="JA",N(J489),IF(E489="","",0))</f>
        <v/>
      </c>
      <c r="M489" s="62">
        <f>IF(AND(A489="",E489=""),"",IF(E489="","Segment ontbreekt",IF(OR(G489="",H489=""),"Van/tot ontbreekt",IF(N(J489)=0,"Duur is nul",IF(N(J489)&gt;12,"Langer dan 12 uur - controleren",IF(AND(E489="Werken",D489=""),"Werken zonder klant - koppelen","OK"))))))</f>
        <v/>
      </c>
    </row>
    <row r="490" ht="15" customHeight="1" s="42">
      <c r="A490" s="55" t="n"/>
      <c r="B490" s="56">
        <f>IF(A490="","",WEEKNUM(A490,21))</f>
        <v/>
      </c>
      <c r="C490" s="57" t="n"/>
      <c r="D490" s="57" t="n"/>
      <c r="E490" s="58" t="n"/>
      <c r="F490" s="57" t="n"/>
      <c r="G490" s="59" t="n"/>
      <c r="H490" s="59" t="n"/>
      <c r="I490" s="60">
        <f>IF(OR(G490="",H490=""),"",MOD(H490-G490,1))</f>
        <v/>
      </c>
      <c r="J490" s="61">
        <f>IF(OR(G490="",H490=""),"",ROUND(MOD(H490-G490,1)*24,2))</f>
        <v/>
      </c>
      <c r="K490" s="62">
        <f>IF(E490="","",IF(E490="Werken","JA","NEE"))</f>
        <v/>
      </c>
      <c r="L490" s="61">
        <f>IF(K490="JA",N(J490),IF(E490="","",0))</f>
        <v/>
      </c>
      <c r="M490" s="62">
        <f>IF(AND(A490="",E490=""),"",IF(E490="","Segment ontbreekt",IF(OR(G490="",H490=""),"Van/tot ontbreekt",IF(N(J490)=0,"Duur is nul",IF(N(J490)&gt;12,"Langer dan 12 uur - controleren",IF(AND(E490="Werken",D490=""),"Werken zonder klant - koppelen","OK"))))))</f>
        <v/>
      </c>
    </row>
    <row r="491" ht="15" customHeight="1" s="42">
      <c r="A491" s="55" t="n"/>
      <c r="B491" s="56">
        <f>IF(A491="","",WEEKNUM(A491,21))</f>
        <v/>
      </c>
      <c r="C491" s="57" t="n"/>
      <c r="D491" s="57" t="n"/>
      <c r="E491" s="58" t="n"/>
      <c r="F491" s="57" t="n"/>
      <c r="G491" s="59" t="n"/>
      <c r="H491" s="59" t="n"/>
      <c r="I491" s="60">
        <f>IF(OR(G491="",H491=""),"",MOD(H491-G491,1))</f>
        <v/>
      </c>
      <c r="J491" s="61">
        <f>IF(OR(G491="",H491=""),"",ROUND(MOD(H491-G491,1)*24,2))</f>
        <v/>
      </c>
      <c r="K491" s="62">
        <f>IF(E491="","",IF(E491="Werken","JA","NEE"))</f>
        <v/>
      </c>
      <c r="L491" s="61">
        <f>IF(K491="JA",N(J491),IF(E491="","",0))</f>
        <v/>
      </c>
      <c r="M491" s="62">
        <f>IF(AND(A491="",E491=""),"",IF(E491="","Segment ontbreekt",IF(OR(G491="",H491=""),"Van/tot ontbreekt",IF(N(J491)=0,"Duur is nul",IF(N(J491)&gt;12,"Langer dan 12 uur - controleren",IF(AND(E491="Werken",D491=""),"Werken zonder klant - koppelen","OK"))))))</f>
        <v/>
      </c>
    </row>
    <row r="492" ht="15" customHeight="1" s="42">
      <c r="A492" s="55" t="n"/>
      <c r="B492" s="56">
        <f>IF(A492="","",WEEKNUM(A492,21))</f>
        <v/>
      </c>
      <c r="C492" s="57" t="n"/>
      <c r="D492" s="57" t="n"/>
      <c r="E492" s="58" t="n"/>
      <c r="F492" s="57" t="n"/>
      <c r="G492" s="59" t="n"/>
      <c r="H492" s="59" t="n"/>
      <c r="I492" s="60">
        <f>IF(OR(G492="",H492=""),"",MOD(H492-G492,1))</f>
        <v/>
      </c>
      <c r="J492" s="61">
        <f>IF(OR(G492="",H492=""),"",ROUND(MOD(H492-G492,1)*24,2))</f>
        <v/>
      </c>
      <c r="K492" s="62">
        <f>IF(E492="","",IF(E492="Werken","JA","NEE"))</f>
        <v/>
      </c>
      <c r="L492" s="61">
        <f>IF(K492="JA",N(J492),IF(E492="","",0))</f>
        <v/>
      </c>
      <c r="M492" s="62">
        <f>IF(AND(A492="",E492=""),"",IF(E492="","Segment ontbreekt",IF(OR(G492="",H492=""),"Van/tot ontbreekt",IF(N(J492)=0,"Duur is nul",IF(N(J492)&gt;12,"Langer dan 12 uur - controleren",IF(AND(E492="Werken",D492=""),"Werken zonder klant - koppelen","OK"))))))</f>
        <v/>
      </c>
    </row>
    <row r="493" ht="15" customHeight="1" s="42">
      <c r="A493" s="55" t="n"/>
      <c r="B493" s="56">
        <f>IF(A493="","",WEEKNUM(A493,21))</f>
        <v/>
      </c>
      <c r="C493" s="57" t="n"/>
      <c r="D493" s="57" t="n"/>
      <c r="E493" s="58" t="n"/>
      <c r="F493" s="57" t="n"/>
      <c r="G493" s="59" t="n"/>
      <c r="H493" s="59" t="n"/>
      <c r="I493" s="60">
        <f>IF(OR(G493="",H493=""),"",MOD(H493-G493,1))</f>
        <v/>
      </c>
      <c r="J493" s="61">
        <f>IF(OR(G493="",H493=""),"",ROUND(MOD(H493-G493,1)*24,2))</f>
        <v/>
      </c>
      <c r="K493" s="62">
        <f>IF(E493="","",IF(E493="Werken","JA","NEE"))</f>
        <v/>
      </c>
      <c r="L493" s="61">
        <f>IF(K493="JA",N(J493),IF(E493="","",0))</f>
        <v/>
      </c>
      <c r="M493" s="62">
        <f>IF(AND(A493="",E493=""),"",IF(E493="","Segment ontbreekt",IF(OR(G493="",H493=""),"Van/tot ontbreekt",IF(N(J493)=0,"Duur is nul",IF(N(J493)&gt;12,"Langer dan 12 uur - controleren",IF(AND(E493="Werken",D493=""),"Werken zonder klant - koppelen","OK"))))))</f>
        <v/>
      </c>
    </row>
    <row r="494" ht="15" customHeight="1" s="42">
      <c r="A494" s="55" t="n"/>
      <c r="B494" s="56">
        <f>IF(A494="","",WEEKNUM(A494,21))</f>
        <v/>
      </c>
      <c r="C494" s="57" t="n"/>
      <c r="D494" s="57" t="n"/>
      <c r="E494" s="58" t="n"/>
      <c r="F494" s="57" t="n"/>
      <c r="G494" s="59" t="n"/>
      <c r="H494" s="59" t="n"/>
      <c r="I494" s="60">
        <f>IF(OR(G494="",H494=""),"",MOD(H494-G494,1))</f>
        <v/>
      </c>
      <c r="J494" s="61">
        <f>IF(OR(G494="",H494=""),"",ROUND(MOD(H494-G494,1)*24,2))</f>
        <v/>
      </c>
      <c r="K494" s="62">
        <f>IF(E494="","",IF(E494="Werken","JA","NEE"))</f>
        <v/>
      </c>
      <c r="L494" s="61">
        <f>IF(K494="JA",N(J494),IF(E494="","",0))</f>
        <v/>
      </c>
      <c r="M494" s="62">
        <f>IF(AND(A494="",E494=""),"",IF(E494="","Segment ontbreekt",IF(OR(G494="",H494=""),"Van/tot ontbreekt",IF(N(J494)=0,"Duur is nul",IF(N(J494)&gt;12,"Langer dan 12 uur - controleren",IF(AND(E494="Werken",D494=""),"Werken zonder klant - koppelen","OK"))))))</f>
        <v/>
      </c>
    </row>
    <row r="495" ht="15" customHeight="1" s="42">
      <c r="A495" s="55" t="n"/>
      <c r="B495" s="56">
        <f>IF(A495="","",WEEKNUM(A495,21))</f>
        <v/>
      </c>
      <c r="C495" s="57" t="n"/>
      <c r="D495" s="57" t="n"/>
      <c r="E495" s="58" t="n"/>
      <c r="F495" s="57" t="n"/>
      <c r="G495" s="59" t="n"/>
      <c r="H495" s="59" t="n"/>
      <c r="I495" s="60">
        <f>IF(OR(G495="",H495=""),"",MOD(H495-G495,1))</f>
        <v/>
      </c>
      <c r="J495" s="61">
        <f>IF(OR(G495="",H495=""),"",ROUND(MOD(H495-G495,1)*24,2))</f>
        <v/>
      </c>
      <c r="K495" s="62">
        <f>IF(E495="","",IF(E495="Werken","JA","NEE"))</f>
        <v/>
      </c>
      <c r="L495" s="61">
        <f>IF(K495="JA",N(J495),IF(E495="","",0))</f>
        <v/>
      </c>
      <c r="M495" s="62">
        <f>IF(AND(A495="",E495=""),"",IF(E495="","Segment ontbreekt",IF(OR(G495="",H495=""),"Van/tot ontbreekt",IF(N(J495)=0,"Duur is nul",IF(N(J495)&gt;12,"Langer dan 12 uur - controleren",IF(AND(E495="Werken",D495=""),"Werken zonder klant - koppelen","OK"))))))</f>
        <v/>
      </c>
    </row>
    <row r="496" ht="15" customHeight="1" s="42">
      <c r="A496" s="55" t="n"/>
      <c r="B496" s="56">
        <f>IF(A496="","",WEEKNUM(A496,21))</f>
        <v/>
      </c>
      <c r="C496" s="57" t="n"/>
      <c r="D496" s="57" t="n"/>
      <c r="E496" s="58" t="n"/>
      <c r="F496" s="57" t="n"/>
      <c r="G496" s="59" t="n"/>
      <c r="H496" s="59" t="n"/>
      <c r="I496" s="60">
        <f>IF(OR(G496="",H496=""),"",MOD(H496-G496,1))</f>
        <v/>
      </c>
      <c r="J496" s="61">
        <f>IF(OR(G496="",H496=""),"",ROUND(MOD(H496-G496,1)*24,2))</f>
        <v/>
      </c>
      <c r="K496" s="62">
        <f>IF(E496="","",IF(E496="Werken","JA","NEE"))</f>
        <v/>
      </c>
      <c r="L496" s="61">
        <f>IF(K496="JA",N(J496),IF(E496="","",0))</f>
        <v/>
      </c>
      <c r="M496" s="62">
        <f>IF(AND(A496="",E496=""),"",IF(E496="","Segment ontbreekt",IF(OR(G496="",H496=""),"Van/tot ontbreekt",IF(N(J496)=0,"Duur is nul",IF(N(J496)&gt;12,"Langer dan 12 uur - controleren",IF(AND(E496="Werken",D496=""),"Werken zonder klant - koppelen","OK"))))))</f>
        <v/>
      </c>
    </row>
    <row r="497" ht="15" customHeight="1" s="42">
      <c r="A497" s="55" t="n"/>
      <c r="B497" s="56">
        <f>IF(A497="","",WEEKNUM(A497,21))</f>
        <v/>
      </c>
      <c r="C497" s="57" t="n"/>
      <c r="D497" s="57" t="n"/>
      <c r="E497" s="58" t="n"/>
      <c r="F497" s="57" t="n"/>
      <c r="G497" s="59" t="n"/>
      <c r="H497" s="59" t="n"/>
      <c r="I497" s="60">
        <f>IF(OR(G497="",H497=""),"",MOD(H497-G497,1))</f>
        <v/>
      </c>
      <c r="J497" s="61">
        <f>IF(OR(G497="",H497=""),"",ROUND(MOD(H497-G497,1)*24,2))</f>
        <v/>
      </c>
      <c r="K497" s="62">
        <f>IF(E497="","",IF(E497="Werken","JA","NEE"))</f>
        <v/>
      </c>
      <c r="L497" s="61">
        <f>IF(K497="JA",N(J497),IF(E497="","",0))</f>
        <v/>
      </c>
      <c r="M497" s="62">
        <f>IF(AND(A497="",E497=""),"",IF(E497="","Segment ontbreekt",IF(OR(G497="",H497=""),"Van/tot ontbreekt",IF(N(J497)=0,"Duur is nul",IF(N(J497)&gt;12,"Langer dan 12 uur - controleren",IF(AND(E497="Werken",D497=""),"Werken zonder klant - koppelen","OK"))))))</f>
        <v/>
      </c>
    </row>
    <row r="498" ht="15" customHeight="1" s="42">
      <c r="A498" s="55" t="n"/>
      <c r="B498" s="56">
        <f>IF(A498="","",WEEKNUM(A498,21))</f>
        <v/>
      </c>
      <c r="C498" s="57" t="n"/>
      <c r="D498" s="57" t="n"/>
      <c r="E498" s="58" t="n"/>
      <c r="F498" s="57" t="n"/>
      <c r="G498" s="59" t="n"/>
      <c r="H498" s="59" t="n"/>
      <c r="I498" s="60">
        <f>IF(OR(G498="",H498=""),"",MOD(H498-G498,1))</f>
        <v/>
      </c>
      <c r="J498" s="61">
        <f>IF(OR(G498="",H498=""),"",ROUND(MOD(H498-G498,1)*24,2))</f>
        <v/>
      </c>
      <c r="K498" s="62">
        <f>IF(E498="","",IF(E498="Werken","JA","NEE"))</f>
        <v/>
      </c>
      <c r="L498" s="61">
        <f>IF(K498="JA",N(J498),IF(E498="","",0))</f>
        <v/>
      </c>
      <c r="M498" s="62">
        <f>IF(AND(A498="",E498=""),"",IF(E498="","Segment ontbreekt",IF(OR(G498="",H498=""),"Van/tot ontbreekt",IF(N(J498)=0,"Duur is nul",IF(N(J498)&gt;12,"Langer dan 12 uur - controleren",IF(AND(E498="Werken",D498=""),"Werken zonder klant - koppelen","OK"))))))</f>
        <v/>
      </c>
    </row>
    <row r="499" ht="15" customHeight="1" s="42">
      <c r="A499" s="55" t="n"/>
      <c r="B499" s="56">
        <f>IF(A499="","",WEEKNUM(A499,21))</f>
        <v/>
      </c>
      <c r="C499" s="57" t="n"/>
      <c r="D499" s="57" t="n"/>
      <c r="E499" s="58" t="n"/>
      <c r="F499" s="57" t="n"/>
      <c r="G499" s="59" t="n"/>
      <c r="H499" s="59" t="n"/>
      <c r="I499" s="60">
        <f>IF(OR(G499="",H499=""),"",MOD(H499-G499,1))</f>
        <v/>
      </c>
      <c r="J499" s="61">
        <f>IF(OR(G499="",H499=""),"",ROUND(MOD(H499-G499,1)*24,2))</f>
        <v/>
      </c>
      <c r="K499" s="62">
        <f>IF(E499="","",IF(E499="Werken","JA","NEE"))</f>
        <v/>
      </c>
      <c r="L499" s="61">
        <f>IF(K499="JA",N(J499),IF(E499="","",0))</f>
        <v/>
      </c>
      <c r="M499" s="62">
        <f>IF(AND(A499="",E499=""),"",IF(E499="","Segment ontbreekt",IF(OR(G499="",H499=""),"Van/tot ontbreekt",IF(N(J499)=0,"Duur is nul",IF(N(J499)&gt;12,"Langer dan 12 uur - controleren",IF(AND(E499="Werken",D499=""),"Werken zonder klant - koppelen","OK"))))))</f>
        <v/>
      </c>
    </row>
    <row r="500" ht="15" customHeight="1" s="42">
      <c r="A500" s="55" t="n"/>
      <c r="B500" s="56">
        <f>IF(A500="","",WEEKNUM(A500,21))</f>
        <v/>
      </c>
      <c r="C500" s="57" t="n"/>
      <c r="D500" s="57" t="n"/>
      <c r="E500" s="58" t="n"/>
      <c r="F500" s="57" t="n"/>
      <c r="G500" s="59" t="n"/>
      <c r="H500" s="59" t="n"/>
      <c r="I500" s="60">
        <f>IF(OR(G500="",H500=""),"",MOD(H500-G500,1))</f>
        <v/>
      </c>
      <c r="J500" s="61">
        <f>IF(OR(G500="",H500=""),"",ROUND(MOD(H500-G500,1)*24,2))</f>
        <v/>
      </c>
      <c r="K500" s="62">
        <f>IF(E500="","",IF(E500="Werken","JA","NEE"))</f>
        <v/>
      </c>
      <c r="L500" s="61">
        <f>IF(K500="JA",N(J500),IF(E500="","",0))</f>
        <v/>
      </c>
      <c r="M500" s="62">
        <f>IF(AND(A500="",E500=""),"",IF(E500="","Segment ontbreekt",IF(OR(G500="",H500=""),"Van/tot ontbreekt",IF(N(J500)=0,"Duur is nul",IF(N(J500)&gt;12,"Langer dan 12 uur - controleren",IF(AND(E500="Werken",D500=""),"Werken zonder klant - koppelen","OK"))))))</f>
        <v/>
      </c>
    </row>
    <row r="501" ht="15" customHeight="1" s="42">
      <c r="A501" s="55" t="n"/>
      <c r="B501" s="56">
        <f>IF(A501="","",WEEKNUM(A501,21))</f>
        <v/>
      </c>
      <c r="C501" s="57" t="n"/>
      <c r="D501" s="57" t="n"/>
      <c r="E501" s="58" t="n"/>
      <c r="F501" s="57" t="n"/>
      <c r="G501" s="59" t="n"/>
      <c r="H501" s="59" t="n"/>
      <c r="I501" s="60">
        <f>IF(OR(G501="",H501=""),"",MOD(H501-G501,1))</f>
        <v/>
      </c>
      <c r="J501" s="61">
        <f>IF(OR(G501="",H501=""),"",ROUND(MOD(H501-G501,1)*24,2))</f>
        <v/>
      </c>
      <c r="K501" s="62">
        <f>IF(E501="","",IF(E501="Werken","JA","NEE"))</f>
        <v/>
      </c>
      <c r="L501" s="61">
        <f>IF(K501="JA",N(J501),IF(E501="","",0))</f>
        <v/>
      </c>
      <c r="M501" s="62">
        <f>IF(AND(A501="",E501=""),"",IF(E501="","Segment ontbreekt",IF(OR(G501="",H501=""),"Van/tot ontbreekt",IF(N(J501)=0,"Duur is nul",IF(N(J501)&gt;12,"Langer dan 12 uur - controleren",IF(AND(E501="Werken",D501=""),"Werken zonder klant - koppelen","OK"))))))</f>
        <v/>
      </c>
    </row>
    <row r="502" ht="15" customHeight="1" s="42">
      <c r="A502" s="55" t="n"/>
      <c r="B502" s="56">
        <f>IF(A502="","",WEEKNUM(A502,21))</f>
        <v/>
      </c>
      <c r="C502" s="57" t="n"/>
      <c r="D502" s="57" t="n"/>
      <c r="E502" s="58" t="n"/>
      <c r="F502" s="57" t="n"/>
      <c r="G502" s="59" t="n"/>
      <c r="H502" s="59" t="n"/>
      <c r="I502" s="60">
        <f>IF(OR(G502="",H502=""),"",MOD(H502-G502,1))</f>
        <v/>
      </c>
      <c r="J502" s="61">
        <f>IF(OR(G502="",H502=""),"",ROUND(MOD(H502-G502,1)*24,2))</f>
        <v/>
      </c>
      <c r="K502" s="62">
        <f>IF(E502="","",IF(E502="Werken","JA","NEE"))</f>
        <v/>
      </c>
      <c r="L502" s="61">
        <f>IF(K502="JA",N(J502),IF(E502="","",0))</f>
        <v/>
      </c>
      <c r="M502" s="62">
        <f>IF(AND(A502="",E502=""),"",IF(E502="","Segment ontbreekt",IF(OR(G502="",H502=""),"Van/tot ontbreekt",IF(N(J502)=0,"Duur is nul",IF(N(J502)&gt;12,"Langer dan 12 uur - controleren",IF(AND(E502="Werken",D502=""),"Werken zonder klant - koppelen","OK"))))))</f>
        <v/>
      </c>
    </row>
    <row r="503" ht="15" customHeight="1" s="42">
      <c r="A503" s="55" t="n"/>
      <c r="B503" s="56">
        <f>IF(A503="","",WEEKNUM(A503,21))</f>
        <v/>
      </c>
      <c r="C503" s="57" t="n"/>
      <c r="D503" s="57" t="n"/>
      <c r="E503" s="58" t="n"/>
      <c r="F503" s="57" t="n"/>
      <c r="G503" s="59" t="n"/>
      <c r="H503" s="59" t="n"/>
      <c r="I503" s="60">
        <f>IF(OR(G503="",H503=""),"",MOD(H503-G503,1))</f>
        <v/>
      </c>
      <c r="J503" s="61">
        <f>IF(OR(G503="",H503=""),"",ROUND(MOD(H503-G503,1)*24,2))</f>
        <v/>
      </c>
      <c r="K503" s="62">
        <f>IF(E503="","",IF(E503="Werken","JA","NEE"))</f>
        <v/>
      </c>
      <c r="L503" s="61">
        <f>IF(K503="JA",N(J503),IF(E503="","",0))</f>
        <v/>
      </c>
      <c r="M503" s="62">
        <f>IF(AND(A503="",E503=""),"",IF(E503="","Segment ontbreekt",IF(OR(G503="",H503=""),"Van/tot ontbreekt",IF(N(J503)=0,"Duur is nul",IF(N(J503)&gt;12,"Langer dan 12 uur - controleren",IF(AND(E503="Werken",D503=""),"Werken zonder klant - koppelen","OK"))))))</f>
        <v/>
      </c>
    </row>
    <row r="504" ht="15" customHeight="1" s="42">
      <c r="A504" s="55" t="n"/>
      <c r="B504" s="56">
        <f>IF(A504="","",WEEKNUM(A504,21))</f>
        <v/>
      </c>
      <c r="C504" s="57" t="n"/>
      <c r="D504" s="57" t="n"/>
      <c r="E504" s="58" t="n"/>
      <c r="F504" s="57" t="n"/>
      <c r="G504" s="59" t="n"/>
      <c r="H504" s="59" t="n"/>
      <c r="I504" s="60">
        <f>IF(OR(G504="",H504=""),"",MOD(H504-G504,1))</f>
        <v/>
      </c>
      <c r="J504" s="61">
        <f>IF(OR(G504="",H504=""),"",ROUND(MOD(H504-G504,1)*24,2))</f>
        <v/>
      </c>
      <c r="K504" s="62">
        <f>IF(E504="","",IF(E504="Werken","JA","NEE"))</f>
        <v/>
      </c>
      <c r="L504" s="61">
        <f>IF(K504="JA",N(J504),IF(E504="","",0))</f>
        <v/>
      </c>
      <c r="M504" s="62">
        <f>IF(AND(A504="",E504=""),"",IF(E504="","Segment ontbreekt",IF(OR(G504="",H504=""),"Van/tot ontbreekt",IF(N(J504)=0,"Duur is nul",IF(N(J504)&gt;12,"Langer dan 12 uur - controleren",IF(AND(E504="Werken",D504=""),"Werken zonder klant - koppelen","OK"))))))</f>
        <v/>
      </c>
    </row>
    <row r="505" ht="15" customHeight="1" s="42">
      <c r="A505" s="55" t="n"/>
      <c r="B505" s="56">
        <f>IF(A505="","",WEEKNUM(A505,21))</f>
        <v/>
      </c>
      <c r="C505" s="57" t="n"/>
      <c r="D505" s="57" t="n"/>
      <c r="E505" s="58" t="n"/>
      <c r="F505" s="57" t="n"/>
      <c r="G505" s="59" t="n"/>
      <c r="H505" s="59" t="n"/>
      <c r="I505" s="60">
        <f>IF(OR(G505="",H505=""),"",MOD(H505-G505,1))</f>
        <v/>
      </c>
      <c r="J505" s="61">
        <f>IF(OR(G505="",H505=""),"",ROUND(MOD(H505-G505,1)*24,2))</f>
        <v/>
      </c>
      <c r="K505" s="62">
        <f>IF(E505="","",IF(E505="Werken","JA","NEE"))</f>
        <v/>
      </c>
      <c r="L505" s="61">
        <f>IF(K505="JA",N(J505),IF(E505="","",0))</f>
        <v/>
      </c>
      <c r="M505" s="62">
        <f>IF(AND(A505="",E505=""),"",IF(E505="","Segment ontbreekt",IF(OR(G505="",H505=""),"Van/tot ontbreekt",IF(N(J505)=0,"Duur is nul",IF(N(J505)&gt;12,"Langer dan 12 uur - controleren",IF(AND(E505="Werken",D505=""),"Werken zonder klant - koppelen","OK"))))))</f>
        <v/>
      </c>
    </row>
    <row r="506" ht="15" customHeight="1" s="42">
      <c r="A506" s="55" t="n"/>
      <c r="B506" s="56">
        <f>IF(A506="","",WEEKNUM(A506,21))</f>
        <v/>
      </c>
      <c r="C506" s="57" t="n"/>
      <c r="D506" s="57" t="n"/>
      <c r="E506" s="58" t="n"/>
      <c r="F506" s="57" t="n"/>
      <c r="G506" s="59" t="n"/>
      <c r="H506" s="59" t="n"/>
      <c r="I506" s="60">
        <f>IF(OR(G506="",H506=""),"",MOD(H506-G506,1))</f>
        <v/>
      </c>
      <c r="J506" s="61">
        <f>IF(OR(G506="",H506=""),"",ROUND(MOD(H506-G506,1)*24,2))</f>
        <v/>
      </c>
      <c r="K506" s="62">
        <f>IF(E506="","",IF(E506="Werken","JA","NEE"))</f>
        <v/>
      </c>
      <c r="L506" s="61">
        <f>IF(K506="JA",N(J506),IF(E506="","",0))</f>
        <v/>
      </c>
      <c r="M506" s="62">
        <f>IF(AND(A506="",E506=""),"",IF(E506="","Segment ontbreekt",IF(OR(G506="",H506=""),"Van/tot ontbreekt",IF(N(J506)=0,"Duur is nul",IF(N(J506)&gt;12,"Langer dan 12 uur - controleren",IF(AND(E506="Werken",D506=""),"Werken zonder klant - koppelen","OK"))))))</f>
        <v/>
      </c>
    </row>
    <row r="507" ht="15" customHeight="1" s="42">
      <c r="A507" s="55" t="n"/>
      <c r="B507" s="56">
        <f>IF(A507="","",WEEKNUM(A507,21))</f>
        <v/>
      </c>
      <c r="C507" s="57" t="n"/>
      <c r="D507" s="57" t="n"/>
      <c r="E507" s="58" t="n"/>
      <c r="F507" s="57" t="n"/>
      <c r="G507" s="59" t="n"/>
      <c r="H507" s="59" t="n"/>
      <c r="I507" s="60">
        <f>IF(OR(G507="",H507=""),"",MOD(H507-G507,1))</f>
        <v/>
      </c>
      <c r="J507" s="61">
        <f>IF(OR(G507="",H507=""),"",ROUND(MOD(H507-G507,1)*24,2))</f>
        <v/>
      </c>
      <c r="K507" s="62">
        <f>IF(E507="","",IF(E507="Werken","JA","NEE"))</f>
        <v/>
      </c>
      <c r="L507" s="61">
        <f>IF(K507="JA",N(J507),IF(E507="","",0))</f>
        <v/>
      </c>
      <c r="M507" s="62">
        <f>IF(AND(A507="",E507=""),"",IF(E507="","Segment ontbreekt",IF(OR(G507="",H507=""),"Van/tot ontbreekt",IF(N(J507)=0,"Duur is nul",IF(N(J507)&gt;12,"Langer dan 12 uur - controleren",IF(AND(E507="Werken",D507=""),"Werken zonder klant - koppelen","OK"))))))</f>
        <v/>
      </c>
    </row>
    <row r="508" ht="15" customHeight="1" s="42">
      <c r="A508" s="55" t="n"/>
      <c r="B508" s="56">
        <f>IF(A508="","",WEEKNUM(A508,21))</f>
        <v/>
      </c>
      <c r="C508" s="57" t="n"/>
      <c r="D508" s="57" t="n"/>
      <c r="E508" s="58" t="n"/>
      <c r="F508" s="57" t="n"/>
      <c r="G508" s="59" t="n"/>
      <c r="H508" s="59" t="n"/>
      <c r="I508" s="60">
        <f>IF(OR(G508="",H508=""),"",MOD(H508-G508,1))</f>
        <v/>
      </c>
      <c r="J508" s="61">
        <f>IF(OR(G508="",H508=""),"",ROUND(MOD(H508-G508,1)*24,2))</f>
        <v/>
      </c>
      <c r="K508" s="62">
        <f>IF(E508="","",IF(E508="Werken","JA","NEE"))</f>
        <v/>
      </c>
      <c r="L508" s="61">
        <f>IF(K508="JA",N(J508),IF(E508="","",0))</f>
        <v/>
      </c>
      <c r="M508" s="62">
        <f>IF(AND(A508="",E508=""),"",IF(E508="","Segment ontbreekt",IF(OR(G508="",H508=""),"Van/tot ontbreekt",IF(N(J508)=0,"Duur is nul",IF(N(J508)&gt;12,"Langer dan 12 uur - controleren",IF(AND(E508="Werken",D508=""),"Werken zonder klant - koppelen","OK"))))))</f>
        <v/>
      </c>
    </row>
    <row r="509" ht="15" customHeight="1" s="42">
      <c r="A509" s="55" t="n"/>
      <c r="B509" s="56">
        <f>IF(A509="","",WEEKNUM(A509,21))</f>
        <v/>
      </c>
      <c r="C509" s="57" t="n"/>
      <c r="D509" s="57" t="n"/>
      <c r="E509" s="58" t="n"/>
      <c r="F509" s="57" t="n"/>
      <c r="G509" s="59" t="n"/>
      <c r="H509" s="59" t="n"/>
      <c r="I509" s="60">
        <f>IF(OR(G509="",H509=""),"",MOD(H509-G509,1))</f>
        <v/>
      </c>
      <c r="J509" s="61">
        <f>IF(OR(G509="",H509=""),"",ROUND(MOD(H509-G509,1)*24,2))</f>
        <v/>
      </c>
      <c r="K509" s="62">
        <f>IF(E509="","",IF(E509="Werken","JA","NEE"))</f>
        <v/>
      </c>
      <c r="L509" s="61">
        <f>IF(K509="JA",N(J509),IF(E509="","",0))</f>
        <v/>
      </c>
      <c r="M509" s="62">
        <f>IF(AND(A509="",E509=""),"",IF(E509="","Segment ontbreekt",IF(OR(G509="",H509=""),"Van/tot ontbreekt",IF(N(J509)=0,"Duur is nul",IF(N(J509)&gt;12,"Langer dan 12 uur - controleren",IF(AND(E509="Werken",D509=""),"Werken zonder klant - koppelen","OK"))))))</f>
        <v/>
      </c>
    </row>
    <row r="510" ht="15" customHeight="1" s="42">
      <c r="A510" s="55" t="n"/>
      <c r="B510" s="56">
        <f>IF(A510="","",WEEKNUM(A510,21))</f>
        <v/>
      </c>
      <c r="C510" s="57" t="n"/>
      <c r="D510" s="57" t="n"/>
      <c r="E510" s="58" t="n"/>
      <c r="F510" s="57" t="n"/>
      <c r="G510" s="59" t="n"/>
      <c r="H510" s="59" t="n"/>
      <c r="I510" s="60">
        <f>IF(OR(G510="",H510=""),"",MOD(H510-G510,1))</f>
        <v/>
      </c>
      <c r="J510" s="61">
        <f>IF(OR(G510="",H510=""),"",ROUND(MOD(H510-G510,1)*24,2))</f>
        <v/>
      </c>
      <c r="K510" s="62">
        <f>IF(E510="","",IF(E510="Werken","JA","NEE"))</f>
        <v/>
      </c>
      <c r="L510" s="61">
        <f>IF(K510="JA",N(J510),IF(E510="","",0))</f>
        <v/>
      </c>
      <c r="M510" s="62">
        <f>IF(AND(A510="",E510=""),"",IF(E510="","Segment ontbreekt",IF(OR(G510="",H510=""),"Van/tot ontbreekt",IF(N(J510)=0,"Duur is nul",IF(N(J510)&gt;12,"Langer dan 12 uur - controleren",IF(AND(E510="Werken",D510=""),"Werken zonder klant - koppelen","OK"))))))</f>
        <v/>
      </c>
    </row>
    <row r="511" ht="15" customHeight="1" s="42">
      <c r="A511" s="55" t="n"/>
      <c r="B511" s="56">
        <f>IF(A511="","",WEEKNUM(A511,21))</f>
        <v/>
      </c>
      <c r="C511" s="57" t="n"/>
      <c r="D511" s="57" t="n"/>
      <c r="E511" s="58" t="n"/>
      <c r="F511" s="57" t="n"/>
      <c r="G511" s="59" t="n"/>
      <c r="H511" s="59" t="n"/>
      <c r="I511" s="60">
        <f>IF(OR(G511="",H511=""),"",MOD(H511-G511,1))</f>
        <v/>
      </c>
      <c r="J511" s="61">
        <f>IF(OR(G511="",H511=""),"",ROUND(MOD(H511-G511,1)*24,2))</f>
        <v/>
      </c>
      <c r="K511" s="62">
        <f>IF(E511="","",IF(E511="Werken","JA","NEE"))</f>
        <v/>
      </c>
      <c r="L511" s="61">
        <f>IF(K511="JA",N(J511),IF(E511="","",0))</f>
        <v/>
      </c>
      <c r="M511" s="62">
        <f>IF(AND(A511="",E511=""),"",IF(E511="","Segment ontbreekt",IF(OR(G511="",H511=""),"Van/tot ontbreekt",IF(N(J511)=0,"Duur is nul",IF(N(J511)&gt;12,"Langer dan 12 uur - controleren",IF(AND(E511="Werken",D511=""),"Werken zonder klant - koppelen","OK"))))))</f>
        <v/>
      </c>
    </row>
    <row r="512" ht="15" customHeight="1" s="42">
      <c r="A512" s="55" t="n"/>
      <c r="B512" s="56">
        <f>IF(A512="","",WEEKNUM(A512,21))</f>
        <v/>
      </c>
      <c r="C512" s="57" t="n"/>
      <c r="D512" s="57" t="n"/>
      <c r="E512" s="58" t="n"/>
      <c r="F512" s="57" t="n"/>
      <c r="G512" s="59" t="n"/>
      <c r="H512" s="59" t="n"/>
      <c r="I512" s="60">
        <f>IF(OR(G512="",H512=""),"",MOD(H512-G512,1))</f>
        <v/>
      </c>
      <c r="J512" s="61">
        <f>IF(OR(G512="",H512=""),"",ROUND(MOD(H512-G512,1)*24,2))</f>
        <v/>
      </c>
      <c r="K512" s="62">
        <f>IF(E512="","",IF(E512="Werken","JA","NEE"))</f>
        <v/>
      </c>
      <c r="L512" s="61">
        <f>IF(K512="JA",N(J512),IF(E512="","",0))</f>
        <v/>
      </c>
      <c r="M512" s="62">
        <f>IF(AND(A512="",E512=""),"",IF(E512="","Segment ontbreekt",IF(OR(G512="",H512=""),"Van/tot ontbreekt",IF(N(J512)=0,"Duur is nul",IF(N(J512)&gt;12,"Langer dan 12 uur - controleren",IF(AND(E512="Werken",D512=""),"Werken zonder klant - koppelen","OK"))))))</f>
        <v/>
      </c>
    </row>
    <row r="513" ht="15" customHeight="1" s="42">
      <c r="A513" s="55" t="n"/>
      <c r="B513" s="56">
        <f>IF(A513="","",WEEKNUM(A513,21))</f>
        <v/>
      </c>
      <c r="C513" s="57" t="n"/>
      <c r="D513" s="57" t="n"/>
      <c r="E513" s="58" t="n"/>
      <c r="F513" s="57" t="n"/>
      <c r="G513" s="59" t="n"/>
      <c r="H513" s="59" t="n"/>
      <c r="I513" s="60">
        <f>IF(OR(G513="",H513=""),"",MOD(H513-G513,1))</f>
        <v/>
      </c>
      <c r="J513" s="61">
        <f>IF(OR(G513="",H513=""),"",ROUND(MOD(H513-G513,1)*24,2))</f>
        <v/>
      </c>
      <c r="K513" s="62">
        <f>IF(E513="","",IF(E513="Werken","JA","NEE"))</f>
        <v/>
      </c>
      <c r="L513" s="61">
        <f>IF(K513="JA",N(J513),IF(E513="","",0))</f>
        <v/>
      </c>
      <c r="M513" s="62">
        <f>IF(AND(A513="",E513=""),"",IF(E513="","Segment ontbreekt",IF(OR(G513="",H513=""),"Van/tot ontbreekt",IF(N(J513)=0,"Duur is nul",IF(N(J513)&gt;12,"Langer dan 12 uur - controleren",IF(AND(E513="Werken",D513=""),"Werken zonder klant - koppelen","OK"))))))</f>
        <v/>
      </c>
    </row>
    <row r="514" ht="15" customHeight="1" s="42">
      <c r="A514" s="55" t="n"/>
      <c r="B514" s="56">
        <f>IF(A514="","",WEEKNUM(A514,21))</f>
        <v/>
      </c>
      <c r="C514" s="57" t="n"/>
      <c r="D514" s="57" t="n"/>
      <c r="E514" s="58" t="n"/>
      <c r="F514" s="57" t="n"/>
      <c r="G514" s="59" t="n"/>
      <c r="H514" s="59" t="n"/>
      <c r="I514" s="60">
        <f>IF(OR(G514="",H514=""),"",MOD(H514-G514,1))</f>
        <v/>
      </c>
      <c r="J514" s="61">
        <f>IF(OR(G514="",H514=""),"",ROUND(MOD(H514-G514,1)*24,2))</f>
        <v/>
      </c>
      <c r="K514" s="62">
        <f>IF(E514="","",IF(E514="Werken","JA","NEE"))</f>
        <v/>
      </c>
      <c r="L514" s="61">
        <f>IF(K514="JA",N(J514),IF(E514="","",0))</f>
        <v/>
      </c>
      <c r="M514" s="62">
        <f>IF(AND(A514="",E514=""),"",IF(E514="","Segment ontbreekt",IF(OR(G514="",H514=""),"Van/tot ontbreekt",IF(N(J514)=0,"Duur is nul",IF(N(J514)&gt;12,"Langer dan 12 uur - controleren",IF(AND(E514="Werken",D514=""),"Werken zonder klant - koppelen","OK"))))))</f>
        <v/>
      </c>
    </row>
    <row r="515" ht="15" customHeight="1" s="42">
      <c r="A515" s="55" t="n"/>
      <c r="B515" s="56">
        <f>IF(A515="","",WEEKNUM(A515,21))</f>
        <v/>
      </c>
      <c r="C515" s="57" t="n"/>
      <c r="D515" s="57" t="n"/>
      <c r="E515" s="58" t="n"/>
      <c r="F515" s="57" t="n"/>
      <c r="G515" s="59" t="n"/>
      <c r="H515" s="59" t="n"/>
      <c r="I515" s="60">
        <f>IF(OR(G515="",H515=""),"",MOD(H515-G515,1))</f>
        <v/>
      </c>
      <c r="J515" s="61">
        <f>IF(OR(G515="",H515=""),"",ROUND(MOD(H515-G515,1)*24,2))</f>
        <v/>
      </c>
      <c r="K515" s="62">
        <f>IF(E515="","",IF(E515="Werken","JA","NEE"))</f>
        <v/>
      </c>
      <c r="L515" s="61">
        <f>IF(K515="JA",N(J515),IF(E515="","",0))</f>
        <v/>
      </c>
      <c r="M515" s="62">
        <f>IF(AND(A515="",E515=""),"",IF(E515="","Segment ontbreekt",IF(OR(G515="",H515=""),"Van/tot ontbreekt",IF(N(J515)=0,"Duur is nul",IF(N(J515)&gt;12,"Langer dan 12 uur - controleren",IF(AND(E515="Werken",D515=""),"Werken zonder klant - koppelen","OK"))))))</f>
        <v/>
      </c>
    </row>
    <row r="516" ht="15" customHeight="1" s="42">
      <c r="A516" s="55" t="n"/>
      <c r="B516" s="56">
        <f>IF(A516="","",WEEKNUM(A516,21))</f>
        <v/>
      </c>
      <c r="C516" s="57" t="n"/>
      <c r="D516" s="57" t="n"/>
      <c r="E516" s="58" t="n"/>
      <c r="F516" s="57" t="n"/>
      <c r="G516" s="59" t="n"/>
      <c r="H516" s="59" t="n"/>
      <c r="I516" s="60">
        <f>IF(OR(G516="",H516=""),"",MOD(H516-G516,1))</f>
        <v/>
      </c>
      <c r="J516" s="61">
        <f>IF(OR(G516="",H516=""),"",ROUND(MOD(H516-G516,1)*24,2))</f>
        <v/>
      </c>
      <c r="K516" s="62">
        <f>IF(E516="","",IF(E516="Werken","JA","NEE"))</f>
        <v/>
      </c>
      <c r="L516" s="61">
        <f>IF(K516="JA",N(J516),IF(E516="","",0))</f>
        <v/>
      </c>
      <c r="M516" s="62">
        <f>IF(AND(A516="",E516=""),"",IF(E516="","Segment ontbreekt",IF(OR(G516="",H516=""),"Van/tot ontbreekt",IF(N(J516)=0,"Duur is nul",IF(N(J516)&gt;12,"Langer dan 12 uur - controleren",IF(AND(E516="Werken",D516=""),"Werken zonder klant - koppelen","OK"))))))</f>
        <v/>
      </c>
    </row>
    <row r="517" ht="15" customHeight="1" s="42">
      <c r="A517" s="55" t="n"/>
      <c r="B517" s="56">
        <f>IF(A517="","",WEEKNUM(A517,21))</f>
        <v/>
      </c>
      <c r="C517" s="57" t="n"/>
      <c r="D517" s="57" t="n"/>
      <c r="E517" s="58" t="n"/>
      <c r="F517" s="57" t="n"/>
      <c r="G517" s="59" t="n"/>
      <c r="H517" s="59" t="n"/>
      <c r="I517" s="60">
        <f>IF(OR(G517="",H517=""),"",MOD(H517-G517,1))</f>
        <v/>
      </c>
      <c r="J517" s="61">
        <f>IF(OR(G517="",H517=""),"",ROUND(MOD(H517-G517,1)*24,2))</f>
        <v/>
      </c>
      <c r="K517" s="62">
        <f>IF(E517="","",IF(E517="Werken","JA","NEE"))</f>
        <v/>
      </c>
      <c r="L517" s="61">
        <f>IF(K517="JA",N(J517),IF(E517="","",0))</f>
        <v/>
      </c>
      <c r="M517" s="62">
        <f>IF(AND(A517="",E517=""),"",IF(E517="","Segment ontbreekt",IF(OR(G517="",H517=""),"Van/tot ontbreekt",IF(N(J517)=0,"Duur is nul",IF(N(J517)&gt;12,"Langer dan 12 uur - controleren",IF(AND(E517="Werken",D517=""),"Werken zonder klant - koppelen","OK"))))))</f>
        <v/>
      </c>
    </row>
    <row r="518" ht="15" customHeight="1" s="42">
      <c r="A518" s="55" t="n"/>
      <c r="B518" s="56">
        <f>IF(A518="","",WEEKNUM(A518,21))</f>
        <v/>
      </c>
      <c r="C518" s="57" t="n"/>
      <c r="D518" s="57" t="n"/>
      <c r="E518" s="58" t="n"/>
      <c r="F518" s="57" t="n"/>
      <c r="G518" s="59" t="n"/>
      <c r="H518" s="59" t="n"/>
      <c r="I518" s="60">
        <f>IF(OR(G518="",H518=""),"",MOD(H518-G518,1))</f>
        <v/>
      </c>
      <c r="J518" s="61">
        <f>IF(OR(G518="",H518=""),"",ROUND(MOD(H518-G518,1)*24,2))</f>
        <v/>
      </c>
      <c r="K518" s="62">
        <f>IF(E518="","",IF(E518="Werken","JA","NEE"))</f>
        <v/>
      </c>
      <c r="L518" s="61">
        <f>IF(K518="JA",N(J518),IF(E518="","",0))</f>
        <v/>
      </c>
      <c r="M518" s="62">
        <f>IF(AND(A518="",E518=""),"",IF(E518="","Segment ontbreekt",IF(OR(G518="",H518=""),"Van/tot ontbreekt",IF(N(J518)=0,"Duur is nul",IF(N(J518)&gt;12,"Langer dan 12 uur - controleren",IF(AND(E518="Werken",D518=""),"Werken zonder klant - koppelen","OK"))))))</f>
        <v/>
      </c>
    </row>
    <row r="519" ht="15" customHeight="1" s="42">
      <c r="A519" s="55" t="n"/>
      <c r="B519" s="56">
        <f>IF(A519="","",WEEKNUM(A519,21))</f>
        <v/>
      </c>
      <c r="C519" s="57" t="n"/>
      <c r="D519" s="57" t="n"/>
      <c r="E519" s="58" t="n"/>
      <c r="F519" s="57" t="n"/>
      <c r="G519" s="59" t="n"/>
      <c r="H519" s="59" t="n"/>
      <c r="I519" s="60">
        <f>IF(OR(G519="",H519=""),"",MOD(H519-G519,1))</f>
        <v/>
      </c>
      <c r="J519" s="61">
        <f>IF(OR(G519="",H519=""),"",ROUND(MOD(H519-G519,1)*24,2))</f>
        <v/>
      </c>
      <c r="K519" s="62">
        <f>IF(E519="","",IF(E519="Werken","JA","NEE"))</f>
        <v/>
      </c>
      <c r="L519" s="61">
        <f>IF(K519="JA",N(J519),IF(E519="","",0))</f>
        <v/>
      </c>
      <c r="M519" s="62">
        <f>IF(AND(A519="",E519=""),"",IF(E519="","Segment ontbreekt",IF(OR(G519="",H519=""),"Van/tot ontbreekt",IF(N(J519)=0,"Duur is nul",IF(N(J519)&gt;12,"Langer dan 12 uur - controleren",IF(AND(E519="Werken",D519=""),"Werken zonder klant - koppelen","OK"))))))</f>
        <v/>
      </c>
    </row>
    <row r="520" ht="15" customHeight="1" s="42">
      <c r="A520" s="55" t="n"/>
      <c r="B520" s="56">
        <f>IF(A520="","",WEEKNUM(A520,21))</f>
        <v/>
      </c>
      <c r="C520" s="57" t="n"/>
      <c r="D520" s="57" t="n"/>
      <c r="E520" s="58" t="n"/>
      <c r="F520" s="57" t="n"/>
      <c r="G520" s="59" t="n"/>
      <c r="H520" s="59" t="n"/>
      <c r="I520" s="60">
        <f>IF(OR(G520="",H520=""),"",MOD(H520-G520,1))</f>
        <v/>
      </c>
      <c r="J520" s="61">
        <f>IF(OR(G520="",H520=""),"",ROUND(MOD(H520-G520,1)*24,2))</f>
        <v/>
      </c>
      <c r="K520" s="62">
        <f>IF(E520="","",IF(E520="Werken","JA","NEE"))</f>
        <v/>
      </c>
      <c r="L520" s="61">
        <f>IF(K520="JA",N(J520),IF(E520="","",0))</f>
        <v/>
      </c>
      <c r="M520" s="62">
        <f>IF(AND(A520="",E520=""),"",IF(E520="","Segment ontbreekt",IF(OR(G520="",H520=""),"Van/tot ontbreekt",IF(N(J520)=0,"Duur is nul",IF(N(J520)&gt;12,"Langer dan 12 uur - controleren",IF(AND(E520="Werken",D520=""),"Werken zonder klant - koppelen","OK"))))))</f>
        <v/>
      </c>
    </row>
    <row r="521" ht="15" customHeight="1" s="42">
      <c r="A521" s="55" t="n"/>
      <c r="B521" s="56">
        <f>IF(A521="","",WEEKNUM(A521,21))</f>
        <v/>
      </c>
      <c r="C521" s="57" t="n"/>
      <c r="D521" s="57" t="n"/>
      <c r="E521" s="58" t="n"/>
      <c r="F521" s="57" t="n"/>
      <c r="G521" s="59" t="n"/>
      <c r="H521" s="59" t="n"/>
      <c r="I521" s="60">
        <f>IF(OR(G521="",H521=""),"",MOD(H521-G521,1))</f>
        <v/>
      </c>
      <c r="J521" s="61">
        <f>IF(OR(G521="",H521=""),"",ROUND(MOD(H521-G521,1)*24,2))</f>
        <v/>
      </c>
      <c r="K521" s="62">
        <f>IF(E521="","",IF(E521="Werken","JA","NEE"))</f>
        <v/>
      </c>
      <c r="L521" s="61">
        <f>IF(K521="JA",N(J521),IF(E521="","",0))</f>
        <v/>
      </c>
      <c r="M521" s="62">
        <f>IF(AND(A521="",E521=""),"",IF(E521="","Segment ontbreekt",IF(OR(G521="",H521=""),"Van/tot ontbreekt",IF(N(J521)=0,"Duur is nul",IF(N(J521)&gt;12,"Langer dan 12 uur - controleren",IF(AND(E521="Werken",D521=""),"Werken zonder klant - koppelen","OK"))))))</f>
        <v/>
      </c>
    </row>
    <row r="522" ht="15" customHeight="1" s="42">
      <c r="A522" s="55" t="n"/>
      <c r="B522" s="56">
        <f>IF(A522="","",WEEKNUM(A522,21))</f>
        <v/>
      </c>
      <c r="C522" s="57" t="n"/>
      <c r="D522" s="57" t="n"/>
      <c r="E522" s="58" t="n"/>
      <c r="F522" s="57" t="n"/>
      <c r="G522" s="59" t="n"/>
      <c r="H522" s="59" t="n"/>
      <c r="I522" s="60">
        <f>IF(OR(G522="",H522=""),"",MOD(H522-G522,1))</f>
        <v/>
      </c>
      <c r="J522" s="61">
        <f>IF(OR(G522="",H522=""),"",ROUND(MOD(H522-G522,1)*24,2))</f>
        <v/>
      </c>
      <c r="K522" s="62">
        <f>IF(E522="","",IF(E522="Werken","JA","NEE"))</f>
        <v/>
      </c>
      <c r="L522" s="61">
        <f>IF(K522="JA",N(J522),IF(E522="","",0))</f>
        <v/>
      </c>
      <c r="M522" s="62">
        <f>IF(AND(A522="",E522=""),"",IF(E522="","Segment ontbreekt",IF(OR(G522="",H522=""),"Van/tot ontbreekt",IF(N(J522)=0,"Duur is nul",IF(N(J522)&gt;12,"Langer dan 12 uur - controleren",IF(AND(E522="Werken",D522=""),"Werken zonder klant - koppelen","OK"))))))</f>
        <v/>
      </c>
    </row>
    <row r="523" ht="15" customHeight="1" s="42">
      <c r="A523" s="55" t="n"/>
      <c r="B523" s="56">
        <f>IF(A523="","",WEEKNUM(A523,21))</f>
        <v/>
      </c>
      <c r="C523" s="57" t="n"/>
      <c r="D523" s="57" t="n"/>
      <c r="E523" s="58" t="n"/>
      <c r="F523" s="57" t="n"/>
      <c r="G523" s="59" t="n"/>
      <c r="H523" s="59" t="n"/>
      <c r="I523" s="60">
        <f>IF(OR(G523="",H523=""),"",MOD(H523-G523,1))</f>
        <v/>
      </c>
      <c r="J523" s="61">
        <f>IF(OR(G523="",H523=""),"",ROUND(MOD(H523-G523,1)*24,2))</f>
        <v/>
      </c>
      <c r="K523" s="62">
        <f>IF(E523="","",IF(E523="Werken","JA","NEE"))</f>
        <v/>
      </c>
      <c r="L523" s="61">
        <f>IF(K523="JA",N(J523),IF(E523="","",0))</f>
        <v/>
      </c>
      <c r="M523" s="62">
        <f>IF(AND(A523="",E523=""),"",IF(E523="","Segment ontbreekt",IF(OR(G523="",H523=""),"Van/tot ontbreekt",IF(N(J523)=0,"Duur is nul",IF(N(J523)&gt;12,"Langer dan 12 uur - controleren",IF(AND(E523="Werken",D523=""),"Werken zonder klant - koppelen","OK"))))))</f>
        <v/>
      </c>
    </row>
    <row r="524" ht="15" customHeight="1" s="42">
      <c r="A524" s="55" t="n"/>
      <c r="B524" s="56">
        <f>IF(A524="","",WEEKNUM(A524,21))</f>
        <v/>
      </c>
      <c r="C524" s="57" t="n"/>
      <c r="D524" s="57" t="n"/>
      <c r="E524" s="58" t="n"/>
      <c r="F524" s="57" t="n"/>
      <c r="G524" s="59" t="n"/>
      <c r="H524" s="59" t="n"/>
      <c r="I524" s="60">
        <f>IF(OR(G524="",H524=""),"",MOD(H524-G524,1))</f>
        <v/>
      </c>
      <c r="J524" s="61">
        <f>IF(OR(G524="",H524=""),"",ROUND(MOD(H524-G524,1)*24,2))</f>
        <v/>
      </c>
      <c r="K524" s="62">
        <f>IF(E524="","",IF(E524="Werken","JA","NEE"))</f>
        <v/>
      </c>
      <c r="L524" s="61">
        <f>IF(K524="JA",N(J524),IF(E524="","",0))</f>
        <v/>
      </c>
      <c r="M524" s="62">
        <f>IF(AND(A524="",E524=""),"",IF(E524="","Segment ontbreekt",IF(OR(G524="",H524=""),"Van/tot ontbreekt",IF(N(J524)=0,"Duur is nul",IF(N(J524)&gt;12,"Langer dan 12 uur - controleren",IF(AND(E524="Werken",D524=""),"Werken zonder klant - koppelen","OK"))))))</f>
        <v/>
      </c>
    </row>
    <row r="525" ht="15" customHeight="1" s="42">
      <c r="A525" s="55" t="n"/>
      <c r="B525" s="56">
        <f>IF(A525="","",WEEKNUM(A525,21))</f>
        <v/>
      </c>
      <c r="C525" s="57" t="n"/>
      <c r="D525" s="57" t="n"/>
      <c r="E525" s="58" t="n"/>
      <c r="F525" s="57" t="n"/>
      <c r="G525" s="59" t="n"/>
      <c r="H525" s="59" t="n"/>
      <c r="I525" s="60">
        <f>IF(OR(G525="",H525=""),"",MOD(H525-G525,1))</f>
        <v/>
      </c>
      <c r="J525" s="61">
        <f>IF(OR(G525="",H525=""),"",ROUND(MOD(H525-G525,1)*24,2))</f>
        <v/>
      </c>
      <c r="K525" s="62">
        <f>IF(E525="","",IF(E525="Werken","JA","NEE"))</f>
        <v/>
      </c>
      <c r="L525" s="61">
        <f>IF(K525="JA",N(J525),IF(E525="","",0))</f>
        <v/>
      </c>
      <c r="M525" s="62">
        <f>IF(AND(A525="",E525=""),"",IF(E525="","Segment ontbreekt",IF(OR(G525="",H525=""),"Van/tot ontbreekt",IF(N(J525)=0,"Duur is nul",IF(N(J525)&gt;12,"Langer dan 12 uur - controleren",IF(AND(E525="Werken",D525=""),"Werken zonder klant - koppelen","OK"))))))</f>
        <v/>
      </c>
    </row>
    <row r="526" ht="15" customHeight="1" s="42">
      <c r="A526" s="55" t="n"/>
      <c r="B526" s="56">
        <f>IF(A526="","",WEEKNUM(A526,21))</f>
        <v/>
      </c>
      <c r="C526" s="57" t="n"/>
      <c r="D526" s="57" t="n"/>
      <c r="E526" s="58" t="n"/>
      <c r="F526" s="57" t="n"/>
      <c r="G526" s="59" t="n"/>
      <c r="H526" s="59" t="n"/>
      <c r="I526" s="60">
        <f>IF(OR(G526="",H526=""),"",MOD(H526-G526,1))</f>
        <v/>
      </c>
      <c r="J526" s="61">
        <f>IF(OR(G526="",H526=""),"",ROUND(MOD(H526-G526,1)*24,2))</f>
        <v/>
      </c>
      <c r="K526" s="62">
        <f>IF(E526="","",IF(E526="Werken","JA","NEE"))</f>
        <v/>
      </c>
      <c r="L526" s="61">
        <f>IF(K526="JA",N(J526),IF(E526="","",0))</f>
        <v/>
      </c>
      <c r="M526" s="62">
        <f>IF(AND(A526="",E526=""),"",IF(E526="","Segment ontbreekt",IF(OR(G526="",H526=""),"Van/tot ontbreekt",IF(N(J526)=0,"Duur is nul",IF(N(J526)&gt;12,"Langer dan 12 uur - controleren",IF(AND(E526="Werken",D526=""),"Werken zonder klant - koppelen","OK"))))))</f>
        <v/>
      </c>
    </row>
    <row r="527" ht="15" customHeight="1" s="42">
      <c r="A527" s="55" t="n"/>
      <c r="B527" s="56">
        <f>IF(A527="","",WEEKNUM(A527,21))</f>
        <v/>
      </c>
      <c r="C527" s="57" t="n"/>
      <c r="D527" s="57" t="n"/>
      <c r="E527" s="58" t="n"/>
      <c r="F527" s="57" t="n"/>
      <c r="G527" s="59" t="n"/>
      <c r="H527" s="59" t="n"/>
      <c r="I527" s="60">
        <f>IF(OR(G527="",H527=""),"",MOD(H527-G527,1))</f>
        <v/>
      </c>
      <c r="J527" s="61">
        <f>IF(OR(G527="",H527=""),"",ROUND(MOD(H527-G527,1)*24,2))</f>
        <v/>
      </c>
      <c r="K527" s="62">
        <f>IF(E527="","",IF(E527="Werken","JA","NEE"))</f>
        <v/>
      </c>
      <c r="L527" s="61">
        <f>IF(K527="JA",N(J527),IF(E527="","",0))</f>
        <v/>
      </c>
      <c r="M527" s="62">
        <f>IF(AND(A527="",E527=""),"",IF(E527="","Segment ontbreekt",IF(OR(G527="",H527=""),"Van/tot ontbreekt",IF(N(J527)=0,"Duur is nul",IF(N(J527)&gt;12,"Langer dan 12 uur - controleren",IF(AND(E527="Werken",D527=""),"Werken zonder klant - koppelen","OK"))))))</f>
        <v/>
      </c>
    </row>
    <row r="528" ht="15" customHeight="1" s="42">
      <c r="A528" s="55" t="n"/>
      <c r="B528" s="56">
        <f>IF(A528="","",WEEKNUM(A528,21))</f>
        <v/>
      </c>
      <c r="C528" s="57" t="n"/>
      <c r="D528" s="57" t="n"/>
      <c r="E528" s="58" t="n"/>
      <c r="F528" s="57" t="n"/>
      <c r="G528" s="59" t="n"/>
      <c r="H528" s="59" t="n"/>
      <c r="I528" s="60">
        <f>IF(OR(G528="",H528=""),"",MOD(H528-G528,1))</f>
        <v/>
      </c>
      <c r="J528" s="61">
        <f>IF(OR(G528="",H528=""),"",ROUND(MOD(H528-G528,1)*24,2))</f>
        <v/>
      </c>
      <c r="K528" s="62">
        <f>IF(E528="","",IF(E528="Werken","JA","NEE"))</f>
        <v/>
      </c>
      <c r="L528" s="61">
        <f>IF(K528="JA",N(J528),IF(E528="","",0))</f>
        <v/>
      </c>
      <c r="M528" s="62">
        <f>IF(AND(A528="",E528=""),"",IF(E528="","Segment ontbreekt",IF(OR(G528="",H528=""),"Van/tot ontbreekt",IF(N(J528)=0,"Duur is nul",IF(N(J528)&gt;12,"Langer dan 12 uur - controleren",IF(AND(E528="Werken",D528=""),"Werken zonder klant - koppelen","OK"))))))</f>
        <v/>
      </c>
    </row>
    <row r="529" ht="15" customHeight="1" s="42">
      <c r="A529" s="55" t="n"/>
      <c r="B529" s="56">
        <f>IF(A529="","",WEEKNUM(A529,21))</f>
        <v/>
      </c>
      <c r="C529" s="57" t="n"/>
      <c r="D529" s="57" t="n"/>
      <c r="E529" s="58" t="n"/>
      <c r="F529" s="57" t="n"/>
      <c r="G529" s="59" t="n"/>
      <c r="H529" s="59" t="n"/>
      <c r="I529" s="60">
        <f>IF(OR(G529="",H529=""),"",MOD(H529-G529,1))</f>
        <v/>
      </c>
      <c r="J529" s="61">
        <f>IF(OR(G529="",H529=""),"",ROUND(MOD(H529-G529,1)*24,2))</f>
        <v/>
      </c>
      <c r="K529" s="62">
        <f>IF(E529="","",IF(E529="Werken","JA","NEE"))</f>
        <v/>
      </c>
      <c r="L529" s="61">
        <f>IF(K529="JA",N(J529),IF(E529="","",0))</f>
        <v/>
      </c>
      <c r="M529" s="62">
        <f>IF(AND(A529="",E529=""),"",IF(E529="","Segment ontbreekt",IF(OR(G529="",H529=""),"Van/tot ontbreekt",IF(N(J529)=0,"Duur is nul",IF(N(J529)&gt;12,"Langer dan 12 uur - controleren",IF(AND(E529="Werken",D529=""),"Werken zonder klant - koppelen","OK"))))))</f>
        <v/>
      </c>
    </row>
    <row r="530" ht="15" customHeight="1" s="42">
      <c r="A530" s="55" t="n"/>
      <c r="B530" s="56">
        <f>IF(A530="","",WEEKNUM(A530,21))</f>
        <v/>
      </c>
      <c r="C530" s="57" t="n"/>
      <c r="D530" s="57" t="n"/>
      <c r="E530" s="58" t="n"/>
      <c r="F530" s="57" t="n"/>
      <c r="G530" s="59" t="n"/>
      <c r="H530" s="59" t="n"/>
      <c r="I530" s="60">
        <f>IF(OR(G530="",H530=""),"",MOD(H530-G530,1))</f>
        <v/>
      </c>
      <c r="J530" s="61">
        <f>IF(OR(G530="",H530=""),"",ROUND(MOD(H530-G530,1)*24,2))</f>
        <v/>
      </c>
      <c r="K530" s="62">
        <f>IF(E530="","",IF(E530="Werken","JA","NEE"))</f>
        <v/>
      </c>
      <c r="L530" s="61">
        <f>IF(K530="JA",N(J530),IF(E530="","",0))</f>
        <v/>
      </c>
      <c r="M530" s="62">
        <f>IF(AND(A530="",E530=""),"",IF(E530="","Segment ontbreekt",IF(OR(G530="",H530=""),"Van/tot ontbreekt",IF(N(J530)=0,"Duur is nul",IF(N(J530)&gt;12,"Langer dan 12 uur - controleren",IF(AND(E530="Werken",D530=""),"Werken zonder klant - koppelen","OK"))))))</f>
        <v/>
      </c>
    </row>
    <row r="531" ht="15" customHeight="1" s="42">
      <c r="A531" s="55" t="n"/>
      <c r="B531" s="56">
        <f>IF(A531="","",WEEKNUM(A531,21))</f>
        <v/>
      </c>
      <c r="C531" s="57" t="n"/>
      <c r="D531" s="57" t="n"/>
      <c r="E531" s="58" t="n"/>
      <c r="F531" s="57" t="n"/>
      <c r="G531" s="59" t="n"/>
      <c r="H531" s="59" t="n"/>
      <c r="I531" s="60">
        <f>IF(OR(G531="",H531=""),"",MOD(H531-G531,1))</f>
        <v/>
      </c>
      <c r="J531" s="61">
        <f>IF(OR(G531="",H531=""),"",ROUND(MOD(H531-G531,1)*24,2))</f>
        <v/>
      </c>
      <c r="K531" s="62">
        <f>IF(E531="","",IF(E531="Werken","JA","NEE"))</f>
        <v/>
      </c>
      <c r="L531" s="61">
        <f>IF(K531="JA",N(J531),IF(E531="","",0))</f>
        <v/>
      </c>
      <c r="M531" s="62">
        <f>IF(AND(A531="",E531=""),"",IF(E531="","Segment ontbreekt",IF(OR(G531="",H531=""),"Van/tot ontbreekt",IF(N(J531)=0,"Duur is nul",IF(N(J531)&gt;12,"Langer dan 12 uur - controleren",IF(AND(E531="Werken",D531=""),"Werken zonder klant - koppelen","OK"))))))</f>
        <v/>
      </c>
    </row>
    <row r="532" ht="15" customHeight="1" s="42">
      <c r="A532" s="55" t="n"/>
      <c r="B532" s="56">
        <f>IF(A532="","",WEEKNUM(A532,21))</f>
        <v/>
      </c>
      <c r="C532" s="57" t="n"/>
      <c r="D532" s="57" t="n"/>
      <c r="E532" s="58" t="n"/>
      <c r="F532" s="57" t="n"/>
      <c r="G532" s="59" t="n"/>
      <c r="H532" s="59" t="n"/>
      <c r="I532" s="60">
        <f>IF(OR(G532="",H532=""),"",MOD(H532-G532,1))</f>
        <v/>
      </c>
      <c r="J532" s="61">
        <f>IF(OR(G532="",H532=""),"",ROUND(MOD(H532-G532,1)*24,2))</f>
        <v/>
      </c>
      <c r="K532" s="62">
        <f>IF(E532="","",IF(E532="Werken","JA","NEE"))</f>
        <v/>
      </c>
      <c r="L532" s="61">
        <f>IF(K532="JA",N(J532),IF(E532="","",0))</f>
        <v/>
      </c>
      <c r="M532" s="62">
        <f>IF(AND(A532="",E532=""),"",IF(E532="","Segment ontbreekt",IF(OR(G532="",H532=""),"Van/tot ontbreekt",IF(N(J532)=0,"Duur is nul",IF(N(J532)&gt;12,"Langer dan 12 uur - controleren",IF(AND(E532="Werken",D532=""),"Werken zonder klant - koppelen","OK"))))))</f>
        <v/>
      </c>
    </row>
    <row r="533" ht="15" customHeight="1" s="42">
      <c r="A533" s="55" t="n"/>
      <c r="B533" s="56">
        <f>IF(A533="","",WEEKNUM(A533,21))</f>
        <v/>
      </c>
      <c r="C533" s="57" t="n"/>
      <c r="D533" s="57" t="n"/>
      <c r="E533" s="58" t="n"/>
      <c r="F533" s="57" t="n"/>
      <c r="G533" s="59" t="n"/>
      <c r="H533" s="59" t="n"/>
      <c r="I533" s="60">
        <f>IF(OR(G533="",H533=""),"",MOD(H533-G533,1))</f>
        <v/>
      </c>
      <c r="J533" s="61">
        <f>IF(OR(G533="",H533=""),"",ROUND(MOD(H533-G533,1)*24,2))</f>
        <v/>
      </c>
      <c r="K533" s="62">
        <f>IF(E533="","",IF(E533="Werken","JA","NEE"))</f>
        <v/>
      </c>
      <c r="L533" s="61">
        <f>IF(K533="JA",N(J533),IF(E533="","",0))</f>
        <v/>
      </c>
      <c r="M533" s="62">
        <f>IF(AND(A533="",E533=""),"",IF(E533="","Segment ontbreekt",IF(OR(G533="",H533=""),"Van/tot ontbreekt",IF(N(J533)=0,"Duur is nul",IF(N(J533)&gt;12,"Langer dan 12 uur - controleren",IF(AND(E533="Werken",D533=""),"Werken zonder klant - koppelen","OK"))))))</f>
        <v/>
      </c>
    </row>
    <row r="534" ht="15" customHeight="1" s="42">
      <c r="A534" s="55" t="n"/>
      <c r="B534" s="56">
        <f>IF(A534="","",WEEKNUM(A534,21))</f>
        <v/>
      </c>
      <c r="C534" s="57" t="n"/>
      <c r="D534" s="57" t="n"/>
      <c r="E534" s="58" t="n"/>
      <c r="F534" s="57" t="n"/>
      <c r="G534" s="59" t="n"/>
      <c r="H534" s="59" t="n"/>
      <c r="I534" s="60">
        <f>IF(OR(G534="",H534=""),"",MOD(H534-G534,1))</f>
        <v/>
      </c>
      <c r="J534" s="61">
        <f>IF(OR(G534="",H534=""),"",ROUND(MOD(H534-G534,1)*24,2))</f>
        <v/>
      </c>
      <c r="K534" s="62">
        <f>IF(E534="","",IF(E534="Werken","JA","NEE"))</f>
        <v/>
      </c>
      <c r="L534" s="61">
        <f>IF(K534="JA",N(J534),IF(E534="","",0))</f>
        <v/>
      </c>
      <c r="M534" s="62">
        <f>IF(AND(A534="",E534=""),"",IF(E534="","Segment ontbreekt",IF(OR(G534="",H534=""),"Van/tot ontbreekt",IF(N(J534)=0,"Duur is nul",IF(N(J534)&gt;12,"Langer dan 12 uur - controleren",IF(AND(E534="Werken",D534=""),"Werken zonder klant - koppelen","OK"))))))</f>
        <v/>
      </c>
    </row>
    <row r="535" ht="15" customHeight="1" s="42">
      <c r="A535" s="55" t="n"/>
      <c r="B535" s="56">
        <f>IF(A535="","",WEEKNUM(A535,21))</f>
        <v/>
      </c>
      <c r="C535" s="57" t="n"/>
      <c r="D535" s="57" t="n"/>
      <c r="E535" s="58" t="n"/>
      <c r="F535" s="57" t="n"/>
      <c r="G535" s="59" t="n"/>
      <c r="H535" s="59" t="n"/>
      <c r="I535" s="60">
        <f>IF(OR(G535="",H535=""),"",MOD(H535-G535,1))</f>
        <v/>
      </c>
      <c r="J535" s="61">
        <f>IF(OR(G535="",H535=""),"",ROUND(MOD(H535-G535,1)*24,2))</f>
        <v/>
      </c>
      <c r="K535" s="62">
        <f>IF(E535="","",IF(E535="Werken","JA","NEE"))</f>
        <v/>
      </c>
      <c r="L535" s="61">
        <f>IF(K535="JA",N(J535),IF(E535="","",0))</f>
        <v/>
      </c>
      <c r="M535" s="62">
        <f>IF(AND(A535="",E535=""),"",IF(E535="","Segment ontbreekt",IF(OR(G535="",H535=""),"Van/tot ontbreekt",IF(N(J535)=0,"Duur is nul",IF(N(J535)&gt;12,"Langer dan 12 uur - controleren",IF(AND(E535="Werken",D535=""),"Werken zonder klant - koppelen","OK"))))))</f>
        <v/>
      </c>
    </row>
    <row r="536" ht="15" customHeight="1" s="42">
      <c r="A536" s="55" t="n"/>
      <c r="B536" s="56">
        <f>IF(A536="","",WEEKNUM(A536,21))</f>
        <v/>
      </c>
      <c r="C536" s="57" t="n"/>
      <c r="D536" s="57" t="n"/>
      <c r="E536" s="58" t="n"/>
      <c r="F536" s="57" t="n"/>
      <c r="G536" s="59" t="n"/>
      <c r="H536" s="59" t="n"/>
      <c r="I536" s="60">
        <f>IF(OR(G536="",H536=""),"",MOD(H536-G536,1))</f>
        <v/>
      </c>
      <c r="J536" s="61">
        <f>IF(OR(G536="",H536=""),"",ROUND(MOD(H536-G536,1)*24,2))</f>
        <v/>
      </c>
      <c r="K536" s="62">
        <f>IF(E536="","",IF(E536="Werken","JA","NEE"))</f>
        <v/>
      </c>
      <c r="L536" s="61">
        <f>IF(K536="JA",N(J536),IF(E536="","",0))</f>
        <v/>
      </c>
      <c r="M536" s="62">
        <f>IF(AND(A536="",E536=""),"",IF(E536="","Segment ontbreekt",IF(OR(G536="",H536=""),"Van/tot ontbreekt",IF(N(J536)=0,"Duur is nul",IF(N(J536)&gt;12,"Langer dan 12 uur - controleren",IF(AND(E536="Werken",D536=""),"Werken zonder klant - koppelen","OK"))))))</f>
        <v/>
      </c>
    </row>
    <row r="537" ht="15" customHeight="1" s="42">
      <c r="A537" s="55" t="n"/>
      <c r="B537" s="56">
        <f>IF(A537="","",WEEKNUM(A537,21))</f>
        <v/>
      </c>
      <c r="C537" s="57" t="n"/>
      <c r="D537" s="57" t="n"/>
      <c r="E537" s="58" t="n"/>
      <c r="F537" s="57" t="n"/>
      <c r="G537" s="59" t="n"/>
      <c r="H537" s="59" t="n"/>
      <c r="I537" s="60">
        <f>IF(OR(G537="",H537=""),"",MOD(H537-G537,1))</f>
        <v/>
      </c>
      <c r="J537" s="61">
        <f>IF(OR(G537="",H537=""),"",ROUND(MOD(H537-G537,1)*24,2))</f>
        <v/>
      </c>
      <c r="K537" s="62">
        <f>IF(E537="","",IF(E537="Werken","JA","NEE"))</f>
        <v/>
      </c>
      <c r="L537" s="61">
        <f>IF(K537="JA",N(J537),IF(E537="","",0))</f>
        <v/>
      </c>
      <c r="M537" s="62">
        <f>IF(AND(A537="",E537=""),"",IF(E537="","Segment ontbreekt",IF(OR(G537="",H537=""),"Van/tot ontbreekt",IF(N(J537)=0,"Duur is nul",IF(N(J537)&gt;12,"Langer dan 12 uur - controleren",IF(AND(E537="Werken",D537=""),"Werken zonder klant - koppelen","OK"))))))</f>
        <v/>
      </c>
    </row>
    <row r="538" ht="15" customHeight="1" s="42">
      <c r="A538" s="55" t="n"/>
      <c r="B538" s="56">
        <f>IF(A538="","",WEEKNUM(A538,21))</f>
        <v/>
      </c>
      <c r="C538" s="57" t="n"/>
      <c r="D538" s="57" t="n"/>
      <c r="E538" s="58" t="n"/>
      <c r="F538" s="57" t="n"/>
      <c r="G538" s="59" t="n"/>
      <c r="H538" s="59" t="n"/>
      <c r="I538" s="60">
        <f>IF(OR(G538="",H538=""),"",MOD(H538-G538,1))</f>
        <v/>
      </c>
      <c r="J538" s="61">
        <f>IF(OR(G538="",H538=""),"",ROUND(MOD(H538-G538,1)*24,2))</f>
        <v/>
      </c>
      <c r="K538" s="62">
        <f>IF(E538="","",IF(E538="Werken","JA","NEE"))</f>
        <v/>
      </c>
      <c r="L538" s="61">
        <f>IF(K538="JA",N(J538),IF(E538="","",0))</f>
        <v/>
      </c>
      <c r="M538" s="62">
        <f>IF(AND(A538="",E538=""),"",IF(E538="","Segment ontbreekt",IF(OR(G538="",H538=""),"Van/tot ontbreekt",IF(N(J538)=0,"Duur is nul",IF(N(J538)&gt;12,"Langer dan 12 uur - controleren",IF(AND(E538="Werken",D538=""),"Werken zonder klant - koppelen","OK"))))))</f>
        <v/>
      </c>
    </row>
    <row r="539" ht="15" customHeight="1" s="42">
      <c r="A539" s="55" t="n"/>
      <c r="B539" s="56">
        <f>IF(A539="","",WEEKNUM(A539,21))</f>
        <v/>
      </c>
      <c r="C539" s="57" t="n"/>
      <c r="D539" s="57" t="n"/>
      <c r="E539" s="58" t="n"/>
      <c r="F539" s="57" t="n"/>
      <c r="G539" s="59" t="n"/>
      <c r="H539" s="59" t="n"/>
      <c r="I539" s="60">
        <f>IF(OR(G539="",H539=""),"",MOD(H539-G539,1))</f>
        <v/>
      </c>
      <c r="J539" s="61">
        <f>IF(OR(G539="",H539=""),"",ROUND(MOD(H539-G539,1)*24,2))</f>
        <v/>
      </c>
      <c r="K539" s="62">
        <f>IF(E539="","",IF(E539="Werken","JA","NEE"))</f>
        <v/>
      </c>
      <c r="L539" s="61">
        <f>IF(K539="JA",N(J539),IF(E539="","",0))</f>
        <v/>
      </c>
      <c r="M539" s="62">
        <f>IF(AND(A539="",E539=""),"",IF(E539="","Segment ontbreekt",IF(OR(G539="",H539=""),"Van/tot ontbreekt",IF(N(J539)=0,"Duur is nul",IF(N(J539)&gt;12,"Langer dan 12 uur - controleren",IF(AND(E539="Werken",D539=""),"Werken zonder klant - koppelen","OK"))))))</f>
        <v/>
      </c>
    </row>
    <row r="540" ht="15" customHeight="1" s="42">
      <c r="A540" s="55" t="n"/>
      <c r="B540" s="56">
        <f>IF(A540="","",WEEKNUM(A540,21))</f>
        <v/>
      </c>
      <c r="C540" s="57" t="n"/>
      <c r="D540" s="57" t="n"/>
      <c r="E540" s="58" t="n"/>
      <c r="F540" s="57" t="n"/>
      <c r="G540" s="59" t="n"/>
      <c r="H540" s="59" t="n"/>
      <c r="I540" s="60">
        <f>IF(OR(G540="",H540=""),"",MOD(H540-G540,1))</f>
        <v/>
      </c>
      <c r="J540" s="61">
        <f>IF(OR(G540="",H540=""),"",ROUND(MOD(H540-G540,1)*24,2))</f>
        <v/>
      </c>
      <c r="K540" s="62">
        <f>IF(E540="","",IF(E540="Werken","JA","NEE"))</f>
        <v/>
      </c>
      <c r="L540" s="61">
        <f>IF(K540="JA",N(J540),IF(E540="","",0))</f>
        <v/>
      </c>
      <c r="M540" s="62">
        <f>IF(AND(A540="",E540=""),"",IF(E540="","Segment ontbreekt",IF(OR(G540="",H540=""),"Van/tot ontbreekt",IF(N(J540)=0,"Duur is nul",IF(N(J540)&gt;12,"Langer dan 12 uur - controleren",IF(AND(E540="Werken",D540=""),"Werken zonder klant - koppelen","OK"))))))</f>
        <v/>
      </c>
    </row>
    <row r="541" ht="15" customHeight="1" s="42">
      <c r="A541" s="55" t="n"/>
      <c r="B541" s="56">
        <f>IF(A541="","",WEEKNUM(A541,21))</f>
        <v/>
      </c>
      <c r="C541" s="57" t="n"/>
      <c r="D541" s="57" t="n"/>
      <c r="E541" s="58" t="n"/>
      <c r="F541" s="57" t="n"/>
      <c r="G541" s="59" t="n"/>
      <c r="H541" s="59" t="n"/>
      <c r="I541" s="60">
        <f>IF(OR(G541="",H541=""),"",MOD(H541-G541,1))</f>
        <v/>
      </c>
      <c r="J541" s="61">
        <f>IF(OR(G541="",H541=""),"",ROUND(MOD(H541-G541,1)*24,2))</f>
        <v/>
      </c>
      <c r="K541" s="62">
        <f>IF(E541="","",IF(E541="Werken","JA","NEE"))</f>
        <v/>
      </c>
      <c r="L541" s="61">
        <f>IF(K541="JA",N(J541),IF(E541="","",0))</f>
        <v/>
      </c>
      <c r="M541" s="62">
        <f>IF(AND(A541="",E541=""),"",IF(E541="","Segment ontbreekt",IF(OR(G541="",H541=""),"Van/tot ontbreekt",IF(N(J541)=0,"Duur is nul",IF(N(J541)&gt;12,"Langer dan 12 uur - controleren",IF(AND(E541="Werken",D541=""),"Werken zonder klant - koppelen","OK"))))))</f>
        <v/>
      </c>
    </row>
    <row r="542" ht="15" customHeight="1" s="42">
      <c r="A542" s="55" t="n"/>
      <c r="B542" s="56">
        <f>IF(A542="","",WEEKNUM(A542,21))</f>
        <v/>
      </c>
      <c r="C542" s="57" t="n"/>
      <c r="D542" s="57" t="n"/>
      <c r="E542" s="58" t="n"/>
      <c r="F542" s="57" t="n"/>
      <c r="G542" s="59" t="n"/>
      <c r="H542" s="59" t="n"/>
      <c r="I542" s="60">
        <f>IF(OR(G542="",H542=""),"",MOD(H542-G542,1))</f>
        <v/>
      </c>
      <c r="J542" s="61">
        <f>IF(OR(G542="",H542=""),"",ROUND(MOD(H542-G542,1)*24,2))</f>
        <v/>
      </c>
      <c r="K542" s="62">
        <f>IF(E542="","",IF(E542="Werken","JA","NEE"))</f>
        <v/>
      </c>
      <c r="L542" s="61">
        <f>IF(K542="JA",N(J542),IF(E542="","",0))</f>
        <v/>
      </c>
      <c r="M542" s="62">
        <f>IF(AND(A542="",E542=""),"",IF(E542="","Segment ontbreekt",IF(OR(G542="",H542=""),"Van/tot ontbreekt",IF(N(J542)=0,"Duur is nul",IF(N(J542)&gt;12,"Langer dan 12 uur - controleren",IF(AND(E542="Werken",D542=""),"Werken zonder klant - koppelen","OK"))))))</f>
        <v/>
      </c>
    </row>
    <row r="543" ht="15" customHeight="1" s="42">
      <c r="A543" s="55" t="n"/>
      <c r="B543" s="56">
        <f>IF(A543="","",WEEKNUM(A543,21))</f>
        <v/>
      </c>
      <c r="C543" s="57" t="n"/>
      <c r="D543" s="57" t="n"/>
      <c r="E543" s="58" t="n"/>
      <c r="F543" s="57" t="n"/>
      <c r="G543" s="59" t="n"/>
      <c r="H543" s="59" t="n"/>
      <c r="I543" s="60">
        <f>IF(OR(G543="",H543=""),"",MOD(H543-G543,1))</f>
        <v/>
      </c>
      <c r="J543" s="61">
        <f>IF(OR(G543="",H543=""),"",ROUND(MOD(H543-G543,1)*24,2))</f>
        <v/>
      </c>
      <c r="K543" s="62">
        <f>IF(E543="","",IF(E543="Werken","JA","NEE"))</f>
        <v/>
      </c>
      <c r="L543" s="61">
        <f>IF(K543="JA",N(J543),IF(E543="","",0))</f>
        <v/>
      </c>
      <c r="M543" s="62">
        <f>IF(AND(A543="",E543=""),"",IF(E543="","Segment ontbreekt",IF(OR(G543="",H543=""),"Van/tot ontbreekt",IF(N(J543)=0,"Duur is nul",IF(N(J543)&gt;12,"Langer dan 12 uur - controleren",IF(AND(E543="Werken",D543=""),"Werken zonder klant - koppelen","OK"))))))</f>
        <v/>
      </c>
    </row>
    <row r="544" ht="15" customHeight="1" s="42">
      <c r="A544" s="55" t="n"/>
      <c r="B544" s="56">
        <f>IF(A544="","",WEEKNUM(A544,21))</f>
        <v/>
      </c>
      <c r="C544" s="57" t="n"/>
      <c r="D544" s="57" t="n"/>
      <c r="E544" s="58" t="n"/>
      <c r="F544" s="57" t="n"/>
      <c r="G544" s="59" t="n"/>
      <c r="H544" s="59" t="n"/>
      <c r="I544" s="60">
        <f>IF(OR(G544="",H544=""),"",MOD(H544-G544,1))</f>
        <v/>
      </c>
      <c r="J544" s="61">
        <f>IF(OR(G544="",H544=""),"",ROUND(MOD(H544-G544,1)*24,2))</f>
        <v/>
      </c>
      <c r="K544" s="62">
        <f>IF(E544="","",IF(E544="Werken","JA","NEE"))</f>
        <v/>
      </c>
      <c r="L544" s="61">
        <f>IF(K544="JA",N(J544),IF(E544="","",0))</f>
        <v/>
      </c>
      <c r="M544" s="62">
        <f>IF(AND(A544="",E544=""),"",IF(E544="","Segment ontbreekt",IF(OR(G544="",H544=""),"Van/tot ontbreekt",IF(N(J544)=0,"Duur is nul",IF(N(J544)&gt;12,"Langer dan 12 uur - controleren",IF(AND(E544="Werken",D544=""),"Werken zonder klant - koppelen","OK"))))))</f>
        <v/>
      </c>
    </row>
    <row r="545" ht="15" customHeight="1" s="42">
      <c r="A545" s="55" t="n"/>
      <c r="B545" s="56">
        <f>IF(A545="","",WEEKNUM(A545,21))</f>
        <v/>
      </c>
      <c r="C545" s="57" t="n"/>
      <c r="D545" s="57" t="n"/>
      <c r="E545" s="58" t="n"/>
      <c r="F545" s="57" t="n"/>
      <c r="G545" s="59" t="n"/>
      <c r="H545" s="59" t="n"/>
      <c r="I545" s="60">
        <f>IF(OR(G545="",H545=""),"",MOD(H545-G545,1))</f>
        <v/>
      </c>
      <c r="J545" s="61">
        <f>IF(OR(G545="",H545=""),"",ROUND(MOD(H545-G545,1)*24,2))</f>
        <v/>
      </c>
      <c r="K545" s="62">
        <f>IF(E545="","",IF(E545="Werken","JA","NEE"))</f>
        <v/>
      </c>
      <c r="L545" s="61">
        <f>IF(K545="JA",N(J545),IF(E545="","",0))</f>
        <v/>
      </c>
      <c r="M545" s="62">
        <f>IF(AND(A545="",E545=""),"",IF(E545="","Segment ontbreekt",IF(OR(G545="",H545=""),"Van/tot ontbreekt",IF(N(J545)=0,"Duur is nul",IF(N(J545)&gt;12,"Langer dan 12 uur - controleren",IF(AND(E545="Werken",D545=""),"Werken zonder klant - koppelen","OK"))))))</f>
        <v/>
      </c>
    </row>
    <row r="546" ht="15" customHeight="1" s="42">
      <c r="A546" s="55" t="n"/>
      <c r="B546" s="56">
        <f>IF(A546="","",WEEKNUM(A546,21))</f>
        <v/>
      </c>
      <c r="C546" s="57" t="n"/>
      <c r="D546" s="57" t="n"/>
      <c r="E546" s="58" t="n"/>
      <c r="F546" s="57" t="n"/>
      <c r="G546" s="59" t="n"/>
      <c r="H546" s="59" t="n"/>
      <c r="I546" s="60">
        <f>IF(OR(G546="",H546=""),"",MOD(H546-G546,1))</f>
        <v/>
      </c>
      <c r="J546" s="61">
        <f>IF(OR(G546="",H546=""),"",ROUND(MOD(H546-G546,1)*24,2))</f>
        <v/>
      </c>
      <c r="K546" s="62">
        <f>IF(E546="","",IF(E546="Werken","JA","NEE"))</f>
        <v/>
      </c>
      <c r="L546" s="61">
        <f>IF(K546="JA",N(J546),IF(E546="","",0))</f>
        <v/>
      </c>
      <c r="M546" s="62">
        <f>IF(AND(A546="",E546=""),"",IF(E546="","Segment ontbreekt",IF(OR(G546="",H546=""),"Van/tot ontbreekt",IF(N(J546)=0,"Duur is nul",IF(N(J546)&gt;12,"Langer dan 12 uur - controleren",IF(AND(E546="Werken",D546=""),"Werken zonder klant - koppelen","OK"))))))</f>
        <v/>
      </c>
    </row>
    <row r="547" ht="15" customHeight="1" s="42">
      <c r="A547" s="55" t="n"/>
      <c r="B547" s="56">
        <f>IF(A547="","",WEEKNUM(A547,21))</f>
        <v/>
      </c>
      <c r="C547" s="57" t="n"/>
      <c r="D547" s="57" t="n"/>
      <c r="E547" s="58" t="n"/>
      <c r="F547" s="57" t="n"/>
      <c r="G547" s="59" t="n"/>
      <c r="H547" s="59" t="n"/>
      <c r="I547" s="60">
        <f>IF(OR(G547="",H547=""),"",MOD(H547-G547,1))</f>
        <v/>
      </c>
      <c r="J547" s="61">
        <f>IF(OR(G547="",H547=""),"",ROUND(MOD(H547-G547,1)*24,2))</f>
        <v/>
      </c>
      <c r="K547" s="62">
        <f>IF(E547="","",IF(E547="Werken","JA","NEE"))</f>
        <v/>
      </c>
      <c r="L547" s="61">
        <f>IF(K547="JA",N(J547),IF(E547="","",0))</f>
        <v/>
      </c>
      <c r="M547" s="62">
        <f>IF(AND(A547="",E547=""),"",IF(E547="","Segment ontbreekt",IF(OR(G547="",H547=""),"Van/tot ontbreekt",IF(N(J547)=0,"Duur is nul",IF(N(J547)&gt;12,"Langer dan 12 uur - controleren",IF(AND(E547="Werken",D547=""),"Werken zonder klant - koppelen","OK"))))))</f>
        <v/>
      </c>
    </row>
    <row r="548" ht="15" customHeight="1" s="42">
      <c r="A548" s="55" t="n"/>
      <c r="B548" s="56">
        <f>IF(A548="","",WEEKNUM(A548,21))</f>
        <v/>
      </c>
      <c r="C548" s="57" t="n"/>
      <c r="D548" s="57" t="n"/>
      <c r="E548" s="58" t="n"/>
      <c r="F548" s="57" t="n"/>
      <c r="G548" s="59" t="n"/>
      <c r="H548" s="59" t="n"/>
      <c r="I548" s="60">
        <f>IF(OR(G548="",H548=""),"",MOD(H548-G548,1))</f>
        <v/>
      </c>
      <c r="J548" s="61">
        <f>IF(OR(G548="",H548=""),"",ROUND(MOD(H548-G548,1)*24,2))</f>
        <v/>
      </c>
      <c r="K548" s="62">
        <f>IF(E548="","",IF(E548="Werken","JA","NEE"))</f>
        <v/>
      </c>
      <c r="L548" s="61">
        <f>IF(K548="JA",N(J548),IF(E548="","",0))</f>
        <v/>
      </c>
      <c r="M548" s="62">
        <f>IF(AND(A548="",E548=""),"",IF(E548="","Segment ontbreekt",IF(OR(G548="",H548=""),"Van/tot ontbreekt",IF(N(J548)=0,"Duur is nul",IF(N(J548)&gt;12,"Langer dan 12 uur - controleren",IF(AND(E548="Werken",D548=""),"Werken zonder klant - koppelen","OK"))))))</f>
        <v/>
      </c>
    </row>
    <row r="549" ht="15" customHeight="1" s="42">
      <c r="A549" s="55" t="n"/>
      <c r="B549" s="56">
        <f>IF(A549="","",WEEKNUM(A549,21))</f>
        <v/>
      </c>
      <c r="C549" s="57" t="n"/>
      <c r="D549" s="57" t="n"/>
      <c r="E549" s="58" t="n"/>
      <c r="F549" s="57" t="n"/>
      <c r="G549" s="59" t="n"/>
      <c r="H549" s="59" t="n"/>
      <c r="I549" s="60">
        <f>IF(OR(G549="",H549=""),"",MOD(H549-G549,1))</f>
        <v/>
      </c>
      <c r="J549" s="61">
        <f>IF(OR(G549="",H549=""),"",ROUND(MOD(H549-G549,1)*24,2))</f>
        <v/>
      </c>
      <c r="K549" s="62">
        <f>IF(E549="","",IF(E549="Werken","JA","NEE"))</f>
        <v/>
      </c>
      <c r="L549" s="61">
        <f>IF(K549="JA",N(J549),IF(E549="","",0))</f>
        <v/>
      </c>
      <c r="M549" s="62">
        <f>IF(AND(A549="",E549=""),"",IF(E549="","Segment ontbreekt",IF(OR(G549="",H549=""),"Van/tot ontbreekt",IF(N(J549)=0,"Duur is nul",IF(N(J549)&gt;12,"Langer dan 12 uur - controleren",IF(AND(E549="Werken",D549=""),"Werken zonder klant - koppelen","OK"))))))</f>
        <v/>
      </c>
    </row>
    <row r="550" ht="15" customHeight="1" s="42">
      <c r="A550" s="55" t="n"/>
      <c r="B550" s="56">
        <f>IF(A550="","",WEEKNUM(A550,21))</f>
        <v/>
      </c>
      <c r="C550" s="57" t="n"/>
      <c r="D550" s="57" t="n"/>
      <c r="E550" s="58" t="n"/>
      <c r="F550" s="57" t="n"/>
      <c r="G550" s="59" t="n"/>
      <c r="H550" s="59" t="n"/>
      <c r="I550" s="60">
        <f>IF(OR(G550="",H550=""),"",MOD(H550-G550,1))</f>
        <v/>
      </c>
      <c r="J550" s="61">
        <f>IF(OR(G550="",H550=""),"",ROUND(MOD(H550-G550,1)*24,2))</f>
        <v/>
      </c>
      <c r="K550" s="62">
        <f>IF(E550="","",IF(E550="Werken","JA","NEE"))</f>
        <v/>
      </c>
      <c r="L550" s="61">
        <f>IF(K550="JA",N(J550),IF(E550="","",0))</f>
        <v/>
      </c>
      <c r="M550" s="62">
        <f>IF(AND(A550="",E550=""),"",IF(E550="","Segment ontbreekt",IF(OR(G550="",H550=""),"Van/tot ontbreekt",IF(N(J550)=0,"Duur is nul",IF(N(J550)&gt;12,"Langer dan 12 uur - controleren",IF(AND(E550="Werken",D550=""),"Werken zonder klant - koppelen","OK"))))))</f>
        <v/>
      </c>
    </row>
    <row r="551" ht="15" customHeight="1" s="42">
      <c r="A551" s="55" t="n"/>
      <c r="B551" s="56">
        <f>IF(A551="","",WEEKNUM(A551,21))</f>
        <v/>
      </c>
      <c r="C551" s="57" t="n"/>
      <c r="D551" s="57" t="n"/>
      <c r="E551" s="58" t="n"/>
      <c r="F551" s="57" t="n"/>
      <c r="G551" s="59" t="n"/>
      <c r="H551" s="59" t="n"/>
      <c r="I551" s="60">
        <f>IF(OR(G551="",H551=""),"",MOD(H551-G551,1))</f>
        <v/>
      </c>
      <c r="J551" s="61">
        <f>IF(OR(G551="",H551=""),"",ROUND(MOD(H551-G551,1)*24,2))</f>
        <v/>
      </c>
      <c r="K551" s="62">
        <f>IF(E551="","",IF(E551="Werken","JA","NEE"))</f>
        <v/>
      </c>
      <c r="L551" s="61">
        <f>IF(K551="JA",N(J551),IF(E551="","",0))</f>
        <v/>
      </c>
      <c r="M551" s="62">
        <f>IF(AND(A551="",E551=""),"",IF(E551="","Segment ontbreekt",IF(OR(G551="",H551=""),"Van/tot ontbreekt",IF(N(J551)=0,"Duur is nul",IF(N(J551)&gt;12,"Langer dan 12 uur - controleren",IF(AND(E551="Werken",D551=""),"Werken zonder klant - koppelen","OK"))))))</f>
        <v/>
      </c>
    </row>
    <row r="552" ht="15" customHeight="1" s="42">
      <c r="A552" s="55" t="n"/>
      <c r="B552" s="56">
        <f>IF(A552="","",WEEKNUM(A552,21))</f>
        <v/>
      </c>
      <c r="C552" s="57" t="n"/>
      <c r="D552" s="57" t="n"/>
      <c r="E552" s="58" t="n"/>
      <c r="F552" s="57" t="n"/>
      <c r="G552" s="59" t="n"/>
      <c r="H552" s="59" t="n"/>
      <c r="I552" s="60">
        <f>IF(OR(G552="",H552=""),"",MOD(H552-G552,1))</f>
        <v/>
      </c>
      <c r="J552" s="61">
        <f>IF(OR(G552="",H552=""),"",ROUND(MOD(H552-G552,1)*24,2))</f>
        <v/>
      </c>
      <c r="K552" s="62">
        <f>IF(E552="","",IF(E552="Werken","JA","NEE"))</f>
        <v/>
      </c>
      <c r="L552" s="61">
        <f>IF(K552="JA",N(J552),IF(E552="","",0))</f>
        <v/>
      </c>
      <c r="M552" s="62">
        <f>IF(AND(A552="",E552=""),"",IF(E552="","Segment ontbreekt",IF(OR(G552="",H552=""),"Van/tot ontbreekt",IF(N(J552)=0,"Duur is nul",IF(N(J552)&gt;12,"Langer dan 12 uur - controleren",IF(AND(E552="Werken",D552=""),"Werken zonder klant - koppelen","OK"))))))</f>
        <v/>
      </c>
    </row>
    <row r="553" ht="15" customHeight="1" s="42">
      <c r="A553" s="55" t="n"/>
      <c r="B553" s="56">
        <f>IF(A553="","",WEEKNUM(A553,21))</f>
        <v/>
      </c>
      <c r="C553" s="57" t="n"/>
      <c r="D553" s="57" t="n"/>
      <c r="E553" s="58" t="n"/>
      <c r="F553" s="57" t="n"/>
      <c r="G553" s="59" t="n"/>
      <c r="H553" s="59" t="n"/>
      <c r="I553" s="60">
        <f>IF(OR(G553="",H553=""),"",MOD(H553-G553,1))</f>
        <v/>
      </c>
      <c r="J553" s="61">
        <f>IF(OR(G553="",H553=""),"",ROUND(MOD(H553-G553,1)*24,2))</f>
        <v/>
      </c>
      <c r="K553" s="62">
        <f>IF(E553="","",IF(E553="Werken","JA","NEE"))</f>
        <v/>
      </c>
      <c r="L553" s="61">
        <f>IF(K553="JA",N(J553),IF(E553="","",0))</f>
        <v/>
      </c>
      <c r="M553" s="62">
        <f>IF(AND(A553="",E553=""),"",IF(E553="","Segment ontbreekt",IF(OR(G553="",H553=""),"Van/tot ontbreekt",IF(N(J553)=0,"Duur is nul",IF(N(J553)&gt;12,"Langer dan 12 uur - controleren",IF(AND(E553="Werken",D553=""),"Werken zonder klant - koppelen","OK"))))))</f>
        <v/>
      </c>
    </row>
    <row r="554" ht="15" customHeight="1" s="42">
      <c r="A554" s="55" t="n"/>
      <c r="B554" s="56">
        <f>IF(A554="","",WEEKNUM(A554,21))</f>
        <v/>
      </c>
      <c r="C554" s="57" t="n"/>
      <c r="D554" s="57" t="n"/>
      <c r="E554" s="58" t="n"/>
      <c r="F554" s="57" t="n"/>
      <c r="G554" s="59" t="n"/>
      <c r="H554" s="59" t="n"/>
      <c r="I554" s="60">
        <f>IF(OR(G554="",H554=""),"",MOD(H554-G554,1))</f>
        <v/>
      </c>
      <c r="J554" s="61">
        <f>IF(OR(G554="",H554=""),"",ROUND(MOD(H554-G554,1)*24,2))</f>
        <v/>
      </c>
      <c r="K554" s="62">
        <f>IF(E554="","",IF(E554="Werken","JA","NEE"))</f>
        <v/>
      </c>
      <c r="L554" s="61">
        <f>IF(K554="JA",N(J554),IF(E554="","",0))</f>
        <v/>
      </c>
      <c r="M554" s="62">
        <f>IF(AND(A554="",E554=""),"",IF(E554="","Segment ontbreekt",IF(OR(G554="",H554=""),"Van/tot ontbreekt",IF(N(J554)=0,"Duur is nul",IF(N(J554)&gt;12,"Langer dan 12 uur - controleren",IF(AND(E554="Werken",D554=""),"Werken zonder klant - koppelen","OK"))))))</f>
        <v/>
      </c>
    </row>
    <row r="555" ht="15" customHeight="1" s="42">
      <c r="A555" s="55" t="n"/>
      <c r="B555" s="56">
        <f>IF(A555="","",WEEKNUM(A555,21))</f>
        <v/>
      </c>
      <c r="C555" s="57" t="n"/>
      <c r="D555" s="57" t="n"/>
      <c r="E555" s="58" t="n"/>
      <c r="F555" s="57" t="n"/>
      <c r="G555" s="59" t="n"/>
      <c r="H555" s="59" t="n"/>
      <c r="I555" s="60">
        <f>IF(OR(G555="",H555=""),"",MOD(H555-G555,1))</f>
        <v/>
      </c>
      <c r="J555" s="61">
        <f>IF(OR(G555="",H555=""),"",ROUND(MOD(H555-G555,1)*24,2))</f>
        <v/>
      </c>
      <c r="K555" s="62">
        <f>IF(E555="","",IF(E555="Werken","JA","NEE"))</f>
        <v/>
      </c>
      <c r="L555" s="61">
        <f>IF(K555="JA",N(J555),IF(E555="","",0))</f>
        <v/>
      </c>
      <c r="M555" s="62">
        <f>IF(AND(A555="",E555=""),"",IF(E555="","Segment ontbreekt",IF(OR(G555="",H555=""),"Van/tot ontbreekt",IF(N(J555)=0,"Duur is nul",IF(N(J555)&gt;12,"Langer dan 12 uur - controleren",IF(AND(E555="Werken",D555=""),"Werken zonder klant - koppelen","OK"))))))</f>
        <v/>
      </c>
    </row>
    <row r="556" ht="15" customHeight="1" s="42">
      <c r="A556" s="55" t="n"/>
      <c r="B556" s="56">
        <f>IF(A556="","",WEEKNUM(A556,21))</f>
        <v/>
      </c>
      <c r="C556" s="57" t="n"/>
      <c r="D556" s="57" t="n"/>
      <c r="E556" s="58" t="n"/>
      <c r="F556" s="57" t="n"/>
      <c r="G556" s="59" t="n"/>
      <c r="H556" s="59" t="n"/>
      <c r="I556" s="60">
        <f>IF(OR(G556="",H556=""),"",MOD(H556-G556,1))</f>
        <v/>
      </c>
      <c r="J556" s="61">
        <f>IF(OR(G556="",H556=""),"",ROUND(MOD(H556-G556,1)*24,2))</f>
        <v/>
      </c>
      <c r="K556" s="62">
        <f>IF(E556="","",IF(E556="Werken","JA","NEE"))</f>
        <v/>
      </c>
      <c r="L556" s="61">
        <f>IF(K556="JA",N(J556),IF(E556="","",0))</f>
        <v/>
      </c>
      <c r="M556" s="62">
        <f>IF(AND(A556="",E556=""),"",IF(E556="","Segment ontbreekt",IF(OR(G556="",H556=""),"Van/tot ontbreekt",IF(N(J556)=0,"Duur is nul",IF(N(J556)&gt;12,"Langer dan 12 uur - controleren",IF(AND(E556="Werken",D556=""),"Werken zonder klant - koppelen","OK"))))))</f>
        <v/>
      </c>
    </row>
    <row r="557" ht="15" customHeight="1" s="42">
      <c r="A557" s="55" t="n"/>
      <c r="B557" s="56">
        <f>IF(A557="","",WEEKNUM(A557,21))</f>
        <v/>
      </c>
      <c r="C557" s="57" t="n"/>
      <c r="D557" s="57" t="n"/>
      <c r="E557" s="58" t="n"/>
      <c r="F557" s="57" t="n"/>
      <c r="G557" s="59" t="n"/>
      <c r="H557" s="59" t="n"/>
      <c r="I557" s="60">
        <f>IF(OR(G557="",H557=""),"",MOD(H557-G557,1))</f>
        <v/>
      </c>
      <c r="J557" s="61">
        <f>IF(OR(G557="",H557=""),"",ROUND(MOD(H557-G557,1)*24,2))</f>
        <v/>
      </c>
      <c r="K557" s="62">
        <f>IF(E557="","",IF(E557="Werken","JA","NEE"))</f>
        <v/>
      </c>
      <c r="L557" s="61">
        <f>IF(K557="JA",N(J557),IF(E557="","",0))</f>
        <v/>
      </c>
      <c r="M557" s="62">
        <f>IF(AND(A557="",E557=""),"",IF(E557="","Segment ontbreekt",IF(OR(G557="",H557=""),"Van/tot ontbreekt",IF(N(J557)=0,"Duur is nul",IF(N(J557)&gt;12,"Langer dan 12 uur - controleren",IF(AND(E557="Werken",D557=""),"Werken zonder klant - koppelen","OK"))))))</f>
        <v/>
      </c>
    </row>
    <row r="558" ht="15" customHeight="1" s="42">
      <c r="A558" s="55" t="n"/>
      <c r="B558" s="56">
        <f>IF(A558="","",WEEKNUM(A558,21))</f>
        <v/>
      </c>
      <c r="C558" s="57" t="n"/>
      <c r="D558" s="57" t="n"/>
      <c r="E558" s="58" t="n"/>
      <c r="F558" s="57" t="n"/>
      <c r="G558" s="59" t="n"/>
      <c r="H558" s="59" t="n"/>
      <c r="I558" s="60">
        <f>IF(OR(G558="",H558=""),"",MOD(H558-G558,1))</f>
        <v/>
      </c>
      <c r="J558" s="61">
        <f>IF(OR(G558="",H558=""),"",ROUND(MOD(H558-G558,1)*24,2))</f>
        <v/>
      </c>
      <c r="K558" s="62">
        <f>IF(E558="","",IF(E558="Werken","JA","NEE"))</f>
        <v/>
      </c>
      <c r="L558" s="61">
        <f>IF(K558="JA",N(J558),IF(E558="","",0))</f>
        <v/>
      </c>
      <c r="M558" s="62">
        <f>IF(AND(A558="",E558=""),"",IF(E558="","Segment ontbreekt",IF(OR(G558="",H558=""),"Van/tot ontbreekt",IF(N(J558)=0,"Duur is nul",IF(N(J558)&gt;12,"Langer dan 12 uur - controleren",IF(AND(E558="Werken",D558=""),"Werken zonder klant - koppelen","OK"))))))</f>
        <v/>
      </c>
    </row>
    <row r="559" ht="15" customHeight="1" s="42">
      <c r="A559" s="55" t="n"/>
      <c r="B559" s="56">
        <f>IF(A559="","",WEEKNUM(A559,21))</f>
        <v/>
      </c>
      <c r="C559" s="57" t="n"/>
      <c r="D559" s="57" t="n"/>
      <c r="E559" s="58" t="n"/>
      <c r="F559" s="57" t="n"/>
      <c r="G559" s="59" t="n"/>
      <c r="H559" s="59" t="n"/>
      <c r="I559" s="60">
        <f>IF(OR(G559="",H559=""),"",MOD(H559-G559,1))</f>
        <v/>
      </c>
      <c r="J559" s="61">
        <f>IF(OR(G559="",H559=""),"",ROUND(MOD(H559-G559,1)*24,2))</f>
        <v/>
      </c>
      <c r="K559" s="62">
        <f>IF(E559="","",IF(E559="Werken","JA","NEE"))</f>
        <v/>
      </c>
      <c r="L559" s="61">
        <f>IF(K559="JA",N(J559),IF(E559="","",0))</f>
        <v/>
      </c>
      <c r="M559" s="62">
        <f>IF(AND(A559="",E559=""),"",IF(E559="","Segment ontbreekt",IF(OR(G559="",H559=""),"Van/tot ontbreekt",IF(N(J559)=0,"Duur is nul",IF(N(J559)&gt;12,"Langer dan 12 uur - controleren",IF(AND(E559="Werken",D559=""),"Werken zonder klant - koppelen","OK"))))))</f>
        <v/>
      </c>
    </row>
    <row r="560" ht="15" customHeight="1" s="42">
      <c r="A560" s="55" t="n"/>
      <c r="B560" s="56">
        <f>IF(A560="","",WEEKNUM(A560,21))</f>
        <v/>
      </c>
      <c r="C560" s="57" t="n"/>
      <c r="D560" s="57" t="n"/>
      <c r="E560" s="58" t="n"/>
      <c r="F560" s="57" t="n"/>
      <c r="G560" s="59" t="n"/>
      <c r="H560" s="59" t="n"/>
      <c r="I560" s="60">
        <f>IF(OR(G560="",H560=""),"",MOD(H560-G560,1))</f>
        <v/>
      </c>
      <c r="J560" s="61">
        <f>IF(OR(G560="",H560=""),"",ROUND(MOD(H560-G560,1)*24,2))</f>
        <v/>
      </c>
      <c r="K560" s="62">
        <f>IF(E560="","",IF(E560="Werken","JA","NEE"))</f>
        <v/>
      </c>
      <c r="L560" s="61">
        <f>IF(K560="JA",N(J560),IF(E560="","",0))</f>
        <v/>
      </c>
      <c r="M560" s="62">
        <f>IF(AND(A560="",E560=""),"",IF(E560="","Segment ontbreekt",IF(OR(G560="",H560=""),"Van/tot ontbreekt",IF(N(J560)=0,"Duur is nul",IF(N(J560)&gt;12,"Langer dan 12 uur - controleren",IF(AND(E560="Werken",D560=""),"Werken zonder klant - koppelen","OK"))))))</f>
        <v/>
      </c>
    </row>
    <row r="561" ht="15" customHeight="1" s="42">
      <c r="A561" s="55" t="n"/>
      <c r="B561" s="56">
        <f>IF(A561="","",WEEKNUM(A561,21))</f>
        <v/>
      </c>
      <c r="C561" s="57" t="n"/>
      <c r="D561" s="57" t="n"/>
      <c r="E561" s="58" t="n"/>
      <c r="F561" s="57" t="n"/>
      <c r="G561" s="59" t="n"/>
      <c r="H561" s="59" t="n"/>
      <c r="I561" s="60">
        <f>IF(OR(G561="",H561=""),"",MOD(H561-G561,1))</f>
        <v/>
      </c>
      <c r="J561" s="61">
        <f>IF(OR(G561="",H561=""),"",ROUND(MOD(H561-G561,1)*24,2))</f>
        <v/>
      </c>
      <c r="K561" s="62">
        <f>IF(E561="","",IF(E561="Werken","JA","NEE"))</f>
        <v/>
      </c>
      <c r="L561" s="61">
        <f>IF(K561="JA",N(J561),IF(E561="","",0))</f>
        <v/>
      </c>
      <c r="M561" s="62">
        <f>IF(AND(A561="",E561=""),"",IF(E561="","Segment ontbreekt",IF(OR(G561="",H561=""),"Van/tot ontbreekt",IF(N(J561)=0,"Duur is nul",IF(N(J561)&gt;12,"Langer dan 12 uur - controleren",IF(AND(E561="Werken",D561=""),"Werken zonder klant - koppelen","OK"))))))</f>
        <v/>
      </c>
    </row>
    <row r="562" ht="15" customHeight="1" s="42">
      <c r="A562" s="55" t="n"/>
      <c r="B562" s="56">
        <f>IF(A562="","",WEEKNUM(A562,21))</f>
        <v/>
      </c>
      <c r="C562" s="57" t="n"/>
      <c r="D562" s="57" t="n"/>
      <c r="E562" s="58" t="n"/>
      <c r="F562" s="57" t="n"/>
      <c r="G562" s="59" t="n"/>
      <c r="H562" s="59" t="n"/>
      <c r="I562" s="60">
        <f>IF(OR(G562="",H562=""),"",MOD(H562-G562,1))</f>
        <v/>
      </c>
      <c r="J562" s="61">
        <f>IF(OR(G562="",H562=""),"",ROUND(MOD(H562-G562,1)*24,2))</f>
        <v/>
      </c>
      <c r="K562" s="62">
        <f>IF(E562="","",IF(E562="Werken","JA","NEE"))</f>
        <v/>
      </c>
      <c r="L562" s="61">
        <f>IF(K562="JA",N(J562),IF(E562="","",0))</f>
        <v/>
      </c>
      <c r="M562" s="62">
        <f>IF(AND(A562="",E562=""),"",IF(E562="","Segment ontbreekt",IF(OR(G562="",H562=""),"Van/tot ontbreekt",IF(N(J562)=0,"Duur is nul",IF(N(J562)&gt;12,"Langer dan 12 uur - controleren",IF(AND(E562="Werken",D562=""),"Werken zonder klant - koppelen","OK"))))))</f>
        <v/>
      </c>
    </row>
    <row r="563" ht="15" customHeight="1" s="42">
      <c r="A563" s="55" t="n"/>
      <c r="B563" s="56">
        <f>IF(A563="","",WEEKNUM(A563,21))</f>
        <v/>
      </c>
      <c r="C563" s="57" t="n"/>
      <c r="D563" s="57" t="n"/>
      <c r="E563" s="58" t="n"/>
      <c r="F563" s="57" t="n"/>
      <c r="G563" s="59" t="n"/>
      <c r="H563" s="59" t="n"/>
      <c r="I563" s="60">
        <f>IF(OR(G563="",H563=""),"",MOD(H563-G563,1))</f>
        <v/>
      </c>
      <c r="J563" s="61">
        <f>IF(OR(G563="",H563=""),"",ROUND(MOD(H563-G563,1)*24,2))</f>
        <v/>
      </c>
      <c r="K563" s="62">
        <f>IF(E563="","",IF(E563="Werken","JA","NEE"))</f>
        <v/>
      </c>
      <c r="L563" s="61">
        <f>IF(K563="JA",N(J563),IF(E563="","",0))</f>
        <v/>
      </c>
      <c r="M563" s="62">
        <f>IF(AND(A563="",E563=""),"",IF(E563="","Segment ontbreekt",IF(OR(G563="",H563=""),"Van/tot ontbreekt",IF(N(J563)=0,"Duur is nul",IF(N(J563)&gt;12,"Langer dan 12 uur - controleren",IF(AND(E563="Werken",D563=""),"Werken zonder klant - koppelen","OK"))))))</f>
        <v/>
      </c>
    </row>
    <row r="564" ht="15" customHeight="1" s="42">
      <c r="A564" s="55" t="n"/>
      <c r="B564" s="56">
        <f>IF(A564="","",WEEKNUM(A564,21))</f>
        <v/>
      </c>
      <c r="C564" s="57" t="n"/>
      <c r="D564" s="57" t="n"/>
      <c r="E564" s="58" t="n"/>
      <c r="F564" s="57" t="n"/>
      <c r="G564" s="59" t="n"/>
      <c r="H564" s="59" t="n"/>
      <c r="I564" s="60">
        <f>IF(OR(G564="",H564=""),"",MOD(H564-G564,1))</f>
        <v/>
      </c>
      <c r="J564" s="61">
        <f>IF(OR(G564="",H564=""),"",ROUND(MOD(H564-G564,1)*24,2))</f>
        <v/>
      </c>
      <c r="K564" s="62">
        <f>IF(E564="","",IF(E564="Werken","JA","NEE"))</f>
        <v/>
      </c>
      <c r="L564" s="61">
        <f>IF(K564="JA",N(J564),IF(E564="","",0))</f>
        <v/>
      </c>
      <c r="M564" s="62">
        <f>IF(AND(A564="",E564=""),"",IF(E564="","Segment ontbreekt",IF(OR(G564="",H564=""),"Van/tot ontbreekt",IF(N(J564)=0,"Duur is nul",IF(N(J564)&gt;12,"Langer dan 12 uur - controleren",IF(AND(E564="Werken",D564=""),"Werken zonder klant - koppelen","OK"))))))</f>
        <v/>
      </c>
    </row>
    <row r="565" ht="15" customHeight="1" s="42">
      <c r="A565" s="55" t="n"/>
      <c r="B565" s="56">
        <f>IF(A565="","",WEEKNUM(A565,21))</f>
        <v/>
      </c>
      <c r="C565" s="57" t="n"/>
      <c r="D565" s="57" t="n"/>
      <c r="E565" s="58" t="n"/>
      <c r="F565" s="57" t="n"/>
      <c r="G565" s="59" t="n"/>
      <c r="H565" s="59" t="n"/>
      <c r="I565" s="60">
        <f>IF(OR(G565="",H565=""),"",MOD(H565-G565,1))</f>
        <v/>
      </c>
      <c r="J565" s="61">
        <f>IF(OR(G565="",H565=""),"",ROUND(MOD(H565-G565,1)*24,2))</f>
        <v/>
      </c>
      <c r="K565" s="62">
        <f>IF(E565="","",IF(E565="Werken","JA","NEE"))</f>
        <v/>
      </c>
      <c r="L565" s="61">
        <f>IF(K565="JA",N(J565),IF(E565="","",0))</f>
        <v/>
      </c>
      <c r="M565" s="62">
        <f>IF(AND(A565="",E565=""),"",IF(E565="","Segment ontbreekt",IF(OR(G565="",H565=""),"Van/tot ontbreekt",IF(N(J565)=0,"Duur is nul",IF(N(J565)&gt;12,"Langer dan 12 uur - controleren",IF(AND(E565="Werken",D565=""),"Werken zonder klant - koppelen","OK"))))))</f>
        <v/>
      </c>
    </row>
    <row r="566" ht="15" customHeight="1" s="42">
      <c r="A566" s="55" t="n"/>
      <c r="B566" s="56">
        <f>IF(A566="","",WEEKNUM(A566,21))</f>
        <v/>
      </c>
      <c r="C566" s="57" t="n"/>
      <c r="D566" s="57" t="n"/>
      <c r="E566" s="58" t="n"/>
      <c r="F566" s="57" t="n"/>
      <c r="G566" s="59" t="n"/>
      <c r="H566" s="59" t="n"/>
      <c r="I566" s="60">
        <f>IF(OR(G566="",H566=""),"",MOD(H566-G566,1))</f>
        <v/>
      </c>
      <c r="J566" s="61">
        <f>IF(OR(G566="",H566=""),"",ROUND(MOD(H566-G566,1)*24,2))</f>
        <v/>
      </c>
      <c r="K566" s="62">
        <f>IF(E566="","",IF(E566="Werken","JA","NEE"))</f>
        <v/>
      </c>
      <c r="L566" s="61">
        <f>IF(K566="JA",N(J566),IF(E566="","",0))</f>
        <v/>
      </c>
      <c r="M566" s="62">
        <f>IF(AND(A566="",E566=""),"",IF(E566="","Segment ontbreekt",IF(OR(G566="",H566=""),"Van/tot ontbreekt",IF(N(J566)=0,"Duur is nul",IF(N(J566)&gt;12,"Langer dan 12 uur - controleren",IF(AND(E566="Werken",D566=""),"Werken zonder klant - koppelen","OK"))))))</f>
        <v/>
      </c>
    </row>
    <row r="567" ht="15" customHeight="1" s="42">
      <c r="A567" s="55" t="n"/>
      <c r="B567" s="56">
        <f>IF(A567="","",WEEKNUM(A567,21))</f>
        <v/>
      </c>
      <c r="C567" s="57" t="n"/>
      <c r="D567" s="57" t="n"/>
      <c r="E567" s="58" t="n"/>
      <c r="F567" s="57" t="n"/>
      <c r="G567" s="59" t="n"/>
      <c r="H567" s="59" t="n"/>
      <c r="I567" s="60">
        <f>IF(OR(G567="",H567=""),"",MOD(H567-G567,1))</f>
        <v/>
      </c>
      <c r="J567" s="61">
        <f>IF(OR(G567="",H567=""),"",ROUND(MOD(H567-G567,1)*24,2))</f>
        <v/>
      </c>
      <c r="K567" s="62">
        <f>IF(E567="","",IF(E567="Werken","JA","NEE"))</f>
        <v/>
      </c>
      <c r="L567" s="61">
        <f>IF(K567="JA",N(J567),IF(E567="","",0))</f>
        <v/>
      </c>
      <c r="M567" s="62">
        <f>IF(AND(A567="",E567=""),"",IF(E567="","Segment ontbreekt",IF(OR(G567="",H567=""),"Van/tot ontbreekt",IF(N(J567)=0,"Duur is nul",IF(N(J567)&gt;12,"Langer dan 12 uur - controleren",IF(AND(E567="Werken",D567=""),"Werken zonder klant - koppelen","OK"))))))</f>
        <v/>
      </c>
    </row>
    <row r="568" ht="15" customHeight="1" s="42">
      <c r="A568" s="55" t="n"/>
      <c r="B568" s="56">
        <f>IF(A568="","",WEEKNUM(A568,21))</f>
        <v/>
      </c>
      <c r="C568" s="57" t="n"/>
      <c r="D568" s="57" t="n"/>
      <c r="E568" s="58" t="n"/>
      <c r="F568" s="57" t="n"/>
      <c r="G568" s="59" t="n"/>
      <c r="H568" s="59" t="n"/>
      <c r="I568" s="60">
        <f>IF(OR(G568="",H568=""),"",MOD(H568-G568,1))</f>
        <v/>
      </c>
      <c r="J568" s="61">
        <f>IF(OR(G568="",H568=""),"",ROUND(MOD(H568-G568,1)*24,2))</f>
        <v/>
      </c>
      <c r="K568" s="62">
        <f>IF(E568="","",IF(E568="Werken","JA","NEE"))</f>
        <v/>
      </c>
      <c r="L568" s="61">
        <f>IF(K568="JA",N(J568),IF(E568="","",0))</f>
        <v/>
      </c>
      <c r="M568" s="62">
        <f>IF(AND(A568="",E568=""),"",IF(E568="","Segment ontbreekt",IF(OR(G568="",H568=""),"Van/tot ontbreekt",IF(N(J568)=0,"Duur is nul",IF(N(J568)&gt;12,"Langer dan 12 uur - controleren",IF(AND(E568="Werken",D568=""),"Werken zonder klant - koppelen","OK"))))))</f>
        <v/>
      </c>
    </row>
    <row r="569" ht="15" customHeight="1" s="42">
      <c r="A569" s="55" t="n"/>
      <c r="B569" s="56">
        <f>IF(A569="","",WEEKNUM(A569,21))</f>
        <v/>
      </c>
      <c r="C569" s="57" t="n"/>
      <c r="D569" s="57" t="n"/>
      <c r="E569" s="58" t="n"/>
      <c r="F569" s="57" t="n"/>
      <c r="G569" s="59" t="n"/>
      <c r="H569" s="59" t="n"/>
      <c r="I569" s="60">
        <f>IF(OR(G569="",H569=""),"",MOD(H569-G569,1))</f>
        <v/>
      </c>
      <c r="J569" s="61">
        <f>IF(OR(G569="",H569=""),"",ROUND(MOD(H569-G569,1)*24,2))</f>
        <v/>
      </c>
      <c r="K569" s="62">
        <f>IF(E569="","",IF(E569="Werken","JA","NEE"))</f>
        <v/>
      </c>
      <c r="L569" s="61">
        <f>IF(K569="JA",N(J569),IF(E569="","",0))</f>
        <v/>
      </c>
      <c r="M569" s="62">
        <f>IF(AND(A569="",E569=""),"",IF(E569="","Segment ontbreekt",IF(OR(G569="",H569=""),"Van/tot ontbreekt",IF(N(J569)=0,"Duur is nul",IF(N(J569)&gt;12,"Langer dan 12 uur - controleren",IF(AND(E569="Werken",D569=""),"Werken zonder klant - koppelen","OK"))))))</f>
        <v/>
      </c>
    </row>
    <row r="570" ht="15" customHeight="1" s="42">
      <c r="A570" s="55" t="n"/>
      <c r="B570" s="56">
        <f>IF(A570="","",WEEKNUM(A570,21))</f>
        <v/>
      </c>
      <c r="C570" s="57" t="n"/>
      <c r="D570" s="57" t="n"/>
      <c r="E570" s="58" t="n"/>
      <c r="F570" s="57" t="n"/>
      <c r="G570" s="59" t="n"/>
      <c r="H570" s="59" t="n"/>
      <c r="I570" s="60">
        <f>IF(OR(G570="",H570=""),"",MOD(H570-G570,1))</f>
        <v/>
      </c>
      <c r="J570" s="61">
        <f>IF(OR(G570="",H570=""),"",ROUND(MOD(H570-G570,1)*24,2))</f>
        <v/>
      </c>
      <c r="K570" s="62">
        <f>IF(E570="","",IF(E570="Werken","JA","NEE"))</f>
        <v/>
      </c>
      <c r="L570" s="61">
        <f>IF(K570="JA",N(J570),IF(E570="","",0))</f>
        <v/>
      </c>
      <c r="M570" s="62">
        <f>IF(AND(A570="",E570=""),"",IF(E570="","Segment ontbreekt",IF(OR(G570="",H570=""),"Van/tot ontbreekt",IF(N(J570)=0,"Duur is nul",IF(N(J570)&gt;12,"Langer dan 12 uur - controleren",IF(AND(E570="Werken",D570=""),"Werken zonder klant - koppelen","OK"))))))</f>
        <v/>
      </c>
    </row>
    <row r="571" ht="15" customHeight="1" s="42">
      <c r="A571" s="55" t="n"/>
      <c r="B571" s="56">
        <f>IF(A571="","",WEEKNUM(A571,21))</f>
        <v/>
      </c>
      <c r="C571" s="57" t="n"/>
      <c r="D571" s="57" t="n"/>
      <c r="E571" s="58" t="n"/>
      <c r="F571" s="57" t="n"/>
      <c r="G571" s="59" t="n"/>
      <c r="H571" s="59" t="n"/>
      <c r="I571" s="60">
        <f>IF(OR(G571="",H571=""),"",MOD(H571-G571,1))</f>
        <v/>
      </c>
      <c r="J571" s="61">
        <f>IF(OR(G571="",H571=""),"",ROUND(MOD(H571-G571,1)*24,2))</f>
        <v/>
      </c>
      <c r="K571" s="62">
        <f>IF(E571="","",IF(E571="Werken","JA","NEE"))</f>
        <v/>
      </c>
      <c r="L571" s="61">
        <f>IF(K571="JA",N(J571),IF(E571="","",0))</f>
        <v/>
      </c>
      <c r="M571" s="62">
        <f>IF(AND(A571="",E571=""),"",IF(E571="","Segment ontbreekt",IF(OR(G571="",H571=""),"Van/tot ontbreekt",IF(N(J571)=0,"Duur is nul",IF(N(J571)&gt;12,"Langer dan 12 uur - controleren",IF(AND(E571="Werken",D571=""),"Werken zonder klant - koppelen","OK"))))))</f>
        <v/>
      </c>
    </row>
    <row r="572" ht="15" customHeight="1" s="42">
      <c r="A572" s="55" t="n"/>
      <c r="B572" s="56">
        <f>IF(A572="","",WEEKNUM(A572,21))</f>
        <v/>
      </c>
      <c r="C572" s="57" t="n"/>
      <c r="D572" s="57" t="n"/>
      <c r="E572" s="58" t="n"/>
      <c r="F572" s="57" t="n"/>
      <c r="G572" s="59" t="n"/>
      <c r="H572" s="59" t="n"/>
      <c r="I572" s="60">
        <f>IF(OR(G572="",H572=""),"",MOD(H572-G572,1))</f>
        <v/>
      </c>
      <c r="J572" s="61">
        <f>IF(OR(G572="",H572=""),"",ROUND(MOD(H572-G572,1)*24,2))</f>
        <v/>
      </c>
      <c r="K572" s="62">
        <f>IF(E572="","",IF(E572="Werken","JA","NEE"))</f>
        <v/>
      </c>
      <c r="L572" s="61">
        <f>IF(K572="JA",N(J572),IF(E572="","",0))</f>
        <v/>
      </c>
      <c r="M572" s="62">
        <f>IF(AND(A572="",E572=""),"",IF(E572="","Segment ontbreekt",IF(OR(G572="",H572=""),"Van/tot ontbreekt",IF(N(J572)=0,"Duur is nul",IF(N(J572)&gt;12,"Langer dan 12 uur - controleren",IF(AND(E572="Werken",D572=""),"Werken zonder klant - koppelen","OK"))))))</f>
        <v/>
      </c>
    </row>
    <row r="573" ht="15" customHeight="1" s="42">
      <c r="A573" s="55" t="n"/>
      <c r="B573" s="56">
        <f>IF(A573="","",WEEKNUM(A573,21))</f>
        <v/>
      </c>
      <c r="C573" s="57" t="n"/>
      <c r="D573" s="57" t="n"/>
      <c r="E573" s="58" t="n"/>
      <c r="F573" s="57" t="n"/>
      <c r="G573" s="59" t="n"/>
      <c r="H573" s="59" t="n"/>
      <c r="I573" s="60">
        <f>IF(OR(G573="",H573=""),"",MOD(H573-G573,1))</f>
        <v/>
      </c>
      <c r="J573" s="61">
        <f>IF(OR(G573="",H573=""),"",ROUND(MOD(H573-G573,1)*24,2))</f>
        <v/>
      </c>
      <c r="K573" s="62">
        <f>IF(E573="","",IF(E573="Werken","JA","NEE"))</f>
        <v/>
      </c>
      <c r="L573" s="61">
        <f>IF(K573="JA",N(J573),IF(E573="","",0))</f>
        <v/>
      </c>
      <c r="M573" s="62">
        <f>IF(AND(A573="",E573=""),"",IF(E573="","Segment ontbreekt",IF(OR(G573="",H573=""),"Van/tot ontbreekt",IF(N(J573)=0,"Duur is nul",IF(N(J573)&gt;12,"Langer dan 12 uur - controleren",IF(AND(E573="Werken",D573=""),"Werken zonder klant - koppelen","OK"))))))</f>
        <v/>
      </c>
    </row>
    <row r="574" ht="15" customHeight="1" s="42">
      <c r="A574" s="55" t="n"/>
      <c r="B574" s="56">
        <f>IF(A574="","",WEEKNUM(A574,21))</f>
        <v/>
      </c>
      <c r="C574" s="57" t="n"/>
      <c r="D574" s="57" t="n"/>
      <c r="E574" s="58" t="n"/>
      <c r="F574" s="57" t="n"/>
      <c r="G574" s="59" t="n"/>
      <c r="H574" s="59" t="n"/>
      <c r="I574" s="60">
        <f>IF(OR(G574="",H574=""),"",MOD(H574-G574,1))</f>
        <v/>
      </c>
      <c r="J574" s="61">
        <f>IF(OR(G574="",H574=""),"",ROUND(MOD(H574-G574,1)*24,2))</f>
        <v/>
      </c>
      <c r="K574" s="62">
        <f>IF(E574="","",IF(E574="Werken","JA","NEE"))</f>
        <v/>
      </c>
      <c r="L574" s="61">
        <f>IF(K574="JA",N(J574),IF(E574="","",0))</f>
        <v/>
      </c>
      <c r="M574" s="62">
        <f>IF(AND(A574="",E574=""),"",IF(E574="","Segment ontbreekt",IF(OR(G574="",H574=""),"Van/tot ontbreekt",IF(N(J574)=0,"Duur is nul",IF(N(J574)&gt;12,"Langer dan 12 uur - controleren",IF(AND(E574="Werken",D574=""),"Werken zonder klant - koppelen","OK"))))))</f>
        <v/>
      </c>
    </row>
    <row r="575" ht="15" customHeight="1" s="42">
      <c r="A575" s="55" t="n"/>
      <c r="B575" s="56">
        <f>IF(A575="","",WEEKNUM(A575,21))</f>
        <v/>
      </c>
      <c r="C575" s="57" t="n"/>
      <c r="D575" s="57" t="n"/>
      <c r="E575" s="58" t="n"/>
      <c r="F575" s="57" t="n"/>
      <c r="G575" s="59" t="n"/>
      <c r="H575" s="59" t="n"/>
      <c r="I575" s="60">
        <f>IF(OR(G575="",H575=""),"",MOD(H575-G575,1))</f>
        <v/>
      </c>
      <c r="J575" s="61">
        <f>IF(OR(G575="",H575=""),"",ROUND(MOD(H575-G575,1)*24,2))</f>
        <v/>
      </c>
      <c r="K575" s="62">
        <f>IF(E575="","",IF(E575="Werken","JA","NEE"))</f>
        <v/>
      </c>
      <c r="L575" s="61">
        <f>IF(K575="JA",N(J575),IF(E575="","",0))</f>
        <v/>
      </c>
      <c r="M575" s="62">
        <f>IF(AND(A575="",E575=""),"",IF(E575="","Segment ontbreekt",IF(OR(G575="",H575=""),"Van/tot ontbreekt",IF(N(J575)=0,"Duur is nul",IF(N(J575)&gt;12,"Langer dan 12 uur - controleren",IF(AND(E575="Werken",D575=""),"Werken zonder klant - koppelen","OK"))))))</f>
        <v/>
      </c>
    </row>
    <row r="576" ht="15" customHeight="1" s="42">
      <c r="A576" s="55" t="n"/>
      <c r="B576" s="56">
        <f>IF(A576="","",WEEKNUM(A576,21))</f>
        <v/>
      </c>
      <c r="C576" s="57" t="n"/>
      <c r="D576" s="57" t="n"/>
      <c r="E576" s="58" t="n"/>
      <c r="F576" s="57" t="n"/>
      <c r="G576" s="59" t="n"/>
      <c r="H576" s="59" t="n"/>
      <c r="I576" s="60">
        <f>IF(OR(G576="",H576=""),"",MOD(H576-G576,1))</f>
        <v/>
      </c>
      <c r="J576" s="61">
        <f>IF(OR(G576="",H576=""),"",ROUND(MOD(H576-G576,1)*24,2))</f>
        <v/>
      </c>
      <c r="K576" s="62">
        <f>IF(E576="","",IF(E576="Werken","JA","NEE"))</f>
        <v/>
      </c>
      <c r="L576" s="61">
        <f>IF(K576="JA",N(J576),IF(E576="","",0))</f>
        <v/>
      </c>
      <c r="M576" s="62">
        <f>IF(AND(A576="",E576=""),"",IF(E576="","Segment ontbreekt",IF(OR(G576="",H576=""),"Van/tot ontbreekt",IF(N(J576)=0,"Duur is nul",IF(N(J576)&gt;12,"Langer dan 12 uur - controleren",IF(AND(E576="Werken",D576=""),"Werken zonder klant - koppelen","OK"))))))</f>
        <v/>
      </c>
    </row>
    <row r="577" ht="15" customHeight="1" s="42">
      <c r="A577" s="55" t="n"/>
      <c r="B577" s="56">
        <f>IF(A577="","",WEEKNUM(A577,21))</f>
        <v/>
      </c>
      <c r="C577" s="57" t="n"/>
      <c r="D577" s="57" t="n"/>
      <c r="E577" s="58" t="n"/>
      <c r="F577" s="57" t="n"/>
      <c r="G577" s="59" t="n"/>
      <c r="H577" s="59" t="n"/>
      <c r="I577" s="60">
        <f>IF(OR(G577="",H577=""),"",MOD(H577-G577,1))</f>
        <v/>
      </c>
      <c r="J577" s="61">
        <f>IF(OR(G577="",H577=""),"",ROUND(MOD(H577-G577,1)*24,2))</f>
        <v/>
      </c>
      <c r="K577" s="62">
        <f>IF(E577="","",IF(E577="Werken","JA","NEE"))</f>
        <v/>
      </c>
      <c r="L577" s="61">
        <f>IF(K577="JA",N(J577),IF(E577="","",0))</f>
        <v/>
      </c>
      <c r="M577" s="62">
        <f>IF(AND(A577="",E577=""),"",IF(E577="","Segment ontbreekt",IF(OR(G577="",H577=""),"Van/tot ontbreekt",IF(N(J577)=0,"Duur is nul",IF(N(J577)&gt;12,"Langer dan 12 uur - controleren",IF(AND(E577="Werken",D577=""),"Werken zonder klant - koppelen","OK"))))))</f>
        <v/>
      </c>
    </row>
    <row r="578" ht="15" customHeight="1" s="42">
      <c r="A578" s="55" t="n"/>
      <c r="B578" s="56">
        <f>IF(A578="","",WEEKNUM(A578,21))</f>
        <v/>
      </c>
      <c r="C578" s="57" t="n"/>
      <c r="D578" s="57" t="n"/>
      <c r="E578" s="58" t="n"/>
      <c r="F578" s="57" t="n"/>
      <c r="G578" s="59" t="n"/>
      <c r="H578" s="59" t="n"/>
      <c r="I578" s="60">
        <f>IF(OR(G578="",H578=""),"",MOD(H578-G578,1))</f>
        <v/>
      </c>
      <c r="J578" s="61">
        <f>IF(OR(G578="",H578=""),"",ROUND(MOD(H578-G578,1)*24,2))</f>
        <v/>
      </c>
      <c r="K578" s="62">
        <f>IF(E578="","",IF(E578="Werken","JA","NEE"))</f>
        <v/>
      </c>
      <c r="L578" s="61">
        <f>IF(K578="JA",N(J578),IF(E578="","",0))</f>
        <v/>
      </c>
      <c r="M578" s="62">
        <f>IF(AND(A578="",E578=""),"",IF(E578="","Segment ontbreekt",IF(OR(G578="",H578=""),"Van/tot ontbreekt",IF(N(J578)=0,"Duur is nul",IF(N(J578)&gt;12,"Langer dan 12 uur - controleren",IF(AND(E578="Werken",D578=""),"Werken zonder klant - koppelen","OK"))))))</f>
        <v/>
      </c>
    </row>
    <row r="579" ht="15" customHeight="1" s="42">
      <c r="A579" s="55" t="n"/>
      <c r="B579" s="56">
        <f>IF(A579="","",WEEKNUM(A579,21))</f>
        <v/>
      </c>
      <c r="C579" s="57" t="n"/>
      <c r="D579" s="57" t="n"/>
      <c r="E579" s="58" t="n"/>
      <c r="F579" s="57" t="n"/>
      <c r="G579" s="59" t="n"/>
      <c r="H579" s="59" t="n"/>
      <c r="I579" s="60">
        <f>IF(OR(G579="",H579=""),"",MOD(H579-G579,1))</f>
        <v/>
      </c>
      <c r="J579" s="61">
        <f>IF(OR(G579="",H579=""),"",ROUND(MOD(H579-G579,1)*24,2))</f>
        <v/>
      </c>
      <c r="K579" s="62">
        <f>IF(E579="","",IF(E579="Werken","JA","NEE"))</f>
        <v/>
      </c>
      <c r="L579" s="61">
        <f>IF(K579="JA",N(J579),IF(E579="","",0))</f>
        <v/>
      </c>
      <c r="M579" s="62">
        <f>IF(AND(A579="",E579=""),"",IF(E579="","Segment ontbreekt",IF(OR(G579="",H579=""),"Van/tot ontbreekt",IF(N(J579)=0,"Duur is nul",IF(N(J579)&gt;12,"Langer dan 12 uur - controleren",IF(AND(E579="Werken",D579=""),"Werken zonder klant - koppelen","OK"))))))</f>
        <v/>
      </c>
    </row>
    <row r="580" ht="15" customHeight="1" s="42">
      <c r="A580" s="55" t="n"/>
      <c r="B580" s="56">
        <f>IF(A580="","",WEEKNUM(A580,21))</f>
        <v/>
      </c>
      <c r="C580" s="57" t="n"/>
      <c r="D580" s="57" t="n"/>
      <c r="E580" s="58" t="n"/>
      <c r="F580" s="57" t="n"/>
      <c r="G580" s="59" t="n"/>
      <c r="H580" s="59" t="n"/>
      <c r="I580" s="60">
        <f>IF(OR(G580="",H580=""),"",MOD(H580-G580,1))</f>
        <v/>
      </c>
      <c r="J580" s="61">
        <f>IF(OR(G580="",H580=""),"",ROUND(MOD(H580-G580,1)*24,2))</f>
        <v/>
      </c>
      <c r="K580" s="62">
        <f>IF(E580="","",IF(E580="Werken","JA","NEE"))</f>
        <v/>
      </c>
      <c r="L580" s="61">
        <f>IF(K580="JA",N(J580),IF(E580="","",0))</f>
        <v/>
      </c>
      <c r="M580" s="62">
        <f>IF(AND(A580="",E580=""),"",IF(E580="","Segment ontbreekt",IF(OR(G580="",H580=""),"Van/tot ontbreekt",IF(N(J580)=0,"Duur is nul",IF(N(J580)&gt;12,"Langer dan 12 uur - controleren",IF(AND(E580="Werken",D580=""),"Werken zonder klant - koppelen","OK"))))))</f>
        <v/>
      </c>
    </row>
    <row r="581" ht="15" customHeight="1" s="42">
      <c r="A581" s="55" t="n"/>
      <c r="B581" s="56">
        <f>IF(A581="","",WEEKNUM(A581,21))</f>
        <v/>
      </c>
      <c r="C581" s="57" t="n"/>
      <c r="D581" s="57" t="n"/>
      <c r="E581" s="58" t="n"/>
      <c r="F581" s="57" t="n"/>
      <c r="G581" s="59" t="n"/>
      <c r="H581" s="59" t="n"/>
      <c r="I581" s="60">
        <f>IF(OR(G581="",H581=""),"",MOD(H581-G581,1))</f>
        <v/>
      </c>
      <c r="J581" s="61">
        <f>IF(OR(G581="",H581=""),"",ROUND(MOD(H581-G581,1)*24,2))</f>
        <v/>
      </c>
      <c r="K581" s="62">
        <f>IF(E581="","",IF(E581="Werken","JA","NEE"))</f>
        <v/>
      </c>
      <c r="L581" s="61">
        <f>IF(K581="JA",N(J581),IF(E581="","",0))</f>
        <v/>
      </c>
      <c r="M581" s="62">
        <f>IF(AND(A581="",E581=""),"",IF(E581="","Segment ontbreekt",IF(OR(G581="",H581=""),"Van/tot ontbreekt",IF(N(J581)=0,"Duur is nul",IF(N(J581)&gt;12,"Langer dan 12 uur - controleren",IF(AND(E581="Werken",D581=""),"Werken zonder klant - koppelen","OK"))))))</f>
        <v/>
      </c>
    </row>
    <row r="582" ht="15" customHeight="1" s="42">
      <c r="A582" s="55" t="n"/>
      <c r="B582" s="56">
        <f>IF(A582="","",WEEKNUM(A582,21))</f>
        <v/>
      </c>
      <c r="C582" s="57" t="n"/>
      <c r="D582" s="57" t="n"/>
      <c r="E582" s="58" t="n"/>
      <c r="F582" s="57" t="n"/>
      <c r="G582" s="59" t="n"/>
      <c r="H582" s="59" t="n"/>
      <c r="I582" s="60">
        <f>IF(OR(G582="",H582=""),"",MOD(H582-G582,1))</f>
        <v/>
      </c>
      <c r="J582" s="61">
        <f>IF(OR(G582="",H582=""),"",ROUND(MOD(H582-G582,1)*24,2))</f>
        <v/>
      </c>
      <c r="K582" s="62">
        <f>IF(E582="","",IF(E582="Werken","JA","NEE"))</f>
        <v/>
      </c>
      <c r="L582" s="61">
        <f>IF(K582="JA",N(J582),IF(E582="","",0))</f>
        <v/>
      </c>
      <c r="M582" s="62">
        <f>IF(AND(A582="",E582=""),"",IF(E582="","Segment ontbreekt",IF(OR(G582="",H582=""),"Van/tot ontbreekt",IF(N(J582)=0,"Duur is nul",IF(N(J582)&gt;12,"Langer dan 12 uur - controleren",IF(AND(E582="Werken",D582=""),"Werken zonder klant - koppelen","OK"))))))</f>
        <v/>
      </c>
    </row>
    <row r="583" ht="15" customHeight="1" s="42">
      <c r="A583" s="55" t="n"/>
      <c r="B583" s="56">
        <f>IF(A583="","",WEEKNUM(A583,21))</f>
        <v/>
      </c>
      <c r="C583" s="57" t="n"/>
      <c r="D583" s="57" t="n"/>
      <c r="E583" s="58" t="n"/>
      <c r="F583" s="57" t="n"/>
      <c r="G583" s="59" t="n"/>
      <c r="H583" s="59" t="n"/>
      <c r="I583" s="60">
        <f>IF(OR(G583="",H583=""),"",MOD(H583-G583,1))</f>
        <v/>
      </c>
      <c r="J583" s="61">
        <f>IF(OR(G583="",H583=""),"",ROUND(MOD(H583-G583,1)*24,2))</f>
        <v/>
      </c>
      <c r="K583" s="62">
        <f>IF(E583="","",IF(E583="Werken","JA","NEE"))</f>
        <v/>
      </c>
      <c r="L583" s="61">
        <f>IF(K583="JA",N(J583),IF(E583="","",0))</f>
        <v/>
      </c>
      <c r="M583" s="62">
        <f>IF(AND(A583="",E583=""),"",IF(E583="","Segment ontbreekt",IF(OR(G583="",H583=""),"Van/tot ontbreekt",IF(N(J583)=0,"Duur is nul",IF(N(J583)&gt;12,"Langer dan 12 uur - controleren",IF(AND(E583="Werken",D583=""),"Werken zonder klant - koppelen","OK"))))))</f>
        <v/>
      </c>
    </row>
    <row r="584" ht="15" customHeight="1" s="42">
      <c r="A584" s="55" t="n"/>
      <c r="B584" s="56">
        <f>IF(A584="","",WEEKNUM(A584,21))</f>
        <v/>
      </c>
      <c r="C584" s="57" t="n"/>
      <c r="D584" s="57" t="n"/>
      <c r="E584" s="58" t="n"/>
      <c r="F584" s="57" t="n"/>
      <c r="G584" s="59" t="n"/>
      <c r="H584" s="59" t="n"/>
      <c r="I584" s="60">
        <f>IF(OR(G584="",H584=""),"",MOD(H584-G584,1))</f>
        <v/>
      </c>
      <c r="J584" s="61">
        <f>IF(OR(G584="",H584=""),"",ROUND(MOD(H584-G584,1)*24,2))</f>
        <v/>
      </c>
      <c r="K584" s="62">
        <f>IF(E584="","",IF(E584="Werken","JA","NEE"))</f>
        <v/>
      </c>
      <c r="L584" s="61">
        <f>IF(K584="JA",N(J584),IF(E584="","",0))</f>
        <v/>
      </c>
      <c r="M584" s="62">
        <f>IF(AND(A584="",E584=""),"",IF(E584="","Segment ontbreekt",IF(OR(G584="",H584=""),"Van/tot ontbreekt",IF(N(J584)=0,"Duur is nul",IF(N(J584)&gt;12,"Langer dan 12 uur - controleren",IF(AND(E584="Werken",D584=""),"Werken zonder klant - koppelen","OK"))))))</f>
        <v/>
      </c>
    </row>
    <row r="585" ht="15" customHeight="1" s="42">
      <c r="A585" s="55" t="n"/>
      <c r="B585" s="56">
        <f>IF(A585="","",WEEKNUM(A585,21))</f>
        <v/>
      </c>
      <c r="C585" s="57" t="n"/>
      <c r="D585" s="57" t="n"/>
      <c r="E585" s="58" t="n"/>
      <c r="F585" s="57" t="n"/>
      <c r="G585" s="59" t="n"/>
      <c r="H585" s="59" t="n"/>
      <c r="I585" s="60">
        <f>IF(OR(G585="",H585=""),"",MOD(H585-G585,1))</f>
        <v/>
      </c>
      <c r="J585" s="61">
        <f>IF(OR(G585="",H585=""),"",ROUND(MOD(H585-G585,1)*24,2))</f>
        <v/>
      </c>
      <c r="K585" s="62">
        <f>IF(E585="","",IF(E585="Werken","JA","NEE"))</f>
        <v/>
      </c>
      <c r="L585" s="61">
        <f>IF(K585="JA",N(J585),IF(E585="","",0))</f>
        <v/>
      </c>
      <c r="M585" s="62">
        <f>IF(AND(A585="",E585=""),"",IF(E585="","Segment ontbreekt",IF(OR(G585="",H585=""),"Van/tot ontbreekt",IF(N(J585)=0,"Duur is nul",IF(N(J585)&gt;12,"Langer dan 12 uur - controleren",IF(AND(E585="Werken",D585=""),"Werken zonder klant - koppelen","OK"))))))</f>
        <v/>
      </c>
    </row>
    <row r="586" ht="15" customHeight="1" s="42">
      <c r="A586" s="55" t="n"/>
      <c r="B586" s="56">
        <f>IF(A586="","",WEEKNUM(A586,21))</f>
        <v/>
      </c>
      <c r="C586" s="57" t="n"/>
      <c r="D586" s="57" t="n"/>
      <c r="E586" s="58" t="n"/>
      <c r="F586" s="57" t="n"/>
      <c r="G586" s="59" t="n"/>
      <c r="H586" s="59" t="n"/>
      <c r="I586" s="60">
        <f>IF(OR(G586="",H586=""),"",MOD(H586-G586,1))</f>
        <v/>
      </c>
      <c r="J586" s="61">
        <f>IF(OR(G586="",H586=""),"",ROUND(MOD(H586-G586,1)*24,2))</f>
        <v/>
      </c>
      <c r="K586" s="62">
        <f>IF(E586="","",IF(E586="Werken","JA","NEE"))</f>
        <v/>
      </c>
      <c r="L586" s="61">
        <f>IF(K586="JA",N(J586),IF(E586="","",0))</f>
        <v/>
      </c>
      <c r="M586" s="62">
        <f>IF(AND(A586="",E586=""),"",IF(E586="","Segment ontbreekt",IF(OR(G586="",H586=""),"Van/tot ontbreekt",IF(N(J586)=0,"Duur is nul",IF(N(J586)&gt;12,"Langer dan 12 uur - controleren",IF(AND(E586="Werken",D586=""),"Werken zonder klant - koppelen","OK"))))))</f>
        <v/>
      </c>
    </row>
    <row r="587" ht="15" customHeight="1" s="42">
      <c r="A587" s="55" t="n"/>
      <c r="B587" s="56">
        <f>IF(A587="","",WEEKNUM(A587,21))</f>
        <v/>
      </c>
      <c r="C587" s="57" t="n"/>
      <c r="D587" s="57" t="n"/>
      <c r="E587" s="58" t="n"/>
      <c r="F587" s="57" t="n"/>
      <c r="G587" s="59" t="n"/>
      <c r="H587" s="59" t="n"/>
      <c r="I587" s="60">
        <f>IF(OR(G587="",H587=""),"",MOD(H587-G587,1))</f>
        <v/>
      </c>
      <c r="J587" s="61">
        <f>IF(OR(G587="",H587=""),"",ROUND(MOD(H587-G587,1)*24,2))</f>
        <v/>
      </c>
      <c r="K587" s="62">
        <f>IF(E587="","",IF(E587="Werken","JA","NEE"))</f>
        <v/>
      </c>
      <c r="L587" s="61">
        <f>IF(K587="JA",N(J587),IF(E587="","",0))</f>
        <v/>
      </c>
      <c r="M587" s="62">
        <f>IF(AND(A587="",E587=""),"",IF(E587="","Segment ontbreekt",IF(OR(G587="",H587=""),"Van/tot ontbreekt",IF(N(J587)=0,"Duur is nul",IF(N(J587)&gt;12,"Langer dan 12 uur - controleren",IF(AND(E587="Werken",D587=""),"Werken zonder klant - koppelen","OK"))))))</f>
        <v/>
      </c>
    </row>
    <row r="588" ht="15" customHeight="1" s="42">
      <c r="A588" s="55" t="n"/>
      <c r="B588" s="56">
        <f>IF(A588="","",WEEKNUM(A588,21))</f>
        <v/>
      </c>
      <c r="C588" s="57" t="n"/>
      <c r="D588" s="57" t="n"/>
      <c r="E588" s="58" t="n"/>
      <c r="F588" s="57" t="n"/>
      <c r="G588" s="59" t="n"/>
      <c r="H588" s="59" t="n"/>
      <c r="I588" s="60">
        <f>IF(OR(G588="",H588=""),"",MOD(H588-G588,1))</f>
        <v/>
      </c>
      <c r="J588" s="61">
        <f>IF(OR(G588="",H588=""),"",ROUND(MOD(H588-G588,1)*24,2))</f>
        <v/>
      </c>
      <c r="K588" s="62">
        <f>IF(E588="","",IF(E588="Werken","JA","NEE"))</f>
        <v/>
      </c>
      <c r="L588" s="61">
        <f>IF(K588="JA",N(J588),IF(E588="","",0))</f>
        <v/>
      </c>
      <c r="M588" s="62">
        <f>IF(AND(A588="",E588=""),"",IF(E588="","Segment ontbreekt",IF(OR(G588="",H588=""),"Van/tot ontbreekt",IF(N(J588)=0,"Duur is nul",IF(N(J588)&gt;12,"Langer dan 12 uur - controleren",IF(AND(E588="Werken",D588=""),"Werken zonder klant - koppelen","OK"))))))</f>
        <v/>
      </c>
    </row>
    <row r="589" ht="15" customHeight="1" s="42">
      <c r="A589" s="55" t="n"/>
      <c r="B589" s="56">
        <f>IF(A589="","",WEEKNUM(A589,21))</f>
        <v/>
      </c>
      <c r="C589" s="57" t="n"/>
      <c r="D589" s="57" t="n"/>
      <c r="E589" s="58" t="n"/>
      <c r="F589" s="57" t="n"/>
      <c r="G589" s="59" t="n"/>
      <c r="H589" s="59" t="n"/>
      <c r="I589" s="60">
        <f>IF(OR(G589="",H589=""),"",MOD(H589-G589,1))</f>
        <v/>
      </c>
      <c r="J589" s="61">
        <f>IF(OR(G589="",H589=""),"",ROUND(MOD(H589-G589,1)*24,2))</f>
        <v/>
      </c>
      <c r="K589" s="62">
        <f>IF(E589="","",IF(E589="Werken","JA","NEE"))</f>
        <v/>
      </c>
      <c r="L589" s="61">
        <f>IF(K589="JA",N(J589),IF(E589="","",0))</f>
        <v/>
      </c>
      <c r="M589" s="62">
        <f>IF(AND(A589="",E589=""),"",IF(E589="","Segment ontbreekt",IF(OR(G589="",H589=""),"Van/tot ontbreekt",IF(N(J589)=0,"Duur is nul",IF(N(J589)&gt;12,"Langer dan 12 uur - controleren",IF(AND(E589="Werken",D589=""),"Werken zonder klant - koppelen","OK"))))))</f>
        <v/>
      </c>
    </row>
    <row r="590" ht="15" customHeight="1" s="42">
      <c r="A590" s="55" t="n"/>
      <c r="B590" s="56">
        <f>IF(A590="","",WEEKNUM(A590,21))</f>
        <v/>
      </c>
      <c r="C590" s="57" t="n"/>
      <c r="D590" s="57" t="n"/>
      <c r="E590" s="58" t="n"/>
      <c r="F590" s="57" t="n"/>
      <c r="G590" s="59" t="n"/>
      <c r="H590" s="59" t="n"/>
      <c r="I590" s="60">
        <f>IF(OR(G590="",H590=""),"",MOD(H590-G590,1))</f>
        <v/>
      </c>
      <c r="J590" s="61">
        <f>IF(OR(G590="",H590=""),"",ROUND(MOD(H590-G590,1)*24,2))</f>
        <v/>
      </c>
      <c r="K590" s="62">
        <f>IF(E590="","",IF(E590="Werken","JA","NEE"))</f>
        <v/>
      </c>
      <c r="L590" s="61">
        <f>IF(K590="JA",N(J590),IF(E590="","",0))</f>
        <v/>
      </c>
      <c r="M590" s="62">
        <f>IF(AND(A590="",E590=""),"",IF(E590="","Segment ontbreekt",IF(OR(G590="",H590=""),"Van/tot ontbreekt",IF(N(J590)=0,"Duur is nul",IF(N(J590)&gt;12,"Langer dan 12 uur - controleren",IF(AND(E590="Werken",D590=""),"Werken zonder klant - koppelen","OK"))))))</f>
        <v/>
      </c>
    </row>
    <row r="591" ht="15" customHeight="1" s="42">
      <c r="A591" s="55" t="n"/>
      <c r="B591" s="56">
        <f>IF(A591="","",WEEKNUM(A591,21))</f>
        <v/>
      </c>
      <c r="C591" s="57" t="n"/>
      <c r="D591" s="57" t="n"/>
      <c r="E591" s="58" t="n"/>
      <c r="F591" s="57" t="n"/>
      <c r="G591" s="59" t="n"/>
      <c r="H591" s="59" t="n"/>
      <c r="I591" s="60">
        <f>IF(OR(G591="",H591=""),"",MOD(H591-G591,1))</f>
        <v/>
      </c>
      <c r="J591" s="61">
        <f>IF(OR(G591="",H591=""),"",ROUND(MOD(H591-G591,1)*24,2))</f>
        <v/>
      </c>
      <c r="K591" s="62">
        <f>IF(E591="","",IF(E591="Werken","JA","NEE"))</f>
        <v/>
      </c>
      <c r="L591" s="61">
        <f>IF(K591="JA",N(J591),IF(E591="","",0))</f>
        <v/>
      </c>
      <c r="M591" s="62">
        <f>IF(AND(A591="",E591=""),"",IF(E591="","Segment ontbreekt",IF(OR(G591="",H591=""),"Van/tot ontbreekt",IF(N(J591)=0,"Duur is nul",IF(N(J591)&gt;12,"Langer dan 12 uur - controleren",IF(AND(E591="Werken",D591=""),"Werken zonder klant - koppelen","OK"))))))</f>
        <v/>
      </c>
    </row>
    <row r="592" ht="15" customHeight="1" s="42">
      <c r="A592" s="55" t="n"/>
      <c r="B592" s="56">
        <f>IF(A592="","",WEEKNUM(A592,21))</f>
        <v/>
      </c>
      <c r="C592" s="57" t="n"/>
      <c r="D592" s="57" t="n"/>
      <c r="E592" s="58" t="n"/>
      <c r="F592" s="57" t="n"/>
      <c r="G592" s="59" t="n"/>
      <c r="H592" s="59" t="n"/>
      <c r="I592" s="60">
        <f>IF(OR(G592="",H592=""),"",MOD(H592-G592,1))</f>
        <v/>
      </c>
      <c r="J592" s="61">
        <f>IF(OR(G592="",H592=""),"",ROUND(MOD(H592-G592,1)*24,2))</f>
        <v/>
      </c>
      <c r="K592" s="62">
        <f>IF(E592="","",IF(E592="Werken","JA","NEE"))</f>
        <v/>
      </c>
      <c r="L592" s="61">
        <f>IF(K592="JA",N(J592),IF(E592="","",0))</f>
        <v/>
      </c>
      <c r="M592" s="62">
        <f>IF(AND(A592="",E592=""),"",IF(E592="","Segment ontbreekt",IF(OR(G592="",H592=""),"Van/tot ontbreekt",IF(N(J592)=0,"Duur is nul",IF(N(J592)&gt;12,"Langer dan 12 uur - controleren",IF(AND(E592="Werken",D592=""),"Werken zonder klant - koppelen","OK"))))))</f>
        <v/>
      </c>
    </row>
    <row r="593" ht="15" customHeight="1" s="42">
      <c r="A593" s="55" t="n"/>
      <c r="B593" s="56">
        <f>IF(A593="","",WEEKNUM(A593,21))</f>
        <v/>
      </c>
      <c r="C593" s="57" t="n"/>
      <c r="D593" s="57" t="n"/>
      <c r="E593" s="58" t="n"/>
      <c r="F593" s="57" t="n"/>
      <c r="G593" s="59" t="n"/>
      <c r="H593" s="59" t="n"/>
      <c r="I593" s="60">
        <f>IF(OR(G593="",H593=""),"",MOD(H593-G593,1))</f>
        <v/>
      </c>
      <c r="J593" s="61">
        <f>IF(OR(G593="",H593=""),"",ROUND(MOD(H593-G593,1)*24,2))</f>
        <v/>
      </c>
      <c r="K593" s="62">
        <f>IF(E593="","",IF(E593="Werken","JA","NEE"))</f>
        <v/>
      </c>
      <c r="L593" s="61">
        <f>IF(K593="JA",N(J593),IF(E593="","",0))</f>
        <v/>
      </c>
      <c r="M593" s="62">
        <f>IF(AND(A593="",E593=""),"",IF(E593="","Segment ontbreekt",IF(OR(G593="",H593=""),"Van/tot ontbreekt",IF(N(J593)=0,"Duur is nul",IF(N(J593)&gt;12,"Langer dan 12 uur - controleren",IF(AND(E593="Werken",D593=""),"Werken zonder klant - koppelen","OK"))))))</f>
        <v/>
      </c>
    </row>
    <row r="594" ht="15" customHeight="1" s="42">
      <c r="A594" s="55" t="n"/>
      <c r="B594" s="56">
        <f>IF(A594="","",WEEKNUM(A594,21))</f>
        <v/>
      </c>
      <c r="C594" s="57" t="n"/>
      <c r="D594" s="57" t="n"/>
      <c r="E594" s="58" t="n"/>
      <c r="F594" s="57" t="n"/>
      <c r="G594" s="59" t="n"/>
      <c r="H594" s="59" t="n"/>
      <c r="I594" s="60">
        <f>IF(OR(G594="",H594=""),"",MOD(H594-G594,1))</f>
        <v/>
      </c>
      <c r="J594" s="61">
        <f>IF(OR(G594="",H594=""),"",ROUND(MOD(H594-G594,1)*24,2))</f>
        <v/>
      </c>
      <c r="K594" s="62">
        <f>IF(E594="","",IF(E594="Werken","JA","NEE"))</f>
        <v/>
      </c>
      <c r="L594" s="61">
        <f>IF(K594="JA",N(J594),IF(E594="","",0))</f>
        <v/>
      </c>
      <c r="M594" s="62">
        <f>IF(AND(A594="",E594=""),"",IF(E594="","Segment ontbreekt",IF(OR(G594="",H594=""),"Van/tot ontbreekt",IF(N(J594)=0,"Duur is nul",IF(N(J594)&gt;12,"Langer dan 12 uur - controleren",IF(AND(E594="Werken",D594=""),"Werken zonder klant - koppelen","OK"))))))</f>
        <v/>
      </c>
    </row>
    <row r="595" ht="15" customHeight="1" s="42">
      <c r="A595" s="55" t="n"/>
      <c r="B595" s="56">
        <f>IF(A595="","",WEEKNUM(A595,21))</f>
        <v/>
      </c>
      <c r="C595" s="57" t="n"/>
      <c r="D595" s="57" t="n"/>
      <c r="E595" s="58" t="n"/>
      <c r="F595" s="57" t="n"/>
      <c r="G595" s="59" t="n"/>
      <c r="H595" s="59" t="n"/>
      <c r="I595" s="60">
        <f>IF(OR(G595="",H595=""),"",MOD(H595-G595,1))</f>
        <v/>
      </c>
      <c r="J595" s="61">
        <f>IF(OR(G595="",H595=""),"",ROUND(MOD(H595-G595,1)*24,2))</f>
        <v/>
      </c>
      <c r="K595" s="62">
        <f>IF(E595="","",IF(E595="Werken","JA","NEE"))</f>
        <v/>
      </c>
      <c r="L595" s="61">
        <f>IF(K595="JA",N(J595),IF(E595="","",0))</f>
        <v/>
      </c>
      <c r="M595" s="62">
        <f>IF(AND(A595="",E595=""),"",IF(E595="","Segment ontbreekt",IF(OR(G595="",H595=""),"Van/tot ontbreekt",IF(N(J595)=0,"Duur is nul",IF(N(J595)&gt;12,"Langer dan 12 uur - controleren",IF(AND(E595="Werken",D595=""),"Werken zonder klant - koppelen","OK"))))))</f>
        <v/>
      </c>
    </row>
    <row r="596" ht="15" customHeight="1" s="42">
      <c r="A596" s="55" t="n"/>
      <c r="B596" s="56">
        <f>IF(A596="","",WEEKNUM(A596,21))</f>
        <v/>
      </c>
      <c r="C596" s="57" t="n"/>
      <c r="D596" s="57" t="n"/>
      <c r="E596" s="58" t="n"/>
      <c r="F596" s="57" t="n"/>
      <c r="G596" s="59" t="n"/>
      <c r="H596" s="59" t="n"/>
      <c r="I596" s="60">
        <f>IF(OR(G596="",H596=""),"",MOD(H596-G596,1))</f>
        <v/>
      </c>
      <c r="J596" s="61">
        <f>IF(OR(G596="",H596=""),"",ROUND(MOD(H596-G596,1)*24,2))</f>
        <v/>
      </c>
      <c r="K596" s="62">
        <f>IF(E596="","",IF(E596="Werken","JA","NEE"))</f>
        <v/>
      </c>
      <c r="L596" s="61">
        <f>IF(K596="JA",N(J596),IF(E596="","",0))</f>
        <v/>
      </c>
      <c r="M596" s="62">
        <f>IF(AND(A596="",E596=""),"",IF(E596="","Segment ontbreekt",IF(OR(G596="",H596=""),"Van/tot ontbreekt",IF(N(J596)=0,"Duur is nul",IF(N(J596)&gt;12,"Langer dan 12 uur - controleren",IF(AND(E596="Werken",D596=""),"Werken zonder klant - koppelen","OK"))))))</f>
        <v/>
      </c>
    </row>
    <row r="597" ht="15" customHeight="1" s="42">
      <c r="A597" s="55" t="n"/>
      <c r="B597" s="56">
        <f>IF(A597="","",WEEKNUM(A597,21))</f>
        <v/>
      </c>
      <c r="C597" s="57" t="n"/>
      <c r="D597" s="57" t="n"/>
      <c r="E597" s="58" t="n"/>
      <c r="F597" s="57" t="n"/>
      <c r="G597" s="59" t="n"/>
      <c r="H597" s="59" t="n"/>
      <c r="I597" s="60">
        <f>IF(OR(G597="",H597=""),"",MOD(H597-G597,1))</f>
        <v/>
      </c>
      <c r="J597" s="61">
        <f>IF(OR(G597="",H597=""),"",ROUND(MOD(H597-G597,1)*24,2))</f>
        <v/>
      </c>
      <c r="K597" s="62">
        <f>IF(E597="","",IF(E597="Werken","JA","NEE"))</f>
        <v/>
      </c>
      <c r="L597" s="61">
        <f>IF(K597="JA",N(J597),IF(E597="","",0))</f>
        <v/>
      </c>
      <c r="M597" s="62">
        <f>IF(AND(A597="",E597=""),"",IF(E597="","Segment ontbreekt",IF(OR(G597="",H597=""),"Van/tot ontbreekt",IF(N(J597)=0,"Duur is nul",IF(N(J597)&gt;12,"Langer dan 12 uur - controleren",IF(AND(E597="Werken",D597=""),"Werken zonder klant - koppelen","OK"))))))</f>
        <v/>
      </c>
    </row>
    <row r="598" ht="15" customHeight="1" s="42">
      <c r="A598" s="55" t="n"/>
      <c r="B598" s="56">
        <f>IF(A598="","",WEEKNUM(A598,21))</f>
        <v/>
      </c>
      <c r="C598" s="57" t="n"/>
      <c r="D598" s="57" t="n"/>
      <c r="E598" s="58" t="n"/>
      <c r="F598" s="57" t="n"/>
      <c r="G598" s="59" t="n"/>
      <c r="H598" s="59" t="n"/>
      <c r="I598" s="60">
        <f>IF(OR(G598="",H598=""),"",MOD(H598-G598,1))</f>
        <v/>
      </c>
      <c r="J598" s="61">
        <f>IF(OR(G598="",H598=""),"",ROUND(MOD(H598-G598,1)*24,2))</f>
        <v/>
      </c>
      <c r="K598" s="62">
        <f>IF(E598="","",IF(E598="Werken","JA","NEE"))</f>
        <v/>
      </c>
      <c r="L598" s="61">
        <f>IF(K598="JA",N(J598),IF(E598="","",0))</f>
        <v/>
      </c>
      <c r="M598" s="62">
        <f>IF(AND(A598="",E598=""),"",IF(E598="","Segment ontbreekt",IF(OR(G598="",H598=""),"Van/tot ontbreekt",IF(N(J598)=0,"Duur is nul",IF(N(J598)&gt;12,"Langer dan 12 uur - controleren",IF(AND(E598="Werken",D598=""),"Werken zonder klant - koppelen","OK"))))))</f>
        <v/>
      </c>
    </row>
    <row r="599" ht="15" customHeight="1" s="42">
      <c r="A599" s="55" t="n"/>
      <c r="B599" s="56">
        <f>IF(A599="","",WEEKNUM(A599,21))</f>
        <v/>
      </c>
      <c r="C599" s="57" t="n"/>
      <c r="D599" s="57" t="n"/>
      <c r="E599" s="58" t="n"/>
      <c r="F599" s="57" t="n"/>
      <c r="G599" s="59" t="n"/>
      <c r="H599" s="59" t="n"/>
      <c r="I599" s="60">
        <f>IF(OR(G599="",H599=""),"",MOD(H599-G599,1))</f>
        <v/>
      </c>
      <c r="J599" s="61">
        <f>IF(OR(G599="",H599=""),"",ROUND(MOD(H599-G599,1)*24,2))</f>
        <v/>
      </c>
      <c r="K599" s="62">
        <f>IF(E599="","",IF(E599="Werken","JA","NEE"))</f>
        <v/>
      </c>
      <c r="L599" s="61">
        <f>IF(K599="JA",N(J599),IF(E599="","",0))</f>
        <v/>
      </c>
      <c r="M599" s="62">
        <f>IF(AND(A599="",E599=""),"",IF(E599="","Segment ontbreekt",IF(OR(G599="",H599=""),"Van/tot ontbreekt",IF(N(J599)=0,"Duur is nul",IF(N(J599)&gt;12,"Langer dan 12 uur - controleren",IF(AND(E599="Werken",D599=""),"Werken zonder klant - koppelen","OK"))))))</f>
        <v/>
      </c>
    </row>
    <row r="600" ht="15" customHeight="1" s="42">
      <c r="A600" s="55" t="n"/>
      <c r="B600" s="56">
        <f>IF(A600="","",WEEKNUM(A600,21))</f>
        <v/>
      </c>
      <c r="C600" s="57" t="n"/>
      <c r="D600" s="57" t="n"/>
      <c r="E600" s="58" t="n"/>
      <c r="F600" s="57" t="n"/>
      <c r="G600" s="59" t="n"/>
      <c r="H600" s="59" t="n"/>
      <c r="I600" s="60">
        <f>IF(OR(G600="",H600=""),"",MOD(H600-G600,1))</f>
        <v/>
      </c>
      <c r="J600" s="61">
        <f>IF(OR(G600="",H600=""),"",ROUND(MOD(H600-G600,1)*24,2))</f>
        <v/>
      </c>
      <c r="K600" s="62">
        <f>IF(E600="","",IF(E600="Werken","JA","NEE"))</f>
        <v/>
      </c>
      <c r="L600" s="61">
        <f>IF(K600="JA",N(J600),IF(E600="","",0))</f>
        <v/>
      </c>
      <c r="M600" s="62">
        <f>IF(AND(A600="",E600=""),"",IF(E600="","Segment ontbreekt",IF(OR(G600="",H600=""),"Van/tot ontbreekt",IF(N(J600)=0,"Duur is nul",IF(N(J600)&gt;12,"Langer dan 12 uur - controleren",IF(AND(E600="Werken",D600=""),"Werken zonder klant - koppelen","OK"))))))</f>
        <v/>
      </c>
    </row>
    <row r="601" ht="15" customHeight="1" s="42">
      <c r="A601" s="55" t="n"/>
      <c r="B601" s="56">
        <f>IF(A601="","",WEEKNUM(A601,21))</f>
        <v/>
      </c>
      <c r="C601" s="57" t="n"/>
      <c r="D601" s="57" t="n"/>
      <c r="E601" s="58" t="n"/>
      <c r="F601" s="57" t="n"/>
      <c r="G601" s="59" t="n"/>
      <c r="H601" s="59" t="n"/>
      <c r="I601" s="60">
        <f>IF(OR(G601="",H601=""),"",MOD(H601-G601,1))</f>
        <v/>
      </c>
      <c r="J601" s="61">
        <f>IF(OR(G601="",H601=""),"",ROUND(MOD(H601-G601,1)*24,2))</f>
        <v/>
      </c>
      <c r="K601" s="62">
        <f>IF(E601="","",IF(E601="Werken","JA","NEE"))</f>
        <v/>
      </c>
      <c r="L601" s="61">
        <f>IF(K601="JA",N(J601),IF(E601="","",0))</f>
        <v/>
      </c>
      <c r="M601" s="62">
        <f>IF(AND(A601="",E601=""),"",IF(E601="","Segment ontbreekt",IF(OR(G601="",H601=""),"Van/tot ontbreekt",IF(N(J601)=0,"Duur is nul",IF(N(J601)&gt;12,"Langer dan 12 uur - controleren",IF(AND(E601="Werken",D601=""),"Werken zonder klant - koppelen","OK"))))))</f>
        <v/>
      </c>
    </row>
    <row r="602" ht="15" customHeight="1" s="42">
      <c r="A602" s="55" t="n"/>
      <c r="B602" s="56">
        <f>IF(A602="","",WEEKNUM(A602,21))</f>
        <v/>
      </c>
      <c r="C602" s="57" t="n"/>
      <c r="D602" s="57" t="n"/>
      <c r="E602" s="58" t="n"/>
      <c r="F602" s="57" t="n"/>
      <c r="G602" s="59" t="n"/>
      <c r="H602" s="59" t="n"/>
      <c r="I602" s="60">
        <f>IF(OR(G602="",H602=""),"",MOD(H602-G602,1))</f>
        <v/>
      </c>
      <c r="J602" s="61">
        <f>IF(OR(G602="",H602=""),"",ROUND(MOD(H602-G602,1)*24,2))</f>
        <v/>
      </c>
      <c r="K602" s="62">
        <f>IF(E602="","",IF(E602="Werken","JA","NEE"))</f>
        <v/>
      </c>
      <c r="L602" s="61">
        <f>IF(K602="JA",N(J602),IF(E602="","",0))</f>
        <v/>
      </c>
      <c r="M602" s="62">
        <f>IF(AND(A602="",E602=""),"",IF(E602="","Segment ontbreekt",IF(OR(G602="",H602=""),"Van/tot ontbreekt",IF(N(J602)=0,"Duur is nul",IF(N(J602)&gt;12,"Langer dan 12 uur - controleren",IF(AND(E602="Werken",D602=""),"Werken zonder klant - koppelen","OK"))))))</f>
        <v/>
      </c>
    </row>
    <row r="603" ht="15" customHeight="1" s="42">
      <c r="A603" s="55" t="n"/>
      <c r="B603" s="56">
        <f>IF(A603="","",WEEKNUM(A603,21))</f>
        <v/>
      </c>
      <c r="C603" s="57" t="n"/>
      <c r="D603" s="57" t="n"/>
      <c r="E603" s="58" t="n"/>
      <c r="F603" s="57" t="n"/>
      <c r="G603" s="59" t="n"/>
      <c r="H603" s="59" t="n"/>
      <c r="I603" s="60">
        <f>IF(OR(G603="",H603=""),"",MOD(H603-G603,1))</f>
        <v/>
      </c>
      <c r="J603" s="61">
        <f>IF(OR(G603="",H603=""),"",ROUND(MOD(H603-G603,1)*24,2))</f>
        <v/>
      </c>
      <c r="K603" s="62">
        <f>IF(E603="","",IF(E603="Werken","JA","NEE"))</f>
        <v/>
      </c>
      <c r="L603" s="61">
        <f>IF(K603="JA",N(J603),IF(E603="","",0))</f>
        <v/>
      </c>
      <c r="M603" s="62">
        <f>IF(AND(A603="",E603=""),"",IF(E603="","Segment ontbreekt",IF(OR(G603="",H603=""),"Van/tot ontbreekt",IF(N(J603)=0,"Duur is nul",IF(N(J603)&gt;12,"Langer dan 12 uur - controleren",IF(AND(E603="Werken",D603=""),"Werken zonder klant - koppelen","OK"))))))</f>
        <v/>
      </c>
    </row>
    <row r="604" ht="15" customHeight="1" s="42">
      <c r="A604" s="55" t="n"/>
      <c r="B604" s="56">
        <f>IF(A604="","",WEEKNUM(A604,21))</f>
        <v/>
      </c>
      <c r="C604" s="57" t="n"/>
      <c r="D604" s="57" t="n"/>
      <c r="E604" s="58" t="n"/>
      <c r="F604" s="57" t="n"/>
      <c r="G604" s="59" t="n"/>
      <c r="H604" s="59" t="n"/>
      <c r="I604" s="60">
        <f>IF(OR(G604="",H604=""),"",MOD(H604-G604,1))</f>
        <v/>
      </c>
      <c r="J604" s="61">
        <f>IF(OR(G604="",H604=""),"",ROUND(MOD(H604-G604,1)*24,2))</f>
        <v/>
      </c>
      <c r="K604" s="62">
        <f>IF(E604="","",IF(E604="Werken","JA","NEE"))</f>
        <v/>
      </c>
      <c r="L604" s="61">
        <f>IF(K604="JA",N(J604),IF(E604="","",0))</f>
        <v/>
      </c>
      <c r="M604" s="62">
        <f>IF(AND(A604="",E604=""),"",IF(E604="","Segment ontbreekt",IF(OR(G604="",H604=""),"Van/tot ontbreekt",IF(N(J604)=0,"Duur is nul",IF(N(J604)&gt;12,"Langer dan 12 uur - controleren",IF(AND(E604="Werken",D604=""),"Werken zonder klant - koppelen","OK"))))))</f>
        <v/>
      </c>
    </row>
    <row r="605" ht="15" customHeight="1" s="42">
      <c r="A605" s="55" t="n"/>
      <c r="B605" s="56">
        <f>IF(A605="","",WEEKNUM(A605,21))</f>
        <v/>
      </c>
      <c r="C605" s="57" t="n"/>
      <c r="D605" s="57" t="n"/>
      <c r="E605" s="58" t="n"/>
      <c r="F605" s="57" t="n"/>
      <c r="G605" s="59" t="n"/>
      <c r="H605" s="59" t="n"/>
      <c r="I605" s="60">
        <f>IF(OR(G605="",H605=""),"",MOD(H605-G605,1))</f>
        <v/>
      </c>
      <c r="J605" s="61">
        <f>IF(OR(G605="",H605=""),"",ROUND(MOD(H605-G605,1)*24,2))</f>
        <v/>
      </c>
      <c r="K605" s="62">
        <f>IF(E605="","",IF(E605="Werken","JA","NEE"))</f>
        <v/>
      </c>
      <c r="L605" s="61">
        <f>IF(K605="JA",N(J605),IF(E605="","",0))</f>
        <v/>
      </c>
      <c r="M605" s="62">
        <f>IF(AND(A605="",E605=""),"",IF(E605="","Segment ontbreekt",IF(OR(G605="",H605=""),"Van/tot ontbreekt",IF(N(J605)=0,"Duur is nul",IF(N(J605)&gt;12,"Langer dan 12 uur - controleren",IF(AND(E605="Werken",D605=""),"Werken zonder klant - koppelen","OK"))))))</f>
        <v/>
      </c>
    </row>
    <row r="606" ht="15" customHeight="1" s="42">
      <c r="A606" s="55" t="n"/>
      <c r="B606" s="56">
        <f>IF(A606="","",WEEKNUM(A606,21))</f>
        <v/>
      </c>
      <c r="C606" s="57" t="n"/>
      <c r="D606" s="57" t="n"/>
      <c r="E606" s="58" t="n"/>
      <c r="F606" s="57" t="n"/>
      <c r="G606" s="59" t="n"/>
      <c r="H606" s="59" t="n"/>
      <c r="I606" s="60">
        <f>IF(OR(G606="",H606=""),"",MOD(H606-G606,1))</f>
        <v/>
      </c>
      <c r="J606" s="61">
        <f>IF(OR(G606="",H606=""),"",ROUND(MOD(H606-G606,1)*24,2))</f>
        <v/>
      </c>
      <c r="K606" s="62">
        <f>IF(E606="","",IF(E606="Werken","JA","NEE"))</f>
        <v/>
      </c>
      <c r="L606" s="61">
        <f>IF(K606="JA",N(J606),IF(E606="","",0))</f>
        <v/>
      </c>
      <c r="M606" s="62">
        <f>IF(AND(A606="",E606=""),"",IF(E606="","Segment ontbreekt",IF(OR(G606="",H606=""),"Van/tot ontbreekt",IF(N(J606)=0,"Duur is nul",IF(N(J606)&gt;12,"Langer dan 12 uur - controleren",IF(AND(E606="Werken",D606=""),"Werken zonder klant - koppelen","OK"))))))</f>
        <v/>
      </c>
    </row>
    <row r="607" ht="15" customHeight="1" s="42">
      <c r="A607" s="55" t="n"/>
      <c r="B607" s="56">
        <f>IF(A607="","",WEEKNUM(A607,21))</f>
        <v/>
      </c>
      <c r="C607" s="57" t="n"/>
      <c r="D607" s="57" t="n"/>
      <c r="E607" s="58" t="n"/>
      <c r="F607" s="57" t="n"/>
      <c r="G607" s="59" t="n"/>
      <c r="H607" s="59" t="n"/>
      <c r="I607" s="60">
        <f>IF(OR(G607="",H607=""),"",MOD(H607-G607,1))</f>
        <v/>
      </c>
      <c r="J607" s="61">
        <f>IF(OR(G607="",H607=""),"",ROUND(MOD(H607-G607,1)*24,2))</f>
        <v/>
      </c>
      <c r="K607" s="62">
        <f>IF(E607="","",IF(E607="Werken","JA","NEE"))</f>
        <v/>
      </c>
      <c r="L607" s="61">
        <f>IF(K607="JA",N(J607),IF(E607="","",0))</f>
        <v/>
      </c>
      <c r="M607" s="62">
        <f>IF(AND(A607="",E607=""),"",IF(E607="","Segment ontbreekt",IF(OR(G607="",H607=""),"Van/tot ontbreekt",IF(N(J607)=0,"Duur is nul",IF(N(J607)&gt;12,"Langer dan 12 uur - controleren",IF(AND(E607="Werken",D607=""),"Werken zonder klant - koppelen","OK"))))))</f>
        <v/>
      </c>
    </row>
    <row r="608" ht="15" customHeight="1" s="42">
      <c r="A608" s="55" t="n"/>
      <c r="B608" s="56">
        <f>IF(A608="","",WEEKNUM(A608,21))</f>
        <v/>
      </c>
      <c r="C608" s="57" t="n"/>
      <c r="D608" s="57" t="n"/>
      <c r="E608" s="58" t="n"/>
      <c r="F608" s="57" t="n"/>
      <c r="G608" s="59" t="n"/>
      <c r="H608" s="59" t="n"/>
      <c r="I608" s="60">
        <f>IF(OR(G608="",H608=""),"",MOD(H608-G608,1))</f>
        <v/>
      </c>
      <c r="J608" s="61">
        <f>IF(OR(G608="",H608=""),"",ROUND(MOD(H608-G608,1)*24,2))</f>
        <v/>
      </c>
      <c r="K608" s="62">
        <f>IF(E608="","",IF(E608="Werken","JA","NEE"))</f>
        <v/>
      </c>
      <c r="L608" s="61">
        <f>IF(K608="JA",N(J608),IF(E608="","",0))</f>
        <v/>
      </c>
      <c r="M608" s="62">
        <f>IF(AND(A608="",E608=""),"",IF(E608="","Segment ontbreekt",IF(OR(G608="",H608=""),"Van/tot ontbreekt",IF(N(J608)=0,"Duur is nul",IF(N(J608)&gt;12,"Langer dan 12 uur - controleren",IF(AND(E608="Werken",D608=""),"Werken zonder klant - koppelen","OK"))))))</f>
        <v/>
      </c>
    </row>
    <row r="609" ht="15" customHeight="1" s="42">
      <c r="A609" s="55" t="n"/>
      <c r="B609" s="56">
        <f>IF(A609="","",WEEKNUM(A609,21))</f>
        <v/>
      </c>
      <c r="C609" s="57" t="n"/>
      <c r="D609" s="57" t="n"/>
      <c r="E609" s="58" t="n"/>
      <c r="F609" s="57" t="n"/>
      <c r="G609" s="59" t="n"/>
      <c r="H609" s="59" t="n"/>
      <c r="I609" s="60">
        <f>IF(OR(G609="",H609=""),"",MOD(H609-G609,1))</f>
        <v/>
      </c>
      <c r="J609" s="61">
        <f>IF(OR(G609="",H609=""),"",ROUND(MOD(H609-G609,1)*24,2))</f>
        <v/>
      </c>
      <c r="K609" s="62">
        <f>IF(E609="","",IF(E609="Werken","JA","NEE"))</f>
        <v/>
      </c>
      <c r="L609" s="61">
        <f>IF(K609="JA",N(J609),IF(E609="","",0))</f>
        <v/>
      </c>
      <c r="M609" s="62">
        <f>IF(AND(A609="",E609=""),"",IF(E609="","Segment ontbreekt",IF(OR(G609="",H609=""),"Van/tot ontbreekt",IF(N(J609)=0,"Duur is nul",IF(N(J609)&gt;12,"Langer dan 12 uur - controleren",IF(AND(E609="Werken",D609=""),"Werken zonder klant - koppelen","OK"))))))</f>
        <v/>
      </c>
    </row>
    <row r="610" ht="15" customHeight="1" s="42">
      <c r="A610" s="55" t="n"/>
      <c r="B610" s="56">
        <f>IF(A610="","",WEEKNUM(A610,21))</f>
        <v/>
      </c>
      <c r="C610" s="57" t="n"/>
      <c r="D610" s="57" t="n"/>
      <c r="E610" s="58" t="n"/>
      <c r="F610" s="57" t="n"/>
      <c r="G610" s="59" t="n"/>
      <c r="H610" s="59" t="n"/>
      <c r="I610" s="60">
        <f>IF(OR(G610="",H610=""),"",MOD(H610-G610,1))</f>
        <v/>
      </c>
      <c r="J610" s="61">
        <f>IF(OR(G610="",H610=""),"",ROUND(MOD(H610-G610,1)*24,2))</f>
        <v/>
      </c>
      <c r="K610" s="62">
        <f>IF(E610="","",IF(E610="Werken","JA","NEE"))</f>
        <v/>
      </c>
      <c r="L610" s="61">
        <f>IF(K610="JA",N(J610),IF(E610="","",0))</f>
        <v/>
      </c>
      <c r="M610" s="62">
        <f>IF(AND(A610="",E610=""),"",IF(E610="","Segment ontbreekt",IF(OR(G610="",H610=""),"Van/tot ontbreekt",IF(N(J610)=0,"Duur is nul",IF(N(J610)&gt;12,"Langer dan 12 uur - controleren",IF(AND(E610="Werken",D610=""),"Werken zonder klant - koppelen","OK"))))))</f>
        <v/>
      </c>
    </row>
    <row r="611" ht="15" customHeight="1" s="42">
      <c r="A611" s="55" t="n"/>
      <c r="B611" s="56">
        <f>IF(A611="","",WEEKNUM(A611,21))</f>
        <v/>
      </c>
      <c r="C611" s="57" t="n"/>
      <c r="D611" s="57" t="n"/>
      <c r="E611" s="58" t="n"/>
      <c r="F611" s="57" t="n"/>
      <c r="G611" s="59" t="n"/>
      <c r="H611" s="59" t="n"/>
      <c r="I611" s="60">
        <f>IF(OR(G611="",H611=""),"",MOD(H611-G611,1))</f>
        <v/>
      </c>
      <c r="J611" s="61">
        <f>IF(OR(G611="",H611=""),"",ROUND(MOD(H611-G611,1)*24,2))</f>
        <v/>
      </c>
      <c r="K611" s="62">
        <f>IF(E611="","",IF(E611="Werken","JA","NEE"))</f>
        <v/>
      </c>
      <c r="L611" s="61">
        <f>IF(K611="JA",N(J611),IF(E611="","",0))</f>
        <v/>
      </c>
      <c r="M611" s="62">
        <f>IF(AND(A611="",E611=""),"",IF(E611="","Segment ontbreekt",IF(OR(G611="",H611=""),"Van/tot ontbreekt",IF(N(J611)=0,"Duur is nul",IF(N(J611)&gt;12,"Langer dan 12 uur - controleren",IF(AND(E611="Werken",D611=""),"Werken zonder klant - koppelen","OK"))))))</f>
        <v/>
      </c>
    </row>
    <row r="612" ht="15" customHeight="1" s="42">
      <c r="A612" s="55" t="n"/>
      <c r="B612" s="56">
        <f>IF(A612="","",WEEKNUM(A612,21))</f>
        <v/>
      </c>
      <c r="C612" s="57" t="n"/>
      <c r="D612" s="57" t="n"/>
      <c r="E612" s="58" t="n"/>
      <c r="F612" s="57" t="n"/>
      <c r="G612" s="59" t="n"/>
      <c r="H612" s="59" t="n"/>
      <c r="I612" s="60">
        <f>IF(OR(G612="",H612=""),"",MOD(H612-G612,1))</f>
        <v/>
      </c>
      <c r="J612" s="61">
        <f>IF(OR(G612="",H612=""),"",ROUND(MOD(H612-G612,1)*24,2))</f>
        <v/>
      </c>
      <c r="K612" s="62">
        <f>IF(E612="","",IF(E612="Werken","JA","NEE"))</f>
        <v/>
      </c>
      <c r="L612" s="61">
        <f>IF(K612="JA",N(J612),IF(E612="","",0))</f>
        <v/>
      </c>
      <c r="M612" s="62">
        <f>IF(AND(A612="",E612=""),"",IF(E612="","Segment ontbreekt",IF(OR(G612="",H612=""),"Van/tot ontbreekt",IF(N(J612)=0,"Duur is nul",IF(N(J612)&gt;12,"Langer dan 12 uur - controleren",IF(AND(E612="Werken",D612=""),"Werken zonder klant - koppelen","OK"))))))</f>
        <v/>
      </c>
    </row>
    <row r="613" ht="15" customHeight="1" s="42">
      <c r="A613" s="55" t="n"/>
      <c r="B613" s="56">
        <f>IF(A613="","",WEEKNUM(A613,21))</f>
        <v/>
      </c>
      <c r="C613" s="57" t="n"/>
      <c r="D613" s="57" t="n"/>
      <c r="E613" s="58" t="n"/>
      <c r="F613" s="57" t="n"/>
      <c r="G613" s="59" t="n"/>
      <c r="H613" s="59" t="n"/>
      <c r="I613" s="60">
        <f>IF(OR(G613="",H613=""),"",MOD(H613-G613,1))</f>
        <v/>
      </c>
      <c r="J613" s="61">
        <f>IF(OR(G613="",H613=""),"",ROUND(MOD(H613-G613,1)*24,2))</f>
        <v/>
      </c>
      <c r="K613" s="62">
        <f>IF(E613="","",IF(E613="Werken","JA","NEE"))</f>
        <v/>
      </c>
      <c r="L613" s="61">
        <f>IF(K613="JA",N(J613),IF(E613="","",0))</f>
        <v/>
      </c>
      <c r="M613" s="62">
        <f>IF(AND(A613="",E613=""),"",IF(E613="","Segment ontbreekt",IF(OR(G613="",H613=""),"Van/tot ontbreekt",IF(N(J613)=0,"Duur is nul",IF(N(J613)&gt;12,"Langer dan 12 uur - controleren",IF(AND(E613="Werken",D613=""),"Werken zonder klant - koppelen","OK"))))))</f>
        <v/>
      </c>
    </row>
    <row r="614" ht="15" customHeight="1" s="42">
      <c r="A614" s="55" t="n"/>
      <c r="B614" s="56">
        <f>IF(A614="","",WEEKNUM(A614,21))</f>
        <v/>
      </c>
      <c r="C614" s="57" t="n"/>
      <c r="D614" s="57" t="n"/>
      <c r="E614" s="58" t="n"/>
      <c r="F614" s="57" t="n"/>
      <c r="G614" s="59" t="n"/>
      <c r="H614" s="59" t="n"/>
      <c r="I614" s="60">
        <f>IF(OR(G614="",H614=""),"",MOD(H614-G614,1))</f>
        <v/>
      </c>
      <c r="J614" s="61">
        <f>IF(OR(G614="",H614=""),"",ROUND(MOD(H614-G614,1)*24,2))</f>
        <v/>
      </c>
      <c r="K614" s="62">
        <f>IF(E614="","",IF(E614="Werken","JA","NEE"))</f>
        <v/>
      </c>
      <c r="L614" s="61">
        <f>IF(K614="JA",N(J614),IF(E614="","",0))</f>
        <v/>
      </c>
      <c r="M614" s="62">
        <f>IF(AND(A614="",E614=""),"",IF(E614="","Segment ontbreekt",IF(OR(G614="",H614=""),"Van/tot ontbreekt",IF(N(J614)=0,"Duur is nul",IF(N(J614)&gt;12,"Langer dan 12 uur - controleren",IF(AND(E614="Werken",D614=""),"Werken zonder klant - koppelen","OK"))))))</f>
        <v/>
      </c>
    </row>
    <row r="615" ht="15" customHeight="1" s="42">
      <c r="A615" s="55" t="n"/>
      <c r="B615" s="56">
        <f>IF(A615="","",WEEKNUM(A615,21))</f>
        <v/>
      </c>
      <c r="C615" s="57" t="n"/>
      <c r="D615" s="57" t="n"/>
      <c r="E615" s="58" t="n"/>
      <c r="F615" s="57" t="n"/>
      <c r="G615" s="59" t="n"/>
      <c r="H615" s="59" t="n"/>
      <c r="I615" s="60">
        <f>IF(OR(G615="",H615=""),"",MOD(H615-G615,1))</f>
        <v/>
      </c>
      <c r="J615" s="61">
        <f>IF(OR(G615="",H615=""),"",ROUND(MOD(H615-G615,1)*24,2))</f>
        <v/>
      </c>
      <c r="K615" s="62">
        <f>IF(E615="","",IF(E615="Werken","JA","NEE"))</f>
        <v/>
      </c>
      <c r="L615" s="61">
        <f>IF(K615="JA",N(J615),IF(E615="","",0))</f>
        <v/>
      </c>
      <c r="M615" s="62">
        <f>IF(AND(A615="",E615=""),"",IF(E615="","Segment ontbreekt",IF(OR(G615="",H615=""),"Van/tot ontbreekt",IF(N(J615)=0,"Duur is nul",IF(N(J615)&gt;12,"Langer dan 12 uur - controleren",IF(AND(E615="Werken",D615=""),"Werken zonder klant - koppelen","OK"))))))</f>
        <v/>
      </c>
    </row>
    <row r="616" ht="15" customHeight="1" s="42">
      <c r="A616" s="55" t="n"/>
      <c r="B616" s="56">
        <f>IF(A616="","",WEEKNUM(A616,21))</f>
        <v/>
      </c>
      <c r="C616" s="57" t="n"/>
      <c r="D616" s="57" t="n"/>
      <c r="E616" s="58" t="n"/>
      <c r="F616" s="57" t="n"/>
      <c r="G616" s="59" t="n"/>
      <c r="H616" s="59" t="n"/>
      <c r="I616" s="60">
        <f>IF(OR(G616="",H616=""),"",MOD(H616-G616,1))</f>
        <v/>
      </c>
      <c r="J616" s="61">
        <f>IF(OR(G616="",H616=""),"",ROUND(MOD(H616-G616,1)*24,2))</f>
        <v/>
      </c>
      <c r="K616" s="62">
        <f>IF(E616="","",IF(E616="Werken","JA","NEE"))</f>
        <v/>
      </c>
      <c r="L616" s="61">
        <f>IF(K616="JA",N(J616),IF(E616="","",0))</f>
        <v/>
      </c>
      <c r="M616" s="62">
        <f>IF(AND(A616="",E616=""),"",IF(E616="","Segment ontbreekt",IF(OR(G616="",H616=""),"Van/tot ontbreekt",IF(N(J616)=0,"Duur is nul",IF(N(J616)&gt;12,"Langer dan 12 uur - controleren",IF(AND(E616="Werken",D616=""),"Werken zonder klant - koppelen","OK"))))))</f>
        <v/>
      </c>
    </row>
    <row r="617" ht="15" customHeight="1" s="42">
      <c r="A617" s="55" t="n"/>
      <c r="B617" s="56">
        <f>IF(A617="","",WEEKNUM(A617,21))</f>
        <v/>
      </c>
      <c r="C617" s="57" t="n"/>
      <c r="D617" s="57" t="n"/>
      <c r="E617" s="58" t="n"/>
      <c r="F617" s="57" t="n"/>
      <c r="G617" s="59" t="n"/>
      <c r="H617" s="59" t="n"/>
      <c r="I617" s="60">
        <f>IF(OR(G617="",H617=""),"",MOD(H617-G617,1))</f>
        <v/>
      </c>
      <c r="J617" s="61">
        <f>IF(OR(G617="",H617=""),"",ROUND(MOD(H617-G617,1)*24,2))</f>
        <v/>
      </c>
      <c r="K617" s="62">
        <f>IF(E617="","",IF(E617="Werken","JA","NEE"))</f>
        <v/>
      </c>
      <c r="L617" s="61">
        <f>IF(K617="JA",N(J617),IF(E617="","",0))</f>
        <v/>
      </c>
      <c r="M617" s="62">
        <f>IF(AND(A617="",E617=""),"",IF(E617="","Segment ontbreekt",IF(OR(G617="",H617=""),"Van/tot ontbreekt",IF(N(J617)=0,"Duur is nul",IF(N(J617)&gt;12,"Langer dan 12 uur - controleren",IF(AND(E617="Werken",D617=""),"Werken zonder klant - koppelen","OK"))))))</f>
        <v/>
      </c>
    </row>
    <row r="618" ht="15" customHeight="1" s="42">
      <c r="A618" s="55" t="n"/>
      <c r="B618" s="56">
        <f>IF(A618="","",WEEKNUM(A618,21))</f>
        <v/>
      </c>
      <c r="C618" s="57" t="n"/>
      <c r="D618" s="57" t="n"/>
      <c r="E618" s="58" t="n"/>
      <c r="F618" s="57" t="n"/>
      <c r="G618" s="59" t="n"/>
      <c r="H618" s="59" t="n"/>
      <c r="I618" s="60">
        <f>IF(OR(G618="",H618=""),"",MOD(H618-G618,1))</f>
        <v/>
      </c>
      <c r="J618" s="61">
        <f>IF(OR(G618="",H618=""),"",ROUND(MOD(H618-G618,1)*24,2))</f>
        <v/>
      </c>
      <c r="K618" s="62">
        <f>IF(E618="","",IF(E618="Werken","JA","NEE"))</f>
        <v/>
      </c>
      <c r="L618" s="61">
        <f>IF(K618="JA",N(J618),IF(E618="","",0))</f>
        <v/>
      </c>
      <c r="M618" s="62">
        <f>IF(AND(A618="",E618=""),"",IF(E618="","Segment ontbreekt",IF(OR(G618="",H618=""),"Van/tot ontbreekt",IF(N(J618)=0,"Duur is nul",IF(N(J618)&gt;12,"Langer dan 12 uur - controleren",IF(AND(E618="Werken",D618=""),"Werken zonder klant - koppelen","OK"))))))</f>
        <v/>
      </c>
    </row>
    <row r="619" ht="15" customHeight="1" s="42">
      <c r="A619" s="55" t="n"/>
      <c r="B619" s="56">
        <f>IF(A619="","",WEEKNUM(A619,21))</f>
        <v/>
      </c>
      <c r="C619" s="57" t="n"/>
      <c r="D619" s="57" t="n"/>
      <c r="E619" s="58" t="n"/>
      <c r="F619" s="57" t="n"/>
      <c r="G619" s="59" t="n"/>
      <c r="H619" s="59" t="n"/>
      <c r="I619" s="60">
        <f>IF(OR(G619="",H619=""),"",MOD(H619-G619,1))</f>
        <v/>
      </c>
      <c r="J619" s="61">
        <f>IF(OR(G619="",H619=""),"",ROUND(MOD(H619-G619,1)*24,2))</f>
        <v/>
      </c>
      <c r="K619" s="62">
        <f>IF(E619="","",IF(E619="Werken","JA","NEE"))</f>
        <v/>
      </c>
      <c r="L619" s="61">
        <f>IF(K619="JA",N(J619),IF(E619="","",0))</f>
        <v/>
      </c>
      <c r="M619" s="62">
        <f>IF(AND(A619="",E619=""),"",IF(E619="","Segment ontbreekt",IF(OR(G619="",H619=""),"Van/tot ontbreekt",IF(N(J619)=0,"Duur is nul",IF(N(J619)&gt;12,"Langer dan 12 uur - controleren",IF(AND(E619="Werken",D619=""),"Werken zonder klant - koppelen","OK"))))))</f>
        <v/>
      </c>
    </row>
    <row r="620" ht="15" customHeight="1" s="42">
      <c r="A620" s="55" t="n"/>
      <c r="B620" s="56">
        <f>IF(A620="","",WEEKNUM(A620,21))</f>
        <v/>
      </c>
      <c r="C620" s="57" t="n"/>
      <c r="D620" s="57" t="n"/>
      <c r="E620" s="58" t="n"/>
      <c r="F620" s="57" t="n"/>
      <c r="G620" s="59" t="n"/>
      <c r="H620" s="59" t="n"/>
      <c r="I620" s="60">
        <f>IF(OR(G620="",H620=""),"",MOD(H620-G620,1))</f>
        <v/>
      </c>
      <c r="J620" s="61">
        <f>IF(OR(G620="",H620=""),"",ROUND(MOD(H620-G620,1)*24,2))</f>
        <v/>
      </c>
      <c r="K620" s="62">
        <f>IF(E620="","",IF(E620="Werken","JA","NEE"))</f>
        <v/>
      </c>
      <c r="L620" s="61">
        <f>IF(K620="JA",N(J620),IF(E620="","",0))</f>
        <v/>
      </c>
      <c r="M620" s="62">
        <f>IF(AND(A620="",E620=""),"",IF(E620="","Segment ontbreekt",IF(OR(G620="",H620=""),"Van/tot ontbreekt",IF(N(J620)=0,"Duur is nul",IF(N(J620)&gt;12,"Langer dan 12 uur - controleren",IF(AND(E620="Werken",D620=""),"Werken zonder klant - koppelen","OK"))))))</f>
        <v/>
      </c>
    </row>
    <row r="621" ht="15" customHeight="1" s="42">
      <c r="A621" s="55" t="n"/>
      <c r="B621" s="56">
        <f>IF(A621="","",WEEKNUM(A621,21))</f>
        <v/>
      </c>
      <c r="C621" s="57" t="n"/>
      <c r="D621" s="57" t="n"/>
      <c r="E621" s="58" t="n"/>
      <c r="F621" s="57" t="n"/>
      <c r="G621" s="59" t="n"/>
      <c r="H621" s="59" t="n"/>
      <c r="I621" s="60">
        <f>IF(OR(G621="",H621=""),"",MOD(H621-G621,1))</f>
        <v/>
      </c>
      <c r="J621" s="61">
        <f>IF(OR(G621="",H621=""),"",ROUND(MOD(H621-G621,1)*24,2))</f>
        <v/>
      </c>
      <c r="K621" s="62">
        <f>IF(E621="","",IF(E621="Werken","JA","NEE"))</f>
        <v/>
      </c>
      <c r="L621" s="61">
        <f>IF(K621="JA",N(J621),IF(E621="","",0))</f>
        <v/>
      </c>
      <c r="M621" s="62">
        <f>IF(AND(A621="",E621=""),"",IF(E621="","Segment ontbreekt",IF(OR(G621="",H621=""),"Van/tot ontbreekt",IF(N(J621)=0,"Duur is nul",IF(N(J621)&gt;12,"Langer dan 12 uur - controleren",IF(AND(E621="Werken",D621=""),"Werken zonder klant - koppelen","OK"))))))</f>
        <v/>
      </c>
    </row>
    <row r="622" ht="15" customHeight="1" s="42">
      <c r="A622" s="55" t="n"/>
      <c r="B622" s="56">
        <f>IF(A622="","",WEEKNUM(A622,21))</f>
        <v/>
      </c>
      <c r="C622" s="57" t="n"/>
      <c r="D622" s="57" t="n"/>
      <c r="E622" s="58" t="n"/>
      <c r="F622" s="57" t="n"/>
      <c r="G622" s="59" t="n"/>
      <c r="H622" s="59" t="n"/>
      <c r="I622" s="60">
        <f>IF(OR(G622="",H622=""),"",MOD(H622-G622,1))</f>
        <v/>
      </c>
      <c r="J622" s="61">
        <f>IF(OR(G622="",H622=""),"",ROUND(MOD(H622-G622,1)*24,2))</f>
        <v/>
      </c>
      <c r="K622" s="62">
        <f>IF(E622="","",IF(E622="Werken","JA","NEE"))</f>
        <v/>
      </c>
      <c r="L622" s="61">
        <f>IF(K622="JA",N(J622),IF(E622="","",0))</f>
        <v/>
      </c>
      <c r="M622" s="62">
        <f>IF(AND(A622="",E622=""),"",IF(E622="","Segment ontbreekt",IF(OR(G622="",H622=""),"Van/tot ontbreekt",IF(N(J622)=0,"Duur is nul",IF(N(J622)&gt;12,"Langer dan 12 uur - controleren",IF(AND(E622="Werken",D622=""),"Werken zonder klant - koppelen","OK"))))))</f>
        <v/>
      </c>
    </row>
    <row r="623" ht="15" customHeight="1" s="42">
      <c r="A623" s="55" t="n"/>
      <c r="B623" s="56">
        <f>IF(A623="","",WEEKNUM(A623,21))</f>
        <v/>
      </c>
      <c r="C623" s="57" t="n"/>
      <c r="D623" s="57" t="n"/>
      <c r="E623" s="58" t="n"/>
      <c r="F623" s="57" t="n"/>
      <c r="G623" s="59" t="n"/>
      <c r="H623" s="59" t="n"/>
      <c r="I623" s="60">
        <f>IF(OR(G623="",H623=""),"",MOD(H623-G623,1))</f>
        <v/>
      </c>
      <c r="J623" s="61">
        <f>IF(OR(G623="",H623=""),"",ROUND(MOD(H623-G623,1)*24,2))</f>
        <v/>
      </c>
      <c r="K623" s="62">
        <f>IF(E623="","",IF(E623="Werken","JA","NEE"))</f>
        <v/>
      </c>
      <c r="L623" s="61">
        <f>IF(K623="JA",N(J623),IF(E623="","",0))</f>
        <v/>
      </c>
      <c r="M623" s="62">
        <f>IF(AND(A623="",E623=""),"",IF(E623="","Segment ontbreekt",IF(OR(G623="",H623=""),"Van/tot ontbreekt",IF(N(J623)=0,"Duur is nul",IF(N(J623)&gt;12,"Langer dan 12 uur - controleren",IF(AND(E623="Werken",D623=""),"Werken zonder klant - koppelen","OK"))))))</f>
        <v/>
      </c>
    </row>
    <row r="624" ht="15" customHeight="1" s="42">
      <c r="A624" s="55" t="n"/>
      <c r="B624" s="56">
        <f>IF(A624="","",WEEKNUM(A624,21))</f>
        <v/>
      </c>
      <c r="C624" s="57" t="n"/>
      <c r="D624" s="57" t="n"/>
      <c r="E624" s="58" t="n"/>
      <c r="F624" s="57" t="n"/>
      <c r="G624" s="59" t="n"/>
      <c r="H624" s="59" t="n"/>
      <c r="I624" s="60">
        <f>IF(OR(G624="",H624=""),"",MOD(H624-G624,1))</f>
        <v/>
      </c>
      <c r="J624" s="61">
        <f>IF(OR(G624="",H624=""),"",ROUND(MOD(H624-G624,1)*24,2))</f>
        <v/>
      </c>
      <c r="K624" s="62">
        <f>IF(E624="","",IF(E624="Werken","JA","NEE"))</f>
        <v/>
      </c>
      <c r="L624" s="61">
        <f>IF(K624="JA",N(J624),IF(E624="","",0))</f>
        <v/>
      </c>
      <c r="M624" s="62">
        <f>IF(AND(A624="",E624=""),"",IF(E624="","Segment ontbreekt",IF(OR(G624="",H624=""),"Van/tot ontbreekt",IF(N(J624)=0,"Duur is nul",IF(N(J624)&gt;12,"Langer dan 12 uur - controleren",IF(AND(E624="Werken",D624=""),"Werken zonder klant - koppelen","OK"))))))</f>
        <v/>
      </c>
    </row>
    <row r="625" ht="15" customHeight="1" s="42">
      <c r="A625" s="55" t="n"/>
      <c r="B625" s="56">
        <f>IF(A625="","",WEEKNUM(A625,21))</f>
        <v/>
      </c>
      <c r="C625" s="57" t="n"/>
      <c r="D625" s="57" t="n"/>
      <c r="E625" s="58" t="n"/>
      <c r="F625" s="57" t="n"/>
      <c r="G625" s="59" t="n"/>
      <c r="H625" s="59" t="n"/>
      <c r="I625" s="60">
        <f>IF(OR(G625="",H625=""),"",MOD(H625-G625,1))</f>
        <v/>
      </c>
      <c r="J625" s="61">
        <f>IF(OR(G625="",H625=""),"",ROUND(MOD(H625-G625,1)*24,2))</f>
        <v/>
      </c>
      <c r="K625" s="62">
        <f>IF(E625="","",IF(E625="Werken","JA","NEE"))</f>
        <v/>
      </c>
      <c r="L625" s="61">
        <f>IF(K625="JA",N(J625),IF(E625="","",0))</f>
        <v/>
      </c>
      <c r="M625" s="62">
        <f>IF(AND(A625="",E625=""),"",IF(E625="","Segment ontbreekt",IF(OR(G625="",H625=""),"Van/tot ontbreekt",IF(N(J625)=0,"Duur is nul",IF(N(J625)&gt;12,"Langer dan 12 uur - controleren",IF(AND(E625="Werken",D625=""),"Werken zonder klant - koppelen","OK"))))))</f>
        <v/>
      </c>
    </row>
    <row r="626" ht="15" customHeight="1" s="42">
      <c r="A626" s="55" t="n"/>
      <c r="B626" s="56">
        <f>IF(A626="","",WEEKNUM(A626,21))</f>
        <v/>
      </c>
      <c r="C626" s="57" t="n"/>
      <c r="D626" s="57" t="n"/>
      <c r="E626" s="58" t="n"/>
      <c r="F626" s="57" t="n"/>
      <c r="G626" s="59" t="n"/>
      <c r="H626" s="59" t="n"/>
      <c r="I626" s="60">
        <f>IF(OR(G626="",H626=""),"",MOD(H626-G626,1))</f>
        <v/>
      </c>
      <c r="J626" s="61">
        <f>IF(OR(G626="",H626=""),"",ROUND(MOD(H626-G626,1)*24,2))</f>
        <v/>
      </c>
      <c r="K626" s="62">
        <f>IF(E626="","",IF(E626="Werken","JA","NEE"))</f>
        <v/>
      </c>
      <c r="L626" s="61">
        <f>IF(K626="JA",N(J626),IF(E626="","",0))</f>
        <v/>
      </c>
      <c r="M626" s="62">
        <f>IF(AND(A626="",E626=""),"",IF(E626="","Segment ontbreekt",IF(OR(G626="",H626=""),"Van/tot ontbreekt",IF(N(J626)=0,"Duur is nul",IF(N(J626)&gt;12,"Langer dan 12 uur - controleren",IF(AND(E626="Werken",D626=""),"Werken zonder klant - koppelen","OK"))))))</f>
        <v/>
      </c>
    </row>
    <row r="627" ht="15" customHeight="1" s="42">
      <c r="A627" s="55" t="n"/>
      <c r="B627" s="56">
        <f>IF(A627="","",WEEKNUM(A627,21))</f>
        <v/>
      </c>
      <c r="C627" s="57" t="n"/>
      <c r="D627" s="57" t="n"/>
      <c r="E627" s="58" t="n"/>
      <c r="F627" s="57" t="n"/>
      <c r="G627" s="59" t="n"/>
      <c r="H627" s="59" t="n"/>
      <c r="I627" s="60">
        <f>IF(OR(G627="",H627=""),"",MOD(H627-G627,1))</f>
        <v/>
      </c>
      <c r="J627" s="61">
        <f>IF(OR(G627="",H627=""),"",ROUND(MOD(H627-G627,1)*24,2))</f>
        <v/>
      </c>
      <c r="K627" s="62">
        <f>IF(E627="","",IF(E627="Werken","JA","NEE"))</f>
        <v/>
      </c>
      <c r="L627" s="61">
        <f>IF(K627="JA",N(J627),IF(E627="","",0))</f>
        <v/>
      </c>
      <c r="M627" s="62">
        <f>IF(AND(A627="",E627=""),"",IF(E627="","Segment ontbreekt",IF(OR(G627="",H627=""),"Van/tot ontbreekt",IF(N(J627)=0,"Duur is nul",IF(N(J627)&gt;12,"Langer dan 12 uur - controleren",IF(AND(E627="Werken",D627=""),"Werken zonder klant - koppelen","OK"))))))</f>
        <v/>
      </c>
    </row>
    <row r="628" ht="15" customHeight="1" s="42">
      <c r="A628" s="55" t="n"/>
      <c r="B628" s="56">
        <f>IF(A628="","",WEEKNUM(A628,21))</f>
        <v/>
      </c>
      <c r="C628" s="57" t="n"/>
      <c r="D628" s="57" t="n"/>
      <c r="E628" s="58" t="n"/>
      <c r="F628" s="57" t="n"/>
      <c r="G628" s="59" t="n"/>
      <c r="H628" s="59" t="n"/>
      <c r="I628" s="60">
        <f>IF(OR(G628="",H628=""),"",MOD(H628-G628,1))</f>
        <v/>
      </c>
      <c r="J628" s="61">
        <f>IF(OR(G628="",H628=""),"",ROUND(MOD(H628-G628,1)*24,2))</f>
        <v/>
      </c>
      <c r="K628" s="62">
        <f>IF(E628="","",IF(E628="Werken","JA","NEE"))</f>
        <v/>
      </c>
      <c r="L628" s="61">
        <f>IF(K628="JA",N(J628),IF(E628="","",0))</f>
        <v/>
      </c>
      <c r="M628" s="62">
        <f>IF(AND(A628="",E628=""),"",IF(E628="","Segment ontbreekt",IF(OR(G628="",H628=""),"Van/tot ontbreekt",IF(N(J628)=0,"Duur is nul",IF(N(J628)&gt;12,"Langer dan 12 uur - controleren",IF(AND(E628="Werken",D628=""),"Werken zonder klant - koppelen","OK"))))))</f>
        <v/>
      </c>
    </row>
    <row r="629" ht="15" customHeight="1" s="42">
      <c r="A629" s="55" t="n"/>
      <c r="B629" s="56">
        <f>IF(A629="","",WEEKNUM(A629,21))</f>
        <v/>
      </c>
      <c r="C629" s="57" t="n"/>
      <c r="D629" s="57" t="n"/>
      <c r="E629" s="58" t="n"/>
      <c r="F629" s="57" t="n"/>
      <c r="G629" s="59" t="n"/>
      <c r="H629" s="59" t="n"/>
      <c r="I629" s="60">
        <f>IF(OR(G629="",H629=""),"",MOD(H629-G629,1))</f>
        <v/>
      </c>
      <c r="J629" s="61">
        <f>IF(OR(G629="",H629=""),"",ROUND(MOD(H629-G629,1)*24,2))</f>
        <v/>
      </c>
      <c r="K629" s="62">
        <f>IF(E629="","",IF(E629="Werken","JA","NEE"))</f>
        <v/>
      </c>
      <c r="L629" s="61">
        <f>IF(K629="JA",N(J629),IF(E629="","",0))</f>
        <v/>
      </c>
      <c r="M629" s="62">
        <f>IF(AND(A629="",E629=""),"",IF(E629="","Segment ontbreekt",IF(OR(G629="",H629=""),"Van/tot ontbreekt",IF(N(J629)=0,"Duur is nul",IF(N(J629)&gt;12,"Langer dan 12 uur - controleren",IF(AND(E629="Werken",D629=""),"Werken zonder klant - koppelen","OK"))))))</f>
        <v/>
      </c>
    </row>
    <row r="630" ht="15" customHeight="1" s="42">
      <c r="A630" s="55" t="n"/>
      <c r="B630" s="56">
        <f>IF(A630="","",WEEKNUM(A630,21))</f>
        <v/>
      </c>
      <c r="C630" s="57" t="n"/>
      <c r="D630" s="57" t="n"/>
      <c r="E630" s="58" t="n"/>
      <c r="F630" s="57" t="n"/>
      <c r="G630" s="59" t="n"/>
      <c r="H630" s="59" t="n"/>
      <c r="I630" s="60">
        <f>IF(OR(G630="",H630=""),"",MOD(H630-G630,1))</f>
        <v/>
      </c>
      <c r="J630" s="61">
        <f>IF(OR(G630="",H630=""),"",ROUND(MOD(H630-G630,1)*24,2))</f>
        <v/>
      </c>
      <c r="K630" s="62">
        <f>IF(E630="","",IF(E630="Werken","JA","NEE"))</f>
        <v/>
      </c>
      <c r="L630" s="61">
        <f>IF(K630="JA",N(J630),IF(E630="","",0))</f>
        <v/>
      </c>
      <c r="M630" s="62">
        <f>IF(AND(A630="",E630=""),"",IF(E630="","Segment ontbreekt",IF(OR(G630="",H630=""),"Van/tot ontbreekt",IF(N(J630)=0,"Duur is nul",IF(N(J630)&gt;12,"Langer dan 12 uur - controleren",IF(AND(E630="Werken",D630=""),"Werken zonder klant - koppelen","OK"))))))</f>
        <v/>
      </c>
    </row>
    <row r="631" ht="15" customHeight="1" s="42">
      <c r="A631" s="55" t="n"/>
      <c r="B631" s="56">
        <f>IF(A631="","",WEEKNUM(A631,21))</f>
        <v/>
      </c>
      <c r="C631" s="57" t="n"/>
      <c r="D631" s="57" t="n"/>
      <c r="E631" s="58" t="n"/>
      <c r="F631" s="57" t="n"/>
      <c r="G631" s="59" t="n"/>
      <c r="H631" s="59" t="n"/>
      <c r="I631" s="60">
        <f>IF(OR(G631="",H631=""),"",MOD(H631-G631,1))</f>
        <v/>
      </c>
      <c r="J631" s="61">
        <f>IF(OR(G631="",H631=""),"",ROUND(MOD(H631-G631,1)*24,2))</f>
        <v/>
      </c>
      <c r="K631" s="62">
        <f>IF(E631="","",IF(E631="Werken","JA","NEE"))</f>
        <v/>
      </c>
      <c r="L631" s="61">
        <f>IF(K631="JA",N(J631),IF(E631="","",0))</f>
        <v/>
      </c>
      <c r="M631" s="62">
        <f>IF(AND(A631="",E631=""),"",IF(E631="","Segment ontbreekt",IF(OR(G631="",H631=""),"Van/tot ontbreekt",IF(N(J631)=0,"Duur is nul",IF(N(J631)&gt;12,"Langer dan 12 uur - controleren",IF(AND(E631="Werken",D631=""),"Werken zonder klant - koppelen","OK"))))))</f>
        <v/>
      </c>
    </row>
    <row r="632" ht="15" customHeight="1" s="42">
      <c r="A632" s="55" t="n"/>
      <c r="B632" s="56">
        <f>IF(A632="","",WEEKNUM(A632,21))</f>
        <v/>
      </c>
      <c r="C632" s="57" t="n"/>
      <c r="D632" s="57" t="n"/>
      <c r="E632" s="58" t="n"/>
      <c r="F632" s="57" t="n"/>
      <c r="G632" s="59" t="n"/>
      <c r="H632" s="59" t="n"/>
      <c r="I632" s="60">
        <f>IF(OR(G632="",H632=""),"",MOD(H632-G632,1))</f>
        <v/>
      </c>
      <c r="J632" s="61">
        <f>IF(OR(G632="",H632=""),"",ROUND(MOD(H632-G632,1)*24,2))</f>
        <v/>
      </c>
      <c r="K632" s="62">
        <f>IF(E632="","",IF(E632="Werken","JA","NEE"))</f>
        <v/>
      </c>
      <c r="L632" s="61">
        <f>IF(K632="JA",N(J632),IF(E632="","",0))</f>
        <v/>
      </c>
      <c r="M632" s="62">
        <f>IF(AND(A632="",E632=""),"",IF(E632="","Segment ontbreekt",IF(OR(G632="",H632=""),"Van/tot ontbreekt",IF(N(J632)=0,"Duur is nul",IF(N(J632)&gt;12,"Langer dan 12 uur - controleren",IF(AND(E632="Werken",D632=""),"Werken zonder klant - koppelen","OK"))))))</f>
        <v/>
      </c>
    </row>
    <row r="633" ht="15" customHeight="1" s="42">
      <c r="A633" s="55" t="n"/>
      <c r="B633" s="56">
        <f>IF(A633="","",WEEKNUM(A633,21))</f>
        <v/>
      </c>
      <c r="C633" s="57" t="n"/>
      <c r="D633" s="57" t="n"/>
      <c r="E633" s="58" t="n"/>
      <c r="F633" s="57" t="n"/>
      <c r="G633" s="59" t="n"/>
      <c r="H633" s="59" t="n"/>
      <c r="I633" s="60">
        <f>IF(OR(G633="",H633=""),"",MOD(H633-G633,1))</f>
        <v/>
      </c>
      <c r="J633" s="61">
        <f>IF(OR(G633="",H633=""),"",ROUND(MOD(H633-G633,1)*24,2))</f>
        <v/>
      </c>
      <c r="K633" s="62">
        <f>IF(E633="","",IF(E633="Werken","JA","NEE"))</f>
        <v/>
      </c>
      <c r="L633" s="61">
        <f>IF(K633="JA",N(J633),IF(E633="","",0))</f>
        <v/>
      </c>
      <c r="M633" s="62">
        <f>IF(AND(A633="",E633=""),"",IF(E633="","Segment ontbreekt",IF(OR(G633="",H633=""),"Van/tot ontbreekt",IF(N(J633)=0,"Duur is nul",IF(N(J633)&gt;12,"Langer dan 12 uur - controleren",IF(AND(E633="Werken",D633=""),"Werken zonder klant - koppelen","OK"))))))</f>
        <v/>
      </c>
    </row>
    <row r="634" ht="15" customHeight="1" s="42">
      <c r="A634" s="55" t="n"/>
      <c r="B634" s="56">
        <f>IF(A634="","",WEEKNUM(A634,21))</f>
        <v/>
      </c>
      <c r="C634" s="57" t="n"/>
      <c r="D634" s="57" t="n"/>
      <c r="E634" s="58" t="n"/>
      <c r="F634" s="57" t="n"/>
      <c r="G634" s="59" t="n"/>
      <c r="H634" s="59" t="n"/>
      <c r="I634" s="60">
        <f>IF(OR(G634="",H634=""),"",MOD(H634-G634,1))</f>
        <v/>
      </c>
      <c r="J634" s="61">
        <f>IF(OR(G634="",H634=""),"",ROUND(MOD(H634-G634,1)*24,2))</f>
        <v/>
      </c>
      <c r="K634" s="62">
        <f>IF(E634="","",IF(E634="Werken","JA","NEE"))</f>
        <v/>
      </c>
      <c r="L634" s="61">
        <f>IF(K634="JA",N(J634),IF(E634="","",0))</f>
        <v/>
      </c>
      <c r="M634" s="62">
        <f>IF(AND(A634="",E634=""),"",IF(E634="","Segment ontbreekt",IF(OR(G634="",H634=""),"Van/tot ontbreekt",IF(N(J634)=0,"Duur is nul",IF(N(J634)&gt;12,"Langer dan 12 uur - controleren",IF(AND(E634="Werken",D634=""),"Werken zonder klant - koppelen","OK"))))))</f>
        <v/>
      </c>
    </row>
    <row r="635" ht="15" customHeight="1" s="42">
      <c r="A635" s="55" t="n"/>
      <c r="B635" s="56">
        <f>IF(A635="","",WEEKNUM(A635,21))</f>
        <v/>
      </c>
      <c r="C635" s="57" t="n"/>
      <c r="D635" s="57" t="n"/>
      <c r="E635" s="58" t="n"/>
      <c r="F635" s="57" t="n"/>
      <c r="G635" s="59" t="n"/>
      <c r="H635" s="59" t="n"/>
      <c r="I635" s="60">
        <f>IF(OR(G635="",H635=""),"",MOD(H635-G635,1))</f>
        <v/>
      </c>
      <c r="J635" s="61">
        <f>IF(OR(G635="",H635=""),"",ROUND(MOD(H635-G635,1)*24,2))</f>
        <v/>
      </c>
      <c r="K635" s="62">
        <f>IF(E635="","",IF(E635="Werken","JA","NEE"))</f>
        <v/>
      </c>
      <c r="L635" s="61">
        <f>IF(K635="JA",N(J635),IF(E635="","",0))</f>
        <v/>
      </c>
      <c r="M635" s="62">
        <f>IF(AND(A635="",E635=""),"",IF(E635="","Segment ontbreekt",IF(OR(G635="",H635=""),"Van/tot ontbreekt",IF(N(J635)=0,"Duur is nul",IF(N(J635)&gt;12,"Langer dan 12 uur - controleren",IF(AND(E635="Werken",D635=""),"Werken zonder klant - koppelen","OK"))))))</f>
        <v/>
      </c>
    </row>
    <row r="636" ht="15" customHeight="1" s="42">
      <c r="A636" s="55" t="n"/>
      <c r="B636" s="56">
        <f>IF(A636="","",WEEKNUM(A636,21))</f>
        <v/>
      </c>
      <c r="C636" s="57" t="n"/>
      <c r="D636" s="57" t="n"/>
      <c r="E636" s="58" t="n"/>
      <c r="F636" s="57" t="n"/>
      <c r="G636" s="59" t="n"/>
      <c r="H636" s="59" t="n"/>
      <c r="I636" s="60">
        <f>IF(OR(G636="",H636=""),"",MOD(H636-G636,1))</f>
        <v/>
      </c>
      <c r="J636" s="61">
        <f>IF(OR(G636="",H636=""),"",ROUND(MOD(H636-G636,1)*24,2))</f>
        <v/>
      </c>
      <c r="K636" s="62">
        <f>IF(E636="","",IF(E636="Werken","JA","NEE"))</f>
        <v/>
      </c>
      <c r="L636" s="61">
        <f>IF(K636="JA",N(J636),IF(E636="","",0))</f>
        <v/>
      </c>
      <c r="M636" s="62">
        <f>IF(AND(A636="",E636=""),"",IF(E636="","Segment ontbreekt",IF(OR(G636="",H636=""),"Van/tot ontbreekt",IF(N(J636)=0,"Duur is nul",IF(N(J636)&gt;12,"Langer dan 12 uur - controleren",IF(AND(E636="Werken",D636=""),"Werken zonder klant - koppelen","OK"))))))</f>
        <v/>
      </c>
    </row>
    <row r="637" ht="15" customHeight="1" s="42">
      <c r="A637" s="55" t="n"/>
      <c r="B637" s="56">
        <f>IF(A637="","",WEEKNUM(A637,21))</f>
        <v/>
      </c>
      <c r="C637" s="57" t="n"/>
      <c r="D637" s="57" t="n"/>
      <c r="E637" s="58" t="n"/>
      <c r="F637" s="57" t="n"/>
      <c r="G637" s="59" t="n"/>
      <c r="H637" s="59" t="n"/>
      <c r="I637" s="60">
        <f>IF(OR(G637="",H637=""),"",MOD(H637-G637,1))</f>
        <v/>
      </c>
      <c r="J637" s="61">
        <f>IF(OR(G637="",H637=""),"",ROUND(MOD(H637-G637,1)*24,2))</f>
        <v/>
      </c>
      <c r="K637" s="62">
        <f>IF(E637="","",IF(E637="Werken","JA","NEE"))</f>
        <v/>
      </c>
      <c r="L637" s="61">
        <f>IF(K637="JA",N(J637),IF(E637="","",0))</f>
        <v/>
      </c>
      <c r="M637" s="62">
        <f>IF(AND(A637="",E637=""),"",IF(E637="","Segment ontbreekt",IF(OR(G637="",H637=""),"Van/tot ontbreekt",IF(N(J637)=0,"Duur is nul",IF(N(J637)&gt;12,"Langer dan 12 uur - controleren",IF(AND(E637="Werken",D637=""),"Werken zonder klant - koppelen","OK"))))))</f>
        <v/>
      </c>
    </row>
    <row r="638" ht="15" customHeight="1" s="42">
      <c r="A638" s="55" t="n"/>
      <c r="B638" s="56">
        <f>IF(A638="","",WEEKNUM(A638,21))</f>
        <v/>
      </c>
      <c r="C638" s="57" t="n"/>
      <c r="D638" s="57" t="n"/>
      <c r="E638" s="58" t="n"/>
      <c r="F638" s="57" t="n"/>
      <c r="G638" s="59" t="n"/>
      <c r="H638" s="59" t="n"/>
      <c r="I638" s="60">
        <f>IF(OR(G638="",H638=""),"",MOD(H638-G638,1))</f>
        <v/>
      </c>
      <c r="J638" s="61">
        <f>IF(OR(G638="",H638=""),"",ROUND(MOD(H638-G638,1)*24,2))</f>
        <v/>
      </c>
      <c r="K638" s="62">
        <f>IF(E638="","",IF(E638="Werken","JA","NEE"))</f>
        <v/>
      </c>
      <c r="L638" s="61">
        <f>IF(K638="JA",N(J638),IF(E638="","",0))</f>
        <v/>
      </c>
      <c r="M638" s="62">
        <f>IF(AND(A638="",E638=""),"",IF(E638="","Segment ontbreekt",IF(OR(G638="",H638=""),"Van/tot ontbreekt",IF(N(J638)=0,"Duur is nul",IF(N(J638)&gt;12,"Langer dan 12 uur - controleren",IF(AND(E638="Werken",D638=""),"Werken zonder klant - koppelen","OK"))))))</f>
        <v/>
      </c>
    </row>
    <row r="639" ht="15" customHeight="1" s="42">
      <c r="A639" s="55" t="n"/>
      <c r="B639" s="56">
        <f>IF(A639="","",WEEKNUM(A639,21))</f>
        <v/>
      </c>
      <c r="C639" s="57" t="n"/>
      <c r="D639" s="57" t="n"/>
      <c r="E639" s="58" t="n"/>
      <c r="F639" s="57" t="n"/>
      <c r="G639" s="59" t="n"/>
      <c r="H639" s="59" t="n"/>
      <c r="I639" s="60">
        <f>IF(OR(G639="",H639=""),"",MOD(H639-G639,1))</f>
        <v/>
      </c>
      <c r="J639" s="61">
        <f>IF(OR(G639="",H639=""),"",ROUND(MOD(H639-G639,1)*24,2))</f>
        <v/>
      </c>
      <c r="K639" s="62">
        <f>IF(E639="","",IF(E639="Werken","JA","NEE"))</f>
        <v/>
      </c>
      <c r="L639" s="61">
        <f>IF(K639="JA",N(J639),IF(E639="","",0))</f>
        <v/>
      </c>
      <c r="M639" s="62">
        <f>IF(AND(A639="",E639=""),"",IF(E639="","Segment ontbreekt",IF(OR(G639="",H639=""),"Van/tot ontbreekt",IF(N(J639)=0,"Duur is nul",IF(N(J639)&gt;12,"Langer dan 12 uur - controleren",IF(AND(E639="Werken",D639=""),"Werken zonder klant - koppelen","OK"))))))</f>
        <v/>
      </c>
    </row>
    <row r="640" ht="15" customHeight="1" s="42">
      <c r="A640" s="55" t="n"/>
      <c r="B640" s="56">
        <f>IF(A640="","",WEEKNUM(A640,21))</f>
        <v/>
      </c>
      <c r="C640" s="57" t="n"/>
      <c r="D640" s="57" t="n"/>
      <c r="E640" s="58" t="n"/>
      <c r="F640" s="57" t="n"/>
      <c r="G640" s="59" t="n"/>
      <c r="H640" s="59" t="n"/>
      <c r="I640" s="60">
        <f>IF(OR(G640="",H640=""),"",MOD(H640-G640,1))</f>
        <v/>
      </c>
      <c r="J640" s="61">
        <f>IF(OR(G640="",H640=""),"",ROUND(MOD(H640-G640,1)*24,2))</f>
        <v/>
      </c>
      <c r="K640" s="62">
        <f>IF(E640="","",IF(E640="Werken","JA","NEE"))</f>
        <v/>
      </c>
      <c r="L640" s="61">
        <f>IF(K640="JA",N(J640),IF(E640="","",0))</f>
        <v/>
      </c>
      <c r="M640" s="62">
        <f>IF(AND(A640="",E640=""),"",IF(E640="","Segment ontbreekt",IF(OR(G640="",H640=""),"Van/tot ontbreekt",IF(N(J640)=0,"Duur is nul",IF(N(J640)&gt;12,"Langer dan 12 uur - controleren",IF(AND(E640="Werken",D640=""),"Werken zonder klant - koppelen","OK"))))))</f>
        <v/>
      </c>
    </row>
    <row r="641" ht="15" customHeight="1" s="42">
      <c r="A641" s="55" t="n"/>
      <c r="B641" s="56">
        <f>IF(A641="","",WEEKNUM(A641,21))</f>
        <v/>
      </c>
      <c r="C641" s="57" t="n"/>
      <c r="D641" s="57" t="n"/>
      <c r="E641" s="58" t="n"/>
      <c r="F641" s="57" t="n"/>
      <c r="G641" s="59" t="n"/>
      <c r="H641" s="59" t="n"/>
      <c r="I641" s="60">
        <f>IF(OR(G641="",H641=""),"",MOD(H641-G641,1))</f>
        <v/>
      </c>
      <c r="J641" s="61">
        <f>IF(OR(G641="",H641=""),"",ROUND(MOD(H641-G641,1)*24,2))</f>
        <v/>
      </c>
      <c r="K641" s="62">
        <f>IF(E641="","",IF(E641="Werken","JA","NEE"))</f>
        <v/>
      </c>
      <c r="L641" s="61">
        <f>IF(K641="JA",N(J641),IF(E641="","",0))</f>
        <v/>
      </c>
      <c r="M641" s="62">
        <f>IF(AND(A641="",E641=""),"",IF(E641="","Segment ontbreekt",IF(OR(G641="",H641=""),"Van/tot ontbreekt",IF(N(J641)=0,"Duur is nul",IF(N(J641)&gt;12,"Langer dan 12 uur - controleren",IF(AND(E641="Werken",D641=""),"Werken zonder klant - koppelen","OK"))))))</f>
        <v/>
      </c>
    </row>
    <row r="642" ht="15" customHeight="1" s="42">
      <c r="A642" s="55" t="n"/>
      <c r="B642" s="56">
        <f>IF(A642="","",WEEKNUM(A642,21))</f>
        <v/>
      </c>
      <c r="C642" s="57" t="n"/>
      <c r="D642" s="57" t="n"/>
      <c r="E642" s="58" t="n"/>
      <c r="F642" s="57" t="n"/>
      <c r="G642" s="59" t="n"/>
      <c r="H642" s="59" t="n"/>
      <c r="I642" s="60">
        <f>IF(OR(G642="",H642=""),"",MOD(H642-G642,1))</f>
        <v/>
      </c>
      <c r="J642" s="61">
        <f>IF(OR(G642="",H642=""),"",ROUND(MOD(H642-G642,1)*24,2))</f>
        <v/>
      </c>
      <c r="K642" s="62">
        <f>IF(E642="","",IF(E642="Werken","JA","NEE"))</f>
        <v/>
      </c>
      <c r="L642" s="61">
        <f>IF(K642="JA",N(J642),IF(E642="","",0))</f>
        <v/>
      </c>
      <c r="M642" s="62">
        <f>IF(AND(A642="",E642=""),"",IF(E642="","Segment ontbreekt",IF(OR(G642="",H642=""),"Van/tot ontbreekt",IF(N(J642)=0,"Duur is nul",IF(N(J642)&gt;12,"Langer dan 12 uur - controleren",IF(AND(E642="Werken",D642=""),"Werken zonder klant - koppelen","OK"))))))</f>
        <v/>
      </c>
    </row>
    <row r="643" ht="15" customHeight="1" s="42">
      <c r="A643" s="55" t="n"/>
      <c r="B643" s="56">
        <f>IF(A643="","",WEEKNUM(A643,21))</f>
        <v/>
      </c>
      <c r="C643" s="57" t="n"/>
      <c r="D643" s="57" t="n"/>
      <c r="E643" s="58" t="n"/>
      <c r="F643" s="57" t="n"/>
      <c r="G643" s="59" t="n"/>
      <c r="H643" s="59" t="n"/>
      <c r="I643" s="60">
        <f>IF(OR(G643="",H643=""),"",MOD(H643-G643,1))</f>
        <v/>
      </c>
      <c r="J643" s="61">
        <f>IF(OR(G643="",H643=""),"",ROUND(MOD(H643-G643,1)*24,2))</f>
        <v/>
      </c>
      <c r="K643" s="62">
        <f>IF(E643="","",IF(E643="Werken","JA","NEE"))</f>
        <v/>
      </c>
      <c r="L643" s="61">
        <f>IF(K643="JA",N(J643),IF(E643="","",0))</f>
        <v/>
      </c>
      <c r="M643" s="62">
        <f>IF(AND(A643="",E643=""),"",IF(E643="","Segment ontbreekt",IF(OR(G643="",H643=""),"Van/tot ontbreekt",IF(N(J643)=0,"Duur is nul",IF(N(J643)&gt;12,"Langer dan 12 uur - controleren",IF(AND(E643="Werken",D643=""),"Werken zonder klant - koppelen","OK"))))))</f>
        <v/>
      </c>
    </row>
    <row r="644" ht="15" customHeight="1" s="42">
      <c r="A644" s="55" t="n"/>
      <c r="B644" s="56">
        <f>IF(A644="","",WEEKNUM(A644,21))</f>
        <v/>
      </c>
      <c r="C644" s="57" t="n"/>
      <c r="D644" s="57" t="n"/>
      <c r="E644" s="58" t="n"/>
      <c r="F644" s="57" t="n"/>
      <c r="G644" s="59" t="n"/>
      <c r="H644" s="59" t="n"/>
      <c r="I644" s="60">
        <f>IF(OR(G644="",H644=""),"",MOD(H644-G644,1))</f>
        <v/>
      </c>
      <c r="J644" s="61">
        <f>IF(OR(G644="",H644=""),"",ROUND(MOD(H644-G644,1)*24,2))</f>
        <v/>
      </c>
      <c r="K644" s="62">
        <f>IF(E644="","",IF(E644="Werken","JA","NEE"))</f>
        <v/>
      </c>
      <c r="L644" s="61">
        <f>IF(K644="JA",N(J644),IF(E644="","",0))</f>
        <v/>
      </c>
      <c r="M644" s="62">
        <f>IF(AND(A644="",E644=""),"",IF(E644="","Segment ontbreekt",IF(OR(G644="",H644=""),"Van/tot ontbreekt",IF(N(J644)=0,"Duur is nul",IF(N(J644)&gt;12,"Langer dan 12 uur - controleren",IF(AND(E644="Werken",D644=""),"Werken zonder klant - koppelen","OK"))))))</f>
        <v/>
      </c>
    </row>
    <row r="645" ht="15" customHeight="1" s="42">
      <c r="A645" s="55" t="n"/>
      <c r="B645" s="56">
        <f>IF(A645="","",WEEKNUM(A645,21))</f>
        <v/>
      </c>
      <c r="C645" s="57" t="n"/>
      <c r="D645" s="57" t="n"/>
      <c r="E645" s="58" t="n"/>
      <c r="F645" s="57" t="n"/>
      <c r="G645" s="59" t="n"/>
      <c r="H645" s="59" t="n"/>
      <c r="I645" s="60">
        <f>IF(OR(G645="",H645=""),"",MOD(H645-G645,1))</f>
        <v/>
      </c>
      <c r="J645" s="61">
        <f>IF(OR(G645="",H645=""),"",ROUND(MOD(H645-G645,1)*24,2))</f>
        <v/>
      </c>
      <c r="K645" s="62">
        <f>IF(E645="","",IF(E645="Werken","JA","NEE"))</f>
        <v/>
      </c>
      <c r="L645" s="61">
        <f>IF(K645="JA",N(J645),IF(E645="","",0))</f>
        <v/>
      </c>
      <c r="M645" s="62">
        <f>IF(AND(A645="",E645=""),"",IF(E645="","Segment ontbreekt",IF(OR(G645="",H645=""),"Van/tot ontbreekt",IF(N(J645)=0,"Duur is nul",IF(N(J645)&gt;12,"Langer dan 12 uur - controleren",IF(AND(E645="Werken",D645=""),"Werken zonder klant - koppelen","OK"))))))</f>
        <v/>
      </c>
    </row>
    <row r="646" ht="15" customHeight="1" s="42">
      <c r="A646" s="55" t="n"/>
      <c r="B646" s="56">
        <f>IF(A646="","",WEEKNUM(A646,21))</f>
        <v/>
      </c>
      <c r="C646" s="57" t="n"/>
      <c r="D646" s="57" t="n"/>
      <c r="E646" s="58" t="n"/>
      <c r="F646" s="57" t="n"/>
      <c r="G646" s="59" t="n"/>
      <c r="H646" s="59" t="n"/>
      <c r="I646" s="60">
        <f>IF(OR(G646="",H646=""),"",MOD(H646-G646,1))</f>
        <v/>
      </c>
      <c r="J646" s="61">
        <f>IF(OR(G646="",H646=""),"",ROUND(MOD(H646-G646,1)*24,2))</f>
        <v/>
      </c>
      <c r="K646" s="62">
        <f>IF(E646="","",IF(E646="Werken","JA","NEE"))</f>
        <v/>
      </c>
      <c r="L646" s="61">
        <f>IF(K646="JA",N(J646),IF(E646="","",0))</f>
        <v/>
      </c>
      <c r="M646" s="62">
        <f>IF(AND(A646="",E646=""),"",IF(E646="","Segment ontbreekt",IF(OR(G646="",H646=""),"Van/tot ontbreekt",IF(N(J646)=0,"Duur is nul",IF(N(J646)&gt;12,"Langer dan 12 uur - controleren",IF(AND(E646="Werken",D646=""),"Werken zonder klant - koppelen","OK"))))))</f>
        <v/>
      </c>
    </row>
    <row r="647" ht="15" customHeight="1" s="42">
      <c r="A647" s="55" t="n"/>
      <c r="B647" s="56">
        <f>IF(A647="","",WEEKNUM(A647,21))</f>
        <v/>
      </c>
      <c r="C647" s="57" t="n"/>
      <c r="D647" s="57" t="n"/>
      <c r="E647" s="58" t="n"/>
      <c r="F647" s="57" t="n"/>
      <c r="G647" s="59" t="n"/>
      <c r="H647" s="59" t="n"/>
      <c r="I647" s="60">
        <f>IF(OR(G647="",H647=""),"",MOD(H647-G647,1))</f>
        <v/>
      </c>
      <c r="J647" s="61">
        <f>IF(OR(G647="",H647=""),"",ROUND(MOD(H647-G647,1)*24,2))</f>
        <v/>
      </c>
      <c r="K647" s="62">
        <f>IF(E647="","",IF(E647="Werken","JA","NEE"))</f>
        <v/>
      </c>
      <c r="L647" s="61">
        <f>IF(K647="JA",N(J647),IF(E647="","",0))</f>
        <v/>
      </c>
      <c r="M647" s="62">
        <f>IF(AND(A647="",E647=""),"",IF(E647="","Segment ontbreekt",IF(OR(G647="",H647=""),"Van/tot ontbreekt",IF(N(J647)=0,"Duur is nul",IF(N(J647)&gt;12,"Langer dan 12 uur - controleren",IF(AND(E647="Werken",D647=""),"Werken zonder klant - koppelen","OK"))))))</f>
        <v/>
      </c>
    </row>
    <row r="648" ht="15" customHeight="1" s="42">
      <c r="A648" s="55" t="n"/>
      <c r="B648" s="56">
        <f>IF(A648="","",WEEKNUM(A648,21))</f>
        <v/>
      </c>
      <c r="C648" s="57" t="n"/>
      <c r="D648" s="57" t="n"/>
      <c r="E648" s="58" t="n"/>
      <c r="F648" s="57" t="n"/>
      <c r="G648" s="59" t="n"/>
      <c r="H648" s="59" t="n"/>
      <c r="I648" s="60">
        <f>IF(OR(G648="",H648=""),"",MOD(H648-G648,1))</f>
        <v/>
      </c>
      <c r="J648" s="61">
        <f>IF(OR(G648="",H648=""),"",ROUND(MOD(H648-G648,1)*24,2))</f>
        <v/>
      </c>
      <c r="K648" s="62">
        <f>IF(E648="","",IF(E648="Werken","JA","NEE"))</f>
        <v/>
      </c>
      <c r="L648" s="61">
        <f>IF(K648="JA",N(J648),IF(E648="","",0))</f>
        <v/>
      </c>
      <c r="M648" s="62">
        <f>IF(AND(A648="",E648=""),"",IF(E648="","Segment ontbreekt",IF(OR(G648="",H648=""),"Van/tot ontbreekt",IF(N(J648)=0,"Duur is nul",IF(N(J648)&gt;12,"Langer dan 12 uur - controleren",IF(AND(E648="Werken",D648=""),"Werken zonder klant - koppelen","OK"))))))</f>
        <v/>
      </c>
    </row>
    <row r="649" ht="15" customHeight="1" s="42">
      <c r="A649" s="55" t="n"/>
      <c r="B649" s="56">
        <f>IF(A649="","",WEEKNUM(A649,21))</f>
        <v/>
      </c>
      <c r="C649" s="57" t="n"/>
      <c r="D649" s="57" t="n"/>
      <c r="E649" s="58" t="n"/>
      <c r="F649" s="57" t="n"/>
      <c r="G649" s="59" t="n"/>
      <c r="H649" s="59" t="n"/>
      <c r="I649" s="60">
        <f>IF(OR(G649="",H649=""),"",MOD(H649-G649,1))</f>
        <v/>
      </c>
      <c r="J649" s="61">
        <f>IF(OR(G649="",H649=""),"",ROUND(MOD(H649-G649,1)*24,2))</f>
        <v/>
      </c>
      <c r="K649" s="62">
        <f>IF(E649="","",IF(E649="Werken","JA","NEE"))</f>
        <v/>
      </c>
      <c r="L649" s="61">
        <f>IF(K649="JA",N(J649),IF(E649="","",0))</f>
        <v/>
      </c>
      <c r="M649" s="62">
        <f>IF(AND(A649="",E649=""),"",IF(E649="","Segment ontbreekt",IF(OR(G649="",H649=""),"Van/tot ontbreekt",IF(N(J649)=0,"Duur is nul",IF(N(J649)&gt;12,"Langer dan 12 uur - controleren",IF(AND(E649="Werken",D649=""),"Werken zonder klant - koppelen","OK"))))))</f>
        <v/>
      </c>
    </row>
    <row r="650" ht="15" customHeight="1" s="42">
      <c r="A650" s="55" t="n"/>
      <c r="B650" s="56">
        <f>IF(A650="","",WEEKNUM(A650,21))</f>
        <v/>
      </c>
      <c r="C650" s="57" t="n"/>
      <c r="D650" s="57" t="n"/>
      <c r="E650" s="58" t="n"/>
      <c r="F650" s="57" t="n"/>
      <c r="G650" s="59" t="n"/>
      <c r="H650" s="59" t="n"/>
      <c r="I650" s="60">
        <f>IF(OR(G650="",H650=""),"",MOD(H650-G650,1))</f>
        <v/>
      </c>
      <c r="J650" s="61">
        <f>IF(OR(G650="",H650=""),"",ROUND(MOD(H650-G650,1)*24,2))</f>
        <v/>
      </c>
      <c r="K650" s="62">
        <f>IF(E650="","",IF(E650="Werken","JA","NEE"))</f>
        <v/>
      </c>
      <c r="L650" s="61">
        <f>IF(K650="JA",N(J650),IF(E650="","",0))</f>
        <v/>
      </c>
      <c r="M650" s="62">
        <f>IF(AND(A650="",E650=""),"",IF(E650="","Segment ontbreekt",IF(OR(G650="",H650=""),"Van/tot ontbreekt",IF(N(J650)=0,"Duur is nul",IF(N(J650)&gt;12,"Langer dan 12 uur - controleren",IF(AND(E650="Werken",D650=""),"Werken zonder klant - koppelen","OK"))))))</f>
        <v/>
      </c>
    </row>
    <row r="651" ht="15" customHeight="1" s="42">
      <c r="A651" s="55" t="n"/>
      <c r="B651" s="56">
        <f>IF(A651="","",WEEKNUM(A651,21))</f>
        <v/>
      </c>
      <c r="C651" s="57" t="n"/>
      <c r="D651" s="57" t="n"/>
      <c r="E651" s="58" t="n"/>
      <c r="F651" s="57" t="n"/>
      <c r="G651" s="59" t="n"/>
      <c r="H651" s="59" t="n"/>
      <c r="I651" s="60">
        <f>IF(OR(G651="",H651=""),"",MOD(H651-G651,1))</f>
        <v/>
      </c>
      <c r="J651" s="61">
        <f>IF(OR(G651="",H651=""),"",ROUND(MOD(H651-G651,1)*24,2))</f>
        <v/>
      </c>
      <c r="K651" s="62">
        <f>IF(E651="","",IF(E651="Werken","JA","NEE"))</f>
        <v/>
      </c>
      <c r="L651" s="61">
        <f>IF(K651="JA",N(J651),IF(E651="","",0))</f>
        <v/>
      </c>
      <c r="M651" s="62">
        <f>IF(AND(A651="",E651=""),"",IF(E651="","Segment ontbreekt",IF(OR(G651="",H651=""),"Van/tot ontbreekt",IF(N(J651)=0,"Duur is nul",IF(N(J651)&gt;12,"Langer dan 12 uur - controleren",IF(AND(E651="Werken",D651=""),"Werken zonder klant - koppelen","OK"))))))</f>
        <v/>
      </c>
    </row>
    <row r="652" ht="15" customHeight="1" s="42">
      <c r="A652" s="55" t="n"/>
      <c r="B652" s="56">
        <f>IF(A652="","",WEEKNUM(A652,21))</f>
        <v/>
      </c>
      <c r="C652" s="57" t="n"/>
      <c r="D652" s="57" t="n"/>
      <c r="E652" s="58" t="n"/>
      <c r="F652" s="57" t="n"/>
      <c r="G652" s="59" t="n"/>
      <c r="H652" s="59" t="n"/>
      <c r="I652" s="60">
        <f>IF(OR(G652="",H652=""),"",MOD(H652-G652,1))</f>
        <v/>
      </c>
      <c r="J652" s="61">
        <f>IF(OR(G652="",H652=""),"",ROUND(MOD(H652-G652,1)*24,2))</f>
        <v/>
      </c>
      <c r="K652" s="62">
        <f>IF(E652="","",IF(E652="Werken","JA","NEE"))</f>
        <v/>
      </c>
      <c r="L652" s="61">
        <f>IF(K652="JA",N(J652),IF(E652="","",0))</f>
        <v/>
      </c>
      <c r="M652" s="62">
        <f>IF(AND(A652="",E652=""),"",IF(E652="","Segment ontbreekt",IF(OR(G652="",H652=""),"Van/tot ontbreekt",IF(N(J652)=0,"Duur is nul",IF(N(J652)&gt;12,"Langer dan 12 uur - controleren",IF(AND(E652="Werken",D652=""),"Werken zonder klant - koppelen","OK"))))))</f>
        <v/>
      </c>
    </row>
    <row r="653" ht="15" customHeight="1" s="42">
      <c r="A653" s="55" t="n"/>
      <c r="B653" s="56">
        <f>IF(A653="","",WEEKNUM(A653,21))</f>
        <v/>
      </c>
      <c r="C653" s="57" t="n"/>
      <c r="D653" s="57" t="n"/>
      <c r="E653" s="58" t="n"/>
      <c r="F653" s="57" t="n"/>
      <c r="G653" s="59" t="n"/>
      <c r="H653" s="59" t="n"/>
      <c r="I653" s="60">
        <f>IF(OR(G653="",H653=""),"",MOD(H653-G653,1))</f>
        <v/>
      </c>
      <c r="J653" s="61">
        <f>IF(OR(G653="",H653=""),"",ROUND(MOD(H653-G653,1)*24,2))</f>
        <v/>
      </c>
      <c r="K653" s="62">
        <f>IF(E653="","",IF(E653="Werken","JA","NEE"))</f>
        <v/>
      </c>
      <c r="L653" s="61">
        <f>IF(K653="JA",N(J653),IF(E653="","",0))</f>
        <v/>
      </c>
      <c r="M653" s="62">
        <f>IF(AND(A653="",E653=""),"",IF(E653="","Segment ontbreekt",IF(OR(G653="",H653=""),"Van/tot ontbreekt",IF(N(J653)=0,"Duur is nul",IF(N(J653)&gt;12,"Langer dan 12 uur - controleren",IF(AND(E653="Werken",D653=""),"Werken zonder klant - koppelen","OK"))))))</f>
        <v/>
      </c>
    </row>
    <row r="654" ht="15" customHeight="1" s="42">
      <c r="A654" s="55" t="n"/>
      <c r="B654" s="56">
        <f>IF(A654="","",WEEKNUM(A654,21))</f>
        <v/>
      </c>
      <c r="C654" s="57" t="n"/>
      <c r="D654" s="57" t="n"/>
      <c r="E654" s="58" t="n"/>
      <c r="F654" s="57" t="n"/>
      <c r="G654" s="59" t="n"/>
      <c r="H654" s="59" t="n"/>
      <c r="I654" s="60">
        <f>IF(OR(G654="",H654=""),"",MOD(H654-G654,1))</f>
        <v/>
      </c>
      <c r="J654" s="61">
        <f>IF(OR(G654="",H654=""),"",ROUND(MOD(H654-G654,1)*24,2))</f>
        <v/>
      </c>
      <c r="K654" s="62">
        <f>IF(E654="","",IF(E654="Werken","JA","NEE"))</f>
        <v/>
      </c>
      <c r="L654" s="61">
        <f>IF(K654="JA",N(J654),IF(E654="","",0))</f>
        <v/>
      </c>
      <c r="M654" s="62">
        <f>IF(AND(A654="",E654=""),"",IF(E654="","Segment ontbreekt",IF(OR(G654="",H654=""),"Van/tot ontbreekt",IF(N(J654)=0,"Duur is nul",IF(N(J654)&gt;12,"Langer dan 12 uur - controleren",IF(AND(E654="Werken",D654=""),"Werken zonder klant - koppelen","OK"))))))</f>
        <v/>
      </c>
    </row>
    <row r="655" ht="15" customHeight="1" s="42">
      <c r="A655" s="55" t="n"/>
      <c r="B655" s="56">
        <f>IF(A655="","",WEEKNUM(A655,21))</f>
        <v/>
      </c>
      <c r="C655" s="57" t="n"/>
      <c r="D655" s="57" t="n"/>
      <c r="E655" s="58" t="n"/>
      <c r="F655" s="57" t="n"/>
      <c r="G655" s="59" t="n"/>
      <c r="H655" s="59" t="n"/>
      <c r="I655" s="60">
        <f>IF(OR(G655="",H655=""),"",MOD(H655-G655,1))</f>
        <v/>
      </c>
      <c r="J655" s="61">
        <f>IF(OR(G655="",H655=""),"",ROUND(MOD(H655-G655,1)*24,2))</f>
        <v/>
      </c>
      <c r="K655" s="62">
        <f>IF(E655="","",IF(E655="Werken","JA","NEE"))</f>
        <v/>
      </c>
      <c r="L655" s="61">
        <f>IF(K655="JA",N(J655),IF(E655="","",0))</f>
        <v/>
      </c>
      <c r="M655" s="62">
        <f>IF(AND(A655="",E655=""),"",IF(E655="","Segment ontbreekt",IF(OR(G655="",H655=""),"Van/tot ontbreekt",IF(N(J655)=0,"Duur is nul",IF(N(J655)&gt;12,"Langer dan 12 uur - controleren",IF(AND(E655="Werken",D655=""),"Werken zonder klant - koppelen","OK"))))))</f>
        <v/>
      </c>
    </row>
    <row r="656" ht="15" customHeight="1" s="42">
      <c r="A656" s="55" t="n"/>
      <c r="B656" s="56">
        <f>IF(A656="","",WEEKNUM(A656,21))</f>
        <v/>
      </c>
      <c r="C656" s="57" t="n"/>
      <c r="D656" s="57" t="n"/>
      <c r="E656" s="58" t="n"/>
      <c r="F656" s="57" t="n"/>
      <c r="G656" s="59" t="n"/>
      <c r="H656" s="59" t="n"/>
      <c r="I656" s="60">
        <f>IF(OR(G656="",H656=""),"",MOD(H656-G656,1))</f>
        <v/>
      </c>
      <c r="J656" s="61">
        <f>IF(OR(G656="",H656=""),"",ROUND(MOD(H656-G656,1)*24,2))</f>
        <v/>
      </c>
      <c r="K656" s="62">
        <f>IF(E656="","",IF(E656="Werken","JA","NEE"))</f>
        <v/>
      </c>
      <c r="L656" s="61">
        <f>IF(K656="JA",N(J656),IF(E656="","",0))</f>
        <v/>
      </c>
      <c r="M656" s="62">
        <f>IF(AND(A656="",E656=""),"",IF(E656="","Segment ontbreekt",IF(OR(G656="",H656=""),"Van/tot ontbreekt",IF(N(J656)=0,"Duur is nul",IF(N(J656)&gt;12,"Langer dan 12 uur - controleren",IF(AND(E656="Werken",D656=""),"Werken zonder klant - koppelen","OK"))))))</f>
        <v/>
      </c>
    </row>
    <row r="657" ht="15" customHeight="1" s="42">
      <c r="A657" s="55" t="n"/>
      <c r="B657" s="56">
        <f>IF(A657="","",WEEKNUM(A657,21))</f>
        <v/>
      </c>
      <c r="C657" s="57" t="n"/>
      <c r="D657" s="57" t="n"/>
      <c r="E657" s="58" t="n"/>
      <c r="F657" s="57" t="n"/>
      <c r="G657" s="59" t="n"/>
      <c r="H657" s="59" t="n"/>
      <c r="I657" s="60">
        <f>IF(OR(G657="",H657=""),"",MOD(H657-G657,1))</f>
        <v/>
      </c>
      <c r="J657" s="61">
        <f>IF(OR(G657="",H657=""),"",ROUND(MOD(H657-G657,1)*24,2))</f>
        <v/>
      </c>
      <c r="K657" s="62">
        <f>IF(E657="","",IF(E657="Werken","JA","NEE"))</f>
        <v/>
      </c>
      <c r="L657" s="61">
        <f>IF(K657="JA",N(J657),IF(E657="","",0))</f>
        <v/>
      </c>
      <c r="M657" s="62">
        <f>IF(AND(A657="",E657=""),"",IF(E657="","Segment ontbreekt",IF(OR(G657="",H657=""),"Van/tot ontbreekt",IF(N(J657)=0,"Duur is nul",IF(N(J657)&gt;12,"Langer dan 12 uur - controleren",IF(AND(E657="Werken",D657=""),"Werken zonder klant - koppelen","OK"))))))</f>
        <v/>
      </c>
    </row>
    <row r="658" ht="15" customHeight="1" s="42">
      <c r="A658" s="55" t="n"/>
      <c r="B658" s="56">
        <f>IF(A658="","",WEEKNUM(A658,21))</f>
        <v/>
      </c>
      <c r="C658" s="57" t="n"/>
      <c r="D658" s="57" t="n"/>
      <c r="E658" s="58" t="n"/>
      <c r="F658" s="57" t="n"/>
      <c r="G658" s="59" t="n"/>
      <c r="H658" s="59" t="n"/>
      <c r="I658" s="60">
        <f>IF(OR(G658="",H658=""),"",MOD(H658-G658,1))</f>
        <v/>
      </c>
      <c r="J658" s="61">
        <f>IF(OR(G658="",H658=""),"",ROUND(MOD(H658-G658,1)*24,2))</f>
        <v/>
      </c>
      <c r="K658" s="62">
        <f>IF(E658="","",IF(E658="Werken","JA","NEE"))</f>
        <v/>
      </c>
      <c r="L658" s="61">
        <f>IF(K658="JA",N(J658),IF(E658="","",0))</f>
        <v/>
      </c>
      <c r="M658" s="62">
        <f>IF(AND(A658="",E658=""),"",IF(E658="","Segment ontbreekt",IF(OR(G658="",H658=""),"Van/tot ontbreekt",IF(N(J658)=0,"Duur is nul",IF(N(J658)&gt;12,"Langer dan 12 uur - controleren",IF(AND(E658="Werken",D658=""),"Werken zonder klant - koppelen","OK"))))))</f>
        <v/>
      </c>
    </row>
    <row r="659" ht="15" customHeight="1" s="42">
      <c r="A659" s="55" t="n"/>
      <c r="B659" s="56">
        <f>IF(A659="","",WEEKNUM(A659,21))</f>
        <v/>
      </c>
      <c r="C659" s="57" t="n"/>
      <c r="D659" s="57" t="n"/>
      <c r="E659" s="58" t="n"/>
      <c r="F659" s="57" t="n"/>
      <c r="G659" s="59" t="n"/>
      <c r="H659" s="59" t="n"/>
      <c r="I659" s="60">
        <f>IF(OR(G659="",H659=""),"",MOD(H659-G659,1))</f>
        <v/>
      </c>
      <c r="J659" s="61">
        <f>IF(OR(G659="",H659=""),"",ROUND(MOD(H659-G659,1)*24,2))</f>
        <v/>
      </c>
      <c r="K659" s="62">
        <f>IF(E659="","",IF(E659="Werken","JA","NEE"))</f>
        <v/>
      </c>
      <c r="L659" s="61">
        <f>IF(K659="JA",N(J659),IF(E659="","",0))</f>
        <v/>
      </c>
      <c r="M659" s="62">
        <f>IF(AND(A659="",E659=""),"",IF(E659="","Segment ontbreekt",IF(OR(G659="",H659=""),"Van/tot ontbreekt",IF(N(J659)=0,"Duur is nul",IF(N(J659)&gt;12,"Langer dan 12 uur - controleren",IF(AND(E659="Werken",D659=""),"Werken zonder klant - koppelen","OK"))))))</f>
        <v/>
      </c>
    </row>
    <row r="660" ht="15" customHeight="1" s="42">
      <c r="A660" s="55" t="n"/>
      <c r="B660" s="56">
        <f>IF(A660="","",WEEKNUM(A660,21))</f>
        <v/>
      </c>
      <c r="C660" s="57" t="n"/>
      <c r="D660" s="57" t="n"/>
      <c r="E660" s="58" t="n"/>
      <c r="F660" s="57" t="n"/>
      <c r="G660" s="59" t="n"/>
      <c r="H660" s="59" t="n"/>
      <c r="I660" s="60">
        <f>IF(OR(G660="",H660=""),"",MOD(H660-G660,1))</f>
        <v/>
      </c>
      <c r="J660" s="61">
        <f>IF(OR(G660="",H660=""),"",ROUND(MOD(H660-G660,1)*24,2))</f>
        <v/>
      </c>
      <c r="K660" s="62">
        <f>IF(E660="","",IF(E660="Werken","JA","NEE"))</f>
        <v/>
      </c>
      <c r="L660" s="61">
        <f>IF(K660="JA",N(J660),IF(E660="","",0))</f>
        <v/>
      </c>
      <c r="M660" s="62">
        <f>IF(AND(A660="",E660=""),"",IF(E660="","Segment ontbreekt",IF(OR(G660="",H660=""),"Van/tot ontbreekt",IF(N(J660)=0,"Duur is nul",IF(N(J660)&gt;12,"Langer dan 12 uur - controleren",IF(AND(E660="Werken",D660=""),"Werken zonder klant - koppelen","OK"))))))</f>
        <v/>
      </c>
    </row>
    <row r="661" ht="15" customHeight="1" s="42">
      <c r="A661" s="55" t="n"/>
      <c r="B661" s="56">
        <f>IF(A661="","",WEEKNUM(A661,21))</f>
        <v/>
      </c>
      <c r="C661" s="57" t="n"/>
      <c r="D661" s="57" t="n"/>
      <c r="E661" s="58" t="n"/>
      <c r="F661" s="57" t="n"/>
      <c r="G661" s="59" t="n"/>
      <c r="H661" s="59" t="n"/>
      <c r="I661" s="60">
        <f>IF(OR(G661="",H661=""),"",MOD(H661-G661,1))</f>
        <v/>
      </c>
      <c r="J661" s="61">
        <f>IF(OR(G661="",H661=""),"",ROUND(MOD(H661-G661,1)*24,2))</f>
        <v/>
      </c>
      <c r="K661" s="62">
        <f>IF(E661="","",IF(E661="Werken","JA","NEE"))</f>
        <v/>
      </c>
      <c r="L661" s="61">
        <f>IF(K661="JA",N(J661),IF(E661="","",0))</f>
        <v/>
      </c>
      <c r="M661" s="62">
        <f>IF(AND(A661="",E661=""),"",IF(E661="","Segment ontbreekt",IF(OR(G661="",H661=""),"Van/tot ontbreekt",IF(N(J661)=0,"Duur is nul",IF(N(J661)&gt;12,"Langer dan 12 uur - controleren",IF(AND(E661="Werken",D661=""),"Werken zonder klant - koppelen","OK"))))))</f>
        <v/>
      </c>
    </row>
    <row r="662" ht="15" customHeight="1" s="42">
      <c r="A662" s="55" t="n"/>
      <c r="B662" s="56">
        <f>IF(A662="","",WEEKNUM(A662,21))</f>
        <v/>
      </c>
      <c r="C662" s="57" t="n"/>
      <c r="D662" s="57" t="n"/>
      <c r="E662" s="58" t="n"/>
      <c r="F662" s="57" t="n"/>
      <c r="G662" s="59" t="n"/>
      <c r="H662" s="59" t="n"/>
      <c r="I662" s="60">
        <f>IF(OR(G662="",H662=""),"",MOD(H662-G662,1))</f>
        <v/>
      </c>
      <c r="J662" s="61">
        <f>IF(OR(G662="",H662=""),"",ROUND(MOD(H662-G662,1)*24,2))</f>
        <v/>
      </c>
      <c r="K662" s="62">
        <f>IF(E662="","",IF(E662="Werken","JA","NEE"))</f>
        <v/>
      </c>
      <c r="L662" s="61">
        <f>IF(K662="JA",N(J662),IF(E662="","",0))</f>
        <v/>
      </c>
      <c r="M662" s="62">
        <f>IF(AND(A662="",E662=""),"",IF(E662="","Segment ontbreekt",IF(OR(G662="",H662=""),"Van/tot ontbreekt",IF(N(J662)=0,"Duur is nul",IF(N(J662)&gt;12,"Langer dan 12 uur - controleren",IF(AND(E662="Werken",D662=""),"Werken zonder klant - koppelen","OK"))))))</f>
        <v/>
      </c>
    </row>
    <row r="663" ht="15" customHeight="1" s="42">
      <c r="A663" s="55" t="n"/>
      <c r="B663" s="56">
        <f>IF(A663="","",WEEKNUM(A663,21))</f>
        <v/>
      </c>
      <c r="C663" s="57" t="n"/>
      <c r="D663" s="57" t="n"/>
      <c r="E663" s="58" t="n"/>
      <c r="F663" s="57" t="n"/>
      <c r="G663" s="59" t="n"/>
      <c r="H663" s="59" t="n"/>
      <c r="I663" s="60">
        <f>IF(OR(G663="",H663=""),"",MOD(H663-G663,1))</f>
        <v/>
      </c>
      <c r="J663" s="61">
        <f>IF(OR(G663="",H663=""),"",ROUND(MOD(H663-G663,1)*24,2))</f>
        <v/>
      </c>
      <c r="K663" s="62">
        <f>IF(E663="","",IF(E663="Werken","JA","NEE"))</f>
        <v/>
      </c>
      <c r="L663" s="61">
        <f>IF(K663="JA",N(J663),IF(E663="","",0))</f>
        <v/>
      </c>
      <c r="M663" s="62">
        <f>IF(AND(A663="",E663=""),"",IF(E663="","Segment ontbreekt",IF(OR(G663="",H663=""),"Van/tot ontbreekt",IF(N(J663)=0,"Duur is nul",IF(N(J663)&gt;12,"Langer dan 12 uur - controleren",IF(AND(E663="Werken",D663=""),"Werken zonder klant - koppelen","OK"))))))</f>
        <v/>
      </c>
    </row>
    <row r="664" ht="15" customHeight="1" s="42">
      <c r="A664" s="55" t="n"/>
      <c r="B664" s="56">
        <f>IF(A664="","",WEEKNUM(A664,21))</f>
        <v/>
      </c>
      <c r="C664" s="57" t="n"/>
      <c r="D664" s="57" t="n"/>
      <c r="E664" s="58" t="n"/>
      <c r="F664" s="57" t="n"/>
      <c r="G664" s="59" t="n"/>
      <c r="H664" s="59" t="n"/>
      <c r="I664" s="60">
        <f>IF(OR(G664="",H664=""),"",MOD(H664-G664,1))</f>
        <v/>
      </c>
      <c r="J664" s="61">
        <f>IF(OR(G664="",H664=""),"",ROUND(MOD(H664-G664,1)*24,2))</f>
        <v/>
      </c>
      <c r="K664" s="62">
        <f>IF(E664="","",IF(E664="Werken","JA","NEE"))</f>
        <v/>
      </c>
      <c r="L664" s="61">
        <f>IF(K664="JA",N(J664),IF(E664="","",0))</f>
        <v/>
      </c>
      <c r="M664" s="62">
        <f>IF(AND(A664="",E664=""),"",IF(E664="","Segment ontbreekt",IF(OR(G664="",H664=""),"Van/tot ontbreekt",IF(N(J664)=0,"Duur is nul",IF(N(J664)&gt;12,"Langer dan 12 uur - controleren",IF(AND(E664="Werken",D664=""),"Werken zonder klant - koppelen","OK"))))))</f>
        <v/>
      </c>
    </row>
    <row r="665" ht="15" customHeight="1" s="42">
      <c r="A665" s="55" t="n"/>
      <c r="B665" s="56">
        <f>IF(A665="","",WEEKNUM(A665,21))</f>
        <v/>
      </c>
      <c r="C665" s="57" t="n"/>
      <c r="D665" s="57" t="n"/>
      <c r="E665" s="58" t="n"/>
      <c r="F665" s="57" t="n"/>
      <c r="G665" s="59" t="n"/>
      <c r="H665" s="59" t="n"/>
      <c r="I665" s="60">
        <f>IF(OR(G665="",H665=""),"",MOD(H665-G665,1))</f>
        <v/>
      </c>
      <c r="J665" s="61">
        <f>IF(OR(G665="",H665=""),"",ROUND(MOD(H665-G665,1)*24,2))</f>
        <v/>
      </c>
      <c r="K665" s="62">
        <f>IF(E665="","",IF(E665="Werken","JA","NEE"))</f>
        <v/>
      </c>
      <c r="L665" s="61">
        <f>IF(K665="JA",N(J665),IF(E665="","",0))</f>
        <v/>
      </c>
      <c r="M665" s="62">
        <f>IF(AND(A665="",E665=""),"",IF(E665="","Segment ontbreekt",IF(OR(G665="",H665=""),"Van/tot ontbreekt",IF(N(J665)=0,"Duur is nul",IF(N(J665)&gt;12,"Langer dan 12 uur - controleren",IF(AND(E665="Werken",D665=""),"Werken zonder klant - koppelen","OK"))))))</f>
        <v/>
      </c>
    </row>
    <row r="666" ht="15" customHeight="1" s="42">
      <c r="A666" s="55" t="n"/>
      <c r="B666" s="56">
        <f>IF(A666="","",WEEKNUM(A666,21))</f>
        <v/>
      </c>
      <c r="C666" s="57" t="n"/>
      <c r="D666" s="57" t="n"/>
      <c r="E666" s="58" t="n"/>
      <c r="F666" s="57" t="n"/>
      <c r="G666" s="59" t="n"/>
      <c r="H666" s="59" t="n"/>
      <c r="I666" s="60">
        <f>IF(OR(G666="",H666=""),"",MOD(H666-G666,1))</f>
        <v/>
      </c>
      <c r="J666" s="61">
        <f>IF(OR(G666="",H666=""),"",ROUND(MOD(H666-G666,1)*24,2))</f>
        <v/>
      </c>
      <c r="K666" s="62">
        <f>IF(E666="","",IF(E666="Werken","JA","NEE"))</f>
        <v/>
      </c>
      <c r="L666" s="61">
        <f>IF(K666="JA",N(J666),IF(E666="","",0))</f>
        <v/>
      </c>
      <c r="M666" s="62">
        <f>IF(AND(A666="",E666=""),"",IF(E666="","Segment ontbreekt",IF(OR(G666="",H666=""),"Van/tot ontbreekt",IF(N(J666)=0,"Duur is nul",IF(N(J666)&gt;12,"Langer dan 12 uur - controleren",IF(AND(E666="Werken",D666=""),"Werken zonder klant - koppelen","OK"))))))</f>
        <v/>
      </c>
    </row>
    <row r="667" ht="15" customHeight="1" s="42">
      <c r="A667" s="55" t="n"/>
      <c r="B667" s="56">
        <f>IF(A667="","",WEEKNUM(A667,21))</f>
        <v/>
      </c>
      <c r="C667" s="57" t="n"/>
      <c r="D667" s="57" t="n"/>
      <c r="E667" s="58" t="n"/>
      <c r="F667" s="57" t="n"/>
      <c r="G667" s="59" t="n"/>
      <c r="H667" s="59" t="n"/>
      <c r="I667" s="60">
        <f>IF(OR(G667="",H667=""),"",MOD(H667-G667,1))</f>
        <v/>
      </c>
      <c r="J667" s="61">
        <f>IF(OR(G667="",H667=""),"",ROUND(MOD(H667-G667,1)*24,2))</f>
        <v/>
      </c>
      <c r="K667" s="62">
        <f>IF(E667="","",IF(E667="Werken","JA","NEE"))</f>
        <v/>
      </c>
      <c r="L667" s="61">
        <f>IF(K667="JA",N(J667),IF(E667="","",0))</f>
        <v/>
      </c>
      <c r="M667" s="62">
        <f>IF(AND(A667="",E667=""),"",IF(E667="","Segment ontbreekt",IF(OR(G667="",H667=""),"Van/tot ontbreekt",IF(N(J667)=0,"Duur is nul",IF(N(J667)&gt;12,"Langer dan 12 uur - controleren",IF(AND(E667="Werken",D667=""),"Werken zonder klant - koppelen","OK"))))))</f>
        <v/>
      </c>
    </row>
    <row r="668" ht="15" customHeight="1" s="42">
      <c r="A668" s="55" t="n"/>
      <c r="B668" s="56">
        <f>IF(A668="","",WEEKNUM(A668,21))</f>
        <v/>
      </c>
      <c r="C668" s="57" t="n"/>
      <c r="D668" s="57" t="n"/>
      <c r="E668" s="58" t="n"/>
      <c r="F668" s="57" t="n"/>
      <c r="G668" s="59" t="n"/>
      <c r="H668" s="59" t="n"/>
      <c r="I668" s="60">
        <f>IF(OR(G668="",H668=""),"",MOD(H668-G668,1))</f>
        <v/>
      </c>
      <c r="J668" s="61">
        <f>IF(OR(G668="",H668=""),"",ROUND(MOD(H668-G668,1)*24,2))</f>
        <v/>
      </c>
      <c r="K668" s="62">
        <f>IF(E668="","",IF(E668="Werken","JA","NEE"))</f>
        <v/>
      </c>
      <c r="L668" s="61">
        <f>IF(K668="JA",N(J668),IF(E668="","",0))</f>
        <v/>
      </c>
      <c r="M668" s="62">
        <f>IF(AND(A668="",E668=""),"",IF(E668="","Segment ontbreekt",IF(OR(G668="",H668=""),"Van/tot ontbreekt",IF(N(J668)=0,"Duur is nul",IF(N(J668)&gt;12,"Langer dan 12 uur - controleren",IF(AND(E668="Werken",D668=""),"Werken zonder klant - koppelen","OK"))))))</f>
        <v/>
      </c>
    </row>
    <row r="669" ht="15" customHeight="1" s="42">
      <c r="A669" s="55" t="n"/>
      <c r="B669" s="56">
        <f>IF(A669="","",WEEKNUM(A669,21))</f>
        <v/>
      </c>
      <c r="C669" s="57" t="n"/>
      <c r="D669" s="57" t="n"/>
      <c r="E669" s="58" t="n"/>
      <c r="F669" s="57" t="n"/>
      <c r="G669" s="59" t="n"/>
      <c r="H669" s="59" t="n"/>
      <c r="I669" s="60">
        <f>IF(OR(G669="",H669=""),"",MOD(H669-G669,1))</f>
        <v/>
      </c>
      <c r="J669" s="61">
        <f>IF(OR(G669="",H669=""),"",ROUND(MOD(H669-G669,1)*24,2))</f>
        <v/>
      </c>
      <c r="K669" s="62">
        <f>IF(E669="","",IF(E669="Werken","JA","NEE"))</f>
        <v/>
      </c>
      <c r="L669" s="61">
        <f>IF(K669="JA",N(J669),IF(E669="","",0))</f>
        <v/>
      </c>
      <c r="M669" s="62">
        <f>IF(AND(A669="",E669=""),"",IF(E669="","Segment ontbreekt",IF(OR(G669="",H669=""),"Van/tot ontbreekt",IF(N(J669)=0,"Duur is nul",IF(N(J669)&gt;12,"Langer dan 12 uur - controleren",IF(AND(E669="Werken",D669=""),"Werken zonder klant - koppelen","OK"))))))</f>
        <v/>
      </c>
    </row>
    <row r="670" ht="15" customHeight="1" s="42">
      <c r="A670" s="55" t="n"/>
      <c r="B670" s="56">
        <f>IF(A670="","",WEEKNUM(A670,21))</f>
        <v/>
      </c>
      <c r="C670" s="57" t="n"/>
      <c r="D670" s="57" t="n"/>
      <c r="E670" s="58" t="n"/>
      <c r="F670" s="57" t="n"/>
      <c r="G670" s="59" t="n"/>
      <c r="H670" s="59" t="n"/>
      <c r="I670" s="60">
        <f>IF(OR(G670="",H670=""),"",MOD(H670-G670,1))</f>
        <v/>
      </c>
      <c r="J670" s="61">
        <f>IF(OR(G670="",H670=""),"",ROUND(MOD(H670-G670,1)*24,2))</f>
        <v/>
      </c>
      <c r="K670" s="62">
        <f>IF(E670="","",IF(E670="Werken","JA","NEE"))</f>
        <v/>
      </c>
      <c r="L670" s="61">
        <f>IF(K670="JA",N(J670),IF(E670="","",0))</f>
        <v/>
      </c>
      <c r="M670" s="62">
        <f>IF(AND(A670="",E670=""),"",IF(E670="","Segment ontbreekt",IF(OR(G670="",H670=""),"Van/tot ontbreekt",IF(N(J670)=0,"Duur is nul",IF(N(J670)&gt;12,"Langer dan 12 uur - controleren",IF(AND(E670="Werken",D670=""),"Werken zonder klant - koppelen","OK"))))))</f>
        <v/>
      </c>
    </row>
    <row r="671" ht="15" customHeight="1" s="42">
      <c r="A671" s="55" t="n"/>
      <c r="B671" s="56">
        <f>IF(A671="","",WEEKNUM(A671,21))</f>
        <v/>
      </c>
      <c r="C671" s="57" t="n"/>
      <c r="D671" s="57" t="n"/>
      <c r="E671" s="58" t="n"/>
      <c r="F671" s="57" t="n"/>
      <c r="G671" s="59" t="n"/>
      <c r="H671" s="59" t="n"/>
      <c r="I671" s="60">
        <f>IF(OR(G671="",H671=""),"",MOD(H671-G671,1))</f>
        <v/>
      </c>
      <c r="J671" s="61">
        <f>IF(OR(G671="",H671=""),"",ROUND(MOD(H671-G671,1)*24,2))</f>
        <v/>
      </c>
      <c r="K671" s="62">
        <f>IF(E671="","",IF(E671="Werken","JA","NEE"))</f>
        <v/>
      </c>
      <c r="L671" s="61">
        <f>IF(K671="JA",N(J671),IF(E671="","",0))</f>
        <v/>
      </c>
      <c r="M671" s="62">
        <f>IF(AND(A671="",E671=""),"",IF(E671="","Segment ontbreekt",IF(OR(G671="",H671=""),"Van/tot ontbreekt",IF(N(J671)=0,"Duur is nul",IF(N(J671)&gt;12,"Langer dan 12 uur - controleren",IF(AND(E671="Werken",D671=""),"Werken zonder klant - koppelen","OK"))))))</f>
        <v/>
      </c>
    </row>
    <row r="672" ht="15" customHeight="1" s="42">
      <c r="A672" s="55" t="n"/>
      <c r="B672" s="56">
        <f>IF(A672="","",WEEKNUM(A672,21))</f>
        <v/>
      </c>
      <c r="C672" s="57" t="n"/>
      <c r="D672" s="57" t="n"/>
      <c r="E672" s="58" t="n"/>
      <c r="F672" s="57" t="n"/>
      <c r="G672" s="59" t="n"/>
      <c r="H672" s="59" t="n"/>
      <c r="I672" s="60">
        <f>IF(OR(G672="",H672=""),"",MOD(H672-G672,1))</f>
        <v/>
      </c>
      <c r="J672" s="61">
        <f>IF(OR(G672="",H672=""),"",ROUND(MOD(H672-G672,1)*24,2))</f>
        <v/>
      </c>
      <c r="K672" s="62">
        <f>IF(E672="","",IF(E672="Werken","JA","NEE"))</f>
        <v/>
      </c>
      <c r="L672" s="61">
        <f>IF(K672="JA",N(J672),IF(E672="","",0))</f>
        <v/>
      </c>
      <c r="M672" s="62">
        <f>IF(AND(A672="",E672=""),"",IF(E672="","Segment ontbreekt",IF(OR(G672="",H672=""),"Van/tot ontbreekt",IF(N(J672)=0,"Duur is nul",IF(N(J672)&gt;12,"Langer dan 12 uur - controleren",IF(AND(E672="Werken",D672=""),"Werken zonder klant - koppelen","OK"))))))</f>
        <v/>
      </c>
    </row>
    <row r="673" ht="15" customHeight="1" s="42">
      <c r="A673" s="55" t="n"/>
      <c r="B673" s="56">
        <f>IF(A673="","",WEEKNUM(A673,21))</f>
        <v/>
      </c>
      <c r="C673" s="57" t="n"/>
      <c r="D673" s="57" t="n"/>
      <c r="E673" s="58" t="n"/>
      <c r="F673" s="57" t="n"/>
      <c r="G673" s="59" t="n"/>
      <c r="H673" s="59" t="n"/>
      <c r="I673" s="60">
        <f>IF(OR(G673="",H673=""),"",MOD(H673-G673,1))</f>
        <v/>
      </c>
      <c r="J673" s="61">
        <f>IF(OR(G673="",H673=""),"",ROUND(MOD(H673-G673,1)*24,2))</f>
        <v/>
      </c>
      <c r="K673" s="62">
        <f>IF(E673="","",IF(E673="Werken","JA","NEE"))</f>
        <v/>
      </c>
      <c r="L673" s="61">
        <f>IF(K673="JA",N(J673),IF(E673="","",0))</f>
        <v/>
      </c>
      <c r="M673" s="62">
        <f>IF(AND(A673="",E673=""),"",IF(E673="","Segment ontbreekt",IF(OR(G673="",H673=""),"Van/tot ontbreekt",IF(N(J673)=0,"Duur is nul",IF(N(J673)&gt;12,"Langer dan 12 uur - controleren",IF(AND(E673="Werken",D673=""),"Werken zonder klant - koppelen","OK"))))))</f>
        <v/>
      </c>
    </row>
    <row r="674" ht="15" customHeight="1" s="42">
      <c r="A674" s="55" t="n"/>
      <c r="B674" s="56">
        <f>IF(A674="","",WEEKNUM(A674,21))</f>
        <v/>
      </c>
      <c r="C674" s="57" t="n"/>
      <c r="D674" s="57" t="n"/>
      <c r="E674" s="58" t="n"/>
      <c r="F674" s="57" t="n"/>
      <c r="G674" s="59" t="n"/>
      <c r="H674" s="59" t="n"/>
      <c r="I674" s="60">
        <f>IF(OR(G674="",H674=""),"",MOD(H674-G674,1))</f>
        <v/>
      </c>
      <c r="J674" s="61">
        <f>IF(OR(G674="",H674=""),"",ROUND(MOD(H674-G674,1)*24,2))</f>
        <v/>
      </c>
      <c r="K674" s="62">
        <f>IF(E674="","",IF(E674="Werken","JA","NEE"))</f>
        <v/>
      </c>
      <c r="L674" s="61">
        <f>IF(K674="JA",N(J674),IF(E674="","",0))</f>
        <v/>
      </c>
      <c r="M674" s="62">
        <f>IF(AND(A674="",E674=""),"",IF(E674="","Segment ontbreekt",IF(OR(G674="",H674=""),"Van/tot ontbreekt",IF(N(J674)=0,"Duur is nul",IF(N(J674)&gt;12,"Langer dan 12 uur - controleren",IF(AND(E674="Werken",D674=""),"Werken zonder klant - koppelen","OK"))))))</f>
        <v/>
      </c>
    </row>
    <row r="675" ht="15" customHeight="1" s="42">
      <c r="A675" s="55" t="n"/>
      <c r="B675" s="56">
        <f>IF(A675="","",WEEKNUM(A675,21))</f>
        <v/>
      </c>
      <c r="C675" s="57" t="n"/>
      <c r="D675" s="57" t="n"/>
      <c r="E675" s="58" t="n"/>
      <c r="F675" s="57" t="n"/>
      <c r="G675" s="59" t="n"/>
      <c r="H675" s="59" t="n"/>
      <c r="I675" s="60">
        <f>IF(OR(G675="",H675=""),"",MOD(H675-G675,1))</f>
        <v/>
      </c>
      <c r="J675" s="61">
        <f>IF(OR(G675="",H675=""),"",ROUND(MOD(H675-G675,1)*24,2))</f>
        <v/>
      </c>
      <c r="K675" s="62">
        <f>IF(E675="","",IF(E675="Werken","JA","NEE"))</f>
        <v/>
      </c>
      <c r="L675" s="61">
        <f>IF(K675="JA",N(J675),IF(E675="","",0))</f>
        <v/>
      </c>
      <c r="M675" s="62">
        <f>IF(AND(A675="",E675=""),"",IF(E675="","Segment ontbreekt",IF(OR(G675="",H675=""),"Van/tot ontbreekt",IF(N(J675)=0,"Duur is nul",IF(N(J675)&gt;12,"Langer dan 12 uur - controleren",IF(AND(E675="Werken",D675=""),"Werken zonder klant - koppelen","OK"))))))</f>
        <v/>
      </c>
    </row>
    <row r="676" ht="15" customHeight="1" s="42">
      <c r="A676" s="55" t="n"/>
      <c r="B676" s="56">
        <f>IF(A676="","",WEEKNUM(A676,21))</f>
        <v/>
      </c>
      <c r="C676" s="57" t="n"/>
      <c r="D676" s="57" t="n"/>
      <c r="E676" s="58" t="n"/>
      <c r="F676" s="57" t="n"/>
      <c r="G676" s="59" t="n"/>
      <c r="H676" s="59" t="n"/>
      <c r="I676" s="60">
        <f>IF(OR(G676="",H676=""),"",MOD(H676-G676,1))</f>
        <v/>
      </c>
      <c r="J676" s="61">
        <f>IF(OR(G676="",H676=""),"",ROUND(MOD(H676-G676,1)*24,2))</f>
        <v/>
      </c>
      <c r="K676" s="62">
        <f>IF(E676="","",IF(E676="Werken","JA","NEE"))</f>
        <v/>
      </c>
      <c r="L676" s="61">
        <f>IF(K676="JA",N(J676),IF(E676="","",0))</f>
        <v/>
      </c>
      <c r="M676" s="62">
        <f>IF(AND(A676="",E676=""),"",IF(E676="","Segment ontbreekt",IF(OR(G676="",H676=""),"Van/tot ontbreekt",IF(N(J676)=0,"Duur is nul",IF(N(J676)&gt;12,"Langer dan 12 uur - controleren",IF(AND(E676="Werken",D676=""),"Werken zonder klant - koppelen","OK"))))))</f>
        <v/>
      </c>
    </row>
    <row r="677" ht="15" customHeight="1" s="42">
      <c r="A677" s="55" t="n"/>
      <c r="B677" s="56">
        <f>IF(A677="","",WEEKNUM(A677,21))</f>
        <v/>
      </c>
      <c r="C677" s="57" t="n"/>
      <c r="D677" s="57" t="n"/>
      <c r="E677" s="58" t="n"/>
      <c r="F677" s="57" t="n"/>
      <c r="G677" s="59" t="n"/>
      <c r="H677" s="59" t="n"/>
      <c r="I677" s="60">
        <f>IF(OR(G677="",H677=""),"",MOD(H677-G677,1))</f>
        <v/>
      </c>
      <c r="J677" s="61">
        <f>IF(OR(G677="",H677=""),"",ROUND(MOD(H677-G677,1)*24,2))</f>
        <v/>
      </c>
      <c r="K677" s="62">
        <f>IF(E677="","",IF(E677="Werken","JA","NEE"))</f>
        <v/>
      </c>
      <c r="L677" s="61">
        <f>IF(K677="JA",N(J677),IF(E677="","",0))</f>
        <v/>
      </c>
      <c r="M677" s="62">
        <f>IF(AND(A677="",E677=""),"",IF(E677="","Segment ontbreekt",IF(OR(G677="",H677=""),"Van/tot ontbreekt",IF(N(J677)=0,"Duur is nul",IF(N(J677)&gt;12,"Langer dan 12 uur - controleren",IF(AND(E677="Werken",D677=""),"Werken zonder klant - koppelen","OK"))))))</f>
        <v/>
      </c>
    </row>
    <row r="678" ht="15" customHeight="1" s="42">
      <c r="A678" s="55" t="n"/>
      <c r="B678" s="56">
        <f>IF(A678="","",WEEKNUM(A678,21))</f>
        <v/>
      </c>
      <c r="C678" s="57" t="n"/>
      <c r="D678" s="57" t="n"/>
      <c r="E678" s="58" t="n"/>
      <c r="F678" s="57" t="n"/>
      <c r="G678" s="59" t="n"/>
      <c r="H678" s="59" t="n"/>
      <c r="I678" s="60">
        <f>IF(OR(G678="",H678=""),"",MOD(H678-G678,1))</f>
        <v/>
      </c>
      <c r="J678" s="61">
        <f>IF(OR(G678="",H678=""),"",ROUND(MOD(H678-G678,1)*24,2))</f>
        <v/>
      </c>
      <c r="K678" s="62">
        <f>IF(E678="","",IF(E678="Werken","JA","NEE"))</f>
        <v/>
      </c>
      <c r="L678" s="61">
        <f>IF(K678="JA",N(J678),IF(E678="","",0))</f>
        <v/>
      </c>
      <c r="M678" s="62">
        <f>IF(AND(A678="",E678=""),"",IF(E678="","Segment ontbreekt",IF(OR(G678="",H678=""),"Van/tot ontbreekt",IF(N(J678)=0,"Duur is nul",IF(N(J678)&gt;12,"Langer dan 12 uur - controleren",IF(AND(E678="Werken",D678=""),"Werken zonder klant - koppelen","OK"))))))</f>
        <v/>
      </c>
    </row>
    <row r="679" ht="15" customHeight="1" s="42">
      <c r="A679" s="55" t="n"/>
      <c r="B679" s="56">
        <f>IF(A679="","",WEEKNUM(A679,21))</f>
        <v/>
      </c>
      <c r="C679" s="57" t="n"/>
      <c r="D679" s="57" t="n"/>
      <c r="E679" s="58" t="n"/>
      <c r="F679" s="57" t="n"/>
      <c r="G679" s="59" t="n"/>
      <c r="H679" s="59" t="n"/>
      <c r="I679" s="60">
        <f>IF(OR(G679="",H679=""),"",MOD(H679-G679,1))</f>
        <v/>
      </c>
      <c r="J679" s="61">
        <f>IF(OR(G679="",H679=""),"",ROUND(MOD(H679-G679,1)*24,2))</f>
        <v/>
      </c>
      <c r="K679" s="62">
        <f>IF(E679="","",IF(E679="Werken","JA","NEE"))</f>
        <v/>
      </c>
      <c r="L679" s="61">
        <f>IF(K679="JA",N(J679),IF(E679="","",0))</f>
        <v/>
      </c>
      <c r="M679" s="62">
        <f>IF(AND(A679="",E679=""),"",IF(E679="","Segment ontbreekt",IF(OR(G679="",H679=""),"Van/tot ontbreekt",IF(N(J679)=0,"Duur is nul",IF(N(J679)&gt;12,"Langer dan 12 uur - controleren",IF(AND(E679="Werken",D679=""),"Werken zonder klant - koppelen","OK"))))))</f>
        <v/>
      </c>
    </row>
    <row r="680" ht="15" customHeight="1" s="42">
      <c r="A680" s="55" t="n"/>
      <c r="B680" s="56">
        <f>IF(A680="","",WEEKNUM(A680,21))</f>
        <v/>
      </c>
      <c r="C680" s="57" t="n"/>
      <c r="D680" s="57" t="n"/>
      <c r="E680" s="58" t="n"/>
      <c r="F680" s="57" t="n"/>
      <c r="G680" s="59" t="n"/>
      <c r="H680" s="59" t="n"/>
      <c r="I680" s="60">
        <f>IF(OR(G680="",H680=""),"",MOD(H680-G680,1))</f>
        <v/>
      </c>
      <c r="J680" s="61">
        <f>IF(OR(G680="",H680=""),"",ROUND(MOD(H680-G680,1)*24,2))</f>
        <v/>
      </c>
      <c r="K680" s="62">
        <f>IF(E680="","",IF(E680="Werken","JA","NEE"))</f>
        <v/>
      </c>
      <c r="L680" s="61">
        <f>IF(K680="JA",N(J680),IF(E680="","",0))</f>
        <v/>
      </c>
      <c r="M680" s="62">
        <f>IF(AND(A680="",E680=""),"",IF(E680="","Segment ontbreekt",IF(OR(G680="",H680=""),"Van/tot ontbreekt",IF(N(J680)=0,"Duur is nul",IF(N(J680)&gt;12,"Langer dan 12 uur - controleren",IF(AND(E680="Werken",D680=""),"Werken zonder klant - koppelen","OK"))))))</f>
        <v/>
      </c>
    </row>
    <row r="681" ht="15" customHeight="1" s="42">
      <c r="A681" s="55" t="n"/>
      <c r="B681" s="56">
        <f>IF(A681="","",WEEKNUM(A681,21))</f>
        <v/>
      </c>
      <c r="C681" s="57" t="n"/>
      <c r="D681" s="57" t="n"/>
      <c r="E681" s="58" t="n"/>
      <c r="F681" s="57" t="n"/>
      <c r="G681" s="59" t="n"/>
      <c r="H681" s="59" t="n"/>
      <c r="I681" s="60">
        <f>IF(OR(G681="",H681=""),"",MOD(H681-G681,1))</f>
        <v/>
      </c>
      <c r="J681" s="61">
        <f>IF(OR(G681="",H681=""),"",ROUND(MOD(H681-G681,1)*24,2))</f>
        <v/>
      </c>
      <c r="K681" s="62">
        <f>IF(E681="","",IF(E681="Werken","JA","NEE"))</f>
        <v/>
      </c>
      <c r="L681" s="61">
        <f>IF(K681="JA",N(J681),IF(E681="","",0))</f>
        <v/>
      </c>
      <c r="M681" s="62">
        <f>IF(AND(A681="",E681=""),"",IF(E681="","Segment ontbreekt",IF(OR(G681="",H681=""),"Van/tot ontbreekt",IF(N(J681)=0,"Duur is nul",IF(N(J681)&gt;12,"Langer dan 12 uur - controleren",IF(AND(E681="Werken",D681=""),"Werken zonder klant - koppelen","OK"))))))</f>
        <v/>
      </c>
    </row>
    <row r="682" ht="15" customHeight="1" s="42">
      <c r="A682" s="55" t="n"/>
      <c r="B682" s="56">
        <f>IF(A682="","",WEEKNUM(A682,21))</f>
        <v/>
      </c>
      <c r="C682" s="57" t="n"/>
      <c r="D682" s="57" t="n"/>
      <c r="E682" s="58" t="n"/>
      <c r="F682" s="57" t="n"/>
      <c r="G682" s="59" t="n"/>
      <c r="H682" s="59" t="n"/>
      <c r="I682" s="60">
        <f>IF(OR(G682="",H682=""),"",MOD(H682-G682,1))</f>
        <v/>
      </c>
      <c r="J682" s="61">
        <f>IF(OR(G682="",H682=""),"",ROUND(MOD(H682-G682,1)*24,2))</f>
        <v/>
      </c>
      <c r="K682" s="62">
        <f>IF(E682="","",IF(E682="Werken","JA","NEE"))</f>
        <v/>
      </c>
      <c r="L682" s="61">
        <f>IF(K682="JA",N(J682),IF(E682="","",0))</f>
        <v/>
      </c>
      <c r="M682" s="62">
        <f>IF(AND(A682="",E682=""),"",IF(E682="","Segment ontbreekt",IF(OR(G682="",H682=""),"Van/tot ontbreekt",IF(N(J682)=0,"Duur is nul",IF(N(J682)&gt;12,"Langer dan 12 uur - controleren",IF(AND(E682="Werken",D682=""),"Werken zonder klant - koppelen","OK"))))))</f>
        <v/>
      </c>
    </row>
    <row r="683" ht="15" customHeight="1" s="42">
      <c r="A683" s="55" t="n"/>
      <c r="B683" s="56">
        <f>IF(A683="","",WEEKNUM(A683,21))</f>
        <v/>
      </c>
      <c r="C683" s="57" t="n"/>
      <c r="D683" s="57" t="n"/>
      <c r="E683" s="58" t="n"/>
      <c r="F683" s="57" t="n"/>
      <c r="G683" s="59" t="n"/>
      <c r="H683" s="59" t="n"/>
      <c r="I683" s="60">
        <f>IF(OR(G683="",H683=""),"",MOD(H683-G683,1))</f>
        <v/>
      </c>
      <c r="J683" s="61">
        <f>IF(OR(G683="",H683=""),"",ROUND(MOD(H683-G683,1)*24,2))</f>
        <v/>
      </c>
      <c r="K683" s="62">
        <f>IF(E683="","",IF(E683="Werken","JA","NEE"))</f>
        <v/>
      </c>
      <c r="L683" s="61">
        <f>IF(K683="JA",N(J683),IF(E683="","",0))</f>
        <v/>
      </c>
      <c r="M683" s="62">
        <f>IF(AND(A683="",E683=""),"",IF(E683="","Segment ontbreekt",IF(OR(G683="",H683=""),"Van/tot ontbreekt",IF(N(J683)=0,"Duur is nul",IF(N(J683)&gt;12,"Langer dan 12 uur - controleren",IF(AND(E683="Werken",D683=""),"Werken zonder klant - koppelen","OK"))))))</f>
        <v/>
      </c>
    </row>
    <row r="684" ht="15" customHeight="1" s="42">
      <c r="A684" s="55" t="n"/>
      <c r="B684" s="56">
        <f>IF(A684="","",WEEKNUM(A684,21))</f>
        <v/>
      </c>
      <c r="C684" s="57" t="n"/>
      <c r="D684" s="57" t="n"/>
      <c r="E684" s="58" t="n"/>
      <c r="F684" s="57" t="n"/>
      <c r="G684" s="59" t="n"/>
      <c r="H684" s="59" t="n"/>
      <c r="I684" s="60">
        <f>IF(OR(G684="",H684=""),"",MOD(H684-G684,1))</f>
        <v/>
      </c>
      <c r="J684" s="61">
        <f>IF(OR(G684="",H684=""),"",ROUND(MOD(H684-G684,1)*24,2))</f>
        <v/>
      </c>
      <c r="K684" s="62">
        <f>IF(E684="","",IF(E684="Werken","JA","NEE"))</f>
        <v/>
      </c>
      <c r="L684" s="61">
        <f>IF(K684="JA",N(J684),IF(E684="","",0))</f>
        <v/>
      </c>
      <c r="M684" s="62">
        <f>IF(AND(A684="",E684=""),"",IF(E684="","Segment ontbreekt",IF(OR(G684="",H684=""),"Van/tot ontbreekt",IF(N(J684)=0,"Duur is nul",IF(N(J684)&gt;12,"Langer dan 12 uur - controleren",IF(AND(E684="Werken",D684=""),"Werken zonder klant - koppelen","OK"))))))</f>
        <v/>
      </c>
    </row>
    <row r="685" ht="15" customHeight="1" s="42">
      <c r="A685" s="55" t="n"/>
      <c r="B685" s="56">
        <f>IF(A685="","",WEEKNUM(A685,21))</f>
        <v/>
      </c>
      <c r="C685" s="57" t="n"/>
      <c r="D685" s="57" t="n"/>
      <c r="E685" s="58" t="n"/>
      <c r="F685" s="57" t="n"/>
      <c r="G685" s="59" t="n"/>
      <c r="H685" s="59" t="n"/>
      <c r="I685" s="60">
        <f>IF(OR(G685="",H685=""),"",MOD(H685-G685,1))</f>
        <v/>
      </c>
      <c r="J685" s="61">
        <f>IF(OR(G685="",H685=""),"",ROUND(MOD(H685-G685,1)*24,2))</f>
        <v/>
      </c>
      <c r="K685" s="62">
        <f>IF(E685="","",IF(E685="Werken","JA","NEE"))</f>
        <v/>
      </c>
      <c r="L685" s="61">
        <f>IF(K685="JA",N(J685),IF(E685="","",0))</f>
        <v/>
      </c>
      <c r="M685" s="62">
        <f>IF(AND(A685="",E685=""),"",IF(E685="","Segment ontbreekt",IF(OR(G685="",H685=""),"Van/tot ontbreekt",IF(N(J685)=0,"Duur is nul",IF(N(J685)&gt;12,"Langer dan 12 uur - controleren",IF(AND(E685="Werken",D685=""),"Werken zonder klant - koppelen","OK"))))))</f>
        <v/>
      </c>
    </row>
    <row r="686" ht="15" customHeight="1" s="42">
      <c r="A686" s="55" t="n"/>
      <c r="B686" s="56">
        <f>IF(A686="","",WEEKNUM(A686,21))</f>
        <v/>
      </c>
      <c r="C686" s="57" t="n"/>
      <c r="D686" s="57" t="n"/>
      <c r="E686" s="58" t="n"/>
      <c r="F686" s="57" t="n"/>
      <c r="G686" s="59" t="n"/>
      <c r="H686" s="59" t="n"/>
      <c r="I686" s="60">
        <f>IF(OR(G686="",H686=""),"",MOD(H686-G686,1))</f>
        <v/>
      </c>
      <c r="J686" s="61">
        <f>IF(OR(G686="",H686=""),"",ROUND(MOD(H686-G686,1)*24,2))</f>
        <v/>
      </c>
      <c r="K686" s="62">
        <f>IF(E686="","",IF(E686="Werken","JA","NEE"))</f>
        <v/>
      </c>
      <c r="L686" s="61">
        <f>IF(K686="JA",N(J686),IF(E686="","",0))</f>
        <v/>
      </c>
      <c r="M686" s="62">
        <f>IF(AND(A686="",E686=""),"",IF(E686="","Segment ontbreekt",IF(OR(G686="",H686=""),"Van/tot ontbreekt",IF(N(J686)=0,"Duur is nul",IF(N(J686)&gt;12,"Langer dan 12 uur - controleren",IF(AND(E686="Werken",D686=""),"Werken zonder klant - koppelen","OK"))))))</f>
        <v/>
      </c>
    </row>
    <row r="687" ht="15" customHeight="1" s="42">
      <c r="A687" s="55" t="n"/>
      <c r="B687" s="56">
        <f>IF(A687="","",WEEKNUM(A687,21))</f>
        <v/>
      </c>
      <c r="C687" s="57" t="n"/>
      <c r="D687" s="57" t="n"/>
      <c r="E687" s="58" t="n"/>
      <c r="F687" s="57" t="n"/>
      <c r="G687" s="59" t="n"/>
      <c r="H687" s="59" t="n"/>
      <c r="I687" s="60">
        <f>IF(OR(G687="",H687=""),"",MOD(H687-G687,1))</f>
        <v/>
      </c>
      <c r="J687" s="61">
        <f>IF(OR(G687="",H687=""),"",ROUND(MOD(H687-G687,1)*24,2))</f>
        <v/>
      </c>
      <c r="K687" s="62">
        <f>IF(E687="","",IF(E687="Werken","JA","NEE"))</f>
        <v/>
      </c>
      <c r="L687" s="61">
        <f>IF(K687="JA",N(J687),IF(E687="","",0))</f>
        <v/>
      </c>
      <c r="M687" s="62">
        <f>IF(AND(A687="",E687=""),"",IF(E687="","Segment ontbreekt",IF(OR(G687="",H687=""),"Van/tot ontbreekt",IF(N(J687)=0,"Duur is nul",IF(N(J687)&gt;12,"Langer dan 12 uur - controleren",IF(AND(E687="Werken",D687=""),"Werken zonder klant - koppelen","OK"))))))</f>
        <v/>
      </c>
    </row>
    <row r="688" ht="15" customHeight="1" s="42">
      <c r="A688" s="55" t="n"/>
      <c r="B688" s="56">
        <f>IF(A688="","",WEEKNUM(A688,21))</f>
        <v/>
      </c>
      <c r="C688" s="57" t="n"/>
      <c r="D688" s="57" t="n"/>
      <c r="E688" s="58" t="n"/>
      <c r="F688" s="57" t="n"/>
      <c r="G688" s="59" t="n"/>
      <c r="H688" s="59" t="n"/>
      <c r="I688" s="60">
        <f>IF(OR(G688="",H688=""),"",MOD(H688-G688,1))</f>
        <v/>
      </c>
      <c r="J688" s="61">
        <f>IF(OR(G688="",H688=""),"",ROUND(MOD(H688-G688,1)*24,2))</f>
        <v/>
      </c>
      <c r="K688" s="62">
        <f>IF(E688="","",IF(E688="Werken","JA","NEE"))</f>
        <v/>
      </c>
      <c r="L688" s="61">
        <f>IF(K688="JA",N(J688),IF(E688="","",0))</f>
        <v/>
      </c>
      <c r="M688" s="62">
        <f>IF(AND(A688="",E688=""),"",IF(E688="","Segment ontbreekt",IF(OR(G688="",H688=""),"Van/tot ontbreekt",IF(N(J688)=0,"Duur is nul",IF(N(J688)&gt;12,"Langer dan 12 uur - controleren",IF(AND(E688="Werken",D688=""),"Werken zonder klant - koppelen","OK"))))))</f>
        <v/>
      </c>
    </row>
    <row r="689" ht="15" customHeight="1" s="42">
      <c r="A689" s="55" t="n"/>
      <c r="B689" s="56">
        <f>IF(A689="","",WEEKNUM(A689,21))</f>
        <v/>
      </c>
      <c r="C689" s="57" t="n"/>
      <c r="D689" s="57" t="n"/>
      <c r="E689" s="58" t="n"/>
      <c r="F689" s="57" t="n"/>
      <c r="G689" s="59" t="n"/>
      <c r="H689" s="59" t="n"/>
      <c r="I689" s="60">
        <f>IF(OR(G689="",H689=""),"",MOD(H689-G689,1))</f>
        <v/>
      </c>
      <c r="J689" s="61">
        <f>IF(OR(G689="",H689=""),"",ROUND(MOD(H689-G689,1)*24,2))</f>
        <v/>
      </c>
      <c r="K689" s="62">
        <f>IF(E689="","",IF(E689="Werken","JA","NEE"))</f>
        <v/>
      </c>
      <c r="L689" s="61">
        <f>IF(K689="JA",N(J689),IF(E689="","",0))</f>
        <v/>
      </c>
      <c r="M689" s="62">
        <f>IF(AND(A689="",E689=""),"",IF(E689="","Segment ontbreekt",IF(OR(G689="",H689=""),"Van/tot ontbreekt",IF(N(J689)=0,"Duur is nul",IF(N(J689)&gt;12,"Langer dan 12 uur - controleren",IF(AND(E689="Werken",D689=""),"Werken zonder klant - koppelen","OK"))))))</f>
        <v/>
      </c>
    </row>
    <row r="690" ht="15" customHeight="1" s="42">
      <c r="A690" s="55" t="n"/>
      <c r="B690" s="56">
        <f>IF(A690="","",WEEKNUM(A690,21))</f>
        <v/>
      </c>
      <c r="C690" s="57" t="n"/>
      <c r="D690" s="57" t="n"/>
      <c r="E690" s="58" t="n"/>
      <c r="F690" s="57" t="n"/>
      <c r="G690" s="59" t="n"/>
      <c r="H690" s="59" t="n"/>
      <c r="I690" s="60">
        <f>IF(OR(G690="",H690=""),"",MOD(H690-G690,1))</f>
        <v/>
      </c>
      <c r="J690" s="61">
        <f>IF(OR(G690="",H690=""),"",ROUND(MOD(H690-G690,1)*24,2))</f>
        <v/>
      </c>
      <c r="K690" s="62">
        <f>IF(E690="","",IF(E690="Werken","JA","NEE"))</f>
        <v/>
      </c>
      <c r="L690" s="61">
        <f>IF(K690="JA",N(J690),IF(E690="","",0))</f>
        <v/>
      </c>
      <c r="M690" s="62">
        <f>IF(AND(A690="",E690=""),"",IF(E690="","Segment ontbreekt",IF(OR(G690="",H690=""),"Van/tot ontbreekt",IF(N(J690)=0,"Duur is nul",IF(N(J690)&gt;12,"Langer dan 12 uur - controleren",IF(AND(E690="Werken",D690=""),"Werken zonder klant - koppelen","OK"))))))</f>
        <v/>
      </c>
    </row>
    <row r="691" ht="15" customHeight="1" s="42">
      <c r="A691" s="55" t="n"/>
      <c r="B691" s="56">
        <f>IF(A691="","",WEEKNUM(A691,21))</f>
        <v/>
      </c>
      <c r="C691" s="57" t="n"/>
      <c r="D691" s="57" t="n"/>
      <c r="E691" s="58" t="n"/>
      <c r="F691" s="57" t="n"/>
      <c r="G691" s="59" t="n"/>
      <c r="H691" s="59" t="n"/>
      <c r="I691" s="60">
        <f>IF(OR(G691="",H691=""),"",MOD(H691-G691,1))</f>
        <v/>
      </c>
      <c r="J691" s="61">
        <f>IF(OR(G691="",H691=""),"",ROUND(MOD(H691-G691,1)*24,2))</f>
        <v/>
      </c>
      <c r="K691" s="62">
        <f>IF(E691="","",IF(E691="Werken","JA","NEE"))</f>
        <v/>
      </c>
      <c r="L691" s="61">
        <f>IF(K691="JA",N(J691),IF(E691="","",0))</f>
        <v/>
      </c>
      <c r="M691" s="62">
        <f>IF(AND(A691="",E691=""),"",IF(E691="","Segment ontbreekt",IF(OR(G691="",H691=""),"Van/tot ontbreekt",IF(N(J691)=0,"Duur is nul",IF(N(J691)&gt;12,"Langer dan 12 uur - controleren",IF(AND(E691="Werken",D691=""),"Werken zonder klant - koppelen","OK"))))))</f>
        <v/>
      </c>
    </row>
    <row r="692" ht="15" customHeight="1" s="42">
      <c r="A692" s="55" t="n"/>
      <c r="B692" s="56">
        <f>IF(A692="","",WEEKNUM(A692,21))</f>
        <v/>
      </c>
      <c r="C692" s="57" t="n"/>
      <c r="D692" s="57" t="n"/>
      <c r="E692" s="58" t="n"/>
      <c r="F692" s="57" t="n"/>
      <c r="G692" s="59" t="n"/>
      <c r="H692" s="59" t="n"/>
      <c r="I692" s="60">
        <f>IF(OR(G692="",H692=""),"",MOD(H692-G692,1))</f>
        <v/>
      </c>
      <c r="J692" s="61">
        <f>IF(OR(G692="",H692=""),"",ROUND(MOD(H692-G692,1)*24,2))</f>
        <v/>
      </c>
      <c r="K692" s="62">
        <f>IF(E692="","",IF(E692="Werken","JA","NEE"))</f>
        <v/>
      </c>
      <c r="L692" s="61">
        <f>IF(K692="JA",N(J692),IF(E692="","",0))</f>
        <v/>
      </c>
      <c r="M692" s="62">
        <f>IF(AND(A692="",E692=""),"",IF(E692="","Segment ontbreekt",IF(OR(G692="",H692=""),"Van/tot ontbreekt",IF(N(J692)=0,"Duur is nul",IF(N(J692)&gt;12,"Langer dan 12 uur - controleren",IF(AND(E692="Werken",D692=""),"Werken zonder klant - koppelen","OK"))))))</f>
        <v/>
      </c>
    </row>
    <row r="693" ht="15" customHeight="1" s="42">
      <c r="A693" s="55" t="n"/>
      <c r="B693" s="56">
        <f>IF(A693="","",WEEKNUM(A693,21))</f>
        <v/>
      </c>
      <c r="C693" s="57" t="n"/>
      <c r="D693" s="57" t="n"/>
      <c r="E693" s="58" t="n"/>
      <c r="F693" s="57" t="n"/>
      <c r="G693" s="59" t="n"/>
      <c r="H693" s="59" t="n"/>
      <c r="I693" s="60">
        <f>IF(OR(G693="",H693=""),"",MOD(H693-G693,1))</f>
        <v/>
      </c>
      <c r="J693" s="61">
        <f>IF(OR(G693="",H693=""),"",ROUND(MOD(H693-G693,1)*24,2))</f>
        <v/>
      </c>
      <c r="K693" s="62">
        <f>IF(E693="","",IF(E693="Werken","JA","NEE"))</f>
        <v/>
      </c>
      <c r="L693" s="61">
        <f>IF(K693="JA",N(J693),IF(E693="","",0))</f>
        <v/>
      </c>
      <c r="M693" s="62">
        <f>IF(AND(A693="",E693=""),"",IF(E693="","Segment ontbreekt",IF(OR(G693="",H693=""),"Van/tot ontbreekt",IF(N(J693)=0,"Duur is nul",IF(N(J693)&gt;12,"Langer dan 12 uur - controleren",IF(AND(E693="Werken",D693=""),"Werken zonder klant - koppelen","OK"))))))</f>
        <v/>
      </c>
    </row>
    <row r="694" ht="15" customHeight="1" s="42">
      <c r="A694" s="55" t="n"/>
      <c r="B694" s="56">
        <f>IF(A694="","",WEEKNUM(A694,21))</f>
        <v/>
      </c>
      <c r="C694" s="57" t="n"/>
      <c r="D694" s="57" t="n"/>
      <c r="E694" s="58" t="n"/>
      <c r="F694" s="57" t="n"/>
      <c r="G694" s="59" t="n"/>
      <c r="H694" s="59" t="n"/>
      <c r="I694" s="60">
        <f>IF(OR(G694="",H694=""),"",MOD(H694-G694,1))</f>
        <v/>
      </c>
      <c r="J694" s="61">
        <f>IF(OR(G694="",H694=""),"",ROUND(MOD(H694-G694,1)*24,2))</f>
        <v/>
      </c>
      <c r="K694" s="62">
        <f>IF(E694="","",IF(E694="Werken","JA","NEE"))</f>
        <v/>
      </c>
      <c r="L694" s="61">
        <f>IF(K694="JA",N(J694),IF(E694="","",0))</f>
        <v/>
      </c>
      <c r="M694" s="62">
        <f>IF(AND(A694="",E694=""),"",IF(E694="","Segment ontbreekt",IF(OR(G694="",H694=""),"Van/tot ontbreekt",IF(N(J694)=0,"Duur is nul",IF(N(J694)&gt;12,"Langer dan 12 uur - controleren",IF(AND(E694="Werken",D694=""),"Werken zonder klant - koppelen","OK"))))))</f>
        <v/>
      </c>
    </row>
    <row r="695" ht="15" customHeight="1" s="42">
      <c r="A695" s="55" t="n"/>
      <c r="B695" s="56">
        <f>IF(A695="","",WEEKNUM(A695,21))</f>
        <v/>
      </c>
      <c r="C695" s="57" t="n"/>
      <c r="D695" s="57" t="n"/>
      <c r="E695" s="58" t="n"/>
      <c r="F695" s="57" t="n"/>
      <c r="G695" s="59" t="n"/>
      <c r="H695" s="59" t="n"/>
      <c r="I695" s="60">
        <f>IF(OR(G695="",H695=""),"",MOD(H695-G695,1))</f>
        <v/>
      </c>
      <c r="J695" s="61">
        <f>IF(OR(G695="",H695=""),"",ROUND(MOD(H695-G695,1)*24,2))</f>
        <v/>
      </c>
      <c r="K695" s="62">
        <f>IF(E695="","",IF(E695="Werken","JA","NEE"))</f>
        <v/>
      </c>
      <c r="L695" s="61">
        <f>IF(K695="JA",N(J695),IF(E695="","",0))</f>
        <v/>
      </c>
      <c r="M695" s="62">
        <f>IF(AND(A695="",E695=""),"",IF(E695="","Segment ontbreekt",IF(OR(G695="",H695=""),"Van/tot ontbreekt",IF(N(J695)=0,"Duur is nul",IF(N(J695)&gt;12,"Langer dan 12 uur - controleren",IF(AND(E695="Werken",D695=""),"Werken zonder klant - koppelen","OK"))))))</f>
        <v/>
      </c>
    </row>
    <row r="696" ht="15" customHeight="1" s="42">
      <c r="A696" s="55" t="n"/>
      <c r="B696" s="56">
        <f>IF(A696="","",WEEKNUM(A696,21))</f>
        <v/>
      </c>
      <c r="C696" s="57" t="n"/>
      <c r="D696" s="57" t="n"/>
      <c r="E696" s="58" t="n"/>
      <c r="F696" s="57" t="n"/>
      <c r="G696" s="59" t="n"/>
      <c r="H696" s="59" t="n"/>
      <c r="I696" s="60">
        <f>IF(OR(G696="",H696=""),"",MOD(H696-G696,1))</f>
        <v/>
      </c>
      <c r="J696" s="61">
        <f>IF(OR(G696="",H696=""),"",ROUND(MOD(H696-G696,1)*24,2))</f>
        <v/>
      </c>
      <c r="K696" s="62">
        <f>IF(E696="","",IF(E696="Werken","JA","NEE"))</f>
        <v/>
      </c>
      <c r="L696" s="61">
        <f>IF(K696="JA",N(J696),IF(E696="","",0))</f>
        <v/>
      </c>
      <c r="M696" s="62">
        <f>IF(AND(A696="",E696=""),"",IF(E696="","Segment ontbreekt",IF(OR(G696="",H696=""),"Van/tot ontbreekt",IF(N(J696)=0,"Duur is nul",IF(N(J696)&gt;12,"Langer dan 12 uur - controleren",IF(AND(E696="Werken",D696=""),"Werken zonder klant - koppelen","OK"))))))</f>
        <v/>
      </c>
    </row>
    <row r="697" ht="15" customHeight="1" s="42">
      <c r="A697" s="55" t="n"/>
      <c r="B697" s="56">
        <f>IF(A697="","",WEEKNUM(A697,21))</f>
        <v/>
      </c>
      <c r="C697" s="57" t="n"/>
      <c r="D697" s="57" t="n"/>
      <c r="E697" s="58" t="n"/>
      <c r="F697" s="57" t="n"/>
      <c r="G697" s="59" t="n"/>
      <c r="H697" s="59" t="n"/>
      <c r="I697" s="60">
        <f>IF(OR(G697="",H697=""),"",MOD(H697-G697,1))</f>
        <v/>
      </c>
      <c r="J697" s="61">
        <f>IF(OR(G697="",H697=""),"",ROUND(MOD(H697-G697,1)*24,2))</f>
        <v/>
      </c>
      <c r="K697" s="62">
        <f>IF(E697="","",IF(E697="Werken","JA","NEE"))</f>
        <v/>
      </c>
      <c r="L697" s="61">
        <f>IF(K697="JA",N(J697),IF(E697="","",0))</f>
        <v/>
      </c>
      <c r="M697" s="62">
        <f>IF(AND(A697="",E697=""),"",IF(E697="","Segment ontbreekt",IF(OR(G697="",H697=""),"Van/tot ontbreekt",IF(N(J697)=0,"Duur is nul",IF(N(J697)&gt;12,"Langer dan 12 uur - controleren",IF(AND(E697="Werken",D697=""),"Werken zonder klant - koppelen","OK"))))))</f>
        <v/>
      </c>
    </row>
    <row r="698" ht="15" customHeight="1" s="42">
      <c r="A698" s="55" t="n"/>
      <c r="B698" s="56">
        <f>IF(A698="","",WEEKNUM(A698,21))</f>
        <v/>
      </c>
      <c r="C698" s="57" t="n"/>
      <c r="D698" s="57" t="n"/>
      <c r="E698" s="58" t="n"/>
      <c r="F698" s="57" t="n"/>
      <c r="G698" s="59" t="n"/>
      <c r="H698" s="59" t="n"/>
      <c r="I698" s="60">
        <f>IF(OR(G698="",H698=""),"",MOD(H698-G698,1))</f>
        <v/>
      </c>
      <c r="J698" s="61">
        <f>IF(OR(G698="",H698=""),"",ROUND(MOD(H698-G698,1)*24,2))</f>
        <v/>
      </c>
      <c r="K698" s="62">
        <f>IF(E698="","",IF(E698="Werken","JA","NEE"))</f>
        <v/>
      </c>
      <c r="L698" s="61">
        <f>IF(K698="JA",N(J698),IF(E698="","",0))</f>
        <v/>
      </c>
      <c r="M698" s="62">
        <f>IF(AND(A698="",E698=""),"",IF(E698="","Segment ontbreekt",IF(OR(G698="",H698=""),"Van/tot ontbreekt",IF(N(J698)=0,"Duur is nul",IF(N(J698)&gt;12,"Langer dan 12 uur - controleren",IF(AND(E698="Werken",D698=""),"Werken zonder klant - koppelen","OK"))))))</f>
        <v/>
      </c>
    </row>
    <row r="699" ht="15" customHeight="1" s="42">
      <c r="A699" s="55" t="n"/>
      <c r="B699" s="56">
        <f>IF(A699="","",WEEKNUM(A699,21))</f>
        <v/>
      </c>
      <c r="C699" s="57" t="n"/>
      <c r="D699" s="57" t="n"/>
      <c r="E699" s="58" t="n"/>
      <c r="F699" s="57" t="n"/>
      <c r="G699" s="59" t="n"/>
      <c r="H699" s="59" t="n"/>
      <c r="I699" s="60">
        <f>IF(OR(G699="",H699=""),"",MOD(H699-G699,1))</f>
        <v/>
      </c>
      <c r="J699" s="61">
        <f>IF(OR(G699="",H699=""),"",ROUND(MOD(H699-G699,1)*24,2))</f>
        <v/>
      </c>
      <c r="K699" s="62">
        <f>IF(E699="","",IF(E699="Werken","JA","NEE"))</f>
        <v/>
      </c>
      <c r="L699" s="61">
        <f>IF(K699="JA",N(J699),IF(E699="","",0))</f>
        <v/>
      </c>
      <c r="M699" s="62">
        <f>IF(AND(A699="",E699=""),"",IF(E699="","Segment ontbreekt",IF(OR(G699="",H699=""),"Van/tot ontbreekt",IF(N(J699)=0,"Duur is nul",IF(N(J699)&gt;12,"Langer dan 12 uur - controleren",IF(AND(E699="Werken",D699=""),"Werken zonder klant - koppelen","OK"))))))</f>
        <v/>
      </c>
    </row>
    <row r="700" ht="15" customHeight="1" s="42">
      <c r="A700" s="55" t="n"/>
      <c r="B700" s="56">
        <f>IF(A700="","",WEEKNUM(A700,21))</f>
        <v/>
      </c>
      <c r="C700" s="57" t="n"/>
      <c r="D700" s="57" t="n"/>
      <c r="E700" s="58" t="n"/>
      <c r="F700" s="57" t="n"/>
      <c r="G700" s="59" t="n"/>
      <c r="H700" s="59" t="n"/>
      <c r="I700" s="60">
        <f>IF(OR(G700="",H700=""),"",MOD(H700-G700,1))</f>
        <v/>
      </c>
      <c r="J700" s="61">
        <f>IF(OR(G700="",H700=""),"",ROUND(MOD(H700-G700,1)*24,2))</f>
        <v/>
      </c>
      <c r="K700" s="62">
        <f>IF(E700="","",IF(E700="Werken","JA","NEE"))</f>
        <v/>
      </c>
      <c r="L700" s="61">
        <f>IF(K700="JA",N(J700),IF(E700="","",0))</f>
        <v/>
      </c>
      <c r="M700" s="62">
        <f>IF(AND(A700="",E700=""),"",IF(E700="","Segment ontbreekt",IF(OR(G700="",H700=""),"Van/tot ontbreekt",IF(N(J700)=0,"Duur is nul",IF(N(J700)&gt;12,"Langer dan 12 uur - controleren",IF(AND(E700="Werken",D700=""),"Werken zonder klant - koppelen","OK"))))))</f>
        <v/>
      </c>
    </row>
    <row r="701" ht="15" customHeight="1" s="42">
      <c r="A701" s="55" t="n"/>
      <c r="B701" s="56">
        <f>IF(A701="","",WEEKNUM(A701,21))</f>
        <v/>
      </c>
      <c r="C701" s="57" t="n"/>
      <c r="D701" s="57" t="n"/>
      <c r="E701" s="58" t="n"/>
      <c r="F701" s="57" t="n"/>
      <c r="G701" s="59" t="n"/>
      <c r="H701" s="59" t="n"/>
      <c r="I701" s="60">
        <f>IF(OR(G701="",H701=""),"",MOD(H701-G701,1))</f>
        <v/>
      </c>
      <c r="J701" s="61">
        <f>IF(OR(G701="",H701=""),"",ROUND(MOD(H701-G701,1)*24,2))</f>
        <v/>
      </c>
      <c r="K701" s="62">
        <f>IF(E701="","",IF(E701="Werken","JA","NEE"))</f>
        <v/>
      </c>
      <c r="L701" s="61">
        <f>IF(K701="JA",N(J701),IF(E701="","",0))</f>
        <v/>
      </c>
      <c r="M701" s="62">
        <f>IF(AND(A701="",E701=""),"",IF(E701="","Segment ontbreekt",IF(OR(G701="",H701=""),"Van/tot ontbreekt",IF(N(J701)=0,"Duur is nul",IF(N(J701)&gt;12,"Langer dan 12 uur - controleren",IF(AND(E701="Werken",D701=""),"Werken zonder klant - koppelen","OK"))))))</f>
        <v/>
      </c>
    </row>
    <row r="702" ht="15" customHeight="1" s="42">
      <c r="A702" s="55" t="n"/>
      <c r="B702" s="56">
        <f>IF(A702="","",WEEKNUM(A702,21))</f>
        <v/>
      </c>
      <c r="C702" s="57" t="n"/>
      <c r="D702" s="57" t="n"/>
      <c r="E702" s="58" t="n"/>
      <c r="F702" s="57" t="n"/>
      <c r="G702" s="59" t="n"/>
      <c r="H702" s="59" t="n"/>
      <c r="I702" s="60">
        <f>IF(OR(G702="",H702=""),"",MOD(H702-G702,1))</f>
        <v/>
      </c>
      <c r="J702" s="61">
        <f>IF(OR(G702="",H702=""),"",ROUND(MOD(H702-G702,1)*24,2))</f>
        <v/>
      </c>
      <c r="K702" s="62">
        <f>IF(E702="","",IF(E702="Werken","JA","NEE"))</f>
        <v/>
      </c>
      <c r="L702" s="61">
        <f>IF(K702="JA",N(J702),IF(E702="","",0))</f>
        <v/>
      </c>
      <c r="M702" s="62">
        <f>IF(AND(A702="",E702=""),"",IF(E702="","Segment ontbreekt",IF(OR(G702="",H702=""),"Van/tot ontbreekt",IF(N(J702)=0,"Duur is nul",IF(N(J702)&gt;12,"Langer dan 12 uur - controleren",IF(AND(E702="Werken",D702=""),"Werken zonder klant - koppelen","OK"))))))</f>
        <v/>
      </c>
    </row>
    <row r="703" ht="15" customHeight="1" s="42">
      <c r="A703" s="55" t="n"/>
      <c r="B703" s="56">
        <f>IF(A703="","",WEEKNUM(A703,21))</f>
        <v/>
      </c>
      <c r="C703" s="57" t="n"/>
      <c r="D703" s="57" t="n"/>
      <c r="E703" s="58" t="n"/>
      <c r="F703" s="57" t="n"/>
      <c r="G703" s="59" t="n"/>
      <c r="H703" s="59" t="n"/>
      <c r="I703" s="60">
        <f>IF(OR(G703="",H703=""),"",MOD(H703-G703,1))</f>
        <v/>
      </c>
      <c r="J703" s="61">
        <f>IF(OR(G703="",H703=""),"",ROUND(MOD(H703-G703,1)*24,2))</f>
        <v/>
      </c>
      <c r="K703" s="62">
        <f>IF(E703="","",IF(E703="Werken","JA","NEE"))</f>
        <v/>
      </c>
      <c r="L703" s="61">
        <f>IF(K703="JA",N(J703),IF(E703="","",0))</f>
        <v/>
      </c>
      <c r="M703" s="62">
        <f>IF(AND(A703="",E703=""),"",IF(E703="","Segment ontbreekt",IF(OR(G703="",H703=""),"Van/tot ontbreekt",IF(N(J703)=0,"Duur is nul",IF(N(J703)&gt;12,"Langer dan 12 uur - controleren",IF(AND(E703="Werken",D703=""),"Werken zonder klant - koppelen","OK"))))))</f>
        <v/>
      </c>
    </row>
    <row r="704" ht="15" customHeight="1" s="42">
      <c r="A704" s="55" t="n"/>
      <c r="B704" s="56">
        <f>IF(A704="","",WEEKNUM(A704,21))</f>
        <v/>
      </c>
      <c r="C704" s="57" t="n"/>
      <c r="D704" s="57" t="n"/>
      <c r="E704" s="58" t="n"/>
      <c r="F704" s="57" t="n"/>
      <c r="G704" s="59" t="n"/>
      <c r="H704" s="59" t="n"/>
      <c r="I704" s="60">
        <f>IF(OR(G704="",H704=""),"",MOD(H704-G704,1))</f>
        <v/>
      </c>
      <c r="J704" s="61">
        <f>IF(OR(G704="",H704=""),"",ROUND(MOD(H704-G704,1)*24,2))</f>
        <v/>
      </c>
      <c r="K704" s="62">
        <f>IF(E704="","",IF(E704="Werken","JA","NEE"))</f>
        <v/>
      </c>
      <c r="L704" s="61">
        <f>IF(K704="JA",N(J704),IF(E704="","",0))</f>
        <v/>
      </c>
      <c r="M704" s="62">
        <f>IF(AND(A704="",E704=""),"",IF(E704="","Segment ontbreekt",IF(OR(G704="",H704=""),"Van/tot ontbreekt",IF(N(J704)=0,"Duur is nul",IF(N(J704)&gt;12,"Langer dan 12 uur - controleren",IF(AND(E704="Werken",D704=""),"Werken zonder klant - koppelen","OK"))))))</f>
        <v/>
      </c>
    </row>
    <row r="705" ht="15" customHeight="1" s="42">
      <c r="A705" s="55" t="n"/>
      <c r="B705" s="56">
        <f>IF(A705="","",WEEKNUM(A705,21))</f>
        <v/>
      </c>
      <c r="C705" s="57" t="n"/>
      <c r="D705" s="57" t="n"/>
      <c r="E705" s="58" t="n"/>
      <c r="F705" s="57" t="n"/>
      <c r="G705" s="59" t="n"/>
      <c r="H705" s="59" t="n"/>
      <c r="I705" s="60">
        <f>IF(OR(G705="",H705=""),"",MOD(H705-G705,1))</f>
        <v/>
      </c>
      <c r="J705" s="61">
        <f>IF(OR(G705="",H705=""),"",ROUND(MOD(H705-G705,1)*24,2))</f>
        <v/>
      </c>
      <c r="K705" s="62">
        <f>IF(E705="","",IF(E705="Werken","JA","NEE"))</f>
        <v/>
      </c>
      <c r="L705" s="61">
        <f>IF(K705="JA",N(J705),IF(E705="","",0))</f>
        <v/>
      </c>
      <c r="M705" s="62">
        <f>IF(AND(A705="",E705=""),"",IF(E705="","Segment ontbreekt",IF(OR(G705="",H705=""),"Van/tot ontbreekt",IF(N(J705)=0,"Duur is nul",IF(N(J705)&gt;12,"Langer dan 12 uur - controleren",IF(AND(E705="Werken",D705=""),"Werken zonder klant - koppelen","OK"))))))</f>
        <v/>
      </c>
    </row>
    <row r="706" ht="15" customHeight="1" s="42">
      <c r="A706" s="55" t="n"/>
      <c r="B706" s="56">
        <f>IF(A706="","",WEEKNUM(A706,21))</f>
        <v/>
      </c>
      <c r="C706" s="57" t="n"/>
      <c r="D706" s="57" t="n"/>
      <c r="E706" s="58" t="n"/>
      <c r="F706" s="57" t="n"/>
      <c r="G706" s="59" t="n"/>
      <c r="H706" s="59" t="n"/>
      <c r="I706" s="60">
        <f>IF(OR(G706="",H706=""),"",MOD(H706-G706,1))</f>
        <v/>
      </c>
      <c r="J706" s="61">
        <f>IF(OR(G706="",H706=""),"",ROUND(MOD(H706-G706,1)*24,2))</f>
        <v/>
      </c>
      <c r="K706" s="62">
        <f>IF(E706="","",IF(E706="Werken","JA","NEE"))</f>
        <v/>
      </c>
      <c r="L706" s="61">
        <f>IF(K706="JA",N(J706),IF(E706="","",0))</f>
        <v/>
      </c>
      <c r="M706" s="62">
        <f>IF(AND(A706="",E706=""),"",IF(E706="","Segment ontbreekt",IF(OR(G706="",H706=""),"Van/tot ontbreekt",IF(N(J706)=0,"Duur is nul",IF(N(J706)&gt;12,"Langer dan 12 uur - controleren",IF(AND(E706="Werken",D706=""),"Werken zonder klant - koppelen","OK"))))))</f>
        <v/>
      </c>
    </row>
    <row r="707" ht="15" customHeight="1" s="42">
      <c r="A707" s="55" t="n"/>
      <c r="B707" s="56">
        <f>IF(A707="","",WEEKNUM(A707,21))</f>
        <v/>
      </c>
      <c r="C707" s="57" t="n"/>
      <c r="D707" s="57" t="n"/>
      <c r="E707" s="58" t="n"/>
      <c r="F707" s="57" t="n"/>
      <c r="G707" s="59" t="n"/>
      <c r="H707" s="59" t="n"/>
      <c r="I707" s="60">
        <f>IF(OR(G707="",H707=""),"",MOD(H707-G707,1))</f>
        <v/>
      </c>
      <c r="J707" s="61">
        <f>IF(OR(G707="",H707=""),"",ROUND(MOD(H707-G707,1)*24,2))</f>
        <v/>
      </c>
      <c r="K707" s="62">
        <f>IF(E707="","",IF(E707="Werken","JA","NEE"))</f>
        <v/>
      </c>
      <c r="L707" s="61">
        <f>IF(K707="JA",N(J707),IF(E707="","",0))</f>
        <v/>
      </c>
      <c r="M707" s="62">
        <f>IF(AND(A707="",E707=""),"",IF(E707="","Segment ontbreekt",IF(OR(G707="",H707=""),"Van/tot ontbreekt",IF(N(J707)=0,"Duur is nul",IF(N(J707)&gt;12,"Langer dan 12 uur - controleren",IF(AND(E707="Werken",D707=""),"Werken zonder klant - koppelen","OK"))))))</f>
        <v/>
      </c>
    </row>
    <row r="708" ht="15" customHeight="1" s="42">
      <c r="A708" s="55" t="n"/>
      <c r="B708" s="56">
        <f>IF(A708="","",WEEKNUM(A708,21))</f>
        <v/>
      </c>
      <c r="C708" s="57" t="n"/>
      <c r="D708" s="57" t="n"/>
      <c r="E708" s="58" t="n"/>
      <c r="F708" s="57" t="n"/>
      <c r="G708" s="59" t="n"/>
      <c r="H708" s="59" t="n"/>
      <c r="I708" s="60">
        <f>IF(OR(G708="",H708=""),"",MOD(H708-G708,1))</f>
        <v/>
      </c>
      <c r="J708" s="61">
        <f>IF(OR(G708="",H708=""),"",ROUND(MOD(H708-G708,1)*24,2))</f>
        <v/>
      </c>
      <c r="K708" s="62">
        <f>IF(E708="","",IF(E708="Werken","JA","NEE"))</f>
        <v/>
      </c>
      <c r="L708" s="61">
        <f>IF(K708="JA",N(J708),IF(E708="","",0))</f>
        <v/>
      </c>
      <c r="M708" s="62">
        <f>IF(AND(A708="",E708=""),"",IF(E708="","Segment ontbreekt",IF(OR(G708="",H708=""),"Van/tot ontbreekt",IF(N(J708)=0,"Duur is nul",IF(N(J708)&gt;12,"Langer dan 12 uur - controleren",IF(AND(E708="Werken",D708=""),"Werken zonder klant - koppelen","OK"))))))</f>
        <v/>
      </c>
    </row>
    <row r="709" ht="15" customHeight="1" s="42">
      <c r="A709" s="55" t="n"/>
      <c r="B709" s="56">
        <f>IF(A709="","",WEEKNUM(A709,21))</f>
        <v/>
      </c>
      <c r="C709" s="57" t="n"/>
      <c r="D709" s="57" t="n"/>
      <c r="E709" s="58" t="n"/>
      <c r="F709" s="57" t="n"/>
      <c r="G709" s="59" t="n"/>
      <c r="H709" s="59" t="n"/>
      <c r="I709" s="60">
        <f>IF(OR(G709="",H709=""),"",MOD(H709-G709,1))</f>
        <v/>
      </c>
      <c r="J709" s="61">
        <f>IF(OR(G709="",H709=""),"",ROUND(MOD(H709-G709,1)*24,2))</f>
        <v/>
      </c>
      <c r="K709" s="62">
        <f>IF(E709="","",IF(E709="Werken","JA","NEE"))</f>
        <v/>
      </c>
      <c r="L709" s="61">
        <f>IF(K709="JA",N(J709),IF(E709="","",0))</f>
        <v/>
      </c>
      <c r="M709" s="62">
        <f>IF(AND(A709="",E709=""),"",IF(E709="","Segment ontbreekt",IF(OR(G709="",H709=""),"Van/tot ontbreekt",IF(N(J709)=0,"Duur is nul",IF(N(J709)&gt;12,"Langer dan 12 uur - controleren",IF(AND(E709="Werken",D709=""),"Werken zonder klant - koppelen","OK"))))))</f>
        <v/>
      </c>
    </row>
    <row r="710" ht="15" customHeight="1" s="42">
      <c r="A710" s="55" t="n"/>
      <c r="B710" s="56">
        <f>IF(A710="","",WEEKNUM(A710,21))</f>
        <v/>
      </c>
      <c r="C710" s="57" t="n"/>
      <c r="D710" s="57" t="n"/>
      <c r="E710" s="58" t="n"/>
      <c r="F710" s="57" t="n"/>
      <c r="G710" s="59" t="n"/>
      <c r="H710" s="59" t="n"/>
      <c r="I710" s="60">
        <f>IF(OR(G710="",H710=""),"",MOD(H710-G710,1))</f>
        <v/>
      </c>
      <c r="J710" s="61">
        <f>IF(OR(G710="",H710=""),"",ROUND(MOD(H710-G710,1)*24,2))</f>
        <v/>
      </c>
      <c r="K710" s="62">
        <f>IF(E710="","",IF(E710="Werken","JA","NEE"))</f>
        <v/>
      </c>
      <c r="L710" s="61">
        <f>IF(K710="JA",N(J710),IF(E710="","",0))</f>
        <v/>
      </c>
      <c r="M710" s="62">
        <f>IF(AND(A710="",E710=""),"",IF(E710="","Segment ontbreekt",IF(OR(G710="",H710=""),"Van/tot ontbreekt",IF(N(J710)=0,"Duur is nul",IF(N(J710)&gt;12,"Langer dan 12 uur - controleren",IF(AND(E710="Werken",D710=""),"Werken zonder klant - koppelen","OK"))))))</f>
        <v/>
      </c>
    </row>
    <row r="711" ht="15" customHeight="1" s="42">
      <c r="A711" s="55" t="n"/>
      <c r="B711" s="56">
        <f>IF(A711="","",WEEKNUM(A711,21))</f>
        <v/>
      </c>
      <c r="C711" s="57" t="n"/>
      <c r="D711" s="57" t="n"/>
      <c r="E711" s="58" t="n"/>
      <c r="F711" s="57" t="n"/>
      <c r="G711" s="59" t="n"/>
      <c r="H711" s="59" t="n"/>
      <c r="I711" s="60">
        <f>IF(OR(G711="",H711=""),"",MOD(H711-G711,1))</f>
        <v/>
      </c>
      <c r="J711" s="61">
        <f>IF(OR(G711="",H711=""),"",ROUND(MOD(H711-G711,1)*24,2))</f>
        <v/>
      </c>
      <c r="K711" s="62">
        <f>IF(E711="","",IF(E711="Werken","JA","NEE"))</f>
        <v/>
      </c>
      <c r="L711" s="61">
        <f>IF(K711="JA",N(J711),IF(E711="","",0))</f>
        <v/>
      </c>
      <c r="M711" s="62">
        <f>IF(AND(A711="",E711=""),"",IF(E711="","Segment ontbreekt",IF(OR(G711="",H711=""),"Van/tot ontbreekt",IF(N(J711)=0,"Duur is nul",IF(N(J711)&gt;12,"Langer dan 12 uur - controleren",IF(AND(E711="Werken",D711=""),"Werken zonder klant - koppelen","OK"))))))</f>
        <v/>
      </c>
    </row>
    <row r="712" ht="15" customHeight="1" s="42">
      <c r="A712" s="55" t="n"/>
      <c r="B712" s="56">
        <f>IF(A712="","",WEEKNUM(A712,21))</f>
        <v/>
      </c>
      <c r="C712" s="57" t="n"/>
      <c r="D712" s="57" t="n"/>
      <c r="E712" s="58" t="n"/>
      <c r="F712" s="57" t="n"/>
      <c r="G712" s="59" t="n"/>
      <c r="H712" s="59" t="n"/>
      <c r="I712" s="60">
        <f>IF(OR(G712="",H712=""),"",MOD(H712-G712,1))</f>
        <v/>
      </c>
      <c r="J712" s="61">
        <f>IF(OR(G712="",H712=""),"",ROUND(MOD(H712-G712,1)*24,2))</f>
        <v/>
      </c>
      <c r="K712" s="62">
        <f>IF(E712="","",IF(E712="Werken","JA","NEE"))</f>
        <v/>
      </c>
      <c r="L712" s="61">
        <f>IF(K712="JA",N(J712),IF(E712="","",0))</f>
        <v/>
      </c>
      <c r="M712" s="62">
        <f>IF(AND(A712="",E712=""),"",IF(E712="","Segment ontbreekt",IF(OR(G712="",H712=""),"Van/tot ontbreekt",IF(N(J712)=0,"Duur is nul",IF(N(J712)&gt;12,"Langer dan 12 uur - controleren",IF(AND(E712="Werken",D712=""),"Werken zonder klant - koppelen","OK"))))))</f>
        <v/>
      </c>
    </row>
    <row r="713" ht="15" customHeight="1" s="42">
      <c r="A713" s="55" t="n"/>
      <c r="B713" s="56">
        <f>IF(A713="","",WEEKNUM(A713,21))</f>
        <v/>
      </c>
      <c r="C713" s="57" t="n"/>
      <c r="D713" s="57" t="n"/>
      <c r="E713" s="58" t="n"/>
      <c r="F713" s="57" t="n"/>
      <c r="G713" s="59" t="n"/>
      <c r="H713" s="59" t="n"/>
      <c r="I713" s="60">
        <f>IF(OR(G713="",H713=""),"",MOD(H713-G713,1))</f>
        <v/>
      </c>
      <c r="J713" s="61">
        <f>IF(OR(G713="",H713=""),"",ROUND(MOD(H713-G713,1)*24,2))</f>
        <v/>
      </c>
      <c r="K713" s="62">
        <f>IF(E713="","",IF(E713="Werken","JA","NEE"))</f>
        <v/>
      </c>
      <c r="L713" s="61">
        <f>IF(K713="JA",N(J713),IF(E713="","",0))</f>
        <v/>
      </c>
      <c r="M713" s="62">
        <f>IF(AND(A713="",E713=""),"",IF(E713="","Segment ontbreekt",IF(OR(G713="",H713=""),"Van/tot ontbreekt",IF(N(J713)=0,"Duur is nul",IF(N(J713)&gt;12,"Langer dan 12 uur - controleren",IF(AND(E713="Werken",D713=""),"Werken zonder klant - koppelen","OK"))))))</f>
        <v/>
      </c>
    </row>
    <row r="714" ht="15" customHeight="1" s="42">
      <c r="A714" s="55" t="n"/>
      <c r="B714" s="56">
        <f>IF(A714="","",WEEKNUM(A714,21))</f>
        <v/>
      </c>
      <c r="C714" s="57" t="n"/>
      <c r="D714" s="57" t="n"/>
      <c r="E714" s="58" t="n"/>
      <c r="F714" s="57" t="n"/>
      <c r="G714" s="59" t="n"/>
      <c r="H714" s="59" t="n"/>
      <c r="I714" s="60">
        <f>IF(OR(G714="",H714=""),"",MOD(H714-G714,1))</f>
        <v/>
      </c>
      <c r="J714" s="61">
        <f>IF(OR(G714="",H714=""),"",ROUND(MOD(H714-G714,1)*24,2))</f>
        <v/>
      </c>
      <c r="K714" s="62">
        <f>IF(E714="","",IF(E714="Werken","JA","NEE"))</f>
        <v/>
      </c>
      <c r="L714" s="61">
        <f>IF(K714="JA",N(J714),IF(E714="","",0))</f>
        <v/>
      </c>
      <c r="M714" s="62">
        <f>IF(AND(A714="",E714=""),"",IF(E714="","Segment ontbreekt",IF(OR(G714="",H714=""),"Van/tot ontbreekt",IF(N(J714)=0,"Duur is nul",IF(N(J714)&gt;12,"Langer dan 12 uur - controleren",IF(AND(E714="Werken",D714=""),"Werken zonder klant - koppelen","OK"))))))</f>
        <v/>
      </c>
    </row>
    <row r="715" ht="15" customHeight="1" s="42">
      <c r="A715" s="55" t="n"/>
      <c r="B715" s="56">
        <f>IF(A715="","",WEEKNUM(A715,21))</f>
        <v/>
      </c>
      <c r="C715" s="57" t="n"/>
      <c r="D715" s="57" t="n"/>
      <c r="E715" s="58" t="n"/>
      <c r="F715" s="57" t="n"/>
      <c r="G715" s="59" t="n"/>
      <c r="H715" s="59" t="n"/>
      <c r="I715" s="60">
        <f>IF(OR(G715="",H715=""),"",MOD(H715-G715,1))</f>
        <v/>
      </c>
      <c r="J715" s="61">
        <f>IF(OR(G715="",H715=""),"",ROUND(MOD(H715-G715,1)*24,2))</f>
        <v/>
      </c>
      <c r="K715" s="62">
        <f>IF(E715="","",IF(E715="Werken","JA","NEE"))</f>
        <v/>
      </c>
      <c r="L715" s="61">
        <f>IF(K715="JA",N(J715),IF(E715="","",0))</f>
        <v/>
      </c>
      <c r="M715" s="62">
        <f>IF(AND(A715="",E715=""),"",IF(E715="","Segment ontbreekt",IF(OR(G715="",H715=""),"Van/tot ontbreekt",IF(N(J715)=0,"Duur is nul",IF(N(J715)&gt;12,"Langer dan 12 uur - controleren",IF(AND(E715="Werken",D715=""),"Werken zonder klant - koppelen","OK"))))))</f>
        <v/>
      </c>
    </row>
    <row r="716" ht="15" customHeight="1" s="42">
      <c r="A716" s="55" t="n"/>
      <c r="B716" s="56">
        <f>IF(A716="","",WEEKNUM(A716,21))</f>
        <v/>
      </c>
      <c r="C716" s="57" t="n"/>
      <c r="D716" s="57" t="n"/>
      <c r="E716" s="58" t="n"/>
      <c r="F716" s="57" t="n"/>
      <c r="G716" s="59" t="n"/>
      <c r="H716" s="59" t="n"/>
      <c r="I716" s="60">
        <f>IF(OR(G716="",H716=""),"",MOD(H716-G716,1))</f>
        <v/>
      </c>
      <c r="J716" s="61">
        <f>IF(OR(G716="",H716=""),"",ROUND(MOD(H716-G716,1)*24,2))</f>
        <v/>
      </c>
      <c r="K716" s="62">
        <f>IF(E716="","",IF(E716="Werken","JA","NEE"))</f>
        <v/>
      </c>
      <c r="L716" s="61">
        <f>IF(K716="JA",N(J716),IF(E716="","",0))</f>
        <v/>
      </c>
      <c r="M716" s="62">
        <f>IF(AND(A716="",E716=""),"",IF(E716="","Segment ontbreekt",IF(OR(G716="",H716=""),"Van/tot ontbreekt",IF(N(J716)=0,"Duur is nul",IF(N(J716)&gt;12,"Langer dan 12 uur - controleren",IF(AND(E716="Werken",D716=""),"Werken zonder klant - koppelen","OK"))))))</f>
        <v/>
      </c>
    </row>
    <row r="717" ht="15" customHeight="1" s="42">
      <c r="A717" s="55" t="n"/>
      <c r="B717" s="56">
        <f>IF(A717="","",WEEKNUM(A717,21))</f>
        <v/>
      </c>
      <c r="C717" s="57" t="n"/>
      <c r="D717" s="57" t="n"/>
      <c r="E717" s="58" t="n"/>
      <c r="F717" s="57" t="n"/>
      <c r="G717" s="59" t="n"/>
      <c r="H717" s="59" t="n"/>
      <c r="I717" s="60">
        <f>IF(OR(G717="",H717=""),"",MOD(H717-G717,1))</f>
        <v/>
      </c>
      <c r="J717" s="61">
        <f>IF(OR(G717="",H717=""),"",ROUND(MOD(H717-G717,1)*24,2))</f>
        <v/>
      </c>
      <c r="K717" s="62">
        <f>IF(E717="","",IF(E717="Werken","JA","NEE"))</f>
        <v/>
      </c>
      <c r="L717" s="61">
        <f>IF(K717="JA",N(J717),IF(E717="","",0))</f>
        <v/>
      </c>
      <c r="M717" s="62">
        <f>IF(AND(A717="",E717=""),"",IF(E717="","Segment ontbreekt",IF(OR(G717="",H717=""),"Van/tot ontbreekt",IF(N(J717)=0,"Duur is nul",IF(N(J717)&gt;12,"Langer dan 12 uur - controleren",IF(AND(E717="Werken",D717=""),"Werken zonder klant - koppelen","OK"))))))</f>
        <v/>
      </c>
    </row>
    <row r="718" ht="15" customHeight="1" s="42">
      <c r="A718" s="55" t="n"/>
      <c r="B718" s="56">
        <f>IF(A718="","",WEEKNUM(A718,21))</f>
        <v/>
      </c>
      <c r="C718" s="57" t="n"/>
      <c r="D718" s="57" t="n"/>
      <c r="E718" s="58" t="n"/>
      <c r="F718" s="57" t="n"/>
      <c r="G718" s="59" t="n"/>
      <c r="H718" s="59" t="n"/>
      <c r="I718" s="60">
        <f>IF(OR(G718="",H718=""),"",MOD(H718-G718,1))</f>
        <v/>
      </c>
      <c r="J718" s="61">
        <f>IF(OR(G718="",H718=""),"",ROUND(MOD(H718-G718,1)*24,2))</f>
        <v/>
      </c>
      <c r="K718" s="62">
        <f>IF(E718="","",IF(E718="Werken","JA","NEE"))</f>
        <v/>
      </c>
      <c r="L718" s="61">
        <f>IF(K718="JA",N(J718),IF(E718="","",0))</f>
        <v/>
      </c>
      <c r="M718" s="62">
        <f>IF(AND(A718="",E718=""),"",IF(E718="","Segment ontbreekt",IF(OR(G718="",H718=""),"Van/tot ontbreekt",IF(N(J718)=0,"Duur is nul",IF(N(J718)&gt;12,"Langer dan 12 uur - controleren",IF(AND(E718="Werken",D718=""),"Werken zonder klant - koppelen","OK"))))))</f>
        <v/>
      </c>
    </row>
    <row r="719" ht="15" customHeight="1" s="42">
      <c r="A719" s="55" t="n"/>
      <c r="B719" s="56">
        <f>IF(A719="","",WEEKNUM(A719,21))</f>
        <v/>
      </c>
      <c r="C719" s="57" t="n"/>
      <c r="D719" s="57" t="n"/>
      <c r="E719" s="58" t="n"/>
      <c r="F719" s="57" t="n"/>
      <c r="G719" s="59" t="n"/>
      <c r="H719" s="59" t="n"/>
      <c r="I719" s="60">
        <f>IF(OR(G719="",H719=""),"",MOD(H719-G719,1))</f>
        <v/>
      </c>
      <c r="J719" s="61">
        <f>IF(OR(G719="",H719=""),"",ROUND(MOD(H719-G719,1)*24,2))</f>
        <v/>
      </c>
      <c r="K719" s="62">
        <f>IF(E719="","",IF(E719="Werken","JA","NEE"))</f>
        <v/>
      </c>
      <c r="L719" s="61">
        <f>IF(K719="JA",N(J719),IF(E719="","",0))</f>
        <v/>
      </c>
      <c r="M719" s="62">
        <f>IF(AND(A719="",E719=""),"",IF(E719="","Segment ontbreekt",IF(OR(G719="",H719=""),"Van/tot ontbreekt",IF(N(J719)=0,"Duur is nul",IF(N(J719)&gt;12,"Langer dan 12 uur - controleren",IF(AND(E719="Werken",D719=""),"Werken zonder klant - koppelen","OK"))))))</f>
        <v/>
      </c>
    </row>
    <row r="720" ht="15" customHeight="1" s="42">
      <c r="A720" s="55" t="n"/>
      <c r="B720" s="56">
        <f>IF(A720="","",WEEKNUM(A720,21))</f>
        <v/>
      </c>
      <c r="C720" s="57" t="n"/>
      <c r="D720" s="57" t="n"/>
      <c r="E720" s="58" t="n"/>
      <c r="F720" s="57" t="n"/>
      <c r="G720" s="59" t="n"/>
      <c r="H720" s="59" t="n"/>
      <c r="I720" s="60">
        <f>IF(OR(G720="",H720=""),"",MOD(H720-G720,1))</f>
        <v/>
      </c>
      <c r="J720" s="61">
        <f>IF(OR(G720="",H720=""),"",ROUND(MOD(H720-G720,1)*24,2))</f>
        <v/>
      </c>
      <c r="K720" s="62">
        <f>IF(E720="","",IF(E720="Werken","JA","NEE"))</f>
        <v/>
      </c>
      <c r="L720" s="61">
        <f>IF(K720="JA",N(J720),IF(E720="","",0))</f>
        <v/>
      </c>
      <c r="M720" s="62">
        <f>IF(AND(A720="",E720=""),"",IF(E720="","Segment ontbreekt",IF(OR(G720="",H720=""),"Van/tot ontbreekt",IF(N(J720)=0,"Duur is nul",IF(N(J720)&gt;12,"Langer dan 12 uur - controleren",IF(AND(E720="Werken",D720=""),"Werken zonder klant - koppelen","OK"))))))</f>
        <v/>
      </c>
    </row>
    <row r="721" ht="15" customHeight="1" s="42">
      <c r="A721" s="55" t="n"/>
      <c r="B721" s="56">
        <f>IF(A721="","",WEEKNUM(A721,21))</f>
        <v/>
      </c>
      <c r="C721" s="57" t="n"/>
      <c r="D721" s="57" t="n"/>
      <c r="E721" s="58" t="n"/>
      <c r="F721" s="57" t="n"/>
      <c r="G721" s="59" t="n"/>
      <c r="H721" s="59" t="n"/>
      <c r="I721" s="60">
        <f>IF(OR(G721="",H721=""),"",MOD(H721-G721,1))</f>
        <v/>
      </c>
      <c r="J721" s="61">
        <f>IF(OR(G721="",H721=""),"",ROUND(MOD(H721-G721,1)*24,2))</f>
        <v/>
      </c>
      <c r="K721" s="62">
        <f>IF(E721="","",IF(E721="Werken","JA","NEE"))</f>
        <v/>
      </c>
      <c r="L721" s="61">
        <f>IF(K721="JA",N(J721),IF(E721="","",0))</f>
        <v/>
      </c>
      <c r="M721" s="62">
        <f>IF(AND(A721="",E721=""),"",IF(E721="","Segment ontbreekt",IF(OR(G721="",H721=""),"Van/tot ontbreekt",IF(N(J721)=0,"Duur is nul",IF(N(J721)&gt;12,"Langer dan 12 uur - controleren",IF(AND(E721="Werken",D721=""),"Werken zonder klant - koppelen","OK"))))))</f>
        <v/>
      </c>
    </row>
    <row r="722" ht="15" customHeight="1" s="42">
      <c r="A722" s="55" t="n"/>
      <c r="B722" s="56">
        <f>IF(A722="","",WEEKNUM(A722,21))</f>
        <v/>
      </c>
      <c r="C722" s="57" t="n"/>
      <c r="D722" s="57" t="n"/>
      <c r="E722" s="58" t="n"/>
      <c r="F722" s="57" t="n"/>
      <c r="G722" s="59" t="n"/>
      <c r="H722" s="59" t="n"/>
      <c r="I722" s="60">
        <f>IF(OR(G722="",H722=""),"",MOD(H722-G722,1))</f>
        <v/>
      </c>
      <c r="J722" s="61">
        <f>IF(OR(G722="",H722=""),"",ROUND(MOD(H722-G722,1)*24,2))</f>
        <v/>
      </c>
      <c r="K722" s="62">
        <f>IF(E722="","",IF(E722="Werken","JA","NEE"))</f>
        <v/>
      </c>
      <c r="L722" s="61">
        <f>IF(K722="JA",N(J722),IF(E722="","",0))</f>
        <v/>
      </c>
      <c r="M722" s="62">
        <f>IF(AND(A722="",E722=""),"",IF(E722="","Segment ontbreekt",IF(OR(G722="",H722=""),"Van/tot ontbreekt",IF(N(J722)=0,"Duur is nul",IF(N(J722)&gt;12,"Langer dan 12 uur - controleren",IF(AND(E722="Werken",D722=""),"Werken zonder klant - koppelen","OK"))))))</f>
        <v/>
      </c>
    </row>
    <row r="723" ht="15" customHeight="1" s="42">
      <c r="A723" s="55" t="n"/>
      <c r="B723" s="56">
        <f>IF(A723="","",WEEKNUM(A723,21))</f>
        <v/>
      </c>
      <c r="C723" s="57" t="n"/>
      <c r="D723" s="57" t="n"/>
      <c r="E723" s="58" t="n"/>
      <c r="F723" s="57" t="n"/>
      <c r="G723" s="59" t="n"/>
      <c r="H723" s="59" t="n"/>
      <c r="I723" s="60">
        <f>IF(OR(G723="",H723=""),"",MOD(H723-G723,1))</f>
        <v/>
      </c>
      <c r="J723" s="61">
        <f>IF(OR(G723="",H723=""),"",ROUND(MOD(H723-G723,1)*24,2))</f>
        <v/>
      </c>
      <c r="K723" s="62">
        <f>IF(E723="","",IF(E723="Werken","JA","NEE"))</f>
        <v/>
      </c>
      <c r="L723" s="61">
        <f>IF(K723="JA",N(J723),IF(E723="","",0))</f>
        <v/>
      </c>
      <c r="M723" s="62">
        <f>IF(AND(A723="",E723=""),"",IF(E723="","Segment ontbreekt",IF(OR(G723="",H723=""),"Van/tot ontbreekt",IF(N(J723)=0,"Duur is nul",IF(N(J723)&gt;12,"Langer dan 12 uur - controleren",IF(AND(E723="Werken",D723=""),"Werken zonder klant - koppelen","OK"))))))</f>
        <v/>
      </c>
    </row>
    <row r="724" ht="15" customHeight="1" s="42">
      <c r="A724" s="55" t="n"/>
      <c r="B724" s="56">
        <f>IF(A724="","",WEEKNUM(A724,21))</f>
        <v/>
      </c>
      <c r="C724" s="57" t="n"/>
      <c r="D724" s="57" t="n"/>
      <c r="E724" s="58" t="n"/>
      <c r="F724" s="57" t="n"/>
      <c r="G724" s="59" t="n"/>
      <c r="H724" s="59" t="n"/>
      <c r="I724" s="60">
        <f>IF(OR(G724="",H724=""),"",MOD(H724-G724,1))</f>
        <v/>
      </c>
      <c r="J724" s="61">
        <f>IF(OR(G724="",H724=""),"",ROUND(MOD(H724-G724,1)*24,2))</f>
        <v/>
      </c>
      <c r="K724" s="62">
        <f>IF(E724="","",IF(E724="Werken","JA","NEE"))</f>
        <v/>
      </c>
      <c r="L724" s="61">
        <f>IF(K724="JA",N(J724),IF(E724="","",0))</f>
        <v/>
      </c>
      <c r="M724" s="62">
        <f>IF(AND(A724="",E724=""),"",IF(E724="","Segment ontbreekt",IF(OR(G724="",H724=""),"Van/tot ontbreekt",IF(N(J724)=0,"Duur is nul",IF(N(J724)&gt;12,"Langer dan 12 uur - controleren",IF(AND(E724="Werken",D724=""),"Werken zonder klant - koppelen","OK"))))))</f>
        <v/>
      </c>
    </row>
    <row r="725" ht="15" customHeight="1" s="42">
      <c r="A725" s="55" t="n"/>
      <c r="B725" s="56">
        <f>IF(A725="","",WEEKNUM(A725,21))</f>
        <v/>
      </c>
      <c r="C725" s="57" t="n"/>
      <c r="D725" s="57" t="n"/>
      <c r="E725" s="58" t="n"/>
      <c r="F725" s="57" t="n"/>
      <c r="G725" s="59" t="n"/>
      <c r="H725" s="59" t="n"/>
      <c r="I725" s="60">
        <f>IF(OR(G725="",H725=""),"",MOD(H725-G725,1))</f>
        <v/>
      </c>
      <c r="J725" s="61">
        <f>IF(OR(G725="",H725=""),"",ROUND(MOD(H725-G725,1)*24,2))</f>
        <v/>
      </c>
      <c r="K725" s="62">
        <f>IF(E725="","",IF(E725="Werken","JA","NEE"))</f>
        <v/>
      </c>
      <c r="L725" s="61">
        <f>IF(K725="JA",N(J725),IF(E725="","",0))</f>
        <v/>
      </c>
      <c r="M725" s="62">
        <f>IF(AND(A725="",E725=""),"",IF(E725="","Segment ontbreekt",IF(OR(G725="",H725=""),"Van/tot ontbreekt",IF(N(J725)=0,"Duur is nul",IF(N(J725)&gt;12,"Langer dan 12 uur - controleren",IF(AND(E725="Werken",D725=""),"Werken zonder klant - koppelen","OK"))))))</f>
        <v/>
      </c>
    </row>
    <row r="726" ht="15" customHeight="1" s="42">
      <c r="A726" s="55" t="n"/>
      <c r="B726" s="56">
        <f>IF(A726="","",WEEKNUM(A726,21))</f>
        <v/>
      </c>
      <c r="C726" s="57" t="n"/>
      <c r="D726" s="57" t="n"/>
      <c r="E726" s="58" t="n"/>
      <c r="F726" s="57" t="n"/>
      <c r="G726" s="59" t="n"/>
      <c r="H726" s="59" t="n"/>
      <c r="I726" s="60">
        <f>IF(OR(G726="",H726=""),"",MOD(H726-G726,1))</f>
        <v/>
      </c>
      <c r="J726" s="61">
        <f>IF(OR(G726="",H726=""),"",ROUND(MOD(H726-G726,1)*24,2))</f>
        <v/>
      </c>
      <c r="K726" s="62">
        <f>IF(E726="","",IF(E726="Werken","JA","NEE"))</f>
        <v/>
      </c>
      <c r="L726" s="61">
        <f>IF(K726="JA",N(J726),IF(E726="","",0))</f>
        <v/>
      </c>
      <c r="M726" s="62">
        <f>IF(AND(A726="",E726=""),"",IF(E726="","Segment ontbreekt",IF(OR(G726="",H726=""),"Van/tot ontbreekt",IF(N(J726)=0,"Duur is nul",IF(N(J726)&gt;12,"Langer dan 12 uur - controleren",IF(AND(E726="Werken",D726=""),"Werken zonder klant - koppelen","OK"))))))</f>
        <v/>
      </c>
    </row>
    <row r="727" ht="15" customHeight="1" s="42">
      <c r="A727" s="55" t="n"/>
      <c r="B727" s="56">
        <f>IF(A727="","",WEEKNUM(A727,21))</f>
        <v/>
      </c>
      <c r="C727" s="57" t="n"/>
      <c r="D727" s="57" t="n"/>
      <c r="E727" s="58" t="n"/>
      <c r="F727" s="57" t="n"/>
      <c r="G727" s="59" t="n"/>
      <c r="H727" s="59" t="n"/>
      <c r="I727" s="60">
        <f>IF(OR(G727="",H727=""),"",MOD(H727-G727,1))</f>
        <v/>
      </c>
      <c r="J727" s="61">
        <f>IF(OR(G727="",H727=""),"",ROUND(MOD(H727-G727,1)*24,2))</f>
        <v/>
      </c>
      <c r="K727" s="62">
        <f>IF(E727="","",IF(E727="Werken","JA","NEE"))</f>
        <v/>
      </c>
      <c r="L727" s="61">
        <f>IF(K727="JA",N(J727),IF(E727="","",0))</f>
        <v/>
      </c>
      <c r="M727" s="62">
        <f>IF(AND(A727="",E727=""),"",IF(E727="","Segment ontbreekt",IF(OR(G727="",H727=""),"Van/tot ontbreekt",IF(N(J727)=0,"Duur is nul",IF(N(J727)&gt;12,"Langer dan 12 uur - controleren",IF(AND(E727="Werken",D727=""),"Werken zonder klant - koppelen","OK"))))))</f>
        <v/>
      </c>
    </row>
    <row r="728" ht="15" customHeight="1" s="42">
      <c r="A728" s="55" t="n"/>
      <c r="B728" s="56">
        <f>IF(A728="","",WEEKNUM(A728,21))</f>
        <v/>
      </c>
      <c r="C728" s="57" t="n"/>
      <c r="D728" s="57" t="n"/>
      <c r="E728" s="58" t="n"/>
      <c r="F728" s="57" t="n"/>
      <c r="G728" s="59" t="n"/>
      <c r="H728" s="59" t="n"/>
      <c r="I728" s="60">
        <f>IF(OR(G728="",H728=""),"",MOD(H728-G728,1))</f>
        <v/>
      </c>
      <c r="J728" s="61">
        <f>IF(OR(G728="",H728=""),"",ROUND(MOD(H728-G728,1)*24,2))</f>
        <v/>
      </c>
      <c r="K728" s="62">
        <f>IF(E728="","",IF(E728="Werken","JA","NEE"))</f>
        <v/>
      </c>
      <c r="L728" s="61">
        <f>IF(K728="JA",N(J728),IF(E728="","",0))</f>
        <v/>
      </c>
      <c r="M728" s="62">
        <f>IF(AND(A728="",E728=""),"",IF(E728="","Segment ontbreekt",IF(OR(G728="",H728=""),"Van/tot ontbreekt",IF(N(J728)=0,"Duur is nul",IF(N(J728)&gt;12,"Langer dan 12 uur - controleren",IF(AND(E728="Werken",D728=""),"Werken zonder klant - koppelen","OK"))))))</f>
        <v/>
      </c>
    </row>
    <row r="729" ht="15" customHeight="1" s="42">
      <c r="A729" s="55" t="n"/>
      <c r="B729" s="56">
        <f>IF(A729="","",WEEKNUM(A729,21))</f>
        <v/>
      </c>
      <c r="C729" s="57" t="n"/>
      <c r="D729" s="57" t="n"/>
      <c r="E729" s="58" t="n"/>
      <c r="F729" s="57" t="n"/>
      <c r="G729" s="59" t="n"/>
      <c r="H729" s="59" t="n"/>
      <c r="I729" s="60">
        <f>IF(OR(G729="",H729=""),"",MOD(H729-G729,1))</f>
        <v/>
      </c>
      <c r="J729" s="61">
        <f>IF(OR(G729="",H729=""),"",ROUND(MOD(H729-G729,1)*24,2))</f>
        <v/>
      </c>
      <c r="K729" s="62">
        <f>IF(E729="","",IF(E729="Werken","JA","NEE"))</f>
        <v/>
      </c>
      <c r="L729" s="61">
        <f>IF(K729="JA",N(J729),IF(E729="","",0))</f>
        <v/>
      </c>
      <c r="M729" s="62">
        <f>IF(AND(A729="",E729=""),"",IF(E729="","Segment ontbreekt",IF(OR(G729="",H729=""),"Van/tot ontbreekt",IF(N(J729)=0,"Duur is nul",IF(N(J729)&gt;12,"Langer dan 12 uur - controleren",IF(AND(E729="Werken",D729=""),"Werken zonder klant - koppelen","OK"))))))</f>
        <v/>
      </c>
    </row>
    <row r="730" ht="15" customHeight="1" s="42">
      <c r="A730" s="55" t="n"/>
      <c r="B730" s="56">
        <f>IF(A730="","",WEEKNUM(A730,21))</f>
        <v/>
      </c>
      <c r="C730" s="57" t="n"/>
      <c r="D730" s="57" t="n"/>
      <c r="E730" s="58" t="n"/>
      <c r="F730" s="57" t="n"/>
      <c r="G730" s="59" t="n"/>
      <c r="H730" s="59" t="n"/>
      <c r="I730" s="60">
        <f>IF(OR(G730="",H730=""),"",MOD(H730-G730,1))</f>
        <v/>
      </c>
      <c r="J730" s="61">
        <f>IF(OR(G730="",H730=""),"",ROUND(MOD(H730-G730,1)*24,2))</f>
        <v/>
      </c>
      <c r="K730" s="62">
        <f>IF(E730="","",IF(E730="Werken","JA","NEE"))</f>
        <v/>
      </c>
      <c r="L730" s="61">
        <f>IF(K730="JA",N(J730),IF(E730="","",0))</f>
        <v/>
      </c>
      <c r="M730" s="62">
        <f>IF(AND(A730="",E730=""),"",IF(E730="","Segment ontbreekt",IF(OR(G730="",H730=""),"Van/tot ontbreekt",IF(N(J730)=0,"Duur is nul",IF(N(J730)&gt;12,"Langer dan 12 uur - controleren",IF(AND(E730="Werken",D730=""),"Werken zonder klant - koppelen","OK"))))))</f>
        <v/>
      </c>
    </row>
    <row r="731" ht="15" customHeight="1" s="42">
      <c r="A731" s="55" t="n"/>
      <c r="B731" s="56">
        <f>IF(A731="","",WEEKNUM(A731,21))</f>
        <v/>
      </c>
      <c r="C731" s="57" t="n"/>
      <c r="D731" s="57" t="n"/>
      <c r="E731" s="58" t="n"/>
      <c r="F731" s="57" t="n"/>
      <c r="G731" s="59" t="n"/>
      <c r="H731" s="59" t="n"/>
      <c r="I731" s="60">
        <f>IF(OR(G731="",H731=""),"",MOD(H731-G731,1))</f>
        <v/>
      </c>
      <c r="J731" s="61">
        <f>IF(OR(G731="",H731=""),"",ROUND(MOD(H731-G731,1)*24,2))</f>
        <v/>
      </c>
      <c r="K731" s="62">
        <f>IF(E731="","",IF(E731="Werken","JA","NEE"))</f>
        <v/>
      </c>
      <c r="L731" s="61">
        <f>IF(K731="JA",N(J731),IF(E731="","",0))</f>
        <v/>
      </c>
      <c r="M731" s="62">
        <f>IF(AND(A731="",E731=""),"",IF(E731="","Segment ontbreekt",IF(OR(G731="",H731=""),"Van/tot ontbreekt",IF(N(J731)=0,"Duur is nul",IF(N(J731)&gt;12,"Langer dan 12 uur - controleren",IF(AND(E731="Werken",D731=""),"Werken zonder klant - koppelen","OK"))))))</f>
        <v/>
      </c>
    </row>
    <row r="732" ht="15" customHeight="1" s="42">
      <c r="A732" s="55" t="n"/>
      <c r="B732" s="56">
        <f>IF(A732="","",WEEKNUM(A732,21))</f>
        <v/>
      </c>
      <c r="C732" s="57" t="n"/>
      <c r="D732" s="57" t="n"/>
      <c r="E732" s="58" t="n"/>
      <c r="F732" s="57" t="n"/>
      <c r="G732" s="59" t="n"/>
      <c r="H732" s="59" t="n"/>
      <c r="I732" s="60">
        <f>IF(OR(G732="",H732=""),"",MOD(H732-G732,1))</f>
        <v/>
      </c>
      <c r="J732" s="61">
        <f>IF(OR(G732="",H732=""),"",ROUND(MOD(H732-G732,1)*24,2))</f>
        <v/>
      </c>
      <c r="K732" s="62">
        <f>IF(E732="","",IF(E732="Werken","JA","NEE"))</f>
        <v/>
      </c>
      <c r="L732" s="61">
        <f>IF(K732="JA",N(J732),IF(E732="","",0))</f>
        <v/>
      </c>
      <c r="M732" s="62">
        <f>IF(AND(A732="",E732=""),"",IF(E732="","Segment ontbreekt",IF(OR(G732="",H732=""),"Van/tot ontbreekt",IF(N(J732)=0,"Duur is nul",IF(N(J732)&gt;12,"Langer dan 12 uur - controleren",IF(AND(E732="Werken",D732=""),"Werken zonder klant - koppelen","OK"))))))</f>
        <v/>
      </c>
    </row>
    <row r="733" ht="15" customHeight="1" s="42">
      <c r="A733" s="55" t="n"/>
      <c r="B733" s="56">
        <f>IF(A733="","",WEEKNUM(A733,21))</f>
        <v/>
      </c>
      <c r="C733" s="57" t="n"/>
      <c r="D733" s="57" t="n"/>
      <c r="E733" s="58" t="n"/>
      <c r="F733" s="57" t="n"/>
      <c r="G733" s="59" t="n"/>
      <c r="H733" s="59" t="n"/>
      <c r="I733" s="60">
        <f>IF(OR(G733="",H733=""),"",MOD(H733-G733,1))</f>
        <v/>
      </c>
      <c r="J733" s="61">
        <f>IF(OR(G733="",H733=""),"",ROUND(MOD(H733-G733,1)*24,2))</f>
        <v/>
      </c>
      <c r="K733" s="62">
        <f>IF(E733="","",IF(E733="Werken","JA","NEE"))</f>
        <v/>
      </c>
      <c r="L733" s="61">
        <f>IF(K733="JA",N(J733),IF(E733="","",0))</f>
        <v/>
      </c>
      <c r="M733" s="62">
        <f>IF(AND(A733="",E733=""),"",IF(E733="","Segment ontbreekt",IF(OR(G733="",H733=""),"Van/tot ontbreekt",IF(N(J733)=0,"Duur is nul",IF(N(J733)&gt;12,"Langer dan 12 uur - controleren",IF(AND(E733="Werken",D733=""),"Werken zonder klant - koppelen","OK"))))))</f>
        <v/>
      </c>
    </row>
    <row r="734" ht="15" customHeight="1" s="42">
      <c r="A734" s="55" t="n"/>
      <c r="B734" s="56">
        <f>IF(A734="","",WEEKNUM(A734,21))</f>
        <v/>
      </c>
      <c r="C734" s="57" t="n"/>
      <c r="D734" s="57" t="n"/>
      <c r="E734" s="58" t="n"/>
      <c r="F734" s="57" t="n"/>
      <c r="G734" s="59" t="n"/>
      <c r="H734" s="59" t="n"/>
      <c r="I734" s="60">
        <f>IF(OR(G734="",H734=""),"",MOD(H734-G734,1))</f>
        <v/>
      </c>
      <c r="J734" s="61">
        <f>IF(OR(G734="",H734=""),"",ROUND(MOD(H734-G734,1)*24,2))</f>
        <v/>
      </c>
      <c r="K734" s="62">
        <f>IF(E734="","",IF(E734="Werken","JA","NEE"))</f>
        <v/>
      </c>
      <c r="L734" s="61">
        <f>IF(K734="JA",N(J734),IF(E734="","",0))</f>
        <v/>
      </c>
      <c r="M734" s="62">
        <f>IF(AND(A734="",E734=""),"",IF(E734="","Segment ontbreekt",IF(OR(G734="",H734=""),"Van/tot ontbreekt",IF(N(J734)=0,"Duur is nul",IF(N(J734)&gt;12,"Langer dan 12 uur - controleren",IF(AND(E734="Werken",D734=""),"Werken zonder klant - koppelen","OK"))))))</f>
        <v/>
      </c>
    </row>
    <row r="735" ht="15" customHeight="1" s="42">
      <c r="A735" s="55" t="n"/>
      <c r="B735" s="56">
        <f>IF(A735="","",WEEKNUM(A735,21))</f>
        <v/>
      </c>
      <c r="C735" s="57" t="n"/>
      <c r="D735" s="57" t="n"/>
      <c r="E735" s="58" t="n"/>
      <c r="F735" s="57" t="n"/>
      <c r="G735" s="59" t="n"/>
      <c r="H735" s="59" t="n"/>
      <c r="I735" s="60">
        <f>IF(OR(G735="",H735=""),"",MOD(H735-G735,1))</f>
        <v/>
      </c>
      <c r="J735" s="61">
        <f>IF(OR(G735="",H735=""),"",ROUND(MOD(H735-G735,1)*24,2))</f>
        <v/>
      </c>
      <c r="K735" s="62">
        <f>IF(E735="","",IF(E735="Werken","JA","NEE"))</f>
        <v/>
      </c>
      <c r="L735" s="61">
        <f>IF(K735="JA",N(J735),IF(E735="","",0))</f>
        <v/>
      </c>
      <c r="M735" s="62">
        <f>IF(AND(A735="",E735=""),"",IF(E735="","Segment ontbreekt",IF(OR(G735="",H735=""),"Van/tot ontbreekt",IF(N(J735)=0,"Duur is nul",IF(N(J735)&gt;12,"Langer dan 12 uur - controleren",IF(AND(E735="Werken",D735=""),"Werken zonder klant - koppelen","OK"))))))</f>
        <v/>
      </c>
    </row>
    <row r="736" ht="15" customHeight="1" s="42">
      <c r="A736" s="55" t="n"/>
      <c r="B736" s="56">
        <f>IF(A736="","",WEEKNUM(A736,21))</f>
        <v/>
      </c>
      <c r="C736" s="57" t="n"/>
      <c r="D736" s="57" t="n"/>
      <c r="E736" s="58" t="n"/>
      <c r="F736" s="57" t="n"/>
      <c r="G736" s="59" t="n"/>
      <c r="H736" s="59" t="n"/>
      <c r="I736" s="60">
        <f>IF(OR(G736="",H736=""),"",MOD(H736-G736,1))</f>
        <v/>
      </c>
      <c r="J736" s="61">
        <f>IF(OR(G736="",H736=""),"",ROUND(MOD(H736-G736,1)*24,2))</f>
        <v/>
      </c>
      <c r="K736" s="62">
        <f>IF(E736="","",IF(E736="Werken","JA","NEE"))</f>
        <v/>
      </c>
      <c r="L736" s="61">
        <f>IF(K736="JA",N(J736),IF(E736="","",0))</f>
        <v/>
      </c>
      <c r="M736" s="62">
        <f>IF(AND(A736="",E736=""),"",IF(E736="","Segment ontbreekt",IF(OR(G736="",H736=""),"Van/tot ontbreekt",IF(N(J736)=0,"Duur is nul",IF(N(J736)&gt;12,"Langer dan 12 uur - controleren",IF(AND(E736="Werken",D736=""),"Werken zonder klant - koppelen","OK"))))))</f>
        <v/>
      </c>
    </row>
    <row r="737" ht="15" customHeight="1" s="42">
      <c r="A737" s="55" t="n"/>
      <c r="B737" s="56">
        <f>IF(A737="","",WEEKNUM(A737,21))</f>
        <v/>
      </c>
      <c r="C737" s="57" t="n"/>
      <c r="D737" s="57" t="n"/>
      <c r="E737" s="58" t="n"/>
      <c r="F737" s="57" t="n"/>
      <c r="G737" s="59" t="n"/>
      <c r="H737" s="59" t="n"/>
      <c r="I737" s="60">
        <f>IF(OR(G737="",H737=""),"",MOD(H737-G737,1))</f>
        <v/>
      </c>
      <c r="J737" s="61">
        <f>IF(OR(G737="",H737=""),"",ROUND(MOD(H737-G737,1)*24,2))</f>
        <v/>
      </c>
      <c r="K737" s="62">
        <f>IF(E737="","",IF(E737="Werken","JA","NEE"))</f>
        <v/>
      </c>
      <c r="L737" s="61">
        <f>IF(K737="JA",N(J737),IF(E737="","",0))</f>
        <v/>
      </c>
      <c r="M737" s="62">
        <f>IF(AND(A737="",E737=""),"",IF(E737="","Segment ontbreekt",IF(OR(G737="",H737=""),"Van/tot ontbreekt",IF(N(J737)=0,"Duur is nul",IF(N(J737)&gt;12,"Langer dan 12 uur - controleren",IF(AND(E737="Werken",D737=""),"Werken zonder klant - koppelen","OK"))))))</f>
        <v/>
      </c>
    </row>
    <row r="738" ht="15" customHeight="1" s="42">
      <c r="A738" s="55" t="n"/>
      <c r="B738" s="56">
        <f>IF(A738="","",WEEKNUM(A738,21))</f>
        <v/>
      </c>
      <c r="C738" s="57" t="n"/>
      <c r="D738" s="57" t="n"/>
      <c r="E738" s="58" t="n"/>
      <c r="F738" s="57" t="n"/>
      <c r="G738" s="59" t="n"/>
      <c r="H738" s="59" t="n"/>
      <c r="I738" s="60">
        <f>IF(OR(G738="",H738=""),"",MOD(H738-G738,1))</f>
        <v/>
      </c>
      <c r="J738" s="61">
        <f>IF(OR(G738="",H738=""),"",ROUND(MOD(H738-G738,1)*24,2))</f>
        <v/>
      </c>
      <c r="K738" s="62">
        <f>IF(E738="","",IF(E738="Werken","JA","NEE"))</f>
        <v/>
      </c>
      <c r="L738" s="61">
        <f>IF(K738="JA",N(J738),IF(E738="","",0))</f>
        <v/>
      </c>
      <c r="M738" s="62">
        <f>IF(AND(A738="",E738=""),"",IF(E738="","Segment ontbreekt",IF(OR(G738="",H738=""),"Van/tot ontbreekt",IF(N(J738)=0,"Duur is nul",IF(N(J738)&gt;12,"Langer dan 12 uur - controleren",IF(AND(E738="Werken",D738=""),"Werken zonder klant - koppelen","OK"))))))</f>
        <v/>
      </c>
    </row>
    <row r="739" ht="15" customHeight="1" s="42">
      <c r="A739" s="55" t="n"/>
      <c r="B739" s="56">
        <f>IF(A739="","",WEEKNUM(A739,21))</f>
        <v/>
      </c>
      <c r="C739" s="57" t="n"/>
      <c r="D739" s="57" t="n"/>
      <c r="E739" s="58" t="n"/>
      <c r="F739" s="57" t="n"/>
      <c r="G739" s="59" t="n"/>
      <c r="H739" s="59" t="n"/>
      <c r="I739" s="60">
        <f>IF(OR(G739="",H739=""),"",MOD(H739-G739,1))</f>
        <v/>
      </c>
      <c r="J739" s="61">
        <f>IF(OR(G739="",H739=""),"",ROUND(MOD(H739-G739,1)*24,2))</f>
        <v/>
      </c>
      <c r="K739" s="62">
        <f>IF(E739="","",IF(E739="Werken","JA","NEE"))</f>
        <v/>
      </c>
      <c r="L739" s="61">
        <f>IF(K739="JA",N(J739),IF(E739="","",0))</f>
        <v/>
      </c>
      <c r="M739" s="62">
        <f>IF(AND(A739="",E739=""),"",IF(E739="","Segment ontbreekt",IF(OR(G739="",H739=""),"Van/tot ontbreekt",IF(N(J739)=0,"Duur is nul",IF(N(J739)&gt;12,"Langer dan 12 uur - controleren",IF(AND(E739="Werken",D739=""),"Werken zonder klant - koppelen","OK"))))))</f>
        <v/>
      </c>
    </row>
    <row r="740" ht="15" customHeight="1" s="42">
      <c r="A740" s="55" t="n"/>
      <c r="B740" s="56">
        <f>IF(A740="","",WEEKNUM(A740,21))</f>
        <v/>
      </c>
      <c r="C740" s="57" t="n"/>
      <c r="D740" s="57" t="n"/>
      <c r="E740" s="58" t="n"/>
      <c r="F740" s="57" t="n"/>
      <c r="G740" s="59" t="n"/>
      <c r="H740" s="59" t="n"/>
      <c r="I740" s="60">
        <f>IF(OR(G740="",H740=""),"",MOD(H740-G740,1))</f>
        <v/>
      </c>
      <c r="J740" s="61">
        <f>IF(OR(G740="",H740=""),"",ROUND(MOD(H740-G740,1)*24,2))</f>
        <v/>
      </c>
      <c r="K740" s="62">
        <f>IF(E740="","",IF(E740="Werken","JA","NEE"))</f>
        <v/>
      </c>
      <c r="L740" s="61">
        <f>IF(K740="JA",N(J740),IF(E740="","",0))</f>
        <v/>
      </c>
      <c r="M740" s="62">
        <f>IF(AND(A740="",E740=""),"",IF(E740="","Segment ontbreekt",IF(OR(G740="",H740=""),"Van/tot ontbreekt",IF(N(J740)=0,"Duur is nul",IF(N(J740)&gt;12,"Langer dan 12 uur - controleren",IF(AND(E740="Werken",D740=""),"Werken zonder klant - koppelen","OK"))))))</f>
        <v/>
      </c>
    </row>
    <row r="741" ht="15" customHeight="1" s="42">
      <c r="A741" s="55" t="n"/>
      <c r="B741" s="56">
        <f>IF(A741="","",WEEKNUM(A741,21))</f>
        <v/>
      </c>
      <c r="C741" s="57" t="n"/>
      <c r="D741" s="57" t="n"/>
      <c r="E741" s="58" t="n"/>
      <c r="F741" s="57" t="n"/>
      <c r="G741" s="59" t="n"/>
      <c r="H741" s="59" t="n"/>
      <c r="I741" s="60">
        <f>IF(OR(G741="",H741=""),"",MOD(H741-G741,1))</f>
        <v/>
      </c>
      <c r="J741" s="61">
        <f>IF(OR(G741="",H741=""),"",ROUND(MOD(H741-G741,1)*24,2))</f>
        <v/>
      </c>
      <c r="K741" s="62">
        <f>IF(E741="","",IF(E741="Werken","JA","NEE"))</f>
        <v/>
      </c>
      <c r="L741" s="61">
        <f>IF(K741="JA",N(J741),IF(E741="","",0))</f>
        <v/>
      </c>
      <c r="M741" s="62">
        <f>IF(AND(A741="",E741=""),"",IF(E741="","Segment ontbreekt",IF(OR(G741="",H741=""),"Van/tot ontbreekt",IF(N(J741)=0,"Duur is nul",IF(N(J741)&gt;12,"Langer dan 12 uur - controleren",IF(AND(E741="Werken",D741=""),"Werken zonder klant - koppelen","OK"))))))</f>
        <v/>
      </c>
    </row>
    <row r="742" ht="15" customHeight="1" s="42">
      <c r="A742" s="55" t="n"/>
      <c r="B742" s="56">
        <f>IF(A742="","",WEEKNUM(A742,21))</f>
        <v/>
      </c>
      <c r="C742" s="57" t="n"/>
      <c r="D742" s="57" t="n"/>
      <c r="E742" s="58" t="n"/>
      <c r="F742" s="57" t="n"/>
      <c r="G742" s="59" t="n"/>
      <c r="H742" s="59" t="n"/>
      <c r="I742" s="60">
        <f>IF(OR(G742="",H742=""),"",MOD(H742-G742,1))</f>
        <v/>
      </c>
      <c r="J742" s="61">
        <f>IF(OR(G742="",H742=""),"",ROUND(MOD(H742-G742,1)*24,2))</f>
        <v/>
      </c>
      <c r="K742" s="62">
        <f>IF(E742="","",IF(E742="Werken","JA","NEE"))</f>
        <v/>
      </c>
      <c r="L742" s="61">
        <f>IF(K742="JA",N(J742),IF(E742="","",0))</f>
        <v/>
      </c>
      <c r="M742" s="62">
        <f>IF(AND(A742="",E742=""),"",IF(E742="","Segment ontbreekt",IF(OR(G742="",H742=""),"Van/tot ontbreekt",IF(N(J742)=0,"Duur is nul",IF(N(J742)&gt;12,"Langer dan 12 uur - controleren",IF(AND(E742="Werken",D742=""),"Werken zonder klant - koppelen","OK"))))))</f>
        <v/>
      </c>
    </row>
    <row r="743" ht="15" customHeight="1" s="42">
      <c r="A743" s="55" t="n"/>
      <c r="B743" s="56">
        <f>IF(A743="","",WEEKNUM(A743,21))</f>
        <v/>
      </c>
      <c r="C743" s="57" t="n"/>
      <c r="D743" s="57" t="n"/>
      <c r="E743" s="58" t="n"/>
      <c r="F743" s="57" t="n"/>
      <c r="G743" s="59" t="n"/>
      <c r="H743" s="59" t="n"/>
      <c r="I743" s="60">
        <f>IF(OR(G743="",H743=""),"",MOD(H743-G743,1))</f>
        <v/>
      </c>
      <c r="J743" s="61">
        <f>IF(OR(G743="",H743=""),"",ROUND(MOD(H743-G743,1)*24,2))</f>
        <v/>
      </c>
      <c r="K743" s="62">
        <f>IF(E743="","",IF(E743="Werken","JA","NEE"))</f>
        <v/>
      </c>
      <c r="L743" s="61">
        <f>IF(K743="JA",N(J743),IF(E743="","",0))</f>
        <v/>
      </c>
      <c r="M743" s="62">
        <f>IF(AND(A743="",E743=""),"",IF(E743="","Segment ontbreekt",IF(OR(G743="",H743=""),"Van/tot ontbreekt",IF(N(J743)=0,"Duur is nul",IF(N(J743)&gt;12,"Langer dan 12 uur - controleren",IF(AND(E743="Werken",D743=""),"Werken zonder klant - koppelen","OK"))))))</f>
        <v/>
      </c>
    </row>
    <row r="744" ht="15" customHeight="1" s="42">
      <c r="A744" s="55" t="n"/>
      <c r="B744" s="56">
        <f>IF(A744="","",WEEKNUM(A744,21))</f>
        <v/>
      </c>
      <c r="C744" s="57" t="n"/>
      <c r="D744" s="57" t="n"/>
      <c r="E744" s="58" t="n"/>
      <c r="F744" s="57" t="n"/>
      <c r="G744" s="59" t="n"/>
      <c r="H744" s="59" t="n"/>
      <c r="I744" s="60">
        <f>IF(OR(G744="",H744=""),"",MOD(H744-G744,1))</f>
        <v/>
      </c>
      <c r="J744" s="61">
        <f>IF(OR(G744="",H744=""),"",ROUND(MOD(H744-G744,1)*24,2))</f>
        <v/>
      </c>
      <c r="K744" s="62">
        <f>IF(E744="","",IF(E744="Werken","JA","NEE"))</f>
        <v/>
      </c>
      <c r="L744" s="61">
        <f>IF(K744="JA",N(J744),IF(E744="","",0))</f>
        <v/>
      </c>
      <c r="M744" s="62">
        <f>IF(AND(A744="",E744=""),"",IF(E744="","Segment ontbreekt",IF(OR(G744="",H744=""),"Van/tot ontbreekt",IF(N(J744)=0,"Duur is nul",IF(N(J744)&gt;12,"Langer dan 12 uur - controleren",IF(AND(E744="Werken",D744=""),"Werken zonder klant - koppelen","OK"))))))</f>
        <v/>
      </c>
    </row>
    <row r="745" ht="15" customHeight="1" s="42">
      <c r="A745" s="55" t="n"/>
      <c r="B745" s="56">
        <f>IF(A745="","",WEEKNUM(A745,21))</f>
        <v/>
      </c>
      <c r="C745" s="57" t="n"/>
      <c r="D745" s="57" t="n"/>
      <c r="E745" s="58" t="n"/>
      <c r="F745" s="57" t="n"/>
      <c r="G745" s="59" t="n"/>
      <c r="H745" s="59" t="n"/>
      <c r="I745" s="60">
        <f>IF(OR(G745="",H745=""),"",MOD(H745-G745,1))</f>
        <v/>
      </c>
      <c r="J745" s="61">
        <f>IF(OR(G745="",H745=""),"",ROUND(MOD(H745-G745,1)*24,2))</f>
        <v/>
      </c>
      <c r="K745" s="62">
        <f>IF(E745="","",IF(E745="Werken","JA","NEE"))</f>
        <v/>
      </c>
      <c r="L745" s="61">
        <f>IF(K745="JA",N(J745),IF(E745="","",0))</f>
        <v/>
      </c>
      <c r="M745" s="62">
        <f>IF(AND(A745="",E745=""),"",IF(E745="","Segment ontbreekt",IF(OR(G745="",H745=""),"Van/tot ontbreekt",IF(N(J745)=0,"Duur is nul",IF(N(J745)&gt;12,"Langer dan 12 uur - controleren",IF(AND(E745="Werken",D745=""),"Werken zonder klant - koppelen","OK"))))))</f>
        <v/>
      </c>
    </row>
    <row r="746" ht="15" customHeight="1" s="42">
      <c r="A746" s="55" t="n"/>
      <c r="B746" s="56">
        <f>IF(A746="","",WEEKNUM(A746,21))</f>
        <v/>
      </c>
      <c r="C746" s="57" t="n"/>
      <c r="D746" s="57" t="n"/>
      <c r="E746" s="58" t="n"/>
      <c r="F746" s="57" t="n"/>
      <c r="G746" s="59" t="n"/>
      <c r="H746" s="59" t="n"/>
      <c r="I746" s="60">
        <f>IF(OR(G746="",H746=""),"",MOD(H746-G746,1))</f>
        <v/>
      </c>
      <c r="J746" s="61">
        <f>IF(OR(G746="",H746=""),"",ROUND(MOD(H746-G746,1)*24,2))</f>
        <v/>
      </c>
      <c r="K746" s="62">
        <f>IF(E746="","",IF(E746="Werken","JA","NEE"))</f>
        <v/>
      </c>
      <c r="L746" s="61">
        <f>IF(K746="JA",N(J746),IF(E746="","",0))</f>
        <v/>
      </c>
      <c r="M746" s="62">
        <f>IF(AND(A746="",E746=""),"",IF(E746="","Segment ontbreekt",IF(OR(G746="",H746=""),"Van/tot ontbreekt",IF(N(J746)=0,"Duur is nul",IF(N(J746)&gt;12,"Langer dan 12 uur - controleren",IF(AND(E746="Werken",D746=""),"Werken zonder klant - koppelen","OK"))))))</f>
        <v/>
      </c>
    </row>
    <row r="747" ht="15" customHeight="1" s="42">
      <c r="A747" s="55" t="n"/>
      <c r="B747" s="56">
        <f>IF(A747="","",WEEKNUM(A747,21))</f>
        <v/>
      </c>
      <c r="C747" s="57" t="n"/>
      <c r="D747" s="57" t="n"/>
      <c r="E747" s="58" t="n"/>
      <c r="F747" s="57" t="n"/>
      <c r="G747" s="59" t="n"/>
      <c r="H747" s="59" t="n"/>
      <c r="I747" s="60">
        <f>IF(OR(G747="",H747=""),"",MOD(H747-G747,1))</f>
        <v/>
      </c>
      <c r="J747" s="61">
        <f>IF(OR(G747="",H747=""),"",ROUND(MOD(H747-G747,1)*24,2))</f>
        <v/>
      </c>
      <c r="K747" s="62">
        <f>IF(E747="","",IF(E747="Werken","JA","NEE"))</f>
        <v/>
      </c>
      <c r="L747" s="61">
        <f>IF(K747="JA",N(J747),IF(E747="","",0))</f>
        <v/>
      </c>
      <c r="M747" s="62">
        <f>IF(AND(A747="",E747=""),"",IF(E747="","Segment ontbreekt",IF(OR(G747="",H747=""),"Van/tot ontbreekt",IF(N(J747)=0,"Duur is nul",IF(N(J747)&gt;12,"Langer dan 12 uur - controleren",IF(AND(E747="Werken",D747=""),"Werken zonder klant - koppelen","OK"))))))</f>
        <v/>
      </c>
    </row>
    <row r="748" ht="15" customHeight="1" s="42">
      <c r="A748" s="55" t="n"/>
      <c r="B748" s="56">
        <f>IF(A748="","",WEEKNUM(A748,21))</f>
        <v/>
      </c>
      <c r="C748" s="57" t="n"/>
      <c r="D748" s="57" t="n"/>
      <c r="E748" s="58" t="n"/>
      <c r="F748" s="57" t="n"/>
      <c r="G748" s="59" t="n"/>
      <c r="H748" s="59" t="n"/>
      <c r="I748" s="60">
        <f>IF(OR(G748="",H748=""),"",MOD(H748-G748,1))</f>
        <v/>
      </c>
      <c r="J748" s="61">
        <f>IF(OR(G748="",H748=""),"",ROUND(MOD(H748-G748,1)*24,2))</f>
        <v/>
      </c>
      <c r="K748" s="62">
        <f>IF(E748="","",IF(E748="Werken","JA","NEE"))</f>
        <v/>
      </c>
      <c r="L748" s="61">
        <f>IF(K748="JA",N(J748),IF(E748="","",0))</f>
        <v/>
      </c>
      <c r="M748" s="62">
        <f>IF(AND(A748="",E748=""),"",IF(E748="","Segment ontbreekt",IF(OR(G748="",H748=""),"Van/tot ontbreekt",IF(N(J748)=0,"Duur is nul",IF(N(J748)&gt;12,"Langer dan 12 uur - controleren",IF(AND(E748="Werken",D748=""),"Werken zonder klant - koppelen","OK"))))))</f>
        <v/>
      </c>
    </row>
    <row r="749" ht="15" customHeight="1" s="42">
      <c r="A749" s="55" t="n"/>
      <c r="B749" s="56">
        <f>IF(A749="","",WEEKNUM(A749,21))</f>
        <v/>
      </c>
      <c r="C749" s="57" t="n"/>
      <c r="D749" s="57" t="n"/>
      <c r="E749" s="58" t="n"/>
      <c r="F749" s="57" t="n"/>
      <c r="G749" s="59" t="n"/>
      <c r="H749" s="59" t="n"/>
      <c r="I749" s="60">
        <f>IF(OR(G749="",H749=""),"",MOD(H749-G749,1))</f>
        <v/>
      </c>
      <c r="J749" s="61">
        <f>IF(OR(G749="",H749=""),"",ROUND(MOD(H749-G749,1)*24,2))</f>
        <v/>
      </c>
      <c r="K749" s="62">
        <f>IF(E749="","",IF(E749="Werken","JA","NEE"))</f>
        <v/>
      </c>
      <c r="L749" s="61">
        <f>IF(K749="JA",N(J749),IF(E749="","",0))</f>
        <v/>
      </c>
      <c r="M749" s="62">
        <f>IF(AND(A749="",E749=""),"",IF(E749="","Segment ontbreekt",IF(OR(G749="",H749=""),"Van/tot ontbreekt",IF(N(J749)=0,"Duur is nul",IF(N(J749)&gt;12,"Langer dan 12 uur - controleren",IF(AND(E749="Werken",D749=""),"Werken zonder klant - koppelen","OK"))))))</f>
        <v/>
      </c>
    </row>
    <row r="750" ht="15" customHeight="1" s="42">
      <c r="A750" s="55" t="n"/>
      <c r="B750" s="56">
        <f>IF(A750="","",WEEKNUM(A750,21))</f>
        <v/>
      </c>
      <c r="C750" s="57" t="n"/>
      <c r="D750" s="57" t="n"/>
      <c r="E750" s="58" t="n"/>
      <c r="F750" s="57" t="n"/>
      <c r="G750" s="59" t="n"/>
      <c r="H750" s="59" t="n"/>
      <c r="I750" s="60">
        <f>IF(OR(G750="",H750=""),"",MOD(H750-G750,1))</f>
        <v/>
      </c>
      <c r="J750" s="61">
        <f>IF(OR(G750="",H750=""),"",ROUND(MOD(H750-G750,1)*24,2))</f>
        <v/>
      </c>
      <c r="K750" s="62">
        <f>IF(E750="","",IF(E750="Werken","JA","NEE"))</f>
        <v/>
      </c>
      <c r="L750" s="61">
        <f>IF(K750="JA",N(J750),IF(E750="","",0))</f>
        <v/>
      </c>
      <c r="M750" s="62">
        <f>IF(AND(A750="",E750=""),"",IF(E750="","Segment ontbreekt",IF(OR(G750="",H750=""),"Van/tot ontbreekt",IF(N(J750)=0,"Duur is nul",IF(N(J750)&gt;12,"Langer dan 12 uur - controleren",IF(AND(E750="Werken",D750=""),"Werken zonder klant - koppelen","OK"))))))</f>
        <v/>
      </c>
    </row>
    <row r="751" ht="15" customHeight="1" s="42">
      <c r="A751" s="55" t="n"/>
      <c r="B751" s="56">
        <f>IF(A751="","",WEEKNUM(A751,21))</f>
        <v/>
      </c>
      <c r="C751" s="57" t="n"/>
      <c r="D751" s="57" t="n"/>
      <c r="E751" s="58" t="n"/>
      <c r="F751" s="57" t="n"/>
      <c r="G751" s="59" t="n"/>
      <c r="H751" s="59" t="n"/>
      <c r="I751" s="60">
        <f>IF(OR(G751="",H751=""),"",MOD(H751-G751,1))</f>
        <v/>
      </c>
      <c r="J751" s="61">
        <f>IF(OR(G751="",H751=""),"",ROUND(MOD(H751-G751,1)*24,2))</f>
        <v/>
      </c>
      <c r="K751" s="62">
        <f>IF(E751="","",IF(E751="Werken","JA","NEE"))</f>
        <v/>
      </c>
      <c r="L751" s="61">
        <f>IF(K751="JA",N(J751),IF(E751="","",0))</f>
        <v/>
      </c>
      <c r="M751" s="62">
        <f>IF(AND(A751="",E751=""),"",IF(E751="","Segment ontbreekt",IF(OR(G751="",H751=""),"Van/tot ontbreekt",IF(N(J751)=0,"Duur is nul",IF(N(J751)&gt;12,"Langer dan 12 uur - controleren",IF(AND(E751="Werken",D751=""),"Werken zonder klant - koppelen","OK"))))))</f>
        <v/>
      </c>
    </row>
    <row r="752" ht="15" customHeight="1" s="42">
      <c r="A752" s="55" t="n"/>
      <c r="B752" s="56">
        <f>IF(A752="","",WEEKNUM(A752,21))</f>
        <v/>
      </c>
      <c r="C752" s="57" t="n"/>
      <c r="D752" s="57" t="n"/>
      <c r="E752" s="58" t="n"/>
      <c r="F752" s="57" t="n"/>
      <c r="G752" s="59" t="n"/>
      <c r="H752" s="59" t="n"/>
      <c r="I752" s="60">
        <f>IF(OR(G752="",H752=""),"",MOD(H752-G752,1))</f>
        <v/>
      </c>
      <c r="J752" s="61">
        <f>IF(OR(G752="",H752=""),"",ROUND(MOD(H752-G752,1)*24,2))</f>
        <v/>
      </c>
      <c r="K752" s="62">
        <f>IF(E752="","",IF(E752="Werken","JA","NEE"))</f>
        <v/>
      </c>
      <c r="L752" s="61">
        <f>IF(K752="JA",N(J752),IF(E752="","",0))</f>
        <v/>
      </c>
      <c r="M752" s="62">
        <f>IF(AND(A752="",E752=""),"",IF(E752="","Segment ontbreekt",IF(OR(G752="",H752=""),"Van/tot ontbreekt",IF(N(J752)=0,"Duur is nul",IF(N(J752)&gt;12,"Langer dan 12 uur - controleren",IF(AND(E752="Werken",D752=""),"Werken zonder klant - koppelen","OK"))))))</f>
        <v/>
      </c>
    </row>
    <row r="753" ht="15" customHeight="1" s="42">
      <c r="A753" s="55" t="n"/>
      <c r="B753" s="56">
        <f>IF(A753="","",WEEKNUM(A753,21))</f>
        <v/>
      </c>
      <c r="C753" s="57" t="n"/>
      <c r="D753" s="57" t="n"/>
      <c r="E753" s="58" t="n"/>
      <c r="F753" s="57" t="n"/>
      <c r="G753" s="59" t="n"/>
      <c r="H753" s="59" t="n"/>
      <c r="I753" s="60">
        <f>IF(OR(G753="",H753=""),"",MOD(H753-G753,1))</f>
        <v/>
      </c>
      <c r="J753" s="61">
        <f>IF(OR(G753="",H753=""),"",ROUND(MOD(H753-G753,1)*24,2))</f>
        <v/>
      </c>
      <c r="K753" s="62">
        <f>IF(E753="","",IF(E753="Werken","JA","NEE"))</f>
        <v/>
      </c>
      <c r="L753" s="61">
        <f>IF(K753="JA",N(J753),IF(E753="","",0))</f>
        <v/>
      </c>
      <c r="M753" s="62">
        <f>IF(AND(A753="",E753=""),"",IF(E753="","Segment ontbreekt",IF(OR(G753="",H753=""),"Van/tot ontbreekt",IF(N(J753)=0,"Duur is nul",IF(N(J753)&gt;12,"Langer dan 12 uur - controleren",IF(AND(E753="Werken",D753=""),"Werken zonder klant - koppelen","OK"))))))</f>
        <v/>
      </c>
    </row>
    <row r="754" ht="15" customHeight="1" s="42">
      <c r="A754" s="55" t="n"/>
      <c r="B754" s="56">
        <f>IF(A754="","",WEEKNUM(A754,21))</f>
        <v/>
      </c>
      <c r="C754" s="57" t="n"/>
      <c r="D754" s="57" t="n"/>
      <c r="E754" s="58" t="n"/>
      <c r="F754" s="57" t="n"/>
      <c r="G754" s="59" t="n"/>
      <c r="H754" s="59" t="n"/>
      <c r="I754" s="60">
        <f>IF(OR(G754="",H754=""),"",MOD(H754-G754,1))</f>
        <v/>
      </c>
      <c r="J754" s="61">
        <f>IF(OR(G754="",H754=""),"",ROUND(MOD(H754-G754,1)*24,2))</f>
        <v/>
      </c>
      <c r="K754" s="62">
        <f>IF(E754="","",IF(E754="Werken","JA","NEE"))</f>
        <v/>
      </c>
      <c r="L754" s="61">
        <f>IF(K754="JA",N(J754),IF(E754="","",0))</f>
        <v/>
      </c>
      <c r="M754" s="62">
        <f>IF(AND(A754="",E754=""),"",IF(E754="","Segment ontbreekt",IF(OR(G754="",H754=""),"Van/tot ontbreekt",IF(N(J754)=0,"Duur is nul",IF(N(J754)&gt;12,"Langer dan 12 uur - controleren",IF(AND(E754="Werken",D754=""),"Werken zonder klant - koppelen","OK"))))))</f>
        <v/>
      </c>
    </row>
    <row r="755" ht="15" customHeight="1" s="42">
      <c r="A755" s="55" t="n"/>
      <c r="B755" s="56">
        <f>IF(A755="","",WEEKNUM(A755,21))</f>
        <v/>
      </c>
      <c r="C755" s="57" t="n"/>
      <c r="D755" s="57" t="n"/>
      <c r="E755" s="58" t="n"/>
      <c r="F755" s="57" t="n"/>
      <c r="G755" s="59" t="n"/>
      <c r="H755" s="59" t="n"/>
      <c r="I755" s="60">
        <f>IF(OR(G755="",H755=""),"",MOD(H755-G755,1))</f>
        <v/>
      </c>
      <c r="J755" s="61">
        <f>IF(OR(G755="",H755=""),"",ROUND(MOD(H755-G755,1)*24,2))</f>
        <v/>
      </c>
      <c r="K755" s="62">
        <f>IF(E755="","",IF(E755="Werken","JA","NEE"))</f>
        <v/>
      </c>
      <c r="L755" s="61">
        <f>IF(K755="JA",N(J755),IF(E755="","",0))</f>
        <v/>
      </c>
      <c r="M755" s="62">
        <f>IF(AND(A755="",E755=""),"",IF(E755="","Segment ontbreekt",IF(OR(G755="",H755=""),"Van/tot ontbreekt",IF(N(J755)=0,"Duur is nul",IF(N(J755)&gt;12,"Langer dan 12 uur - controleren",IF(AND(E755="Werken",D755=""),"Werken zonder klant - koppelen","OK"))))))</f>
        <v/>
      </c>
    </row>
    <row r="756" ht="15" customHeight="1" s="42">
      <c r="A756" s="55" t="n"/>
      <c r="B756" s="56">
        <f>IF(A756="","",WEEKNUM(A756,21))</f>
        <v/>
      </c>
      <c r="C756" s="57" t="n"/>
      <c r="D756" s="57" t="n"/>
      <c r="E756" s="58" t="n"/>
      <c r="F756" s="57" t="n"/>
      <c r="G756" s="59" t="n"/>
      <c r="H756" s="59" t="n"/>
      <c r="I756" s="60">
        <f>IF(OR(G756="",H756=""),"",MOD(H756-G756,1))</f>
        <v/>
      </c>
      <c r="J756" s="61">
        <f>IF(OR(G756="",H756=""),"",ROUND(MOD(H756-G756,1)*24,2))</f>
        <v/>
      </c>
      <c r="K756" s="62">
        <f>IF(E756="","",IF(E756="Werken","JA","NEE"))</f>
        <v/>
      </c>
      <c r="L756" s="61">
        <f>IF(K756="JA",N(J756),IF(E756="","",0))</f>
        <v/>
      </c>
      <c r="M756" s="62">
        <f>IF(AND(A756="",E756=""),"",IF(E756="","Segment ontbreekt",IF(OR(G756="",H756=""),"Van/tot ontbreekt",IF(N(J756)=0,"Duur is nul",IF(N(J756)&gt;12,"Langer dan 12 uur - controleren",IF(AND(E756="Werken",D756=""),"Werken zonder klant - koppelen","OK"))))))</f>
        <v/>
      </c>
    </row>
    <row r="757" ht="15" customHeight="1" s="42">
      <c r="A757" s="55" t="n"/>
      <c r="B757" s="56">
        <f>IF(A757="","",WEEKNUM(A757,21))</f>
        <v/>
      </c>
      <c r="C757" s="57" t="n"/>
      <c r="D757" s="57" t="n"/>
      <c r="E757" s="58" t="n"/>
      <c r="F757" s="57" t="n"/>
      <c r="G757" s="59" t="n"/>
      <c r="H757" s="59" t="n"/>
      <c r="I757" s="60">
        <f>IF(OR(G757="",H757=""),"",MOD(H757-G757,1))</f>
        <v/>
      </c>
      <c r="J757" s="61">
        <f>IF(OR(G757="",H757=""),"",ROUND(MOD(H757-G757,1)*24,2))</f>
        <v/>
      </c>
      <c r="K757" s="62">
        <f>IF(E757="","",IF(E757="Werken","JA","NEE"))</f>
        <v/>
      </c>
      <c r="L757" s="61">
        <f>IF(K757="JA",N(J757),IF(E757="","",0))</f>
        <v/>
      </c>
      <c r="M757" s="62">
        <f>IF(AND(A757="",E757=""),"",IF(E757="","Segment ontbreekt",IF(OR(G757="",H757=""),"Van/tot ontbreekt",IF(N(J757)=0,"Duur is nul",IF(N(J757)&gt;12,"Langer dan 12 uur - controleren",IF(AND(E757="Werken",D757=""),"Werken zonder klant - koppelen","OK"))))))</f>
        <v/>
      </c>
    </row>
    <row r="758" ht="15" customHeight="1" s="42">
      <c r="A758" s="55" t="n"/>
      <c r="B758" s="56">
        <f>IF(A758="","",WEEKNUM(A758,21))</f>
        <v/>
      </c>
      <c r="C758" s="57" t="n"/>
      <c r="D758" s="57" t="n"/>
      <c r="E758" s="58" t="n"/>
      <c r="F758" s="57" t="n"/>
      <c r="G758" s="59" t="n"/>
      <c r="H758" s="59" t="n"/>
      <c r="I758" s="60">
        <f>IF(OR(G758="",H758=""),"",MOD(H758-G758,1))</f>
        <v/>
      </c>
      <c r="J758" s="61">
        <f>IF(OR(G758="",H758=""),"",ROUND(MOD(H758-G758,1)*24,2))</f>
        <v/>
      </c>
      <c r="K758" s="62">
        <f>IF(E758="","",IF(E758="Werken","JA","NEE"))</f>
        <v/>
      </c>
      <c r="L758" s="61">
        <f>IF(K758="JA",N(J758),IF(E758="","",0))</f>
        <v/>
      </c>
      <c r="M758" s="62">
        <f>IF(AND(A758="",E758=""),"",IF(E758="","Segment ontbreekt",IF(OR(G758="",H758=""),"Van/tot ontbreekt",IF(N(J758)=0,"Duur is nul",IF(N(J758)&gt;12,"Langer dan 12 uur - controleren",IF(AND(E758="Werken",D758=""),"Werken zonder klant - koppelen","OK"))))))</f>
        <v/>
      </c>
    </row>
    <row r="759" ht="15" customHeight="1" s="42">
      <c r="A759" s="55" t="n"/>
      <c r="B759" s="56">
        <f>IF(A759="","",WEEKNUM(A759,21))</f>
        <v/>
      </c>
      <c r="C759" s="57" t="n"/>
      <c r="D759" s="57" t="n"/>
      <c r="E759" s="58" t="n"/>
      <c r="F759" s="57" t="n"/>
      <c r="G759" s="59" t="n"/>
      <c r="H759" s="59" t="n"/>
      <c r="I759" s="60">
        <f>IF(OR(G759="",H759=""),"",MOD(H759-G759,1))</f>
        <v/>
      </c>
      <c r="J759" s="61">
        <f>IF(OR(G759="",H759=""),"",ROUND(MOD(H759-G759,1)*24,2))</f>
        <v/>
      </c>
      <c r="K759" s="62">
        <f>IF(E759="","",IF(E759="Werken","JA","NEE"))</f>
        <v/>
      </c>
      <c r="L759" s="61">
        <f>IF(K759="JA",N(J759),IF(E759="","",0))</f>
        <v/>
      </c>
      <c r="M759" s="62">
        <f>IF(AND(A759="",E759=""),"",IF(E759="","Segment ontbreekt",IF(OR(G759="",H759=""),"Van/tot ontbreekt",IF(N(J759)=0,"Duur is nul",IF(N(J759)&gt;12,"Langer dan 12 uur - controleren",IF(AND(E759="Werken",D759=""),"Werken zonder klant - koppelen","OK"))))))</f>
        <v/>
      </c>
    </row>
    <row r="760" ht="15" customHeight="1" s="42">
      <c r="A760" s="55" t="n"/>
      <c r="B760" s="56">
        <f>IF(A760="","",WEEKNUM(A760,21))</f>
        <v/>
      </c>
      <c r="C760" s="57" t="n"/>
      <c r="D760" s="57" t="n"/>
      <c r="E760" s="58" t="n"/>
      <c r="F760" s="57" t="n"/>
      <c r="G760" s="59" t="n"/>
      <c r="H760" s="59" t="n"/>
      <c r="I760" s="60">
        <f>IF(OR(G760="",H760=""),"",MOD(H760-G760,1))</f>
        <v/>
      </c>
      <c r="J760" s="61">
        <f>IF(OR(G760="",H760=""),"",ROUND(MOD(H760-G760,1)*24,2))</f>
        <v/>
      </c>
      <c r="K760" s="62">
        <f>IF(E760="","",IF(E760="Werken","JA","NEE"))</f>
        <v/>
      </c>
      <c r="L760" s="61">
        <f>IF(K760="JA",N(J760),IF(E760="","",0))</f>
        <v/>
      </c>
      <c r="M760" s="62">
        <f>IF(AND(A760="",E760=""),"",IF(E760="","Segment ontbreekt",IF(OR(G760="",H760=""),"Van/tot ontbreekt",IF(N(J760)=0,"Duur is nul",IF(N(J760)&gt;12,"Langer dan 12 uur - controleren",IF(AND(E760="Werken",D760=""),"Werken zonder klant - koppelen","OK"))))))</f>
        <v/>
      </c>
    </row>
    <row r="761" ht="15" customHeight="1" s="42">
      <c r="A761" s="55" t="n"/>
      <c r="B761" s="56">
        <f>IF(A761="","",WEEKNUM(A761,21))</f>
        <v/>
      </c>
      <c r="C761" s="57" t="n"/>
      <c r="D761" s="57" t="n"/>
      <c r="E761" s="58" t="n"/>
      <c r="F761" s="57" t="n"/>
      <c r="G761" s="59" t="n"/>
      <c r="H761" s="59" t="n"/>
      <c r="I761" s="60">
        <f>IF(OR(G761="",H761=""),"",MOD(H761-G761,1))</f>
        <v/>
      </c>
      <c r="J761" s="61">
        <f>IF(OR(G761="",H761=""),"",ROUND(MOD(H761-G761,1)*24,2))</f>
        <v/>
      </c>
      <c r="K761" s="62">
        <f>IF(E761="","",IF(E761="Werken","JA","NEE"))</f>
        <v/>
      </c>
      <c r="L761" s="61">
        <f>IF(K761="JA",N(J761),IF(E761="","",0))</f>
        <v/>
      </c>
      <c r="M761" s="62">
        <f>IF(AND(A761="",E761=""),"",IF(E761="","Segment ontbreekt",IF(OR(G761="",H761=""),"Van/tot ontbreekt",IF(N(J761)=0,"Duur is nul",IF(N(J761)&gt;12,"Langer dan 12 uur - controleren",IF(AND(E761="Werken",D761=""),"Werken zonder klant - koppelen","OK"))))))</f>
        <v/>
      </c>
    </row>
    <row r="762" ht="15" customHeight="1" s="42">
      <c r="A762" s="55" t="n"/>
      <c r="B762" s="56">
        <f>IF(A762="","",WEEKNUM(A762,21))</f>
        <v/>
      </c>
      <c r="C762" s="57" t="n"/>
      <c r="D762" s="57" t="n"/>
      <c r="E762" s="58" t="n"/>
      <c r="F762" s="57" t="n"/>
      <c r="G762" s="59" t="n"/>
      <c r="H762" s="59" t="n"/>
      <c r="I762" s="60">
        <f>IF(OR(G762="",H762=""),"",MOD(H762-G762,1))</f>
        <v/>
      </c>
      <c r="J762" s="61">
        <f>IF(OR(G762="",H762=""),"",ROUND(MOD(H762-G762,1)*24,2))</f>
        <v/>
      </c>
      <c r="K762" s="62">
        <f>IF(E762="","",IF(E762="Werken","JA","NEE"))</f>
        <v/>
      </c>
      <c r="L762" s="61">
        <f>IF(K762="JA",N(J762),IF(E762="","",0))</f>
        <v/>
      </c>
      <c r="M762" s="62">
        <f>IF(AND(A762="",E762=""),"",IF(E762="","Segment ontbreekt",IF(OR(G762="",H762=""),"Van/tot ontbreekt",IF(N(J762)=0,"Duur is nul",IF(N(J762)&gt;12,"Langer dan 12 uur - controleren",IF(AND(E762="Werken",D762=""),"Werken zonder klant - koppelen","OK"))))))</f>
        <v/>
      </c>
    </row>
    <row r="763" ht="15" customHeight="1" s="42">
      <c r="A763" s="55" t="n"/>
      <c r="B763" s="56">
        <f>IF(A763="","",WEEKNUM(A763,21))</f>
        <v/>
      </c>
      <c r="C763" s="57" t="n"/>
      <c r="D763" s="57" t="n"/>
      <c r="E763" s="58" t="n"/>
      <c r="F763" s="57" t="n"/>
      <c r="G763" s="59" t="n"/>
      <c r="H763" s="59" t="n"/>
      <c r="I763" s="60">
        <f>IF(OR(G763="",H763=""),"",MOD(H763-G763,1))</f>
        <v/>
      </c>
      <c r="J763" s="61">
        <f>IF(OR(G763="",H763=""),"",ROUND(MOD(H763-G763,1)*24,2))</f>
        <v/>
      </c>
      <c r="K763" s="62">
        <f>IF(E763="","",IF(E763="Werken","JA","NEE"))</f>
        <v/>
      </c>
      <c r="L763" s="61">
        <f>IF(K763="JA",N(J763),IF(E763="","",0))</f>
        <v/>
      </c>
      <c r="M763" s="62">
        <f>IF(AND(A763="",E763=""),"",IF(E763="","Segment ontbreekt",IF(OR(G763="",H763=""),"Van/tot ontbreekt",IF(N(J763)=0,"Duur is nul",IF(N(J763)&gt;12,"Langer dan 12 uur - controleren",IF(AND(E763="Werken",D763=""),"Werken zonder klant - koppelen","OK"))))))</f>
        <v/>
      </c>
    </row>
    <row r="764" ht="15" customHeight="1" s="42">
      <c r="A764" s="55" t="n"/>
      <c r="B764" s="56">
        <f>IF(A764="","",WEEKNUM(A764,21))</f>
        <v/>
      </c>
      <c r="C764" s="57" t="n"/>
      <c r="D764" s="57" t="n"/>
      <c r="E764" s="58" t="n"/>
      <c r="F764" s="57" t="n"/>
      <c r="G764" s="59" t="n"/>
      <c r="H764" s="59" t="n"/>
      <c r="I764" s="60">
        <f>IF(OR(G764="",H764=""),"",MOD(H764-G764,1))</f>
        <v/>
      </c>
      <c r="J764" s="61">
        <f>IF(OR(G764="",H764=""),"",ROUND(MOD(H764-G764,1)*24,2))</f>
        <v/>
      </c>
      <c r="K764" s="62">
        <f>IF(E764="","",IF(E764="Werken","JA","NEE"))</f>
        <v/>
      </c>
      <c r="L764" s="61">
        <f>IF(K764="JA",N(J764),IF(E764="","",0))</f>
        <v/>
      </c>
      <c r="M764" s="62">
        <f>IF(AND(A764="",E764=""),"",IF(E764="","Segment ontbreekt",IF(OR(G764="",H764=""),"Van/tot ontbreekt",IF(N(J764)=0,"Duur is nul",IF(N(J764)&gt;12,"Langer dan 12 uur - controleren",IF(AND(E764="Werken",D764=""),"Werken zonder klant - koppelen","OK"))))))</f>
        <v/>
      </c>
    </row>
    <row r="765" ht="15" customHeight="1" s="42">
      <c r="A765" s="55" t="n"/>
      <c r="B765" s="56">
        <f>IF(A765="","",WEEKNUM(A765,21))</f>
        <v/>
      </c>
      <c r="C765" s="57" t="n"/>
      <c r="D765" s="57" t="n"/>
      <c r="E765" s="58" t="n"/>
      <c r="F765" s="57" t="n"/>
      <c r="G765" s="59" t="n"/>
      <c r="H765" s="59" t="n"/>
      <c r="I765" s="60">
        <f>IF(OR(G765="",H765=""),"",MOD(H765-G765,1))</f>
        <v/>
      </c>
      <c r="J765" s="61">
        <f>IF(OR(G765="",H765=""),"",ROUND(MOD(H765-G765,1)*24,2))</f>
        <v/>
      </c>
      <c r="K765" s="62">
        <f>IF(E765="","",IF(E765="Werken","JA","NEE"))</f>
        <v/>
      </c>
      <c r="L765" s="61">
        <f>IF(K765="JA",N(J765),IF(E765="","",0))</f>
        <v/>
      </c>
      <c r="M765" s="62">
        <f>IF(AND(A765="",E765=""),"",IF(E765="","Segment ontbreekt",IF(OR(G765="",H765=""),"Van/tot ontbreekt",IF(N(J765)=0,"Duur is nul",IF(N(J765)&gt;12,"Langer dan 12 uur - controleren",IF(AND(E765="Werken",D765=""),"Werken zonder klant - koppelen","OK"))))))</f>
        <v/>
      </c>
    </row>
    <row r="766" ht="15" customHeight="1" s="42">
      <c r="A766" s="55" t="n"/>
      <c r="B766" s="56">
        <f>IF(A766="","",WEEKNUM(A766,21))</f>
        <v/>
      </c>
      <c r="C766" s="57" t="n"/>
      <c r="D766" s="57" t="n"/>
      <c r="E766" s="58" t="n"/>
      <c r="F766" s="57" t="n"/>
      <c r="G766" s="59" t="n"/>
      <c r="H766" s="59" t="n"/>
      <c r="I766" s="60">
        <f>IF(OR(G766="",H766=""),"",MOD(H766-G766,1))</f>
        <v/>
      </c>
      <c r="J766" s="61">
        <f>IF(OR(G766="",H766=""),"",ROUND(MOD(H766-G766,1)*24,2))</f>
        <v/>
      </c>
      <c r="K766" s="62">
        <f>IF(E766="","",IF(E766="Werken","JA","NEE"))</f>
        <v/>
      </c>
      <c r="L766" s="61">
        <f>IF(K766="JA",N(J766),IF(E766="","",0))</f>
        <v/>
      </c>
      <c r="M766" s="62">
        <f>IF(AND(A766="",E766=""),"",IF(E766="","Segment ontbreekt",IF(OR(G766="",H766=""),"Van/tot ontbreekt",IF(N(J766)=0,"Duur is nul",IF(N(J766)&gt;12,"Langer dan 12 uur - controleren",IF(AND(E766="Werken",D766=""),"Werken zonder klant - koppelen","OK"))))))</f>
        <v/>
      </c>
    </row>
    <row r="767" ht="15" customHeight="1" s="42">
      <c r="A767" s="55" t="n"/>
      <c r="B767" s="56">
        <f>IF(A767="","",WEEKNUM(A767,21))</f>
        <v/>
      </c>
      <c r="C767" s="57" t="n"/>
      <c r="D767" s="57" t="n"/>
      <c r="E767" s="58" t="n"/>
      <c r="F767" s="57" t="n"/>
      <c r="G767" s="59" t="n"/>
      <c r="H767" s="59" t="n"/>
      <c r="I767" s="60">
        <f>IF(OR(G767="",H767=""),"",MOD(H767-G767,1))</f>
        <v/>
      </c>
      <c r="J767" s="61">
        <f>IF(OR(G767="",H767=""),"",ROUND(MOD(H767-G767,1)*24,2))</f>
        <v/>
      </c>
      <c r="K767" s="62">
        <f>IF(E767="","",IF(E767="Werken","JA","NEE"))</f>
        <v/>
      </c>
      <c r="L767" s="61">
        <f>IF(K767="JA",N(J767),IF(E767="","",0))</f>
        <v/>
      </c>
      <c r="M767" s="62">
        <f>IF(AND(A767="",E767=""),"",IF(E767="","Segment ontbreekt",IF(OR(G767="",H767=""),"Van/tot ontbreekt",IF(N(J767)=0,"Duur is nul",IF(N(J767)&gt;12,"Langer dan 12 uur - controleren",IF(AND(E767="Werken",D767=""),"Werken zonder klant - koppelen","OK"))))))</f>
        <v/>
      </c>
    </row>
    <row r="768" ht="15" customHeight="1" s="42">
      <c r="A768" s="55" t="n"/>
      <c r="B768" s="56">
        <f>IF(A768="","",WEEKNUM(A768,21))</f>
        <v/>
      </c>
      <c r="C768" s="57" t="n"/>
      <c r="D768" s="57" t="n"/>
      <c r="E768" s="58" t="n"/>
      <c r="F768" s="57" t="n"/>
      <c r="G768" s="59" t="n"/>
      <c r="H768" s="59" t="n"/>
      <c r="I768" s="60">
        <f>IF(OR(G768="",H768=""),"",MOD(H768-G768,1))</f>
        <v/>
      </c>
      <c r="J768" s="61">
        <f>IF(OR(G768="",H768=""),"",ROUND(MOD(H768-G768,1)*24,2))</f>
        <v/>
      </c>
      <c r="K768" s="62">
        <f>IF(E768="","",IF(E768="Werken","JA","NEE"))</f>
        <v/>
      </c>
      <c r="L768" s="61">
        <f>IF(K768="JA",N(J768),IF(E768="","",0))</f>
        <v/>
      </c>
      <c r="M768" s="62">
        <f>IF(AND(A768="",E768=""),"",IF(E768="","Segment ontbreekt",IF(OR(G768="",H768=""),"Van/tot ontbreekt",IF(N(J768)=0,"Duur is nul",IF(N(J768)&gt;12,"Langer dan 12 uur - controleren",IF(AND(E768="Werken",D768=""),"Werken zonder klant - koppelen","OK"))))))</f>
        <v/>
      </c>
    </row>
    <row r="769" ht="15" customHeight="1" s="42">
      <c r="A769" s="55" t="n"/>
      <c r="B769" s="56">
        <f>IF(A769="","",WEEKNUM(A769,21))</f>
        <v/>
      </c>
      <c r="C769" s="57" t="n"/>
      <c r="D769" s="57" t="n"/>
      <c r="E769" s="58" t="n"/>
      <c r="F769" s="57" t="n"/>
      <c r="G769" s="59" t="n"/>
      <c r="H769" s="59" t="n"/>
      <c r="I769" s="60">
        <f>IF(OR(G769="",H769=""),"",MOD(H769-G769,1))</f>
        <v/>
      </c>
      <c r="J769" s="61">
        <f>IF(OR(G769="",H769=""),"",ROUND(MOD(H769-G769,1)*24,2))</f>
        <v/>
      </c>
      <c r="K769" s="62">
        <f>IF(E769="","",IF(E769="Werken","JA","NEE"))</f>
        <v/>
      </c>
      <c r="L769" s="61">
        <f>IF(K769="JA",N(J769),IF(E769="","",0))</f>
        <v/>
      </c>
      <c r="M769" s="62">
        <f>IF(AND(A769="",E769=""),"",IF(E769="","Segment ontbreekt",IF(OR(G769="",H769=""),"Van/tot ontbreekt",IF(N(J769)=0,"Duur is nul",IF(N(J769)&gt;12,"Langer dan 12 uur - controleren",IF(AND(E769="Werken",D769=""),"Werken zonder klant - koppelen","OK"))))))</f>
        <v/>
      </c>
    </row>
    <row r="770" ht="15" customHeight="1" s="42">
      <c r="A770" s="55" t="n"/>
      <c r="B770" s="56">
        <f>IF(A770="","",WEEKNUM(A770,21))</f>
        <v/>
      </c>
      <c r="C770" s="57" t="n"/>
      <c r="D770" s="57" t="n"/>
      <c r="E770" s="58" t="n"/>
      <c r="F770" s="57" t="n"/>
      <c r="G770" s="59" t="n"/>
      <c r="H770" s="59" t="n"/>
      <c r="I770" s="60">
        <f>IF(OR(G770="",H770=""),"",MOD(H770-G770,1))</f>
        <v/>
      </c>
      <c r="J770" s="61">
        <f>IF(OR(G770="",H770=""),"",ROUND(MOD(H770-G770,1)*24,2))</f>
        <v/>
      </c>
      <c r="K770" s="62">
        <f>IF(E770="","",IF(E770="Werken","JA","NEE"))</f>
        <v/>
      </c>
      <c r="L770" s="61">
        <f>IF(K770="JA",N(J770),IF(E770="","",0))</f>
        <v/>
      </c>
      <c r="M770" s="62">
        <f>IF(AND(A770="",E770=""),"",IF(E770="","Segment ontbreekt",IF(OR(G770="",H770=""),"Van/tot ontbreekt",IF(N(J770)=0,"Duur is nul",IF(N(J770)&gt;12,"Langer dan 12 uur - controleren",IF(AND(E770="Werken",D770=""),"Werken zonder klant - koppelen","OK"))))))</f>
        <v/>
      </c>
    </row>
    <row r="771" ht="15" customHeight="1" s="42">
      <c r="A771" s="55" t="n"/>
      <c r="B771" s="56">
        <f>IF(A771="","",WEEKNUM(A771,21))</f>
        <v/>
      </c>
      <c r="C771" s="57" t="n"/>
      <c r="D771" s="57" t="n"/>
      <c r="E771" s="58" t="n"/>
      <c r="F771" s="57" t="n"/>
      <c r="G771" s="59" t="n"/>
      <c r="H771" s="59" t="n"/>
      <c r="I771" s="60">
        <f>IF(OR(G771="",H771=""),"",MOD(H771-G771,1))</f>
        <v/>
      </c>
      <c r="J771" s="61">
        <f>IF(OR(G771="",H771=""),"",ROUND(MOD(H771-G771,1)*24,2))</f>
        <v/>
      </c>
      <c r="K771" s="62">
        <f>IF(E771="","",IF(E771="Werken","JA","NEE"))</f>
        <v/>
      </c>
      <c r="L771" s="61">
        <f>IF(K771="JA",N(J771),IF(E771="","",0))</f>
        <v/>
      </c>
      <c r="M771" s="62">
        <f>IF(AND(A771="",E771=""),"",IF(E771="","Segment ontbreekt",IF(OR(G771="",H771=""),"Van/tot ontbreekt",IF(N(J771)=0,"Duur is nul",IF(N(J771)&gt;12,"Langer dan 12 uur - controleren",IF(AND(E771="Werken",D771=""),"Werken zonder klant - koppelen","OK"))))))</f>
        <v/>
      </c>
    </row>
    <row r="772" ht="15" customHeight="1" s="42">
      <c r="A772" s="55" t="n"/>
      <c r="B772" s="56">
        <f>IF(A772="","",WEEKNUM(A772,21))</f>
        <v/>
      </c>
      <c r="C772" s="57" t="n"/>
      <c r="D772" s="57" t="n"/>
      <c r="E772" s="58" t="n"/>
      <c r="F772" s="57" t="n"/>
      <c r="G772" s="59" t="n"/>
      <c r="H772" s="59" t="n"/>
      <c r="I772" s="60">
        <f>IF(OR(G772="",H772=""),"",MOD(H772-G772,1))</f>
        <v/>
      </c>
      <c r="J772" s="61">
        <f>IF(OR(G772="",H772=""),"",ROUND(MOD(H772-G772,1)*24,2))</f>
        <v/>
      </c>
      <c r="K772" s="62">
        <f>IF(E772="","",IF(E772="Werken","JA","NEE"))</f>
        <v/>
      </c>
      <c r="L772" s="61">
        <f>IF(K772="JA",N(J772),IF(E772="","",0))</f>
        <v/>
      </c>
      <c r="M772" s="62">
        <f>IF(AND(A772="",E772=""),"",IF(E772="","Segment ontbreekt",IF(OR(G772="",H772=""),"Van/tot ontbreekt",IF(N(J772)=0,"Duur is nul",IF(N(J772)&gt;12,"Langer dan 12 uur - controleren",IF(AND(E772="Werken",D772=""),"Werken zonder klant - koppelen","OK"))))))</f>
        <v/>
      </c>
    </row>
    <row r="773" ht="15" customHeight="1" s="42">
      <c r="A773" s="55" t="n"/>
      <c r="B773" s="56">
        <f>IF(A773="","",WEEKNUM(A773,21))</f>
        <v/>
      </c>
      <c r="C773" s="57" t="n"/>
      <c r="D773" s="57" t="n"/>
      <c r="E773" s="58" t="n"/>
      <c r="F773" s="57" t="n"/>
      <c r="G773" s="59" t="n"/>
      <c r="H773" s="59" t="n"/>
      <c r="I773" s="60">
        <f>IF(OR(G773="",H773=""),"",MOD(H773-G773,1))</f>
        <v/>
      </c>
      <c r="J773" s="61">
        <f>IF(OR(G773="",H773=""),"",ROUND(MOD(H773-G773,1)*24,2))</f>
        <v/>
      </c>
      <c r="K773" s="62">
        <f>IF(E773="","",IF(E773="Werken","JA","NEE"))</f>
        <v/>
      </c>
      <c r="L773" s="61">
        <f>IF(K773="JA",N(J773),IF(E773="","",0))</f>
        <v/>
      </c>
      <c r="M773" s="62">
        <f>IF(AND(A773="",E773=""),"",IF(E773="","Segment ontbreekt",IF(OR(G773="",H773=""),"Van/tot ontbreekt",IF(N(J773)=0,"Duur is nul",IF(N(J773)&gt;12,"Langer dan 12 uur - controleren",IF(AND(E773="Werken",D773=""),"Werken zonder klant - koppelen","OK"))))))</f>
        <v/>
      </c>
    </row>
    <row r="774" ht="15" customHeight="1" s="42">
      <c r="A774" s="55" t="n"/>
      <c r="B774" s="56">
        <f>IF(A774="","",WEEKNUM(A774,21))</f>
        <v/>
      </c>
      <c r="C774" s="57" t="n"/>
      <c r="D774" s="57" t="n"/>
      <c r="E774" s="58" t="n"/>
      <c r="F774" s="57" t="n"/>
      <c r="G774" s="59" t="n"/>
      <c r="H774" s="59" t="n"/>
      <c r="I774" s="60">
        <f>IF(OR(G774="",H774=""),"",MOD(H774-G774,1))</f>
        <v/>
      </c>
      <c r="J774" s="61">
        <f>IF(OR(G774="",H774=""),"",ROUND(MOD(H774-G774,1)*24,2))</f>
        <v/>
      </c>
      <c r="K774" s="62">
        <f>IF(E774="","",IF(E774="Werken","JA","NEE"))</f>
        <v/>
      </c>
      <c r="L774" s="61">
        <f>IF(K774="JA",N(J774),IF(E774="","",0))</f>
        <v/>
      </c>
      <c r="M774" s="62">
        <f>IF(AND(A774="",E774=""),"",IF(E774="","Segment ontbreekt",IF(OR(G774="",H774=""),"Van/tot ontbreekt",IF(N(J774)=0,"Duur is nul",IF(N(J774)&gt;12,"Langer dan 12 uur - controleren",IF(AND(E774="Werken",D774=""),"Werken zonder klant - koppelen","OK"))))))</f>
        <v/>
      </c>
    </row>
    <row r="775" ht="15" customHeight="1" s="42">
      <c r="A775" s="55" t="n"/>
      <c r="B775" s="56">
        <f>IF(A775="","",WEEKNUM(A775,21))</f>
        <v/>
      </c>
      <c r="C775" s="57" t="n"/>
      <c r="D775" s="57" t="n"/>
      <c r="E775" s="58" t="n"/>
      <c r="F775" s="57" t="n"/>
      <c r="G775" s="59" t="n"/>
      <c r="H775" s="59" t="n"/>
      <c r="I775" s="60">
        <f>IF(OR(G775="",H775=""),"",MOD(H775-G775,1))</f>
        <v/>
      </c>
      <c r="J775" s="61">
        <f>IF(OR(G775="",H775=""),"",ROUND(MOD(H775-G775,1)*24,2))</f>
        <v/>
      </c>
      <c r="K775" s="62">
        <f>IF(E775="","",IF(E775="Werken","JA","NEE"))</f>
        <v/>
      </c>
      <c r="L775" s="61">
        <f>IF(K775="JA",N(J775),IF(E775="","",0))</f>
        <v/>
      </c>
      <c r="M775" s="62">
        <f>IF(AND(A775="",E775=""),"",IF(E775="","Segment ontbreekt",IF(OR(G775="",H775=""),"Van/tot ontbreekt",IF(N(J775)=0,"Duur is nul",IF(N(J775)&gt;12,"Langer dan 12 uur - controleren",IF(AND(E775="Werken",D775=""),"Werken zonder klant - koppelen","OK"))))))</f>
        <v/>
      </c>
    </row>
    <row r="776" ht="15" customHeight="1" s="42">
      <c r="A776" s="55" t="n"/>
      <c r="B776" s="56">
        <f>IF(A776="","",WEEKNUM(A776,21))</f>
        <v/>
      </c>
      <c r="C776" s="57" t="n"/>
      <c r="D776" s="57" t="n"/>
      <c r="E776" s="58" t="n"/>
      <c r="F776" s="57" t="n"/>
      <c r="G776" s="59" t="n"/>
      <c r="H776" s="59" t="n"/>
      <c r="I776" s="60">
        <f>IF(OR(G776="",H776=""),"",MOD(H776-G776,1))</f>
        <v/>
      </c>
      <c r="J776" s="61">
        <f>IF(OR(G776="",H776=""),"",ROUND(MOD(H776-G776,1)*24,2))</f>
        <v/>
      </c>
      <c r="K776" s="62">
        <f>IF(E776="","",IF(E776="Werken","JA","NEE"))</f>
        <v/>
      </c>
      <c r="L776" s="61">
        <f>IF(K776="JA",N(J776),IF(E776="","",0))</f>
        <v/>
      </c>
      <c r="M776" s="62">
        <f>IF(AND(A776="",E776=""),"",IF(E776="","Segment ontbreekt",IF(OR(G776="",H776=""),"Van/tot ontbreekt",IF(N(J776)=0,"Duur is nul",IF(N(J776)&gt;12,"Langer dan 12 uur - controleren",IF(AND(E776="Werken",D776=""),"Werken zonder klant - koppelen","OK"))))))</f>
        <v/>
      </c>
    </row>
    <row r="777" ht="15" customHeight="1" s="42">
      <c r="A777" s="55" t="n"/>
      <c r="B777" s="56">
        <f>IF(A777="","",WEEKNUM(A777,21))</f>
        <v/>
      </c>
      <c r="C777" s="57" t="n"/>
      <c r="D777" s="57" t="n"/>
      <c r="E777" s="58" t="n"/>
      <c r="F777" s="57" t="n"/>
      <c r="G777" s="59" t="n"/>
      <c r="H777" s="59" t="n"/>
      <c r="I777" s="60">
        <f>IF(OR(G777="",H777=""),"",MOD(H777-G777,1))</f>
        <v/>
      </c>
      <c r="J777" s="61">
        <f>IF(OR(G777="",H777=""),"",ROUND(MOD(H777-G777,1)*24,2))</f>
        <v/>
      </c>
      <c r="K777" s="62">
        <f>IF(E777="","",IF(E777="Werken","JA","NEE"))</f>
        <v/>
      </c>
      <c r="L777" s="61">
        <f>IF(K777="JA",N(J777),IF(E777="","",0))</f>
        <v/>
      </c>
      <c r="M777" s="62">
        <f>IF(AND(A777="",E777=""),"",IF(E777="","Segment ontbreekt",IF(OR(G777="",H777=""),"Van/tot ontbreekt",IF(N(J777)=0,"Duur is nul",IF(N(J777)&gt;12,"Langer dan 12 uur - controleren",IF(AND(E777="Werken",D777=""),"Werken zonder klant - koppelen","OK"))))))</f>
        <v/>
      </c>
    </row>
    <row r="778" ht="15" customHeight="1" s="42">
      <c r="A778" s="55" t="n"/>
      <c r="B778" s="56">
        <f>IF(A778="","",WEEKNUM(A778,21))</f>
        <v/>
      </c>
      <c r="C778" s="57" t="n"/>
      <c r="D778" s="57" t="n"/>
      <c r="E778" s="58" t="n"/>
      <c r="F778" s="57" t="n"/>
      <c r="G778" s="59" t="n"/>
      <c r="H778" s="59" t="n"/>
      <c r="I778" s="60">
        <f>IF(OR(G778="",H778=""),"",MOD(H778-G778,1))</f>
        <v/>
      </c>
      <c r="J778" s="61">
        <f>IF(OR(G778="",H778=""),"",ROUND(MOD(H778-G778,1)*24,2))</f>
        <v/>
      </c>
      <c r="K778" s="62">
        <f>IF(E778="","",IF(E778="Werken","JA","NEE"))</f>
        <v/>
      </c>
      <c r="L778" s="61">
        <f>IF(K778="JA",N(J778),IF(E778="","",0))</f>
        <v/>
      </c>
      <c r="M778" s="62">
        <f>IF(AND(A778="",E778=""),"",IF(E778="","Segment ontbreekt",IF(OR(G778="",H778=""),"Van/tot ontbreekt",IF(N(J778)=0,"Duur is nul",IF(N(J778)&gt;12,"Langer dan 12 uur - controleren",IF(AND(E778="Werken",D778=""),"Werken zonder klant - koppelen","OK"))))))</f>
        <v/>
      </c>
    </row>
    <row r="779" ht="15" customHeight="1" s="42">
      <c r="A779" s="55" t="n"/>
      <c r="B779" s="56">
        <f>IF(A779="","",WEEKNUM(A779,21))</f>
        <v/>
      </c>
      <c r="C779" s="57" t="n"/>
      <c r="D779" s="57" t="n"/>
      <c r="E779" s="58" t="n"/>
      <c r="F779" s="57" t="n"/>
      <c r="G779" s="59" t="n"/>
      <c r="H779" s="59" t="n"/>
      <c r="I779" s="60">
        <f>IF(OR(G779="",H779=""),"",MOD(H779-G779,1))</f>
        <v/>
      </c>
      <c r="J779" s="61">
        <f>IF(OR(G779="",H779=""),"",ROUND(MOD(H779-G779,1)*24,2))</f>
        <v/>
      </c>
      <c r="K779" s="62">
        <f>IF(E779="","",IF(E779="Werken","JA","NEE"))</f>
        <v/>
      </c>
      <c r="L779" s="61">
        <f>IF(K779="JA",N(J779),IF(E779="","",0))</f>
        <v/>
      </c>
      <c r="M779" s="62">
        <f>IF(AND(A779="",E779=""),"",IF(E779="","Segment ontbreekt",IF(OR(G779="",H779=""),"Van/tot ontbreekt",IF(N(J779)=0,"Duur is nul",IF(N(J779)&gt;12,"Langer dan 12 uur - controleren",IF(AND(E779="Werken",D779=""),"Werken zonder klant - koppelen","OK"))))))</f>
        <v/>
      </c>
    </row>
    <row r="780" ht="15" customHeight="1" s="42">
      <c r="A780" s="55" t="n"/>
      <c r="B780" s="56">
        <f>IF(A780="","",WEEKNUM(A780,21))</f>
        <v/>
      </c>
      <c r="C780" s="57" t="n"/>
      <c r="D780" s="57" t="n"/>
      <c r="E780" s="58" t="n"/>
      <c r="F780" s="57" t="n"/>
      <c r="G780" s="59" t="n"/>
      <c r="H780" s="59" t="n"/>
      <c r="I780" s="60">
        <f>IF(OR(G780="",H780=""),"",MOD(H780-G780,1))</f>
        <v/>
      </c>
      <c r="J780" s="61">
        <f>IF(OR(G780="",H780=""),"",ROUND(MOD(H780-G780,1)*24,2))</f>
        <v/>
      </c>
      <c r="K780" s="62">
        <f>IF(E780="","",IF(E780="Werken","JA","NEE"))</f>
        <v/>
      </c>
      <c r="L780" s="61">
        <f>IF(K780="JA",N(J780),IF(E780="","",0))</f>
        <v/>
      </c>
      <c r="M780" s="62">
        <f>IF(AND(A780="",E780=""),"",IF(E780="","Segment ontbreekt",IF(OR(G780="",H780=""),"Van/tot ontbreekt",IF(N(J780)=0,"Duur is nul",IF(N(J780)&gt;12,"Langer dan 12 uur - controleren",IF(AND(E780="Werken",D780=""),"Werken zonder klant - koppelen","OK"))))))</f>
        <v/>
      </c>
    </row>
    <row r="781" ht="15" customHeight="1" s="42">
      <c r="A781" s="55" t="n"/>
      <c r="B781" s="56">
        <f>IF(A781="","",WEEKNUM(A781,21))</f>
        <v/>
      </c>
      <c r="C781" s="57" t="n"/>
      <c r="D781" s="57" t="n"/>
      <c r="E781" s="58" t="n"/>
      <c r="F781" s="57" t="n"/>
      <c r="G781" s="59" t="n"/>
      <c r="H781" s="59" t="n"/>
      <c r="I781" s="60">
        <f>IF(OR(G781="",H781=""),"",MOD(H781-G781,1))</f>
        <v/>
      </c>
      <c r="J781" s="61">
        <f>IF(OR(G781="",H781=""),"",ROUND(MOD(H781-G781,1)*24,2))</f>
        <v/>
      </c>
      <c r="K781" s="62">
        <f>IF(E781="","",IF(E781="Werken","JA","NEE"))</f>
        <v/>
      </c>
      <c r="L781" s="61">
        <f>IF(K781="JA",N(J781),IF(E781="","",0))</f>
        <v/>
      </c>
      <c r="M781" s="62">
        <f>IF(AND(A781="",E781=""),"",IF(E781="","Segment ontbreekt",IF(OR(G781="",H781=""),"Van/tot ontbreekt",IF(N(J781)=0,"Duur is nul",IF(N(J781)&gt;12,"Langer dan 12 uur - controleren",IF(AND(E781="Werken",D781=""),"Werken zonder klant - koppelen","OK"))))))</f>
        <v/>
      </c>
    </row>
    <row r="782" ht="15" customHeight="1" s="42">
      <c r="A782" s="55" t="n"/>
      <c r="B782" s="56">
        <f>IF(A782="","",WEEKNUM(A782,21))</f>
        <v/>
      </c>
      <c r="C782" s="57" t="n"/>
      <c r="D782" s="57" t="n"/>
      <c r="E782" s="58" t="n"/>
      <c r="F782" s="57" t="n"/>
      <c r="G782" s="59" t="n"/>
      <c r="H782" s="59" t="n"/>
      <c r="I782" s="60">
        <f>IF(OR(G782="",H782=""),"",MOD(H782-G782,1))</f>
        <v/>
      </c>
      <c r="J782" s="61">
        <f>IF(OR(G782="",H782=""),"",ROUND(MOD(H782-G782,1)*24,2))</f>
        <v/>
      </c>
      <c r="K782" s="62">
        <f>IF(E782="","",IF(E782="Werken","JA","NEE"))</f>
        <v/>
      </c>
      <c r="L782" s="61">
        <f>IF(K782="JA",N(J782),IF(E782="","",0))</f>
        <v/>
      </c>
      <c r="M782" s="62">
        <f>IF(AND(A782="",E782=""),"",IF(E782="","Segment ontbreekt",IF(OR(G782="",H782=""),"Van/tot ontbreekt",IF(N(J782)=0,"Duur is nul",IF(N(J782)&gt;12,"Langer dan 12 uur - controleren",IF(AND(E782="Werken",D782=""),"Werken zonder klant - koppelen","OK"))))))</f>
        <v/>
      </c>
    </row>
    <row r="783" ht="15" customHeight="1" s="42">
      <c r="A783" s="55" t="n"/>
      <c r="B783" s="56">
        <f>IF(A783="","",WEEKNUM(A783,21))</f>
        <v/>
      </c>
      <c r="C783" s="57" t="n"/>
      <c r="D783" s="57" t="n"/>
      <c r="E783" s="58" t="n"/>
      <c r="F783" s="57" t="n"/>
      <c r="G783" s="59" t="n"/>
      <c r="H783" s="59" t="n"/>
      <c r="I783" s="60">
        <f>IF(OR(G783="",H783=""),"",MOD(H783-G783,1))</f>
        <v/>
      </c>
      <c r="J783" s="61">
        <f>IF(OR(G783="",H783=""),"",ROUND(MOD(H783-G783,1)*24,2))</f>
        <v/>
      </c>
      <c r="K783" s="62">
        <f>IF(E783="","",IF(E783="Werken","JA","NEE"))</f>
        <v/>
      </c>
      <c r="L783" s="61">
        <f>IF(K783="JA",N(J783),IF(E783="","",0))</f>
        <v/>
      </c>
      <c r="M783" s="62">
        <f>IF(AND(A783="",E783=""),"",IF(E783="","Segment ontbreekt",IF(OR(G783="",H783=""),"Van/tot ontbreekt",IF(N(J783)=0,"Duur is nul",IF(N(J783)&gt;12,"Langer dan 12 uur - controleren",IF(AND(E783="Werken",D783=""),"Werken zonder klant - koppelen","OK"))))))</f>
        <v/>
      </c>
    </row>
    <row r="784" ht="15" customHeight="1" s="42">
      <c r="A784" s="55" t="n"/>
      <c r="B784" s="56">
        <f>IF(A784="","",WEEKNUM(A784,21))</f>
        <v/>
      </c>
      <c r="C784" s="57" t="n"/>
      <c r="D784" s="57" t="n"/>
      <c r="E784" s="58" t="n"/>
      <c r="F784" s="57" t="n"/>
      <c r="G784" s="59" t="n"/>
      <c r="H784" s="59" t="n"/>
      <c r="I784" s="60">
        <f>IF(OR(G784="",H784=""),"",MOD(H784-G784,1))</f>
        <v/>
      </c>
      <c r="J784" s="61">
        <f>IF(OR(G784="",H784=""),"",ROUND(MOD(H784-G784,1)*24,2))</f>
        <v/>
      </c>
      <c r="K784" s="62">
        <f>IF(E784="","",IF(E784="Werken","JA","NEE"))</f>
        <v/>
      </c>
      <c r="L784" s="61">
        <f>IF(K784="JA",N(J784),IF(E784="","",0))</f>
        <v/>
      </c>
      <c r="M784" s="62">
        <f>IF(AND(A784="",E784=""),"",IF(E784="","Segment ontbreekt",IF(OR(G784="",H784=""),"Van/tot ontbreekt",IF(N(J784)=0,"Duur is nul",IF(N(J784)&gt;12,"Langer dan 12 uur - controleren",IF(AND(E784="Werken",D784=""),"Werken zonder klant - koppelen","OK"))))))</f>
        <v/>
      </c>
    </row>
    <row r="785" ht="15" customHeight="1" s="42">
      <c r="A785" s="55" t="n"/>
      <c r="B785" s="56">
        <f>IF(A785="","",WEEKNUM(A785,21))</f>
        <v/>
      </c>
      <c r="C785" s="57" t="n"/>
      <c r="D785" s="57" t="n"/>
      <c r="E785" s="58" t="n"/>
      <c r="F785" s="57" t="n"/>
      <c r="G785" s="59" t="n"/>
      <c r="H785" s="59" t="n"/>
      <c r="I785" s="60">
        <f>IF(OR(G785="",H785=""),"",MOD(H785-G785,1))</f>
        <v/>
      </c>
      <c r="J785" s="61">
        <f>IF(OR(G785="",H785=""),"",ROUND(MOD(H785-G785,1)*24,2))</f>
        <v/>
      </c>
      <c r="K785" s="62">
        <f>IF(E785="","",IF(E785="Werken","JA","NEE"))</f>
        <v/>
      </c>
      <c r="L785" s="61">
        <f>IF(K785="JA",N(J785),IF(E785="","",0))</f>
        <v/>
      </c>
      <c r="M785" s="62">
        <f>IF(AND(A785="",E785=""),"",IF(E785="","Segment ontbreekt",IF(OR(G785="",H785=""),"Van/tot ontbreekt",IF(N(J785)=0,"Duur is nul",IF(N(J785)&gt;12,"Langer dan 12 uur - controleren",IF(AND(E785="Werken",D785=""),"Werken zonder klant - koppelen","OK"))))))</f>
        <v/>
      </c>
    </row>
    <row r="786" ht="15" customHeight="1" s="42">
      <c r="A786" s="55" t="n"/>
      <c r="B786" s="56">
        <f>IF(A786="","",WEEKNUM(A786,21))</f>
        <v/>
      </c>
      <c r="C786" s="57" t="n"/>
      <c r="D786" s="57" t="n"/>
      <c r="E786" s="58" t="n"/>
      <c r="F786" s="57" t="n"/>
      <c r="G786" s="59" t="n"/>
      <c r="H786" s="59" t="n"/>
      <c r="I786" s="60">
        <f>IF(OR(G786="",H786=""),"",MOD(H786-G786,1))</f>
        <v/>
      </c>
      <c r="J786" s="61">
        <f>IF(OR(G786="",H786=""),"",ROUND(MOD(H786-G786,1)*24,2))</f>
        <v/>
      </c>
      <c r="K786" s="62">
        <f>IF(E786="","",IF(E786="Werken","JA","NEE"))</f>
        <v/>
      </c>
      <c r="L786" s="61">
        <f>IF(K786="JA",N(J786),IF(E786="","",0))</f>
        <v/>
      </c>
      <c r="M786" s="62">
        <f>IF(AND(A786="",E786=""),"",IF(E786="","Segment ontbreekt",IF(OR(G786="",H786=""),"Van/tot ontbreekt",IF(N(J786)=0,"Duur is nul",IF(N(J786)&gt;12,"Langer dan 12 uur - controleren",IF(AND(E786="Werken",D786=""),"Werken zonder klant - koppelen","OK"))))))</f>
        <v/>
      </c>
    </row>
    <row r="787" ht="15" customHeight="1" s="42">
      <c r="A787" s="55" t="n"/>
      <c r="B787" s="56">
        <f>IF(A787="","",WEEKNUM(A787,21))</f>
        <v/>
      </c>
      <c r="C787" s="57" t="n"/>
      <c r="D787" s="57" t="n"/>
      <c r="E787" s="58" t="n"/>
      <c r="F787" s="57" t="n"/>
      <c r="G787" s="59" t="n"/>
      <c r="H787" s="59" t="n"/>
      <c r="I787" s="60">
        <f>IF(OR(G787="",H787=""),"",MOD(H787-G787,1))</f>
        <v/>
      </c>
      <c r="J787" s="61">
        <f>IF(OR(G787="",H787=""),"",ROUND(MOD(H787-G787,1)*24,2))</f>
        <v/>
      </c>
      <c r="K787" s="62">
        <f>IF(E787="","",IF(E787="Werken","JA","NEE"))</f>
        <v/>
      </c>
      <c r="L787" s="61">
        <f>IF(K787="JA",N(J787),IF(E787="","",0))</f>
        <v/>
      </c>
      <c r="M787" s="62">
        <f>IF(AND(A787="",E787=""),"",IF(E787="","Segment ontbreekt",IF(OR(G787="",H787=""),"Van/tot ontbreekt",IF(N(J787)=0,"Duur is nul",IF(N(J787)&gt;12,"Langer dan 12 uur - controleren",IF(AND(E787="Werken",D787=""),"Werken zonder klant - koppelen","OK"))))))</f>
        <v/>
      </c>
    </row>
    <row r="788" ht="15" customHeight="1" s="42">
      <c r="A788" s="55" t="n"/>
      <c r="B788" s="56">
        <f>IF(A788="","",WEEKNUM(A788,21))</f>
        <v/>
      </c>
      <c r="C788" s="57" t="n"/>
      <c r="D788" s="57" t="n"/>
      <c r="E788" s="58" t="n"/>
      <c r="F788" s="57" t="n"/>
      <c r="G788" s="59" t="n"/>
      <c r="H788" s="59" t="n"/>
      <c r="I788" s="60">
        <f>IF(OR(G788="",H788=""),"",MOD(H788-G788,1))</f>
        <v/>
      </c>
      <c r="J788" s="61">
        <f>IF(OR(G788="",H788=""),"",ROUND(MOD(H788-G788,1)*24,2))</f>
        <v/>
      </c>
      <c r="K788" s="62">
        <f>IF(E788="","",IF(E788="Werken","JA","NEE"))</f>
        <v/>
      </c>
      <c r="L788" s="61">
        <f>IF(K788="JA",N(J788),IF(E788="","",0))</f>
        <v/>
      </c>
      <c r="M788" s="62">
        <f>IF(AND(A788="",E788=""),"",IF(E788="","Segment ontbreekt",IF(OR(G788="",H788=""),"Van/tot ontbreekt",IF(N(J788)=0,"Duur is nul",IF(N(J788)&gt;12,"Langer dan 12 uur - controleren",IF(AND(E788="Werken",D788=""),"Werken zonder klant - koppelen","OK"))))))</f>
        <v/>
      </c>
    </row>
    <row r="789" ht="15" customHeight="1" s="42">
      <c r="A789" s="55" t="n"/>
      <c r="B789" s="56">
        <f>IF(A789="","",WEEKNUM(A789,21))</f>
        <v/>
      </c>
      <c r="C789" s="57" t="n"/>
      <c r="D789" s="57" t="n"/>
      <c r="E789" s="58" t="n"/>
      <c r="F789" s="57" t="n"/>
      <c r="G789" s="59" t="n"/>
      <c r="H789" s="59" t="n"/>
      <c r="I789" s="60">
        <f>IF(OR(G789="",H789=""),"",MOD(H789-G789,1))</f>
        <v/>
      </c>
      <c r="J789" s="61">
        <f>IF(OR(G789="",H789=""),"",ROUND(MOD(H789-G789,1)*24,2))</f>
        <v/>
      </c>
      <c r="K789" s="62">
        <f>IF(E789="","",IF(E789="Werken","JA","NEE"))</f>
        <v/>
      </c>
      <c r="L789" s="61">
        <f>IF(K789="JA",N(J789),IF(E789="","",0))</f>
        <v/>
      </c>
      <c r="M789" s="62">
        <f>IF(AND(A789="",E789=""),"",IF(E789="","Segment ontbreekt",IF(OR(G789="",H789=""),"Van/tot ontbreekt",IF(N(J789)=0,"Duur is nul",IF(N(J789)&gt;12,"Langer dan 12 uur - controleren",IF(AND(E789="Werken",D789=""),"Werken zonder klant - koppelen","OK"))))))</f>
        <v/>
      </c>
    </row>
    <row r="790" ht="15" customHeight="1" s="42">
      <c r="A790" s="55" t="n"/>
      <c r="B790" s="56">
        <f>IF(A790="","",WEEKNUM(A790,21))</f>
        <v/>
      </c>
      <c r="C790" s="57" t="n"/>
      <c r="D790" s="57" t="n"/>
      <c r="E790" s="58" t="n"/>
      <c r="F790" s="57" t="n"/>
      <c r="G790" s="59" t="n"/>
      <c r="H790" s="59" t="n"/>
      <c r="I790" s="60">
        <f>IF(OR(G790="",H790=""),"",MOD(H790-G790,1))</f>
        <v/>
      </c>
      <c r="J790" s="61">
        <f>IF(OR(G790="",H790=""),"",ROUND(MOD(H790-G790,1)*24,2))</f>
        <v/>
      </c>
      <c r="K790" s="62">
        <f>IF(E790="","",IF(E790="Werken","JA","NEE"))</f>
        <v/>
      </c>
      <c r="L790" s="61">
        <f>IF(K790="JA",N(J790),IF(E790="","",0))</f>
        <v/>
      </c>
      <c r="M790" s="62">
        <f>IF(AND(A790="",E790=""),"",IF(E790="","Segment ontbreekt",IF(OR(G790="",H790=""),"Van/tot ontbreekt",IF(N(J790)=0,"Duur is nul",IF(N(J790)&gt;12,"Langer dan 12 uur - controleren",IF(AND(E790="Werken",D790=""),"Werken zonder klant - koppelen","OK"))))))</f>
        <v/>
      </c>
    </row>
    <row r="791" ht="15" customHeight="1" s="42">
      <c r="A791" s="55" t="n"/>
      <c r="B791" s="56">
        <f>IF(A791="","",WEEKNUM(A791,21))</f>
        <v/>
      </c>
      <c r="C791" s="57" t="n"/>
      <c r="D791" s="57" t="n"/>
      <c r="E791" s="58" t="n"/>
      <c r="F791" s="57" t="n"/>
      <c r="G791" s="59" t="n"/>
      <c r="H791" s="59" t="n"/>
      <c r="I791" s="60">
        <f>IF(OR(G791="",H791=""),"",MOD(H791-G791,1))</f>
        <v/>
      </c>
      <c r="J791" s="61">
        <f>IF(OR(G791="",H791=""),"",ROUND(MOD(H791-G791,1)*24,2))</f>
        <v/>
      </c>
      <c r="K791" s="62">
        <f>IF(E791="","",IF(E791="Werken","JA","NEE"))</f>
        <v/>
      </c>
      <c r="L791" s="61">
        <f>IF(K791="JA",N(J791),IF(E791="","",0))</f>
        <v/>
      </c>
      <c r="M791" s="62">
        <f>IF(AND(A791="",E791=""),"",IF(E791="","Segment ontbreekt",IF(OR(G791="",H791=""),"Van/tot ontbreekt",IF(N(J791)=0,"Duur is nul",IF(N(J791)&gt;12,"Langer dan 12 uur - controleren",IF(AND(E791="Werken",D791=""),"Werken zonder klant - koppelen","OK"))))))</f>
        <v/>
      </c>
    </row>
    <row r="792" ht="15" customHeight="1" s="42">
      <c r="A792" s="55" t="n"/>
      <c r="B792" s="56">
        <f>IF(A792="","",WEEKNUM(A792,21))</f>
        <v/>
      </c>
      <c r="C792" s="57" t="n"/>
      <c r="D792" s="57" t="n"/>
      <c r="E792" s="58" t="n"/>
      <c r="F792" s="57" t="n"/>
      <c r="G792" s="59" t="n"/>
      <c r="H792" s="59" t="n"/>
      <c r="I792" s="60">
        <f>IF(OR(G792="",H792=""),"",MOD(H792-G792,1))</f>
        <v/>
      </c>
      <c r="J792" s="61">
        <f>IF(OR(G792="",H792=""),"",ROUND(MOD(H792-G792,1)*24,2))</f>
        <v/>
      </c>
      <c r="K792" s="62">
        <f>IF(E792="","",IF(E792="Werken","JA","NEE"))</f>
        <v/>
      </c>
      <c r="L792" s="61">
        <f>IF(K792="JA",N(J792),IF(E792="","",0))</f>
        <v/>
      </c>
      <c r="M792" s="62">
        <f>IF(AND(A792="",E792=""),"",IF(E792="","Segment ontbreekt",IF(OR(G792="",H792=""),"Van/tot ontbreekt",IF(N(J792)=0,"Duur is nul",IF(N(J792)&gt;12,"Langer dan 12 uur - controleren",IF(AND(E792="Werken",D792=""),"Werken zonder klant - koppelen","OK"))))))</f>
        <v/>
      </c>
    </row>
    <row r="793" ht="15" customHeight="1" s="42">
      <c r="A793" s="55" t="n"/>
      <c r="B793" s="56">
        <f>IF(A793="","",WEEKNUM(A793,21))</f>
        <v/>
      </c>
      <c r="C793" s="57" t="n"/>
      <c r="D793" s="57" t="n"/>
      <c r="E793" s="58" t="n"/>
      <c r="F793" s="57" t="n"/>
      <c r="G793" s="59" t="n"/>
      <c r="H793" s="59" t="n"/>
      <c r="I793" s="60">
        <f>IF(OR(G793="",H793=""),"",MOD(H793-G793,1))</f>
        <v/>
      </c>
      <c r="J793" s="61">
        <f>IF(OR(G793="",H793=""),"",ROUND(MOD(H793-G793,1)*24,2))</f>
        <v/>
      </c>
      <c r="K793" s="62">
        <f>IF(E793="","",IF(E793="Werken","JA","NEE"))</f>
        <v/>
      </c>
      <c r="L793" s="61">
        <f>IF(K793="JA",N(J793),IF(E793="","",0))</f>
        <v/>
      </c>
      <c r="M793" s="62">
        <f>IF(AND(A793="",E793=""),"",IF(E793="","Segment ontbreekt",IF(OR(G793="",H793=""),"Van/tot ontbreekt",IF(N(J793)=0,"Duur is nul",IF(N(J793)&gt;12,"Langer dan 12 uur - controleren",IF(AND(E793="Werken",D793=""),"Werken zonder klant - koppelen","OK"))))))</f>
        <v/>
      </c>
    </row>
    <row r="794" ht="15" customHeight="1" s="42">
      <c r="A794" s="55" t="n"/>
      <c r="B794" s="56">
        <f>IF(A794="","",WEEKNUM(A794,21))</f>
        <v/>
      </c>
      <c r="C794" s="57" t="n"/>
      <c r="D794" s="57" t="n"/>
      <c r="E794" s="58" t="n"/>
      <c r="F794" s="57" t="n"/>
      <c r="G794" s="59" t="n"/>
      <c r="H794" s="59" t="n"/>
      <c r="I794" s="60">
        <f>IF(OR(G794="",H794=""),"",MOD(H794-G794,1))</f>
        <v/>
      </c>
      <c r="J794" s="61">
        <f>IF(OR(G794="",H794=""),"",ROUND(MOD(H794-G794,1)*24,2))</f>
        <v/>
      </c>
      <c r="K794" s="62">
        <f>IF(E794="","",IF(E794="Werken","JA","NEE"))</f>
        <v/>
      </c>
      <c r="L794" s="61">
        <f>IF(K794="JA",N(J794),IF(E794="","",0))</f>
        <v/>
      </c>
      <c r="M794" s="62">
        <f>IF(AND(A794="",E794=""),"",IF(E794="","Segment ontbreekt",IF(OR(G794="",H794=""),"Van/tot ontbreekt",IF(N(J794)=0,"Duur is nul",IF(N(J794)&gt;12,"Langer dan 12 uur - controleren",IF(AND(E794="Werken",D794=""),"Werken zonder klant - koppelen","OK"))))))</f>
        <v/>
      </c>
    </row>
    <row r="795" ht="15" customHeight="1" s="42">
      <c r="A795" s="55" t="n"/>
      <c r="B795" s="56">
        <f>IF(A795="","",WEEKNUM(A795,21))</f>
        <v/>
      </c>
      <c r="C795" s="57" t="n"/>
      <c r="D795" s="57" t="n"/>
      <c r="E795" s="58" t="n"/>
      <c r="F795" s="57" t="n"/>
      <c r="G795" s="59" t="n"/>
      <c r="H795" s="59" t="n"/>
      <c r="I795" s="60">
        <f>IF(OR(G795="",H795=""),"",MOD(H795-G795,1))</f>
        <v/>
      </c>
      <c r="J795" s="61">
        <f>IF(OR(G795="",H795=""),"",ROUND(MOD(H795-G795,1)*24,2))</f>
        <v/>
      </c>
      <c r="K795" s="62">
        <f>IF(E795="","",IF(E795="Werken","JA","NEE"))</f>
        <v/>
      </c>
      <c r="L795" s="61">
        <f>IF(K795="JA",N(J795),IF(E795="","",0))</f>
        <v/>
      </c>
      <c r="M795" s="62">
        <f>IF(AND(A795="",E795=""),"",IF(E795="","Segment ontbreekt",IF(OR(G795="",H795=""),"Van/tot ontbreekt",IF(N(J795)=0,"Duur is nul",IF(N(J795)&gt;12,"Langer dan 12 uur - controleren",IF(AND(E795="Werken",D795=""),"Werken zonder klant - koppelen","OK"))))))</f>
        <v/>
      </c>
    </row>
    <row r="796" ht="15" customHeight="1" s="42">
      <c r="A796" s="55" t="n"/>
      <c r="B796" s="56">
        <f>IF(A796="","",WEEKNUM(A796,21))</f>
        <v/>
      </c>
      <c r="C796" s="57" t="n"/>
      <c r="D796" s="57" t="n"/>
      <c r="E796" s="58" t="n"/>
      <c r="F796" s="57" t="n"/>
      <c r="G796" s="59" t="n"/>
      <c r="H796" s="59" t="n"/>
      <c r="I796" s="60">
        <f>IF(OR(G796="",H796=""),"",MOD(H796-G796,1))</f>
        <v/>
      </c>
      <c r="J796" s="61">
        <f>IF(OR(G796="",H796=""),"",ROUND(MOD(H796-G796,1)*24,2))</f>
        <v/>
      </c>
      <c r="K796" s="62">
        <f>IF(E796="","",IF(E796="Werken","JA","NEE"))</f>
        <v/>
      </c>
      <c r="L796" s="61">
        <f>IF(K796="JA",N(J796),IF(E796="","",0))</f>
        <v/>
      </c>
      <c r="M796" s="62">
        <f>IF(AND(A796="",E796=""),"",IF(E796="","Segment ontbreekt",IF(OR(G796="",H796=""),"Van/tot ontbreekt",IF(N(J796)=0,"Duur is nul",IF(N(J796)&gt;12,"Langer dan 12 uur - controleren",IF(AND(E796="Werken",D796=""),"Werken zonder klant - koppelen","OK"))))))</f>
        <v/>
      </c>
    </row>
    <row r="797" ht="15" customHeight="1" s="42">
      <c r="A797" s="55" t="n"/>
      <c r="B797" s="56">
        <f>IF(A797="","",WEEKNUM(A797,21))</f>
        <v/>
      </c>
      <c r="C797" s="57" t="n"/>
      <c r="D797" s="57" t="n"/>
      <c r="E797" s="58" t="n"/>
      <c r="F797" s="57" t="n"/>
      <c r="G797" s="59" t="n"/>
      <c r="H797" s="59" t="n"/>
      <c r="I797" s="60">
        <f>IF(OR(G797="",H797=""),"",MOD(H797-G797,1))</f>
        <v/>
      </c>
      <c r="J797" s="61">
        <f>IF(OR(G797="",H797=""),"",ROUND(MOD(H797-G797,1)*24,2))</f>
        <v/>
      </c>
      <c r="K797" s="62">
        <f>IF(E797="","",IF(E797="Werken","JA","NEE"))</f>
        <v/>
      </c>
      <c r="L797" s="61">
        <f>IF(K797="JA",N(J797),IF(E797="","",0))</f>
        <v/>
      </c>
      <c r="M797" s="62">
        <f>IF(AND(A797="",E797=""),"",IF(E797="","Segment ontbreekt",IF(OR(G797="",H797=""),"Van/tot ontbreekt",IF(N(J797)=0,"Duur is nul",IF(N(J797)&gt;12,"Langer dan 12 uur - controleren",IF(AND(E797="Werken",D797=""),"Werken zonder klant - koppelen","OK"))))))</f>
        <v/>
      </c>
    </row>
    <row r="798" ht="15" customHeight="1" s="42">
      <c r="A798" s="55" t="n"/>
      <c r="B798" s="56">
        <f>IF(A798="","",WEEKNUM(A798,21))</f>
        <v/>
      </c>
      <c r="C798" s="57" t="n"/>
      <c r="D798" s="57" t="n"/>
      <c r="E798" s="58" t="n"/>
      <c r="F798" s="57" t="n"/>
      <c r="G798" s="59" t="n"/>
      <c r="H798" s="59" t="n"/>
      <c r="I798" s="60">
        <f>IF(OR(G798="",H798=""),"",MOD(H798-G798,1))</f>
        <v/>
      </c>
      <c r="J798" s="61">
        <f>IF(OR(G798="",H798=""),"",ROUND(MOD(H798-G798,1)*24,2))</f>
        <v/>
      </c>
      <c r="K798" s="62">
        <f>IF(E798="","",IF(E798="Werken","JA","NEE"))</f>
        <v/>
      </c>
      <c r="L798" s="61">
        <f>IF(K798="JA",N(J798),IF(E798="","",0))</f>
        <v/>
      </c>
      <c r="M798" s="62">
        <f>IF(AND(A798="",E798=""),"",IF(E798="","Segment ontbreekt",IF(OR(G798="",H798=""),"Van/tot ontbreekt",IF(N(J798)=0,"Duur is nul",IF(N(J798)&gt;12,"Langer dan 12 uur - controleren",IF(AND(E798="Werken",D798=""),"Werken zonder klant - koppelen","OK"))))))</f>
        <v/>
      </c>
    </row>
    <row r="799" ht="15" customHeight="1" s="42">
      <c r="A799" s="55" t="n"/>
      <c r="B799" s="56">
        <f>IF(A799="","",WEEKNUM(A799,21))</f>
        <v/>
      </c>
      <c r="C799" s="57" t="n"/>
      <c r="D799" s="57" t="n"/>
      <c r="E799" s="58" t="n"/>
      <c r="F799" s="57" t="n"/>
      <c r="G799" s="59" t="n"/>
      <c r="H799" s="59" t="n"/>
      <c r="I799" s="60">
        <f>IF(OR(G799="",H799=""),"",MOD(H799-G799,1))</f>
        <v/>
      </c>
      <c r="J799" s="61">
        <f>IF(OR(G799="",H799=""),"",ROUND(MOD(H799-G799,1)*24,2))</f>
        <v/>
      </c>
      <c r="K799" s="62">
        <f>IF(E799="","",IF(E799="Werken","JA","NEE"))</f>
        <v/>
      </c>
      <c r="L799" s="61">
        <f>IF(K799="JA",N(J799),IF(E799="","",0))</f>
        <v/>
      </c>
      <c r="M799" s="62">
        <f>IF(AND(A799="",E799=""),"",IF(E799="","Segment ontbreekt",IF(OR(G799="",H799=""),"Van/tot ontbreekt",IF(N(J799)=0,"Duur is nul",IF(N(J799)&gt;12,"Langer dan 12 uur - controleren",IF(AND(E799="Werken",D799=""),"Werken zonder klant - koppelen","OK"))))))</f>
        <v/>
      </c>
    </row>
    <row r="800" ht="15" customHeight="1" s="42">
      <c r="A800" s="55" t="n"/>
      <c r="B800" s="56">
        <f>IF(A800="","",WEEKNUM(A800,21))</f>
        <v/>
      </c>
      <c r="C800" s="57" t="n"/>
      <c r="D800" s="57" t="n"/>
      <c r="E800" s="58" t="n"/>
      <c r="F800" s="57" t="n"/>
      <c r="G800" s="59" t="n"/>
      <c r="H800" s="59" t="n"/>
      <c r="I800" s="60">
        <f>IF(OR(G800="",H800=""),"",MOD(H800-G800,1))</f>
        <v/>
      </c>
      <c r="J800" s="61">
        <f>IF(OR(G800="",H800=""),"",ROUND(MOD(H800-G800,1)*24,2))</f>
        <v/>
      </c>
      <c r="K800" s="62">
        <f>IF(E800="","",IF(E800="Werken","JA","NEE"))</f>
        <v/>
      </c>
      <c r="L800" s="61">
        <f>IF(K800="JA",N(J800),IF(E800="","",0))</f>
        <v/>
      </c>
      <c r="M800" s="62">
        <f>IF(AND(A800="",E800=""),"",IF(E800="","Segment ontbreekt",IF(OR(G800="",H800=""),"Van/tot ontbreekt",IF(N(J800)=0,"Duur is nul",IF(N(J800)&gt;12,"Langer dan 12 uur - controleren",IF(AND(E800="Werken",D800=""),"Werken zonder klant - koppelen","OK"))))))</f>
        <v/>
      </c>
    </row>
    <row r="801" ht="15" customHeight="1" s="42">
      <c r="A801" s="55" t="n"/>
      <c r="B801" s="56">
        <f>IF(A801="","",WEEKNUM(A801,21))</f>
        <v/>
      </c>
      <c r="C801" s="57" t="n"/>
      <c r="D801" s="57" t="n"/>
      <c r="E801" s="58" t="n"/>
      <c r="F801" s="57" t="n"/>
      <c r="G801" s="59" t="n"/>
      <c r="H801" s="59" t="n"/>
      <c r="I801" s="60">
        <f>IF(OR(G801="",H801=""),"",MOD(H801-G801,1))</f>
        <v/>
      </c>
      <c r="J801" s="61">
        <f>IF(OR(G801="",H801=""),"",ROUND(MOD(H801-G801,1)*24,2))</f>
        <v/>
      </c>
      <c r="K801" s="62">
        <f>IF(E801="","",IF(E801="Werken","JA","NEE"))</f>
        <v/>
      </c>
      <c r="L801" s="61">
        <f>IF(K801="JA",N(J801),IF(E801="","",0))</f>
        <v/>
      </c>
      <c r="M801" s="62">
        <f>IF(AND(A801="",E801=""),"",IF(E801="","Segment ontbreekt",IF(OR(G801="",H801=""),"Van/tot ontbreekt",IF(N(J801)=0,"Duur is nul",IF(N(J801)&gt;12,"Langer dan 12 uur - controleren",IF(AND(E801="Werken",D801=""),"Werken zonder klant - koppelen","OK"))))))</f>
        <v/>
      </c>
    </row>
    <row r="802" ht="15" customHeight="1" s="42">
      <c r="A802" s="55" t="n"/>
      <c r="B802" s="56">
        <f>IF(A802="","",WEEKNUM(A802,21))</f>
        <v/>
      </c>
      <c r="C802" s="57" t="n"/>
      <c r="D802" s="57" t="n"/>
      <c r="E802" s="58" t="n"/>
      <c r="F802" s="57" t="n"/>
      <c r="G802" s="59" t="n"/>
      <c r="H802" s="59" t="n"/>
      <c r="I802" s="60">
        <f>IF(OR(G802="",H802=""),"",MOD(H802-G802,1))</f>
        <v/>
      </c>
      <c r="J802" s="61">
        <f>IF(OR(G802="",H802=""),"",ROUND(MOD(H802-G802,1)*24,2))</f>
        <v/>
      </c>
      <c r="K802" s="62">
        <f>IF(E802="","",IF(E802="Werken","JA","NEE"))</f>
        <v/>
      </c>
      <c r="L802" s="61">
        <f>IF(K802="JA",N(J802),IF(E802="","",0))</f>
        <v/>
      </c>
      <c r="M802" s="62">
        <f>IF(AND(A802="",E802=""),"",IF(E802="","Segment ontbreekt",IF(OR(G802="",H802=""),"Van/tot ontbreekt",IF(N(J802)=0,"Duur is nul",IF(N(J802)&gt;12,"Langer dan 12 uur - controleren",IF(AND(E802="Werken",D802=""),"Werken zonder klant - koppelen","OK"))))))</f>
        <v/>
      </c>
    </row>
    <row r="803" ht="15" customHeight="1" s="42">
      <c r="A803" s="55" t="n"/>
      <c r="B803" s="56">
        <f>IF(A803="","",WEEKNUM(A803,21))</f>
        <v/>
      </c>
      <c r="C803" s="57" t="n"/>
      <c r="D803" s="57" t="n"/>
      <c r="E803" s="58" t="n"/>
      <c r="F803" s="57" t="n"/>
      <c r="G803" s="59" t="n"/>
      <c r="H803" s="59" t="n"/>
      <c r="I803" s="60">
        <f>IF(OR(G803="",H803=""),"",MOD(H803-G803,1))</f>
        <v/>
      </c>
      <c r="J803" s="61">
        <f>IF(OR(G803="",H803=""),"",ROUND(MOD(H803-G803,1)*24,2))</f>
        <v/>
      </c>
      <c r="K803" s="62">
        <f>IF(E803="","",IF(E803="Werken","JA","NEE"))</f>
        <v/>
      </c>
      <c r="L803" s="61">
        <f>IF(K803="JA",N(J803),IF(E803="","",0))</f>
        <v/>
      </c>
      <c r="M803" s="62">
        <f>IF(AND(A803="",E803=""),"",IF(E803="","Segment ontbreekt",IF(OR(G803="",H803=""),"Van/tot ontbreekt",IF(N(J803)=0,"Duur is nul",IF(N(J803)&gt;12,"Langer dan 12 uur - controleren",IF(AND(E803="Werken",D803=""),"Werken zonder klant - koppelen","OK"))))))</f>
        <v/>
      </c>
    </row>
    <row r="804" ht="15" customHeight="1" s="42">
      <c r="A804" s="55" t="n"/>
      <c r="B804" s="56">
        <f>IF(A804="","",WEEKNUM(A804,21))</f>
        <v/>
      </c>
      <c r="C804" s="57" t="n"/>
      <c r="D804" s="57" t="n"/>
      <c r="E804" s="58" t="n"/>
      <c r="F804" s="57" t="n"/>
      <c r="G804" s="59" t="n"/>
      <c r="H804" s="59" t="n"/>
      <c r="I804" s="60">
        <f>IF(OR(G804="",H804=""),"",MOD(H804-G804,1))</f>
        <v/>
      </c>
      <c r="J804" s="61">
        <f>IF(OR(G804="",H804=""),"",ROUND(MOD(H804-G804,1)*24,2))</f>
        <v/>
      </c>
      <c r="K804" s="62">
        <f>IF(E804="","",IF(E804="Werken","JA","NEE"))</f>
        <v/>
      </c>
      <c r="L804" s="61">
        <f>IF(K804="JA",N(J804),IF(E804="","",0))</f>
        <v/>
      </c>
      <c r="M804" s="62">
        <f>IF(AND(A804="",E804=""),"",IF(E804="","Segment ontbreekt",IF(OR(G804="",H804=""),"Van/tot ontbreekt",IF(N(J804)=0,"Duur is nul",IF(N(J804)&gt;12,"Langer dan 12 uur - controleren",IF(AND(E804="Werken",D804=""),"Werken zonder klant - koppelen","OK"))))))</f>
        <v/>
      </c>
    </row>
    <row r="805" ht="15" customHeight="1" s="42">
      <c r="A805" s="55" t="n"/>
      <c r="B805" s="56">
        <f>IF(A805="","",WEEKNUM(A805,21))</f>
        <v/>
      </c>
      <c r="C805" s="57" t="n"/>
      <c r="D805" s="57" t="n"/>
      <c r="E805" s="58" t="n"/>
      <c r="F805" s="57" t="n"/>
      <c r="G805" s="59" t="n"/>
      <c r="H805" s="59" t="n"/>
      <c r="I805" s="60">
        <f>IF(OR(G805="",H805=""),"",MOD(H805-G805,1))</f>
        <v/>
      </c>
      <c r="J805" s="61">
        <f>IF(OR(G805="",H805=""),"",ROUND(MOD(H805-G805,1)*24,2))</f>
        <v/>
      </c>
      <c r="K805" s="62">
        <f>IF(E805="","",IF(E805="Werken","JA","NEE"))</f>
        <v/>
      </c>
      <c r="L805" s="61">
        <f>IF(K805="JA",N(J805),IF(E805="","",0))</f>
        <v/>
      </c>
      <c r="M805" s="62">
        <f>IF(AND(A805="",E805=""),"",IF(E805="","Segment ontbreekt",IF(OR(G805="",H805=""),"Van/tot ontbreekt",IF(N(J805)=0,"Duur is nul",IF(N(J805)&gt;12,"Langer dan 12 uur - controleren",IF(AND(E805="Werken",D805=""),"Werken zonder klant - koppelen","OK"))))))</f>
        <v/>
      </c>
    </row>
    <row r="806" ht="15" customHeight="1" s="42">
      <c r="A806" s="55" t="n"/>
      <c r="B806" s="56">
        <f>IF(A806="","",WEEKNUM(A806,21))</f>
        <v/>
      </c>
      <c r="C806" s="57" t="n"/>
      <c r="D806" s="57" t="n"/>
      <c r="E806" s="58" t="n"/>
      <c r="F806" s="57" t="n"/>
      <c r="G806" s="59" t="n"/>
      <c r="H806" s="59" t="n"/>
      <c r="I806" s="60">
        <f>IF(OR(G806="",H806=""),"",MOD(H806-G806,1))</f>
        <v/>
      </c>
      <c r="J806" s="61">
        <f>IF(OR(G806="",H806=""),"",ROUND(MOD(H806-G806,1)*24,2))</f>
        <v/>
      </c>
      <c r="K806" s="62">
        <f>IF(E806="","",IF(E806="Werken","JA","NEE"))</f>
        <v/>
      </c>
      <c r="L806" s="61">
        <f>IF(K806="JA",N(J806),IF(E806="","",0))</f>
        <v/>
      </c>
      <c r="M806" s="62">
        <f>IF(AND(A806="",E806=""),"",IF(E806="","Segment ontbreekt",IF(OR(G806="",H806=""),"Van/tot ontbreekt",IF(N(J806)=0,"Duur is nul",IF(N(J806)&gt;12,"Langer dan 12 uur - controleren",IF(AND(E806="Werken",D806=""),"Werken zonder klant - koppelen","OK"))))))</f>
        <v/>
      </c>
    </row>
    <row r="807" ht="15" customHeight="1" s="42">
      <c r="A807" s="55" t="n"/>
      <c r="B807" s="56">
        <f>IF(A807="","",WEEKNUM(A807,21))</f>
        <v/>
      </c>
      <c r="C807" s="57" t="n"/>
      <c r="D807" s="57" t="n"/>
      <c r="E807" s="58" t="n"/>
      <c r="F807" s="57" t="n"/>
      <c r="G807" s="59" t="n"/>
      <c r="H807" s="59" t="n"/>
      <c r="I807" s="60">
        <f>IF(OR(G807="",H807=""),"",MOD(H807-G807,1))</f>
        <v/>
      </c>
      <c r="J807" s="61">
        <f>IF(OR(G807="",H807=""),"",ROUND(MOD(H807-G807,1)*24,2))</f>
        <v/>
      </c>
      <c r="K807" s="62">
        <f>IF(E807="","",IF(E807="Werken","JA","NEE"))</f>
        <v/>
      </c>
      <c r="L807" s="61">
        <f>IF(K807="JA",N(J807),IF(E807="","",0))</f>
        <v/>
      </c>
      <c r="M807" s="62">
        <f>IF(AND(A807="",E807=""),"",IF(E807="","Segment ontbreekt",IF(OR(G807="",H807=""),"Van/tot ontbreekt",IF(N(J807)=0,"Duur is nul",IF(N(J807)&gt;12,"Langer dan 12 uur - controleren",IF(AND(E807="Werken",D807=""),"Werken zonder klant - koppelen","OK"))))))</f>
        <v/>
      </c>
    </row>
    <row r="808" ht="15" customHeight="1" s="42">
      <c r="A808" s="55" t="n"/>
      <c r="B808" s="56">
        <f>IF(A808="","",WEEKNUM(A808,21))</f>
        <v/>
      </c>
      <c r="C808" s="57" t="n"/>
      <c r="D808" s="57" t="n"/>
      <c r="E808" s="58" t="n"/>
      <c r="F808" s="57" t="n"/>
      <c r="G808" s="59" t="n"/>
      <c r="H808" s="59" t="n"/>
      <c r="I808" s="60">
        <f>IF(OR(G808="",H808=""),"",MOD(H808-G808,1))</f>
        <v/>
      </c>
      <c r="J808" s="61">
        <f>IF(OR(G808="",H808=""),"",ROUND(MOD(H808-G808,1)*24,2))</f>
        <v/>
      </c>
      <c r="K808" s="62">
        <f>IF(E808="","",IF(E808="Werken","JA","NEE"))</f>
        <v/>
      </c>
      <c r="L808" s="61">
        <f>IF(K808="JA",N(J808),IF(E808="","",0))</f>
        <v/>
      </c>
      <c r="M808" s="62">
        <f>IF(AND(A808="",E808=""),"",IF(E808="","Segment ontbreekt",IF(OR(G808="",H808=""),"Van/tot ontbreekt",IF(N(J808)=0,"Duur is nul",IF(N(J808)&gt;12,"Langer dan 12 uur - controleren",IF(AND(E808="Werken",D808=""),"Werken zonder klant - koppelen","OK"))))))</f>
        <v/>
      </c>
    </row>
    <row r="809" ht="15" customHeight="1" s="42">
      <c r="A809" s="55" t="n"/>
      <c r="B809" s="56">
        <f>IF(A809="","",WEEKNUM(A809,21))</f>
        <v/>
      </c>
      <c r="C809" s="57" t="n"/>
      <c r="D809" s="57" t="n"/>
      <c r="E809" s="58" t="n"/>
      <c r="F809" s="57" t="n"/>
      <c r="G809" s="59" t="n"/>
      <c r="H809" s="59" t="n"/>
      <c r="I809" s="60">
        <f>IF(OR(G809="",H809=""),"",MOD(H809-G809,1))</f>
        <v/>
      </c>
      <c r="J809" s="61">
        <f>IF(OR(G809="",H809=""),"",ROUND(MOD(H809-G809,1)*24,2))</f>
        <v/>
      </c>
      <c r="K809" s="62">
        <f>IF(E809="","",IF(E809="Werken","JA","NEE"))</f>
        <v/>
      </c>
      <c r="L809" s="61">
        <f>IF(K809="JA",N(J809),IF(E809="","",0))</f>
        <v/>
      </c>
      <c r="M809" s="62">
        <f>IF(AND(A809="",E809=""),"",IF(E809="","Segment ontbreekt",IF(OR(G809="",H809=""),"Van/tot ontbreekt",IF(N(J809)=0,"Duur is nul",IF(N(J809)&gt;12,"Langer dan 12 uur - controleren",IF(AND(E809="Werken",D809=""),"Werken zonder klant - koppelen","OK"))))))</f>
        <v/>
      </c>
    </row>
    <row r="810" ht="15" customHeight="1" s="42">
      <c r="A810" s="55" t="n"/>
      <c r="B810" s="56">
        <f>IF(A810="","",WEEKNUM(A810,21))</f>
        <v/>
      </c>
      <c r="C810" s="57" t="n"/>
      <c r="D810" s="57" t="n"/>
      <c r="E810" s="58" t="n"/>
      <c r="F810" s="57" t="n"/>
      <c r="G810" s="59" t="n"/>
      <c r="H810" s="59" t="n"/>
      <c r="I810" s="60">
        <f>IF(OR(G810="",H810=""),"",MOD(H810-G810,1))</f>
        <v/>
      </c>
      <c r="J810" s="61">
        <f>IF(OR(G810="",H810=""),"",ROUND(MOD(H810-G810,1)*24,2))</f>
        <v/>
      </c>
      <c r="K810" s="62">
        <f>IF(E810="","",IF(E810="Werken","JA","NEE"))</f>
        <v/>
      </c>
      <c r="L810" s="61">
        <f>IF(K810="JA",N(J810),IF(E810="","",0))</f>
        <v/>
      </c>
      <c r="M810" s="62">
        <f>IF(AND(A810="",E810=""),"",IF(E810="","Segment ontbreekt",IF(OR(G810="",H810=""),"Van/tot ontbreekt",IF(N(J810)=0,"Duur is nul",IF(N(J810)&gt;12,"Langer dan 12 uur - controleren",IF(AND(E810="Werken",D810=""),"Werken zonder klant - koppelen","OK"))))))</f>
        <v/>
      </c>
    </row>
    <row r="811" ht="15" customHeight="1" s="42">
      <c r="A811" s="55" t="n"/>
      <c r="B811" s="56">
        <f>IF(A811="","",WEEKNUM(A811,21))</f>
        <v/>
      </c>
      <c r="C811" s="57" t="n"/>
      <c r="D811" s="57" t="n"/>
      <c r="E811" s="58" t="n"/>
      <c r="F811" s="57" t="n"/>
      <c r="G811" s="59" t="n"/>
      <c r="H811" s="59" t="n"/>
      <c r="I811" s="60">
        <f>IF(OR(G811="",H811=""),"",MOD(H811-G811,1))</f>
        <v/>
      </c>
      <c r="J811" s="61">
        <f>IF(OR(G811="",H811=""),"",ROUND(MOD(H811-G811,1)*24,2))</f>
        <v/>
      </c>
      <c r="K811" s="62">
        <f>IF(E811="","",IF(E811="Werken","JA","NEE"))</f>
        <v/>
      </c>
      <c r="L811" s="61">
        <f>IF(K811="JA",N(J811),IF(E811="","",0))</f>
        <v/>
      </c>
      <c r="M811" s="62">
        <f>IF(AND(A811="",E811=""),"",IF(E811="","Segment ontbreekt",IF(OR(G811="",H811=""),"Van/tot ontbreekt",IF(N(J811)=0,"Duur is nul",IF(N(J811)&gt;12,"Langer dan 12 uur - controleren",IF(AND(E811="Werken",D811=""),"Werken zonder klant - koppelen","OK"))))))</f>
        <v/>
      </c>
    </row>
    <row r="812" ht="15" customHeight="1" s="42">
      <c r="A812" s="55" t="n"/>
      <c r="B812" s="56">
        <f>IF(A812="","",WEEKNUM(A812,21))</f>
        <v/>
      </c>
      <c r="C812" s="57" t="n"/>
      <c r="D812" s="57" t="n"/>
      <c r="E812" s="58" t="n"/>
      <c r="F812" s="57" t="n"/>
      <c r="G812" s="59" t="n"/>
      <c r="H812" s="59" t="n"/>
      <c r="I812" s="60">
        <f>IF(OR(G812="",H812=""),"",MOD(H812-G812,1))</f>
        <v/>
      </c>
      <c r="J812" s="61">
        <f>IF(OR(G812="",H812=""),"",ROUND(MOD(H812-G812,1)*24,2))</f>
        <v/>
      </c>
      <c r="K812" s="62">
        <f>IF(E812="","",IF(E812="Werken","JA","NEE"))</f>
        <v/>
      </c>
      <c r="L812" s="61">
        <f>IF(K812="JA",N(J812),IF(E812="","",0))</f>
        <v/>
      </c>
      <c r="M812" s="62">
        <f>IF(AND(A812="",E812=""),"",IF(E812="","Segment ontbreekt",IF(OR(G812="",H812=""),"Van/tot ontbreekt",IF(N(J812)=0,"Duur is nul",IF(N(J812)&gt;12,"Langer dan 12 uur - controleren",IF(AND(E812="Werken",D812=""),"Werken zonder klant - koppelen","OK"))))))</f>
        <v/>
      </c>
    </row>
    <row r="813" ht="15" customHeight="1" s="42">
      <c r="A813" s="55" t="n"/>
      <c r="B813" s="56">
        <f>IF(A813="","",WEEKNUM(A813,21))</f>
        <v/>
      </c>
      <c r="C813" s="57" t="n"/>
      <c r="D813" s="57" t="n"/>
      <c r="E813" s="58" t="n"/>
      <c r="F813" s="57" t="n"/>
      <c r="G813" s="59" t="n"/>
      <c r="H813" s="59" t="n"/>
      <c r="I813" s="60">
        <f>IF(OR(G813="",H813=""),"",MOD(H813-G813,1))</f>
        <v/>
      </c>
      <c r="J813" s="61">
        <f>IF(OR(G813="",H813=""),"",ROUND(MOD(H813-G813,1)*24,2))</f>
        <v/>
      </c>
      <c r="K813" s="62">
        <f>IF(E813="","",IF(E813="Werken","JA","NEE"))</f>
        <v/>
      </c>
      <c r="L813" s="61">
        <f>IF(K813="JA",N(J813),IF(E813="","",0))</f>
        <v/>
      </c>
      <c r="M813" s="62">
        <f>IF(AND(A813="",E813=""),"",IF(E813="","Segment ontbreekt",IF(OR(G813="",H813=""),"Van/tot ontbreekt",IF(N(J813)=0,"Duur is nul",IF(N(J813)&gt;12,"Langer dan 12 uur - controleren",IF(AND(E813="Werken",D813=""),"Werken zonder klant - koppelen","OK"))))))</f>
        <v/>
      </c>
    </row>
    <row r="814" ht="15" customHeight="1" s="42">
      <c r="A814" s="55" t="n"/>
      <c r="B814" s="56">
        <f>IF(A814="","",WEEKNUM(A814,21))</f>
        <v/>
      </c>
      <c r="C814" s="57" t="n"/>
      <c r="D814" s="57" t="n"/>
      <c r="E814" s="58" t="n"/>
      <c r="F814" s="57" t="n"/>
      <c r="G814" s="59" t="n"/>
      <c r="H814" s="59" t="n"/>
      <c r="I814" s="60">
        <f>IF(OR(G814="",H814=""),"",MOD(H814-G814,1))</f>
        <v/>
      </c>
      <c r="J814" s="61">
        <f>IF(OR(G814="",H814=""),"",ROUND(MOD(H814-G814,1)*24,2))</f>
        <v/>
      </c>
      <c r="K814" s="62">
        <f>IF(E814="","",IF(E814="Werken","JA","NEE"))</f>
        <v/>
      </c>
      <c r="L814" s="61">
        <f>IF(K814="JA",N(J814),IF(E814="","",0))</f>
        <v/>
      </c>
      <c r="M814" s="62">
        <f>IF(AND(A814="",E814=""),"",IF(E814="","Segment ontbreekt",IF(OR(G814="",H814=""),"Van/tot ontbreekt",IF(N(J814)=0,"Duur is nul",IF(N(J814)&gt;12,"Langer dan 12 uur - controleren",IF(AND(E814="Werken",D814=""),"Werken zonder klant - koppelen","OK"))))))</f>
        <v/>
      </c>
    </row>
    <row r="815" ht="15" customHeight="1" s="42">
      <c r="A815" s="55" t="n"/>
      <c r="B815" s="56">
        <f>IF(A815="","",WEEKNUM(A815,21))</f>
        <v/>
      </c>
      <c r="C815" s="57" t="n"/>
      <c r="D815" s="57" t="n"/>
      <c r="E815" s="58" t="n"/>
      <c r="F815" s="57" t="n"/>
      <c r="G815" s="59" t="n"/>
      <c r="H815" s="59" t="n"/>
      <c r="I815" s="60">
        <f>IF(OR(G815="",H815=""),"",MOD(H815-G815,1))</f>
        <v/>
      </c>
      <c r="J815" s="61">
        <f>IF(OR(G815="",H815=""),"",ROUND(MOD(H815-G815,1)*24,2))</f>
        <v/>
      </c>
      <c r="K815" s="62">
        <f>IF(E815="","",IF(E815="Werken","JA","NEE"))</f>
        <v/>
      </c>
      <c r="L815" s="61">
        <f>IF(K815="JA",N(J815),IF(E815="","",0))</f>
        <v/>
      </c>
      <c r="M815" s="62">
        <f>IF(AND(A815="",E815=""),"",IF(E815="","Segment ontbreekt",IF(OR(G815="",H815=""),"Van/tot ontbreekt",IF(N(J815)=0,"Duur is nul",IF(N(J815)&gt;12,"Langer dan 12 uur - controleren",IF(AND(E815="Werken",D815=""),"Werken zonder klant - koppelen","OK"))))))</f>
        <v/>
      </c>
    </row>
    <row r="816" ht="15" customHeight="1" s="42">
      <c r="A816" s="55" t="n"/>
      <c r="B816" s="56">
        <f>IF(A816="","",WEEKNUM(A816,21))</f>
        <v/>
      </c>
      <c r="C816" s="57" t="n"/>
      <c r="D816" s="57" t="n"/>
      <c r="E816" s="58" t="n"/>
      <c r="F816" s="57" t="n"/>
      <c r="G816" s="59" t="n"/>
      <c r="H816" s="59" t="n"/>
      <c r="I816" s="60">
        <f>IF(OR(G816="",H816=""),"",MOD(H816-G816,1))</f>
        <v/>
      </c>
      <c r="J816" s="61">
        <f>IF(OR(G816="",H816=""),"",ROUND(MOD(H816-G816,1)*24,2))</f>
        <v/>
      </c>
      <c r="K816" s="62">
        <f>IF(E816="","",IF(E816="Werken","JA","NEE"))</f>
        <v/>
      </c>
      <c r="L816" s="61">
        <f>IF(K816="JA",N(J816),IF(E816="","",0))</f>
        <v/>
      </c>
      <c r="M816" s="62">
        <f>IF(AND(A816="",E816=""),"",IF(E816="","Segment ontbreekt",IF(OR(G816="",H816=""),"Van/tot ontbreekt",IF(N(J816)=0,"Duur is nul",IF(N(J816)&gt;12,"Langer dan 12 uur - controleren",IF(AND(E816="Werken",D816=""),"Werken zonder klant - koppelen","OK"))))))</f>
        <v/>
      </c>
    </row>
    <row r="817" ht="15" customHeight="1" s="42">
      <c r="A817" s="55" t="n"/>
      <c r="B817" s="56">
        <f>IF(A817="","",WEEKNUM(A817,21))</f>
        <v/>
      </c>
      <c r="C817" s="57" t="n"/>
      <c r="D817" s="57" t="n"/>
      <c r="E817" s="58" t="n"/>
      <c r="F817" s="57" t="n"/>
      <c r="G817" s="59" t="n"/>
      <c r="H817" s="59" t="n"/>
      <c r="I817" s="60">
        <f>IF(OR(G817="",H817=""),"",MOD(H817-G817,1))</f>
        <v/>
      </c>
      <c r="J817" s="61">
        <f>IF(OR(G817="",H817=""),"",ROUND(MOD(H817-G817,1)*24,2))</f>
        <v/>
      </c>
      <c r="K817" s="62">
        <f>IF(E817="","",IF(E817="Werken","JA","NEE"))</f>
        <v/>
      </c>
      <c r="L817" s="61">
        <f>IF(K817="JA",N(J817),IF(E817="","",0))</f>
        <v/>
      </c>
      <c r="M817" s="62">
        <f>IF(AND(A817="",E817=""),"",IF(E817="","Segment ontbreekt",IF(OR(G817="",H817=""),"Van/tot ontbreekt",IF(N(J817)=0,"Duur is nul",IF(N(J817)&gt;12,"Langer dan 12 uur - controleren",IF(AND(E817="Werken",D817=""),"Werken zonder klant - koppelen","OK"))))))</f>
        <v/>
      </c>
    </row>
    <row r="818" ht="15" customHeight="1" s="42">
      <c r="A818" s="55" t="n"/>
      <c r="B818" s="56">
        <f>IF(A818="","",WEEKNUM(A818,21))</f>
        <v/>
      </c>
      <c r="C818" s="57" t="n"/>
      <c r="D818" s="57" t="n"/>
      <c r="E818" s="58" t="n"/>
      <c r="F818" s="57" t="n"/>
      <c r="G818" s="59" t="n"/>
      <c r="H818" s="59" t="n"/>
      <c r="I818" s="60">
        <f>IF(OR(G818="",H818=""),"",MOD(H818-G818,1))</f>
        <v/>
      </c>
      <c r="J818" s="61">
        <f>IF(OR(G818="",H818=""),"",ROUND(MOD(H818-G818,1)*24,2))</f>
        <v/>
      </c>
      <c r="K818" s="62">
        <f>IF(E818="","",IF(E818="Werken","JA","NEE"))</f>
        <v/>
      </c>
      <c r="L818" s="61">
        <f>IF(K818="JA",N(J818),IF(E818="","",0))</f>
        <v/>
      </c>
      <c r="M818" s="62">
        <f>IF(AND(A818="",E818=""),"",IF(E818="","Segment ontbreekt",IF(OR(G818="",H818=""),"Van/tot ontbreekt",IF(N(J818)=0,"Duur is nul",IF(N(J818)&gt;12,"Langer dan 12 uur - controleren",IF(AND(E818="Werken",D818=""),"Werken zonder klant - koppelen","OK"))))))</f>
        <v/>
      </c>
    </row>
    <row r="819" ht="15" customHeight="1" s="42">
      <c r="A819" s="55" t="n"/>
      <c r="B819" s="56">
        <f>IF(A819="","",WEEKNUM(A819,21))</f>
        <v/>
      </c>
      <c r="C819" s="57" t="n"/>
      <c r="D819" s="57" t="n"/>
      <c r="E819" s="58" t="n"/>
      <c r="F819" s="57" t="n"/>
      <c r="G819" s="59" t="n"/>
      <c r="H819" s="59" t="n"/>
      <c r="I819" s="60">
        <f>IF(OR(G819="",H819=""),"",MOD(H819-G819,1))</f>
        <v/>
      </c>
      <c r="J819" s="61">
        <f>IF(OR(G819="",H819=""),"",ROUND(MOD(H819-G819,1)*24,2))</f>
        <v/>
      </c>
      <c r="K819" s="62">
        <f>IF(E819="","",IF(E819="Werken","JA","NEE"))</f>
        <v/>
      </c>
      <c r="L819" s="61">
        <f>IF(K819="JA",N(J819),IF(E819="","",0))</f>
        <v/>
      </c>
      <c r="M819" s="62">
        <f>IF(AND(A819="",E819=""),"",IF(E819="","Segment ontbreekt",IF(OR(G819="",H819=""),"Van/tot ontbreekt",IF(N(J819)=0,"Duur is nul",IF(N(J819)&gt;12,"Langer dan 12 uur - controleren",IF(AND(E819="Werken",D819=""),"Werken zonder klant - koppelen","OK"))))))</f>
        <v/>
      </c>
    </row>
    <row r="820" ht="15" customHeight="1" s="42">
      <c r="A820" s="55" t="n"/>
      <c r="B820" s="56">
        <f>IF(A820="","",WEEKNUM(A820,21))</f>
        <v/>
      </c>
      <c r="C820" s="57" t="n"/>
      <c r="D820" s="57" t="n"/>
      <c r="E820" s="58" t="n"/>
      <c r="F820" s="57" t="n"/>
      <c r="G820" s="59" t="n"/>
      <c r="H820" s="59" t="n"/>
      <c r="I820" s="60">
        <f>IF(OR(G820="",H820=""),"",MOD(H820-G820,1))</f>
        <v/>
      </c>
      <c r="J820" s="61">
        <f>IF(OR(G820="",H820=""),"",ROUND(MOD(H820-G820,1)*24,2))</f>
        <v/>
      </c>
      <c r="K820" s="62">
        <f>IF(E820="","",IF(E820="Werken","JA","NEE"))</f>
        <v/>
      </c>
      <c r="L820" s="61">
        <f>IF(K820="JA",N(J820),IF(E820="","",0))</f>
        <v/>
      </c>
      <c r="M820" s="62">
        <f>IF(AND(A820="",E820=""),"",IF(E820="","Segment ontbreekt",IF(OR(G820="",H820=""),"Van/tot ontbreekt",IF(N(J820)=0,"Duur is nul",IF(N(J820)&gt;12,"Langer dan 12 uur - controleren",IF(AND(E820="Werken",D820=""),"Werken zonder klant - koppelen","OK"))))))</f>
        <v/>
      </c>
    </row>
    <row r="821" ht="15" customHeight="1" s="42">
      <c r="A821" s="55" t="n"/>
      <c r="B821" s="56">
        <f>IF(A821="","",WEEKNUM(A821,21))</f>
        <v/>
      </c>
      <c r="C821" s="57" t="n"/>
      <c r="D821" s="57" t="n"/>
      <c r="E821" s="58" t="n"/>
      <c r="F821" s="57" t="n"/>
      <c r="G821" s="59" t="n"/>
      <c r="H821" s="59" t="n"/>
      <c r="I821" s="60">
        <f>IF(OR(G821="",H821=""),"",MOD(H821-G821,1))</f>
        <v/>
      </c>
      <c r="J821" s="61">
        <f>IF(OR(G821="",H821=""),"",ROUND(MOD(H821-G821,1)*24,2))</f>
        <v/>
      </c>
      <c r="K821" s="62">
        <f>IF(E821="","",IF(E821="Werken","JA","NEE"))</f>
        <v/>
      </c>
      <c r="L821" s="61">
        <f>IF(K821="JA",N(J821),IF(E821="","",0))</f>
        <v/>
      </c>
      <c r="M821" s="62">
        <f>IF(AND(A821="",E821=""),"",IF(E821="","Segment ontbreekt",IF(OR(G821="",H821=""),"Van/tot ontbreekt",IF(N(J821)=0,"Duur is nul",IF(N(J821)&gt;12,"Langer dan 12 uur - controleren",IF(AND(E821="Werken",D821=""),"Werken zonder klant - koppelen","OK"))))))</f>
        <v/>
      </c>
    </row>
    <row r="822" ht="15" customHeight="1" s="42">
      <c r="A822" s="55" t="n"/>
      <c r="B822" s="56">
        <f>IF(A822="","",WEEKNUM(A822,21))</f>
        <v/>
      </c>
      <c r="C822" s="57" t="n"/>
      <c r="D822" s="57" t="n"/>
      <c r="E822" s="58" t="n"/>
      <c r="F822" s="57" t="n"/>
      <c r="G822" s="59" t="n"/>
      <c r="H822" s="59" t="n"/>
      <c r="I822" s="60">
        <f>IF(OR(G822="",H822=""),"",MOD(H822-G822,1))</f>
        <v/>
      </c>
      <c r="J822" s="61">
        <f>IF(OR(G822="",H822=""),"",ROUND(MOD(H822-G822,1)*24,2))</f>
        <v/>
      </c>
      <c r="K822" s="62">
        <f>IF(E822="","",IF(E822="Werken","JA","NEE"))</f>
        <v/>
      </c>
      <c r="L822" s="61">
        <f>IF(K822="JA",N(J822),IF(E822="","",0))</f>
        <v/>
      </c>
      <c r="M822" s="62">
        <f>IF(AND(A822="",E822=""),"",IF(E822="","Segment ontbreekt",IF(OR(G822="",H822=""),"Van/tot ontbreekt",IF(N(J822)=0,"Duur is nul",IF(N(J822)&gt;12,"Langer dan 12 uur - controleren",IF(AND(E822="Werken",D822=""),"Werken zonder klant - koppelen","OK"))))))</f>
        <v/>
      </c>
    </row>
    <row r="823" ht="15" customHeight="1" s="42">
      <c r="A823" s="55" t="n"/>
      <c r="B823" s="56">
        <f>IF(A823="","",WEEKNUM(A823,21))</f>
        <v/>
      </c>
      <c r="C823" s="57" t="n"/>
      <c r="D823" s="57" t="n"/>
      <c r="E823" s="58" t="n"/>
      <c r="F823" s="57" t="n"/>
      <c r="G823" s="59" t="n"/>
      <c r="H823" s="59" t="n"/>
      <c r="I823" s="60">
        <f>IF(OR(G823="",H823=""),"",MOD(H823-G823,1))</f>
        <v/>
      </c>
      <c r="J823" s="61">
        <f>IF(OR(G823="",H823=""),"",ROUND(MOD(H823-G823,1)*24,2))</f>
        <v/>
      </c>
      <c r="K823" s="62">
        <f>IF(E823="","",IF(E823="Werken","JA","NEE"))</f>
        <v/>
      </c>
      <c r="L823" s="61">
        <f>IF(K823="JA",N(J823),IF(E823="","",0))</f>
        <v/>
      </c>
      <c r="M823" s="62">
        <f>IF(AND(A823="",E823=""),"",IF(E823="","Segment ontbreekt",IF(OR(G823="",H823=""),"Van/tot ontbreekt",IF(N(J823)=0,"Duur is nul",IF(N(J823)&gt;12,"Langer dan 12 uur - controleren",IF(AND(E823="Werken",D823=""),"Werken zonder klant - koppelen","OK"))))))</f>
        <v/>
      </c>
    </row>
    <row r="824" ht="15" customHeight="1" s="42">
      <c r="A824" s="55" t="n"/>
      <c r="B824" s="56">
        <f>IF(A824="","",WEEKNUM(A824,21))</f>
        <v/>
      </c>
      <c r="C824" s="57" t="n"/>
      <c r="D824" s="57" t="n"/>
      <c r="E824" s="58" t="n"/>
      <c r="F824" s="57" t="n"/>
      <c r="G824" s="59" t="n"/>
      <c r="H824" s="59" t="n"/>
      <c r="I824" s="60">
        <f>IF(OR(G824="",H824=""),"",MOD(H824-G824,1))</f>
        <v/>
      </c>
      <c r="J824" s="61">
        <f>IF(OR(G824="",H824=""),"",ROUND(MOD(H824-G824,1)*24,2))</f>
        <v/>
      </c>
      <c r="K824" s="62">
        <f>IF(E824="","",IF(E824="Werken","JA","NEE"))</f>
        <v/>
      </c>
      <c r="L824" s="61">
        <f>IF(K824="JA",N(J824),IF(E824="","",0))</f>
        <v/>
      </c>
      <c r="M824" s="62">
        <f>IF(AND(A824="",E824=""),"",IF(E824="","Segment ontbreekt",IF(OR(G824="",H824=""),"Van/tot ontbreekt",IF(N(J824)=0,"Duur is nul",IF(N(J824)&gt;12,"Langer dan 12 uur - controleren",IF(AND(E824="Werken",D824=""),"Werken zonder klant - koppelen","OK"))))))</f>
        <v/>
      </c>
    </row>
    <row r="825" ht="15" customHeight="1" s="42">
      <c r="A825" s="55" t="n"/>
      <c r="B825" s="56">
        <f>IF(A825="","",WEEKNUM(A825,21))</f>
        <v/>
      </c>
      <c r="C825" s="57" t="n"/>
      <c r="D825" s="57" t="n"/>
      <c r="E825" s="58" t="n"/>
      <c r="F825" s="57" t="n"/>
      <c r="G825" s="59" t="n"/>
      <c r="H825" s="59" t="n"/>
      <c r="I825" s="60">
        <f>IF(OR(G825="",H825=""),"",MOD(H825-G825,1))</f>
        <v/>
      </c>
      <c r="J825" s="61">
        <f>IF(OR(G825="",H825=""),"",ROUND(MOD(H825-G825,1)*24,2))</f>
        <v/>
      </c>
      <c r="K825" s="62">
        <f>IF(E825="","",IF(E825="Werken","JA","NEE"))</f>
        <v/>
      </c>
      <c r="L825" s="61">
        <f>IF(K825="JA",N(J825),IF(E825="","",0))</f>
        <v/>
      </c>
      <c r="M825" s="62">
        <f>IF(AND(A825="",E825=""),"",IF(E825="","Segment ontbreekt",IF(OR(G825="",H825=""),"Van/tot ontbreekt",IF(N(J825)=0,"Duur is nul",IF(N(J825)&gt;12,"Langer dan 12 uur - controleren",IF(AND(E825="Werken",D825=""),"Werken zonder klant - koppelen","OK"))))))</f>
        <v/>
      </c>
    </row>
    <row r="826" ht="15" customHeight="1" s="42">
      <c r="A826" s="55" t="n"/>
      <c r="B826" s="56">
        <f>IF(A826="","",WEEKNUM(A826,21))</f>
        <v/>
      </c>
      <c r="C826" s="57" t="n"/>
      <c r="D826" s="57" t="n"/>
      <c r="E826" s="58" t="n"/>
      <c r="F826" s="57" t="n"/>
      <c r="G826" s="59" t="n"/>
      <c r="H826" s="59" t="n"/>
      <c r="I826" s="60">
        <f>IF(OR(G826="",H826=""),"",MOD(H826-G826,1))</f>
        <v/>
      </c>
      <c r="J826" s="61">
        <f>IF(OR(G826="",H826=""),"",ROUND(MOD(H826-G826,1)*24,2))</f>
        <v/>
      </c>
      <c r="K826" s="62">
        <f>IF(E826="","",IF(E826="Werken","JA","NEE"))</f>
        <v/>
      </c>
      <c r="L826" s="61">
        <f>IF(K826="JA",N(J826),IF(E826="","",0))</f>
        <v/>
      </c>
      <c r="M826" s="62">
        <f>IF(AND(A826="",E826=""),"",IF(E826="","Segment ontbreekt",IF(OR(G826="",H826=""),"Van/tot ontbreekt",IF(N(J826)=0,"Duur is nul",IF(N(J826)&gt;12,"Langer dan 12 uur - controleren",IF(AND(E826="Werken",D826=""),"Werken zonder klant - koppelen","OK"))))))</f>
        <v/>
      </c>
    </row>
    <row r="827" ht="15" customHeight="1" s="42">
      <c r="A827" s="55" t="n"/>
      <c r="B827" s="56">
        <f>IF(A827="","",WEEKNUM(A827,21))</f>
        <v/>
      </c>
      <c r="C827" s="57" t="n"/>
      <c r="D827" s="57" t="n"/>
      <c r="E827" s="58" t="n"/>
      <c r="F827" s="57" t="n"/>
      <c r="G827" s="59" t="n"/>
      <c r="H827" s="59" t="n"/>
      <c r="I827" s="60">
        <f>IF(OR(G827="",H827=""),"",MOD(H827-G827,1))</f>
        <v/>
      </c>
      <c r="J827" s="61">
        <f>IF(OR(G827="",H827=""),"",ROUND(MOD(H827-G827,1)*24,2))</f>
        <v/>
      </c>
      <c r="K827" s="62">
        <f>IF(E827="","",IF(E827="Werken","JA","NEE"))</f>
        <v/>
      </c>
      <c r="L827" s="61">
        <f>IF(K827="JA",N(J827),IF(E827="","",0))</f>
        <v/>
      </c>
      <c r="M827" s="62">
        <f>IF(AND(A827="",E827=""),"",IF(E827="","Segment ontbreekt",IF(OR(G827="",H827=""),"Van/tot ontbreekt",IF(N(J827)=0,"Duur is nul",IF(N(J827)&gt;12,"Langer dan 12 uur - controleren",IF(AND(E827="Werken",D827=""),"Werken zonder klant - koppelen","OK"))))))</f>
        <v/>
      </c>
    </row>
    <row r="828" ht="15" customHeight="1" s="42">
      <c r="A828" s="55" t="n"/>
      <c r="B828" s="56">
        <f>IF(A828="","",WEEKNUM(A828,21))</f>
        <v/>
      </c>
      <c r="C828" s="57" t="n"/>
      <c r="D828" s="57" t="n"/>
      <c r="E828" s="58" t="n"/>
      <c r="F828" s="57" t="n"/>
      <c r="G828" s="59" t="n"/>
      <c r="H828" s="59" t="n"/>
      <c r="I828" s="60">
        <f>IF(OR(G828="",H828=""),"",MOD(H828-G828,1))</f>
        <v/>
      </c>
      <c r="J828" s="61">
        <f>IF(OR(G828="",H828=""),"",ROUND(MOD(H828-G828,1)*24,2))</f>
        <v/>
      </c>
      <c r="K828" s="62">
        <f>IF(E828="","",IF(E828="Werken","JA","NEE"))</f>
        <v/>
      </c>
      <c r="L828" s="61">
        <f>IF(K828="JA",N(J828),IF(E828="","",0))</f>
        <v/>
      </c>
      <c r="M828" s="62">
        <f>IF(AND(A828="",E828=""),"",IF(E828="","Segment ontbreekt",IF(OR(G828="",H828=""),"Van/tot ontbreekt",IF(N(J828)=0,"Duur is nul",IF(N(J828)&gt;12,"Langer dan 12 uur - controleren",IF(AND(E828="Werken",D828=""),"Werken zonder klant - koppelen","OK"))))))</f>
        <v/>
      </c>
    </row>
    <row r="829" ht="15" customHeight="1" s="42">
      <c r="A829" s="55" t="n"/>
      <c r="B829" s="56">
        <f>IF(A829="","",WEEKNUM(A829,21))</f>
        <v/>
      </c>
      <c r="C829" s="57" t="n"/>
      <c r="D829" s="57" t="n"/>
      <c r="E829" s="58" t="n"/>
      <c r="F829" s="57" t="n"/>
      <c r="G829" s="59" t="n"/>
      <c r="H829" s="59" t="n"/>
      <c r="I829" s="60">
        <f>IF(OR(G829="",H829=""),"",MOD(H829-G829,1))</f>
        <v/>
      </c>
      <c r="J829" s="61">
        <f>IF(OR(G829="",H829=""),"",ROUND(MOD(H829-G829,1)*24,2))</f>
        <v/>
      </c>
      <c r="K829" s="62">
        <f>IF(E829="","",IF(E829="Werken","JA","NEE"))</f>
        <v/>
      </c>
      <c r="L829" s="61">
        <f>IF(K829="JA",N(J829),IF(E829="","",0))</f>
        <v/>
      </c>
      <c r="M829" s="62">
        <f>IF(AND(A829="",E829=""),"",IF(E829="","Segment ontbreekt",IF(OR(G829="",H829=""),"Van/tot ontbreekt",IF(N(J829)=0,"Duur is nul",IF(N(J829)&gt;12,"Langer dan 12 uur - controleren",IF(AND(E829="Werken",D829=""),"Werken zonder klant - koppelen","OK"))))))</f>
        <v/>
      </c>
    </row>
    <row r="830" ht="15" customHeight="1" s="42">
      <c r="A830" s="55" t="n"/>
      <c r="B830" s="56">
        <f>IF(A830="","",WEEKNUM(A830,21))</f>
        <v/>
      </c>
      <c r="C830" s="57" t="n"/>
      <c r="D830" s="57" t="n"/>
      <c r="E830" s="58" t="n"/>
      <c r="F830" s="57" t="n"/>
      <c r="G830" s="59" t="n"/>
      <c r="H830" s="59" t="n"/>
      <c r="I830" s="60">
        <f>IF(OR(G830="",H830=""),"",MOD(H830-G830,1))</f>
        <v/>
      </c>
      <c r="J830" s="61">
        <f>IF(OR(G830="",H830=""),"",ROUND(MOD(H830-G830,1)*24,2))</f>
        <v/>
      </c>
      <c r="K830" s="62">
        <f>IF(E830="","",IF(E830="Werken","JA","NEE"))</f>
        <v/>
      </c>
      <c r="L830" s="61">
        <f>IF(K830="JA",N(J830),IF(E830="","",0))</f>
        <v/>
      </c>
      <c r="M830" s="62">
        <f>IF(AND(A830="",E830=""),"",IF(E830="","Segment ontbreekt",IF(OR(G830="",H830=""),"Van/tot ontbreekt",IF(N(J830)=0,"Duur is nul",IF(N(J830)&gt;12,"Langer dan 12 uur - controleren",IF(AND(E830="Werken",D830=""),"Werken zonder klant - koppelen","OK"))))))</f>
        <v/>
      </c>
    </row>
    <row r="831" ht="15" customHeight="1" s="42">
      <c r="A831" s="55" t="n"/>
      <c r="B831" s="56">
        <f>IF(A831="","",WEEKNUM(A831,21))</f>
        <v/>
      </c>
      <c r="C831" s="57" t="n"/>
      <c r="D831" s="57" t="n"/>
      <c r="E831" s="58" t="n"/>
      <c r="F831" s="57" t="n"/>
      <c r="G831" s="59" t="n"/>
      <c r="H831" s="59" t="n"/>
      <c r="I831" s="60">
        <f>IF(OR(G831="",H831=""),"",MOD(H831-G831,1))</f>
        <v/>
      </c>
      <c r="J831" s="61">
        <f>IF(OR(G831="",H831=""),"",ROUND(MOD(H831-G831,1)*24,2))</f>
        <v/>
      </c>
      <c r="K831" s="62">
        <f>IF(E831="","",IF(E831="Werken","JA","NEE"))</f>
        <v/>
      </c>
      <c r="L831" s="61">
        <f>IF(K831="JA",N(J831),IF(E831="","",0))</f>
        <v/>
      </c>
      <c r="M831" s="62">
        <f>IF(AND(A831="",E831=""),"",IF(E831="","Segment ontbreekt",IF(OR(G831="",H831=""),"Van/tot ontbreekt",IF(N(J831)=0,"Duur is nul",IF(N(J831)&gt;12,"Langer dan 12 uur - controleren",IF(AND(E831="Werken",D831=""),"Werken zonder klant - koppelen","OK"))))))</f>
        <v/>
      </c>
    </row>
    <row r="832" ht="15" customHeight="1" s="42">
      <c r="A832" s="55" t="n"/>
      <c r="B832" s="56">
        <f>IF(A832="","",WEEKNUM(A832,21))</f>
        <v/>
      </c>
      <c r="C832" s="57" t="n"/>
      <c r="D832" s="57" t="n"/>
      <c r="E832" s="58" t="n"/>
      <c r="F832" s="57" t="n"/>
      <c r="G832" s="59" t="n"/>
      <c r="H832" s="59" t="n"/>
      <c r="I832" s="60">
        <f>IF(OR(G832="",H832=""),"",MOD(H832-G832,1))</f>
        <v/>
      </c>
      <c r="J832" s="61">
        <f>IF(OR(G832="",H832=""),"",ROUND(MOD(H832-G832,1)*24,2))</f>
        <v/>
      </c>
      <c r="K832" s="62">
        <f>IF(E832="","",IF(E832="Werken","JA","NEE"))</f>
        <v/>
      </c>
      <c r="L832" s="61">
        <f>IF(K832="JA",N(J832),IF(E832="","",0))</f>
        <v/>
      </c>
      <c r="M832" s="62">
        <f>IF(AND(A832="",E832=""),"",IF(E832="","Segment ontbreekt",IF(OR(G832="",H832=""),"Van/tot ontbreekt",IF(N(J832)=0,"Duur is nul",IF(N(J832)&gt;12,"Langer dan 12 uur - controleren",IF(AND(E832="Werken",D832=""),"Werken zonder klant - koppelen","OK"))))))</f>
        <v/>
      </c>
    </row>
    <row r="833" ht="15" customHeight="1" s="42">
      <c r="A833" s="55" t="n"/>
      <c r="B833" s="56">
        <f>IF(A833="","",WEEKNUM(A833,21))</f>
        <v/>
      </c>
      <c r="C833" s="57" t="n"/>
      <c r="D833" s="57" t="n"/>
      <c r="E833" s="58" t="n"/>
      <c r="F833" s="57" t="n"/>
      <c r="G833" s="59" t="n"/>
      <c r="H833" s="59" t="n"/>
      <c r="I833" s="60">
        <f>IF(OR(G833="",H833=""),"",MOD(H833-G833,1))</f>
        <v/>
      </c>
      <c r="J833" s="61">
        <f>IF(OR(G833="",H833=""),"",ROUND(MOD(H833-G833,1)*24,2))</f>
        <v/>
      </c>
      <c r="K833" s="62">
        <f>IF(E833="","",IF(E833="Werken","JA","NEE"))</f>
        <v/>
      </c>
      <c r="L833" s="61">
        <f>IF(K833="JA",N(J833),IF(E833="","",0))</f>
        <v/>
      </c>
      <c r="M833" s="62">
        <f>IF(AND(A833="",E833=""),"",IF(E833="","Segment ontbreekt",IF(OR(G833="",H833=""),"Van/tot ontbreekt",IF(N(J833)=0,"Duur is nul",IF(N(J833)&gt;12,"Langer dan 12 uur - controleren",IF(AND(E833="Werken",D833=""),"Werken zonder klant - koppelen","OK"))))))</f>
        <v/>
      </c>
    </row>
    <row r="834" ht="15" customHeight="1" s="42">
      <c r="A834" s="55" t="n"/>
      <c r="B834" s="56">
        <f>IF(A834="","",WEEKNUM(A834,21))</f>
        <v/>
      </c>
      <c r="C834" s="57" t="n"/>
      <c r="D834" s="57" t="n"/>
      <c r="E834" s="58" t="n"/>
      <c r="F834" s="57" t="n"/>
      <c r="G834" s="59" t="n"/>
      <c r="H834" s="59" t="n"/>
      <c r="I834" s="60">
        <f>IF(OR(G834="",H834=""),"",MOD(H834-G834,1))</f>
        <v/>
      </c>
      <c r="J834" s="61">
        <f>IF(OR(G834="",H834=""),"",ROUND(MOD(H834-G834,1)*24,2))</f>
        <v/>
      </c>
      <c r="K834" s="62">
        <f>IF(E834="","",IF(E834="Werken","JA","NEE"))</f>
        <v/>
      </c>
      <c r="L834" s="61">
        <f>IF(K834="JA",N(J834),IF(E834="","",0))</f>
        <v/>
      </c>
      <c r="M834" s="62">
        <f>IF(AND(A834="",E834=""),"",IF(E834="","Segment ontbreekt",IF(OR(G834="",H834=""),"Van/tot ontbreekt",IF(N(J834)=0,"Duur is nul",IF(N(J834)&gt;12,"Langer dan 12 uur - controleren",IF(AND(E834="Werken",D834=""),"Werken zonder klant - koppelen","OK"))))))</f>
        <v/>
      </c>
    </row>
    <row r="835" ht="15" customHeight="1" s="42">
      <c r="A835" s="55" t="n"/>
      <c r="B835" s="56">
        <f>IF(A835="","",WEEKNUM(A835,21))</f>
        <v/>
      </c>
      <c r="C835" s="57" t="n"/>
      <c r="D835" s="57" t="n"/>
      <c r="E835" s="58" t="n"/>
      <c r="F835" s="57" t="n"/>
      <c r="G835" s="59" t="n"/>
      <c r="H835" s="59" t="n"/>
      <c r="I835" s="60">
        <f>IF(OR(G835="",H835=""),"",MOD(H835-G835,1))</f>
        <v/>
      </c>
      <c r="J835" s="61">
        <f>IF(OR(G835="",H835=""),"",ROUND(MOD(H835-G835,1)*24,2))</f>
        <v/>
      </c>
      <c r="K835" s="62">
        <f>IF(E835="","",IF(E835="Werken","JA","NEE"))</f>
        <v/>
      </c>
      <c r="L835" s="61">
        <f>IF(K835="JA",N(J835),IF(E835="","",0))</f>
        <v/>
      </c>
      <c r="M835" s="62">
        <f>IF(AND(A835="",E835=""),"",IF(E835="","Segment ontbreekt",IF(OR(G835="",H835=""),"Van/tot ontbreekt",IF(N(J835)=0,"Duur is nul",IF(N(J835)&gt;12,"Langer dan 12 uur - controleren",IF(AND(E835="Werken",D835=""),"Werken zonder klant - koppelen","OK"))))))</f>
        <v/>
      </c>
    </row>
    <row r="836" ht="15" customHeight="1" s="42">
      <c r="A836" s="55" t="n"/>
      <c r="B836" s="56">
        <f>IF(A836="","",WEEKNUM(A836,21))</f>
        <v/>
      </c>
      <c r="C836" s="57" t="n"/>
      <c r="D836" s="57" t="n"/>
      <c r="E836" s="58" t="n"/>
      <c r="F836" s="57" t="n"/>
      <c r="G836" s="59" t="n"/>
      <c r="H836" s="59" t="n"/>
      <c r="I836" s="60">
        <f>IF(OR(G836="",H836=""),"",MOD(H836-G836,1))</f>
        <v/>
      </c>
      <c r="J836" s="61">
        <f>IF(OR(G836="",H836=""),"",ROUND(MOD(H836-G836,1)*24,2))</f>
        <v/>
      </c>
      <c r="K836" s="62">
        <f>IF(E836="","",IF(E836="Werken","JA","NEE"))</f>
        <v/>
      </c>
      <c r="L836" s="61">
        <f>IF(K836="JA",N(J836),IF(E836="","",0))</f>
        <v/>
      </c>
      <c r="M836" s="62">
        <f>IF(AND(A836="",E836=""),"",IF(E836="","Segment ontbreekt",IF(OR(G836="",H836=""),"Van/tot ontbreekt",IF(N(J836)=0,"Duur is nul",IF(N(J836)&gt;12,"Langer dan 12 uur - controleren",IF(AND(E836="Werken",D836=""),"Werken zonder klant - koppelen","OK"))))))</f>
        <v/>
      </c>
    </row>
    <row r="837" ht="15" customHeight="1" s="42">
      <c r="A837" s="55" t="n"/>
      <c r="B837" s="56">
        <f>IF(A837="","",WEEKNUM(A837,21))</f>
        <v/>
      </c>
      <c r="C837" s="57" t="n"/>
      <c r="D837" s="57" t="n"/>
      <c r="E837" s="58" t="n"/>
      <c r="F837" s="57" t="n"/>
      <c r="G837" s="59" t="n"/>
      <c r="H837" s="59" t="n"/>
      <c r="I837" s="60">
        <f>IF(OR(G837="",H837=""),"",MOD(H837-G837,1))</f>
        <v/>
      </c>
      <c r="J837" s="61">
        <f>IF(OR(G837="",H837=""),"",ROUND(MOD(H837-G837,1)*24,2))</f>
        <v/>
      </c>
      <c r="K837" s="62">
        <f>IF(E837="","",IF(E837="Werken","JA","NEE"))</f>
        <v/>
      </c>
      <c r="L837" s="61">
        <f>IF(K837="JA",N(J837),IF(E837="","",0))</f>
        <v/>
      </c>
      <c r="M837" s="62">
        <f>IF(AND(A837="",E837=""),"",IF(E837="","Segment ontbreekt",IF(OR(G837="",H837=""),"Van/tot ontbreekt",IF(N(J837)=0,"Duur is nul",IF(N(J837)&gt;12,"Langer dan 12 uur - controleren",IF(AND(E837="Werken",D837=""),"Werken zonder klant - koppelen","OK"))))))</f>
        <v/>
      </c>
    </row>
    <row r="838" ht="15" customHeight="1" s="42">
      <c r="A838" s="55" t="n"/>
      <c r="B838" s="56">
        <f>IF(A838="","",WEEKNUM(A838,21))</f>
        <v/>
      </c>
      <c r="C838" s="57" t="n"/>
      <c r="D838" s="57" t="n"/>
      <c r="E838" s="58" t="n"/>
      <c r="F838" s="57" t="n"/>
      <c r="G838" s="59" t="n"/>
      <c r="H838" s="59" t="n"/>
      <c r="I838" s="60">
        <f>IF(OR(G838="",H838=""),"",MOD(H838-G838,1))</f>
        <v/>
      </c>
      <c r="J838" s="61">
        <f>IF(OR(G838="",H838=""),"",ROUND(MOD(H838-G838,1)*24,2))</f>
        <v/>
      </c>
      <c r="K838" s="62">
        <f>IF(E838="","",IF(E838="Werken","JA","NEE"))</f>
        <v/>
      </c>
      <c r="L838" s="61">
        <f>IF(K838="JA",N(J838),IF(E838="","",0))</f>
        <v/>
      </c>
      <c r="M838" s="62">
        <f>IF(AND(A838="",E838=""),"",IF(E838="","Segment ontbreekt",IF(OR(G838="",H838=""),"Van/tot ontbreekt",IF(N(J838)=0,"Duur is nul",IF(N(J838)&gt;12,"Langer dan 12 uur - controleren",IF(AND(E838="Werken",D838=""),"Werken zonder klant - koppelen","OK"))))))</f>
        <v/>
      </c>
    </row>
    <row r="839" ht="15" customHeight="1" s="42">
      <c r="A839" s="55" t="n"/>
      <c r="B839" s="56">
        <f>IF(A839="","",WEEKNUM(A839,21))</f>
        <v/>
      </c>
      <c r="C839" s="57" t="n"/>
      <c r="D839" s="57" t="n"/>
      <c r="E839" s="58" t="n"/>
      <c r="F839" s="57" t="n"/>
      <c r="G839" s="59" t="n"/>
      <c r="H839" s="59" t="n"/>
      <c r="I839" s="60">
        <f>IF(OR(G839="",H839=""),"",MOD(H839-G839,1))</f>
        <v/>
      </c>
      <c r="J839" s="61">
        <f>IF(OR(G839="",H839=""),"",ROUND(MOD(H839-G839,1)*24,2))</f>
        <v/>
      </c>
      <c r="K839" s="62">
        <f>IF(E839="","",IF(E839="Werken","JA","NEE"))</f>
        <v/>
      </c>
      <c r="L839" s="61">
        <f>IF(K839="JA",N(J839),IF(E839="","",0))</f>
        <v/>
      </c>
      <c r="M839" s="62">
        <f>IF(AND(A839="",E839=""),"",IF(E839="","Segment ontbreekt",IF(OR(G839="",H839=""),"Van/tot ontbreekt",IF(N(J839)=0,"Duur is nul",IF(N(J839)&gt;12,"Langer dan 12 uur - controleren",IF(AND(E839="Werken",D839=""),"Werken zonder klant - koppelen","OK"))))))</f>
        <v/>
      </c>
    </row>
    <row r="840" ht="15" customHeight="1" s="42">
      <c r="A840" s="55" t="n"/>
      <c r="B840" s="56">
        <f>IF(A840="","",WEEKNUM(A840,21))</f>
        <v/>
      </c>
      <c r="C840" s="57" t="n"/>
      <c r="D840" s="57" t="n"/>
      <c r="E840" s="58" t="n"/>
      <c r="F840" s="57" t="n"/>
      <c r="G840" s="59" t="n"/>
      <c r="H840" s="59" t="n"/>
      <c r="I840" s="60">
        <f>IF(OR(G840="",H840=""),"",MOD(H840-G840,1))</f>
        <v/>
      </c>
      <c r="J840" s="61">
        <f>IF(OR(G840="",H840=""),"",ROUND(MOD(H840-G840,1)*24,2))</f>
        <v/>
      </c>
      <c r="K840" s="62">
        <f>IF(E840="","",IF(E840="Werken","JA","NEE"))</f>
        <v/>
      </c>
      <c r="L840" s="61">
        <f>IF(K840="JA",N(J840),IF(E840="","",0))</f>
        <v/>
      </c>
      <c r="M840" s="62">
        <f>IF(AND(A840="",E840=""),"",IF(E840="","Segment ontbreekt",IF(OR(G840="",H840=""),"Van/tot ontbreekt",IF(N(J840)=0,"Duur is nul",IF(N(J840)&gt;12,"Langer dan 12 uur - controleren",IF(AND(E840="Werken",D840=""),"Werken zonder klant - koppelen","OK"))))))</f>
        <v/>
      </c>
    </row>
    <row r="841" ht="15" customHeight="1" s="42">
      <c r="A841" s="55" t="n"/>
      <c r="B841" s="56">
        <f>IF(A841="","",WEEKNUM(A841,21))</f>
        <v/>
      </c>
      <c r="C841" s="57" t="n"/>
      <c r="D841" s="57" t="n"/>
      <c r="E841" s="58" t="n"/>
      <c r="F841" s="57" t="n"/>
      <c r="G841" s="59" t="n"/>
      <c r="H841" s="59" t="n"/>
      <c r="I841" s="60">
        <f>IF(OR(G841="",H841=""),"",MOD(H841-G841,1))</f>
        <v/>
      </c>
      <c r="J841" s="61">
        <f>IF(OR(G841="",H841=""),"",ROUND(MOD(H841-G841,1)*24,2))</f>
        <v/>
      </c>
      <c r="K841" s="62">
        <f>IF(E841="","",IF(E841="Werken","JA","NEE"))</f>
        <v/>
      </c>
      <c r="L841" s="61">
        <f>IF(K841="JA",N(J841),IF(E841="","",0))</f>
        <v/>
      </c>
      <c r="M841" s="62">
        <f>IF(AND(A841="",E841=""),"",IF(E841="","Segment ontbreekt",IF(OR(G841="",H841=""),"Van/tot ontbreekt",IF(N(J841)=0,"Duur is nul",IF(N(J841)&gt;12,"Langer dan 12 uur - controleren",IF(AND(E841="Werken",D841=""),"Werken zonder klant - koppelen","OK"))))))</f>
        <v/>
      </c>
    </row>
    <row r="842" ht="15" customHeight="1" s="42">
      <c r="A842" s="55" t="n"/>
      <c r="B842" s="56">
        <f>IF(A842="","",WEEKNUM(A842,21))</f>
        <v/>
      </c>
      <c r="C842" s="57" t="n"/>
      <c r="D842" s="57" t="n"/>
      <c r="E842" s="58" t="n"/>
      <c r="F842" s="57" t="n"/>
      <c r="G842" s="59" t="n"/>
      <c r="H842" s="59" t="n"/>
      <c r="I842" s="60">
        <f>IF(OR(G842="",H842=""),"",MOD(H842-G842,1))</f>
        <v/>
      </c>
      <c r="J842" s="61">
        <f>IF(OR(G842="",H842=""),"",ROUND(MOD(H842-G842,1)*24,2))</f>
        <v/>
      </c>
      <c r="K842" s="62">
        <f>IF(E842="","",IF(E842="Werken","JA","NEE"))</f>
        <v/>
      </c>
      <c r="L842" s="61">
        <f>IF(K842="JA",N(J842),IF(E842="","",0))</f>
        <v/>
      </c>
      <c r="M842" s="62">
        <f>IF(AND(A842="",E842=""),"",IF(E842="","Segment ontbreekt",IF(OR(G842="",H842=""),"Van/tot ontbreekt",IF(N(J842)=0,"Duur is nul",IF(N(J842)&gt;12,"Langer dan 12 uur - controleren",IF(AND(E842="Werken",D842=""),"Werken zonder klant - koppelen","OK"))))))</f>
        <v/>
      </c>
    </row>
    <row r="843" ht="15" customHeight="1" s="42">
      <c r="A843" s="55" t="n"/>
      <c r="B843" s="56">
        <f>IF(A843="","",WEEKNUM(A843,21))</f>
        <v/>
      </c>
      <c r="C843" s="57" t="n"/>
      <c r="D843" s="57" t="n"/>
      <c r="E843" s="58" t="n"/>
      <c r="F843" s="57" t="n"/>
      <c r="G843" s="59" t="n"/>
      <c r="H843" s="59" t="n"/>
      <c r="I843" s="60">
        <f>IF(OR(G843="",H843=""),"",MOD(H843-G843,1))</f>
        <v/>
      </c>
      <c r="J843" s="61">
        <f>IF(OR(G843="",H843=""),"",ROUND(MOD(H843-G843,1)*24,2))</f>
        <v/>
      </c>
      <c r="K843" s="62">
        <f>IF(E843="","",IF(E843="Werken","JA","NEE"))</f>
        <v/>
      </c>
      <c r="L843" s="61">
        <f>IF(K843="JA",N(J843),IF(E843="","",0))</f>
        <v/>
      </c>
      <c r="M843" s="62">
        <f>IF(AND(A843="",E843=""),"",IF(E843="","Segment ontbreekt",IF(OR(G843="",H843=""),"Van/tot ontbreekt",IF(N(J843)=0,"Duur is nul",IF(N(J843)&gt;12,"Langer dan 12 uur - controleren",IF(AND(E843="Werken",D843=""),"Werken zonder klant - koppelen","OK"))))))</f>
        <v/>
      </c>
    </row>
    <row r="844" ht="15" customHeight="1" s="42">
      <c r="A844" s="55" t="n"/>
      <c r="B844" s="56">
        <f>IF(A844="","",WEEKNUM(A844,21))</f>
        <v/>
      </c>
      <c r="C844" s="57" t="n"/>
      <c r="D844" s="57" t="n"/>
      <c r="E844" s="58" t="n"/>
      <c r="F844" s="57" t="n"/>
      <c r="G844" s="59" t="n"/>
      <c r="H844" s="59" t="n"/>
      <c r="I844" s="60">
        <f>IF(OR(G844="",H844=""),"",MOD(H844-G844,1))</f>
        <v/>
      </c>
      <c r="J844" s="61">
        <f>IF(OR(G844="",H844=""),"",ROUND(MOD(H844-G844,1)*24,2))</f>
        <v/>
      </c>
      <c r="K844" s="62">
        <f>IF(E844="","",IF(E844="Werken","JA","NEE"))</f>
        <v/>
      </c>
      <c r="L844" s="61">
        <f>IF(K844="JA",N(J844),IF(E844="","",0))</f>
        <v/>
      </c>
      <c r="M844" s="62">
        <f>IF(AND(A844="",E844=""),"",IF(E844="","Segment ontbreekt",IF(OR(G844="",H844=""),"Van/tot ontbreekt",IF(N(J844)=0,"Duur is nul",IF(N(J844)&gt;12,"Langer dan 12 uur - controleren",IF(AND(E844="Werken",D844=""),"Werken zonder klant - koppelen","OK"))))))</f>
        <v/>
      </c>
    </row>
    <row r="845" ht="15" customHeight="1" s="42">
      <c r="A845" s="55" t="n"/>
      <c r="B845" s="56">
        <f>IF(A845="","",WEEKNUM(A845,21))</f>
        <v/>
      </c>
      <c r="C845" s="57" t="n"/>
      <c r="D845" s="57" t="n"/>
      <c r="E845" s="58" t="n"/>
      <c r="F845" s="57" t="n"/>
      <c r="G845" s="59" t="n"/>
      <c r="H845" s="59" t="n"/>
      <c r="I845" s="60">
        <f>IF(OR(G845="",H845=""),"",MOD(H845-G845,1))</f>
        <v/>
      </c>
      <c r="J845" s="61">
        <f>IF(OR(G845="",H845=""),"",ROUND(MOD(H845-G845,1)*24,2))</f>
        <v/>
      </c>
      <c r="K845" s="62">
        <f>IF(E845="","",IF(E845="Werken","JA","NEE"))</f>
        <v/>
      </c>
      <c r="L845" s="61">
        <f>IF(K845="JA",N(J845),IF(E845="","",0))</f>
        <v/>
      </c>
      <c r="M845" s="62">
        <f>IF(AND(A845="",E845=""),"",IF(E845="","Segment ontbreekt",IF(OR(G845="",H845=""),"Van/tot ontbreekt",IF(N(J845)=0,"Duur is nul",IF(N(J845)&gt;12,"Langer dan 12 uur - controleren",IF(AND(E845="Werken",D845=""),"Werken zonder klant - koppelen","OK"))))))</f>
        <v/>
      </c>
    </row>
    <row r="846" ht="15" customHeight="1" s="42">
      <c r="A846" s="55" t="n"/>
      <c r="B846" s="56">
        <f>IF(A846="","",WEEKNUM(A846,21))</f>
        <v/>
      </c>
      <c r="C846" s="57" t="n"/>
      <c r="D846" s="57" t="n"/>
      <c r="E846" s="58" t="n"/>
      <c r="F846" s="57" t="n"/>
      <c r="G846" s="59" t="n"/>
      <c r="H846" s="59" t="n"/>
      <c r="I846" s="60">
        <f>IF(OR(G846="",H846=""),"",MOD(H846-G846,1))</f>
        <v/>
      </c>
      <c r="J846" s="61">
        <f>IF(OR(G846="",H846=""),"",ROUND(MOD(H846-G846,1)*24,2))</f>
        <v/>
      </c>
      <c r="K846" s="62">
        <f>IF(E846="","",IF(E846="Werken","JA","NEE"))</f>
        <v/>
      </c>
      <c r="L846" s="61">
        <f>IF(K846="JA",N(J846),IF(E846="","",0))</f>
        <v/>
      </c>
      <c r="M846" s="62">
        <f>IF(AND(A846="",E846=""),"",IF(E846="","Segment ontbreekt",IF(OR(G846="",H846=""),"Van/tot ontbreekt",IF(N(J846)=0,"Duur is nul",IF(N(J846)&gt;12,"Langer dan 12 uur - controleren",IF(AND(E846="Werken",D846=""),"Werken zonder klant - koppelen","OK"))))))</f>
        <v/>
      </c>
    </row>
    <row r="847" ht="15" customHeight="1" s="42">
      <c r="A847" s="55" t="n"/>
      <c r="B847" s="56">
        <f>IF(A847="","",WEEKNUM(A847,21))</f>
        <v/>
      </c>
      <c r="C847" s="57" t="n"/>
      <c r="D847" s="57" t="n"/>
      <c r="E847" s="58" t="n"/>
      <c r="F847" s="57" t="n"/>
      <c r="G847" s="59" t="n"/>
      <c r="H847" s="59" t="n"/>
      <c r="I847" s="60">
        <f>IF(OR(G847="",H847=""),"",MOD(H847-G847,1))</f>
        <v/>
      </c>
      <c r="J847" s="61">
        <f>IF(OR(G847="",H847=""),"",ROUND(MOD(H847-G847,1)*24,2))</f>
        <v/>
      </c>
      <c r="K847" s="62">
        <f>IF(E847="","",IF(E847="Werken","JA","NEE"))</f>
        <v/>
      </c>
      <c r="L847" s="61">
        <f>IF(K847="JA",N(J847),IF(E847="","",0))</f>
        <v/>
      </c>
      <c r="M847" s="62">
        <f>IF(AND(A847="",E847=""),"",IF(E847="","Segment ontbreekt",IF(OR(G847="",H847=""),"Van/tot ontbreekt",IF(N(J847)=0,"Duur is nul",IF(N(J847)&gt;12,"Langer dan 12 uur - controleren",IF(AND(E847="Werken",D847=""),"Werken zonder klant - koppelen","OK"))))))</f>
        <v/>
      </c>
    </row>
    <row r="848" ht="15" customHeight="1" s="42">
      <c r="A848" s="55" t="n"/>
      <c r="B848" s="56">
        <f>IF(A848="","",WEEKNUM(A848,21))</f>
        <v/>
      </c>
      <c r="C848" s="57" t="n"/>
      <c r="D848" s="57" t="n"/>
      <c r="E848" s="58" t="n"/>
      <c r="F848" s="57" t="n"/>
      <c r="G848" s="59" t="n"/>
      <c r="H848" s="59" t="n"/>
      <c r="I848" s="60">
        <f>IF(OR(G848="",H848=""),"",MOD(H848-G848,1))</f>
        <v/>
      </c>
      <c r="J848" s="61">
        <f>IF(OR(G848="",H848=""),"",ROUND(MOD(H848-G848,1)*24,2))</f>
        <v/>
      </c>
      <c r="K848" s="62">
        <f>IF(E848="","",IF(E848="Werken","JA","NEE"))</f>
        <v/>
      </c>
      <c r="L848" s="61">
        <f>IF(K848="JA",N(J848),IF(E848="","",0))</f>
        <v/>
      </c>
      <c r="M848" s="62">
        <f>IF(AND(A848="",E848=""),"",IF(E848="","Segment ontbreekt",IF(OR(G848="",H848=""),"Van/tot ontbreekt",IF(N(J848)=0,"Duur is nul",IF(N(J848)&gt;12,"Langer dan 12 uur - controleren",IF(AND(E848="Werken",D848=""),"Werken zonder klant - koppelen","OK"))))))</f>
        <v/>
      </c>
    </row>
    <row r="849" ht="15" customHeight="1" s="42">
      <c r="A849" s="55" t="n"/>
      <c r="B849" s="56">
        <f>IF(A849="","",WEEKNUM(A849,21))</f>
        <v/>
      </c>
      <c r="C849" s="57" t="n"/>
      <c r="D849" s="57" t="n"/>
      <c r="E849" s="58" t="n"/>
      <c r="F849" s="57" t="n"/>
      <c r="G849" s="59" t="n"/>
      <c r="H849" s="59" t="n"/>
      <c r="I849" s="60">
        <f>IF(OR(G849="",H849=""),"",MOD(H849-G849,1))</f>
        <v/>
      </c>
      <c r="J849" s="61">
        <f>IF(OR(G849="",H849=""),"",ROUND(MOD(H849-G849,1)*24,2))</f>
        <v/>
      </c>
      <c r="K849" s="62">
        <f>IF(E849="","",IF(E849="Werken","JA","NEE"))</f>
        <v/>
      </c>
      <c r="L849" s="61">
        <f>IF(K849="JA",N(J849),IF(E849="","",0))</f>
        <v/>
      </c>
      <c r="M849" s="62">
        <f>IF(AND(A849="",E849=""),"",IF(E849="","Segment ontbreekt",IF(OR(G849="",H849=""),"Van/tot ontbreekt",IF(N(J849)=0,"Duur is nul",IF(N(J849)&gt;12,"Langer dan 12 uur - controleren",IF(AND(E849="Werken",D849=""),"Werken zonder klant - koppelen","OK"))))))</f>
        <v/>
      </c>
    </row>
    <row r="850" ht="15" customHeight="1" s="42">
      <c r="A850" s="55" t="n"/>
      <c r="B850" s="56">
        <f>IF(A850="","",WEEKNUM(A850,21))</f>
        <v/>
      </c>
      <c r="C850" s="57" t="n"/>
      <c r="D850" s="57" t="n"/>
      <c r="E850" s="58" t="n"/>
      <c r="F850" s="57" t="n"/>
      <c r="G850" s="59" t="n"/>
      <c r="H850" s="59" t="n"/>
      <c r="I850" s="60">
        <f>IF(OR(G850="",H850=""),"",MOD(H850-G850,1))</f>
        <v/>
      </c>
      <c r="J850" s="61">
        <f>IF(OR(G850="",H850=""),"",ROUND(MOD(H850-G850,1)*24,2))</f>
        <v/>
      </c>
      <c r="K850" s="62">
        <f>IF(E850="","",IF(E850="Werken","JA","NEE"))</f>
        <v/>
      </c>
      <c r="L850" s="61">
        <f>IF(K850="JA",N(J850),IF(E850="","",0))</f>
        <v/>
      </c>
      <c r="M850" s="62">
        <f>IF(AND(A850="",E850=""),"",IF(E850="","Segment ontbreekt",IF(OR(G850="",H850=""),"Van/tot ontbreekt",IF(N(J850)=0,"Duur is nul",IF(N(J850)&gt;12,"Langer dan 12 uur - controleren",IF(AND(E850="Werken",D850=""),"Werken zonder klant - koppelen","OK"))))))</f>
        <v/>
      </c>
    </row>
    <row r="851" ht="15" customHeight="1" s="42">
      <c r="A851" s="55" t="n"/>
      <c r="B851" s="56">
        <f>IF(A851="","",WEEKNUM(A851,21))</f>
        <v/>
      </c>
      <c r="C851" s="57" t="n"/>
      <c r="D851" s="57" t="n"/>
      <c r="E851" s="58" t="n"/>
      <c r="F851" s="57" t="n"/>
      <c r="G851" s="59" t="n"/>
      <c r="H851" s="59" t="n"/>
      <c r="I851" s="60">
        <f>IF(OR(G851="",H851=""),"",MOD(H851-G851,1))</f>
        <v/>
      </c>
      <c r="J851" s="61">
        <f>IF(OR(G851="",H851=""),"",ROUND(MOD(H851-G851,1)*24,2))</f>
        <v/>
      </c>
      <c r="K851" s="62">
        <f>IF(E851="","",IF(E851="Werken","JA","NEE"))</f>
        <v/>
      </c>
      <c r="L851" s="61">
        <f>IF(K851="JA",N(J851),IF(E851="","",0))</f>
        <v/>
      </c>
      <c r="M851" s="62">
        <f>IF(AND(A851="",E851=""),"",IF(E851="","Segment ontbreekt",IF(OR(G851="",H851=""),"Van/tot ontbreekt",IF(N(J851)=0,"Duur is nul",IF(N(J851)&gt;12,"Langer dan 12 uur - controleren",IF(AND(E851="Werken",D851=""),"Werken zonder klant - koppelen","OK"))))))</f>
        <v/>
      </c>
    </row>
    <row r="852" ht="15" customHeight="1" s="42">
      <c r="A852" s="55" t="n"/>
      <c r="B852" s="56">
        <f>IF(A852="","",WEEKNUM(A852,21))</f>
        <v/>
      </c>
      <c r="C852" s="57" t="n"/>
      <c r="D852" s="57" t="n"/>
      <c r="E852" s="58" t="n"/>
      <c r="F852" s="57" t="n"/>
      <c r="G852" s="59" t="n"/>
      <c r="H852" s="59" t="n"/>
      <c r="I852" s="60">
        <f>IF(OR(G852="",H852=""),"",MOD(H852-G852,1))</f>
        <v/>
      </c>
      <c r="J852" s="61">
        <f>IF(OR(G852="",H852=""),"",ROUND(MOD(H852-G852,1)*24,2))</f>
        <v/>
      </c>
      <c r="K852" s="62">
        <f>IF(E852="","",IF(E852="Werken","JA","NEE"))</f>
        <v/>
      </c>
      <c r="L852" s="61">
        <f>IF(K852="JA",N(J852),IF(E852="","",0))</f>
        <v/>
      </c>
      <c r="M852" s="62">
        <f>IF(AND(A852="",E852=""),"",IF(E852="","Segment ontbreekt",IF(OR(G852="",H852=""),"Van/tot ontbreekt",IF(N(J852)=0,"Duur is nul",IF(N(J852)&gt;12,"Langer dan 12 uur - controleren",IF(AND(E852="Werken",D852=""),"Werken zonder klant - koppelen","OK"))))))</f>
        <v/>
      </c>
    </row>
    <row r="853" ht="15" customHeight="1" s="42">
      <c r="A853" s="55" t="n"/>
      <c r="B853" s="56">
        <f>IF(A853="","",WEEKNUM(A853,21))</f>
        <v/>
      </c>
      <c r="C853" s="57" t="n"/>
      <c r="D853" s="57" t="n"/>
      <c r="E853" s="58" t="n"/>
      <c r="F853" s="57" t="n"/>
      <c r="G853" s="59" t="n"/>
      <c r="H853" s="59" t="n"/>
      <c r="I853" s="60">
        <f>IF(OR(G853="",H853=""),"",MOD(H853-G853,1))</f>
        <v/>
      </c>
      <c r="J853" s="61">
        <f>IF(OR(G853="",H853=""),"",ROUND(MOD(H853-G853,1)*24,2))</f>
        <v/>
      </c>
      <c r="K853" s="62">
        <f>IF(E853="","",IF(E853="Werken","JA","NEE"))</f>
        <v/>
      </c>
      <c r="L853" s="61">
        <f>IF(K853="JA",N(J853),IF(E853="","",0))</f>
        <v/>
      </c>
      <c r="M853" s="62">
        <f>IF(AND(A853="",E853=""),"",IF(E853="","Segment ontbreekt",IF(OR(G853="",H853=""),"Van/tot ontbreekt",IF(N(J853)=0,"Duur is nul",IF(N(J853)&gt;12,"Langer dan 12 uur - controleren",IF(AND(E853="Werken",D853=""),"Werken zonder klant - koppelen","OK"))))))</f>
        <v/>
      </c>
    </row>
    <row r="854" ht="15" customHeight="1" s="42">
      <c r="A854" s="55" t="n"/>
      <c r="B854" s="56">
        <f>IF(A854="","",WEEKNUM(A854,21))</f>
        <v/>
      </c>
      <c r="C854" s="57" t="n"/>
      <c r="D854" s="57" t="n"/>
      <c r="E854" s="58" t="n"/>
      <c r="F854" s="57" t="n"/>
      <c r="G854" s="59" t="n"/>
      <c r="H854" s="59" t="n"/>
      <c r="I854" s="60">
        <f>IF(OR(G854="",H854=""),"",MOD(H854-G854,1))</f>
        <v/>
      </c>
      <c r="J854" s="61">
        <f>IF(OR(G854="",H854=""),"",ROUND(MOD(H854-G854,1)*24,2))</f>
        <v/>
      </c>
      <c r="K854" s="62">
        <f>IF(E854="","",IF(E854="Werken","JA","NEE"))</f>
        <v/>
      </c>
      <c r="L854" s="61">
        <f>IF(K854="JA",N(J854),IF(E854="","",0))</f>
        <v/>
      </c>
      <c r="M854" s="62">
        <f>IF(AND(A854="",E854=""),"",IF(E854="","Segment ontbreekt",IF(OR(G854="",H854=""),"Van/tot ontbreekt",IF(N(J854)=0,"Duur is nul",IF(N(J854)&gt;12,"Langer dan 12 uur - controleren",IF(AND(E854="Werken",D854=""),"Werken zonder klant - koppelen","OK"))))))</f>
        <v/>
      </c>
    </row>
    <row r="855" ht="15" customHeight="1" s="42">
      <c r="A855" s="55" t="n"/>
      <c r="B855" s="56">
        <f>IF(A855="","",WEEKNUM(A855,21))</f>
        <v/>
      </c>
      <c r="C855" s="57" t="n"/>
      <c r="D855" s="57" t="n"/>
      <c r="E855" s="58" t="n"/>
      <c r="F855" s="57" t="n"/>
      <c r="G855" s="59" t="n"/>
      <c r="H855" s="59" t="n"/>
      <c r="I855" s="60">
        <f>IF(OR(G855="",H855=""),"",MOD(H855-G855,1))</f>
        <v/>
      </c>
      <c r="J855" s="61">
        <f>IF(OR(G855="",H855=""),"",ROUND(MOD(H855-G855,1)*24,2))</f>
        <v/>
      </c>
      <c r="K855" s="62">
        <f>IF(E855="","",IF(E855="Werken","JA","NEE"))</f>
        <v/>
      </c>
      <c r="L855" s="61">
        <f>IF(K855="JA",N(J855),IF(E855="","",0))</f>
        <v/>
      </c>
      <c r="M855" s="62">
        <f>IF(AND(A855="",E855=""),"",IF(E855="","Segment ontbreekt",IF(OR(G855="",H855=""),"Van/tot ontbreekt",IF(N(J855)=0,"Duur is nul",IF(N(J855)&gt;12,"Langer dan 12 uur - controleren",IF(AND(E855="Werken",D855=""),"Werken zonder klant - koppelen","OK"))))))</f>
        <v/>
      </c>
    </row>
    <row r="856" ht="15" customHeight="1" s="42">
      <c r="A856" s="55" t="n"/>
      <c r="B856" s="56">
        <f>IF(A856="","",WEEKNUM(A856,21))</f>
        <v/>
      </c>
      <c r="C856" s="57" t="n"/>
      <c r="D856" s="57" t="n"/>
      <c r="E856" s="58" t="n"/>
      <c r="F856" s="57" t="n"/>
      <c r="G856" s="59" t="n"/>
      <c r="H856" s="59" t="n"/>
      <c r="I856" s="60">
        <f>IF(OR(G856="",H856=""),"",MOD(H856-G856,1))</f>
        <v/>
      </c>
      <c r="J856" s="61">
        <f>IF(OR(G856="",H856=""),"",ROUND(MOD(H856-G856,1)*24,2))</f>
        <v/>
      </c>
      <c r="K856" s="62">
        <f>IF(E856="","",IF(E856="Werken","JA","NEE"))</f>
        <v/>
      </c>
      <c r="L856" s="61">
        <f>IF(K856="JA",N(J856),IF(E856="","",0))</f>
        <v/>
      </c>
      <c r="M856" s="62">
        <f>IF(AND(A856="",E856=""),"",IF(E856="","Segment ontbreekt",IF(OR(G856="",H856=""),"Van/tot ontbreekt",IF(N(J856)=0,"Duur is nul",IF(N(J856)&gt;12,"Langer dan 12 uur - controleren",IF(AND(E856="Werken",D856=""),"Werken zonder klant - koppelen","OK"))))))</f>
        <v/>
      </c>
    </row>
    <row r="857" ht="15" customHeight="1" s="42">
      <c r="A857" s="55" t="n"/>
      <c r="B857" s="56">
        <f>IF(A857="","",WEEKNUM(A857,21))</f>
        <v/>
      </c>
      <c r="C857" s="57" t="n"/>
      <c r="D857" s="57" t="n"/>
      <c r="E857" s="58" t="n"/>
      <c r="F857" s="57" t="n"/>
      <c r="G857" s="59" t="n"/>
      <c r="H857" s="59" t="n"/>
      <c r="I857" s="60">
        <f>IF(OR(G857="",H857=""),"",MOD(H857-G857,1))</f>
        <v/>
      </c>
      <c r="J857" s="61">
        <f>IF(OR(G857="",H857=""),"",ROUND(MOD(H857-G857,1)*24,2))</f>
        <v/>
      </c>
      <c r="K857" s="62">
        <f>IF(E857="","",IF(E857="Werken","JA","NEE"))</f>
        <v/>
      </c>
      <c r="L857" s="61">
        <f>IF(K857="JA",N(J857),IF(E857="","",0))</f>
        <v/>
      </c>
      <c r="M857" s="62">
        <f>IF(AND(A857="",E857=""),"",IF(E857="","Segment ontbreekt",IF(OR(G857="",H857=""),"Van/tot ontbreekt",IF(N(J857)=0,"Duur is nul",IF(N(J857)&gt;12,"Langer dan 12 uur - controleren",IF(AND(E857="Werken",D857=""),"Werken zonder klant - koppelen","OK"))))))</f>
        <v/>
      </c>
    </row>
    <row r="858" ht="15" customHeight="1" s="42">
      <c r="A858" s="55" t="n"/>
      <c r="B858" s="56">
        <f>IF(A858="","",WEEKNUM(A858,21))</f>
        <v/>
      </c>
      <c r="C858" s="57" t="n"/>
      <c r="D858" s="57" t="n"/>
      <c r="E858" s="58" t="n"/>
      <c r="F858" s="57" t="n"/>
      <c r="G858" s="59" t="n"/>
      <c r="H858" s="59" t="n"/>
      <c r="I858" s="60">
        <f>IF(OR(G858="",H858=""),"",MOD(H858-G858,1))</f>
        <v/>
      </c>
      <c r="J858" s="61">
        <f>IF(OR(G858="",H858=""),"",ROUND(MOD(H858-G858,1)*24,2))</f>
        <v/>
      </c>
      <c r="K858" s="62">
        <f>IF(E858="","",IF(E858="Werken","JA","NEE"))</f>
        <v/>
      </c>
      <c r="L858" s="61">
        <f>IF(K858="JA",N(J858),IF(E858="","",0))</f>
        <v/>
      </c>
      <c r="M858" s="62">
        <f>IF(AND(A858="",E858=""),"",IF(E858="","Segment ontbreekt",IF(OR(G858="",H858=""),"Van/tot ontbreekt",IF(N(J858)=0,"Duur is nul",IF(N(J858)&gt;12,"Langer dan 12 uur - controleren",IF(AND(E858="Werken",D858=""),"Werken zonder klant - koppelen","OK"))))))</f>
        <v/>
      </c>
    </row>
    <row r="859" ht="15" customHeight="1" s="42">
      <c r="A859" s="55" t="n"/>
      <c r="B859" s="56">
        <f>IF(A859="","",WEEKNUM(A859,21))</f>
        <v/>
      </c>
      <c r="C859" s="57" t="n"/>
      <c r="D859" s="57" t="n"/>
      <c r="E859" s="58" t="n"/>
      <c r="F859" s="57" t="n"/>
      <c r="G859" s="59" t="n"/>
      <c r="H859" s="59" t="n"/>
      <c r="I859" s="60">
        <f>IF(OR(G859="",H859=""),"",MOD(H859-G859,1))</f>
        <v/>
      </c>
      <c r="J859" s="61">
        <f>IF(OR(G859="",H859=""),"",ROUND(MOD(H859-G859,1)*24,2))</f>
        <v/>
      </c>
      <c r="K859" s="62">
        <f>IF(E859="","",IF(E859="Werken","JA","NEE"))</f>
        <v/>
      </c>
      <c r="L859" s="61">
        <f>IF(K859="JA",N(J859),IF(E859="","",0))</f>
        <v/>
      </c>
      <c r="M859" s="62">
        <f>IF(AND(A859="",E859=""),"",IF(E859="","Segment ontbreekt",IF(OR(G859="",H859=""),"Van/tot ontbreekt",IF(N(J859)=0,"Duur is nul",IF(N(J859)&gt;12,"Langer dan 12 uur - controleren",IF(AND(E859="Werken",D859=""),"Werken zonder klant - koppelen","OK"))))))</f>
        <v/>
      </c>
    </row>
    <row r="860" ht="15" customHeight="1" s="42">
      <c r="A860" s="55" t="n"/>
      <c r="B860" s="56">
        <f>IF(A860="","",WEEKNUM(A860,21))</f>
        <v/>
      </c>
      <c r="C860" s="57" t="n"/>
      <c r="D860" s="57" t="n"/>
      <c r="E860" s="58" t="n"/>
      <c r="F860" s="57" t="n"/>
      <c r="G860" s="59" t="n"/>
      <c r="H860" s="59" t="n"/>
      <c r="I860" s="60">
        <f>IF(OR(G860="",H860=""),"",MOD(H860-G860,1))</f>
        <v/>
      </c>
      <c r="J860" s="61">
        <f>IF(OR(G860="",H860=""),"",ROUND(MOD(H860-G860,1)*24,2))</f>
        <v/>
      </c>
      <c r="K860" s="62">
        <f>IF(E860="","",IF(E860="Werken","JA","NEE"))</f>
        <v/>
      </c>
      <c r="L860" s="61">
        <f>IF(K860="JA",N(J860),IF(E860="","",0))</f>
        <v/>
      </c>
      <c r="M860" s="62">
        <f>IF(AND(A860="",E860=""),"",IF(E860="","Segment ontbreekt",IF(OR(G860="",H860=""),"Van/tot ontbreekt",IF(N(J860)=0,"Duur is nul",IF(N(J860)&gt;12,"Langer dan 12 uur - controleren",IF(AND(E860="Werken",D860=""),"Werken zonder klant - koppelen","OK"))))))</f>
        <v/>
      </c>
    </row>
    <row r="861" ht="15" customHeight="1" s="42">
      <c r="A861" s="55" t="n"/>
      <c r="B861" s="56">
        <f>IF(A861="","",WEEKNUM(A861,21))</f>
        <v/>
      </c>
      <c r="C861" s="57" t="n"/>
      <c r="D861" s="57" t="n"/>
      <c r="E861" s="58" t="n"/>
      <c r="F861" s="57" t="n"/>
      <c r="G861" s="59" t="n"/>
      <c r="H861" s="59" t="n"/>
      <c r="I861" s="60">
        <f>IF(OR(G861="",H861=""),"",MOD(H861-G861,1))</f>
        <v/>
      </c>
      <c r="J861" s="61">
        <f>IF(OR(G861="",H861=""),"",ROUND(MOD(H861-G861,1)*24,2))</f>
        <v/>
      </c>
      <c r="K861" s="62">
        <f>IF(E861="","",IF(E861="Werken","JA","NEE"))</f>
        <v/>
      </c>
      <c r="L861" s="61">
        <f>IF(K861="JA",N(J861),IF(E861="","",0))</f>
        <v/>
      </c>
      <c r="M861" s="62">
        <f>IF(AND(A861="",E861=""),"",IF(E861="","Segment ontbreekt",IF(OR(G861="",H861=""),"Van/tot ontbreekt",IF(N(J861)=0,"Duur is nul",IF(N(J861)&gt;12,"Langer dan 12 uur - controleren",IF(AND(E861="Werken",D861=""),"Werken zonder klant - koppelen","OK"))))))</f>
        <v/>
      </c>
    </row>
    <row r="862" ht="15" customHeight="1" s="42">
      <c r="A862" s="55" t="n"/>
      <c r="B862" s="56">
        <f>IF(A862="","",WEEKNUM(A862,21))</f>
        <v/>
      </c>
      <c r="C862" s="57" t="n"/>
      <c r="D862" s="57" t="n"/>
      <c r="E862" s="58" t="n"/>
      <c r="F862" s="57" t="n"/>
      <c r="G862" s="59" t="n"/>
      <c r="H862" s="59" t="n"/>
      <c r="I862" s="60">
        <f>IF(OR(G862="",H862=""),"",MOD(H862-G862,1))</f>
        <v/>
      </c>
      <c r="J862" s="61">
        <f>IF(OR(G862="",H862=""),"",ROUND(MOD(H862-G862,1)*24,2))</f>
        <v/>
      </c>
      <c r="K862" s="62">
        <f>IF(E862="","",IF(E862="Werken","JA","NEE"))</f>
        <v/>
      </c>
      <c r="L862" s="61">
        <f>IF(K862="JA",N(J862),IF(E862="","",0))</f>
        <v/>
      </c>
      <c r="M862" s="62">
        <f>IF(AND(A862="",E862=""),"",IF(E862="","Segment ontbreekt",IF(OR(G862="",H862=""),"Van/tot ontbreekt",IF(N(J862)=0,"Duur is nul",IF(N(J862)&gt;12,"Langer dan 12 uur - controleren",IF(AND(E862="Werken",D862=""),"Werken zonder klant - koppelen","OK"))))))</f>
        <v/>
      </c>
    </row>
    <row r="863" ht="15" customHeight="1" s="42">
      <c r="A863" s="55" t="n"/>
      <c r="B863" s="56">
        <f>IF(A863="","",WEEKNUM(A863,21))</f>
        <v/>
      </c>
      <c r="C863" s="57" t="n"/>
      <c r="D863" s="57" t="n"/>
      <c r="E863" s="58" t="n"/>
      <c r="F863" s="57" t="n"/>
      <c r="G863" s="59" t="n"/>
      <c r="H863" s="59" t="n"/>
      <c r="I863" s="60">
        <f>IF(OR(G863="",H863=""),"",MOD(H863-G863,1))</f>
        <v/>
      </c>
      <c r="J863" s="61">
        <f>IF(OR(G863="",H863=""),"",ROUND(MOD(H863-G863,1)*24,2))</f>
        <v/>
      </c>
      <c r="K863" s="62">
        <f>IF(E863="","",IF(E863="Werken","JA","NEE"))</f>
        <v/>
      </c>
      <c r="L863" s="61">
        <f>IF(K863="JA",N(J863),IF(E863="","",0))</f>
        <v/>
      </c>
      <c r="M863" s="62">
        <f>IF(AND(A863="",E863=""),"",IF(E863="","Segment ontbreekt",IF(OR(G863="",H863=""),"Van/tot ontbreekt",IF(N(J863)=0,"Duur is nul",IF(N(J863)&gt;12,"Langer dan 12 uur - controleren",IF(AND(E863="Werken",D863=""),"Werken zonder klant - koppelen","OK"))))))</f>
        <v/>
      </c>
    </row>
    <row r="864" ht="15" customHeight="1" s="42">
      <c r="A864" s="55" t="n"/>
      <c r="B864" s="56">
        <f>IF(A864="","",WEEKNUM(A864,21))</f>
        <v/>
      </c>
      <c r="C864" s="57" t="n"/>
      <c r="D864" s="57" t="n"/>
      <c r="E864" s="58" t="n"/>
      <c r="F864" s="57" t="n"/>
      <c r="G864" s="59" t="n"/>
      <c r="H864" s="59" t="n"/>
      <c r="I864" s="60">
        <f>IF(OR(G864="",H864=""),"",MOD(H864-G864,1))</f>
        <v/>
      </c>
      <c r="J864" s="61">
        <f>IF(OR(G864="",H864=""),"",ROUND(MOD(H864-G864,1)*24,2))</f>
        <v/>
      </c>
      <c r="K864" s="62">
        <f>IF(E864="","",IF(E864="Werken","JA","NEE"))</f>
        <v/>
      </c>
      <c r="L864" s="61">
        <f>IF(K864="JA",N(J864),IF(E864="","",0))</f>
        <v/>
      </c>
      <c r="M864" s="62">
        <f>IF(AND(A864="",E864=""),"",IF(E864="","Segment ontbreekt",IF(OR(G864="",H864=""),"Van/tot ontbreekt",IF(N(J864)=0,"Duur is nul",IF(N(J864)&gt;12,"Langer dan 12 uur - controleren",IF(AND(E864="Werken",D864=""),"Werken zonder klant - koppelen","OK"))))))</f>
        <v/>
      </c>
    </row>
    <row r="865" ht="15" customHeight="1" s="42">
      <c r="A865" s="55" t="n"/>
      <c r="B865" s="56">
        <f>IF(A865="","",WEEKNUM(A865,21))</f>
        <v/>
      </c>
      <c r="C865" s="57" t="n"/>
      <c r="D865" s="57" t="n"/>
      <c r="E865" s="58" t="n"/>
      <c r="F865" s="57" t="n"/>
      <c r="G865" s="59" t="n"/>
      <c r="H865" s="59" t="n"/>
      <c r="I865" s="60">
        <f>IF(OR(G865="",H865=""),"",MOD(H865-G865,1))</f>
        <v/>
      </c>
      <c r="J865" s="61">
        <f>IF(OR(G865="",H865=""),"",ROUND(MOD(H865-G865,1)*24,2))</f>
        <v/>
      </c>
      <c r="K865" s="62">
        <f>IF(E865="","",IF(E865="Werken","JA","NEE"))</f>
        <v/>
      </c>
      <c r="L865" s="61">
        <f>IF(K865="JA",N(J865),IF(E865="","",0))</f>
        <v/>
      </c>
      <c r="M865" s="62">
        <f>IF(AND(A865="",E865=""),"",IF(E865="","Segment ontbreekt",IF(OR(G865="",H865=""),"Van/tot ontbreekt",IF(N(J865)=0,"Duur is nul",IF(N(J865)&gt;12,"Langer dan 12 uur - controleren",IF(AND(E865="Werken",D865=""),"Werken zonder klant - koppelen","OK"))))))</f>
        <v/>
      </c>
    </row>
    <row r="866" ht="15" customHeight="1" s="42">
      <c r="A866" s="55" t="n"/>
      <c r="B866" s="56">
        <f>IF(A866="","",WEEKNUM(A866,21))</f>
        <v/>
      </c>
      <c r="C866" s="57" t="n"/>
      <c r="D866" s="57" t="n"/>
      <c r="E866" s="58" t="n"/>
      <c r="F866" s="57" t="n"/>
      <c r="G866" s="59" t="n"/>
      <c r="H866" s="59" t="n"/>
      <c r="I866" s="60">
        <f>IF(OR(G866="",H866=""),"",MOD(H866-G866,1))</f>
        <v/>
      </c>
      <c r="J866" s="61">
        <f>IF(OR(G866="",H866=""),"",ROUND(MOD(H866-G866,1)*24,2))</f>
        <v/>
      </c>
      <c r="K866" s="62">
        <f>IF(E866="","",IF(E866="Werken","JA","NEE"))</f>
        <v/>
      </c>
      <c r="L866" s="61">
        <f>IF(K866="JA",N(J866),IF(E866="","",0))</f>
        <v/>
      </c>
      <c r="M866" s="62">
        <f>IF(AND(A866="",E866=""),"",IF(E866="","Segment ontbreekt",IF(OR(G866="",H866=""),"Van/tot ontbreekt",IF(N(J866)=0,"Duur is nul",IF(N(J866)&gt;12,"Langer dan 12 uur - controleren",IF(AND(E866="Werken",D866=""),"Werken zonder klant - koppelen","OK"))))))</f>
        <v/>
      </c>
    </row>
    <row r="867" ht="15" customHeight="1" s="42">
      <c r="A867" s="55" t="n"/>
      <c r="B867" s="56">
        <f>IF(A867="","",WEEKNUM(A867,21))</f>
        <v/>
      </c>
      <c r="C867" s="57" t="n"/>
      <c r="D867" s="57" t="n"/>
      <c r="E867" s="58" t="n"/>
      <c r="F867" s="57" t="n"/>
      <c r="G867" s="59" t="n"/>
      <c r="H867" s="59" t="n"/>
      <c r="I867" s="60">
        <f>IF(OR(G867="",H867=""),"",MOD(H867-G867,1))</f>
        <v/>
      </c>
      <c r="J867" s="61">
        <f>IF(OR(G867="",H867=""),"",ROUND(MOD(H867-G867,1)*24,2))</f>
        <v/>
      </c>
      <c r="K867" s="62">
        <f>IF(E867="","",IF(E867="Werken","JA","NEE"))</f>
        <v/>
      </c>
      <c r="L867" s="61">
        <f>IF(K867="JA",N(J867),IF(E867="","",0))</f>
        <v/>
      </c>
      <c r="M867" s="62">
        <f>IF(AND(A867="",E867=""),"",IF(E867="","Segment ontbreekt",IF(OR(G867="",H867=""),"Van/tot ontbreekt",IF(N(J867)=0,"Duur is nul",IF(N(J867)&gt;12,"Langer dan 12 uur - controleren",IF(AND(E867="Werken",D867=""),"Werken zonder klant - koppelen","OK"))))))</f>
        <v/>
      </c>
    </row>
    <row r="868" ht="15" customHeight="1" s="42">
      <c r="A868" s="55" t="n"/>
      <c r="B868" s="56">
        <f>IF(A868="","",WEEKNUM(A868,21))</f>
        <v/>
      </c>
      <c r="C868" s="57" t="n"/>
      <c r="D868" s="57" t="n"/>
      <c r="E868" s="58" t="n"/>
      <c r="F868" s="57" t="n"/>
      <c r="G868" s="59" t="n"/>
      <c r="H868" s="59" t="n"/>
      <c r="I868" s="60">
        <f>IF(OR(G868="",H868=""),"",MOD(H868-G868,1))</f>
        <v/>
      </c>
      <c r="J868" s="61">
        <f>IF(OR(G868="",H868=""),"",ROUND(MOD(H868-G868,1)*24,2))</f>
        <v/>
      </c>
      <c r="K868" s="62">
        <f>IF(E868="","",IF(E868="Werken","JA","NEE"))</f>
        <v/>
      </c>
      <c r="L868" s="61">
        <f>IF(K868="JA",N(J868),IF(E868="","",0))</f>
        <v/>
      </c>
      <c r="M868" s="62">
        <f>IF(AND(A868="",E868=""),"",IF(E868="","Segment ontbreekt",IF(OR(G868="",H868=""),"Van/tot ontbreekt",IF(N(J868)=0,"Duur is nul",IF(N(J868)&gt;12,"Langer dan 12 uur - controleren",IF(AND(E868="Werken",D868=""),"Werken zonder klant - koppelen","OK"))))))</f>
        <v/>
      </c>
    </row>
    <row r="869" ht="15" customHeight="1" s="42">
      <c r="A869" s="55" t="n"/>
      <c r="B869" s="56">
        <f>IF(A869="","",WEEKNUM(A869,21))</f>
        <v/>
      </c>
      <c r="C869" s="57" t="n"/>
      <c r="D869" s="57" t="n"/>
      <c r="E869" s="58" t="n"/>
      <c r="F869" s="57" t="n"/>
      <c r="G869" s="59" t="n"/>
      <c r="H869" s="59" t="n"/>
      <c r="I869" s="60">
        <f>IF(OR(G869="",H869=""),"",MOD(H869-G869,1))</f>
        <v/>
      </c>
      <c r="J869" s="61">
        <f>IF(OR(G869="",H869=""),"",ROUND(MOD(H869-G869,1)*24,2))</f>
        <v/>
      </c>
      <c r="K869" s="62">
        <f>IF(E869="","",IF(E869="Werken","JA","NEE"))</f>
        <v/>
      </c>
      <c r="L869" s="61">
        <f>IF(K869="JA",N(J869),IF(E869="","",0))</f>
        <v/>
      </c>
      <c r="M869" s="62">
        <f>IF(AND(A869="",E869=""),"",IF(E869="","Segment ontbreekt",IF(OR(G869="",H869=""),"Van/tot ontbreekt",IF(N(J869)=0,"Duur is nul",IF(N(J869)&gt;12,"Langer dan 12 uur - controleren",IF(AND(E869="Werken",D869=""),"Werken zonder klant - koppelen","OK"))))))</f>
        <v/>
      </c>
    </row>
    <row r="870" ht="15" customHeight="1" s="42">
      <c r="A870" s="55" t="n"/>
      <c r="B870" s="56">
        <f>IF(A870="","",WEEKNUM(A870,21))</f>
        <v/>
      </c>
      <c r="C870" s="57" t="n"/>
      <c r="D870" s="57" t="n"/>
      <c r="E870" s="58" t="n"/>
      <c r="F870" s="57" t="n"/>
      <c r="G870" s="59" t="n"/>
      <c r="H870" s="59" t="n"/>
      <c r="I870" s="60">
        <f>IF(OR(G870="",H870=""),"",MOD(H870-G870,1))</f>
        <v/>
      </c>
      <c r="J870" s="61">
        <f>IF(OR(G870="",H870=""),"",ROUND(MOD(H870-G870,1)*24,2))</f>
        <v/>
      </c>
      <c r="K870" s="62">
        <f>IF(E870="","",IF(E870="Werken","JA","NEE"))</f>
        <v/>
      </c>
      <c r="L870" s="61">
        <f>IF(K870="JA",N(J870),IF(E870="","",0))</f>
        <v/>
      </c>
      <c r="M870" s="62">
        <f>IF(AND(A870="",E870=""),"",IF(E870="","Segment ontbreekt",IF(OR(G870="",H870=""),"Van/tot ontbreekt",IF(N(J870)=0,"Duur is nul",IF(N(J870)&gt;12,"Langer dan 12 uur - controleren",IF(AND(E870="Werken",D870=""),"Werken zonder klant - koppelen","OK"))))))</f>
        <v/>
      </c>
    </row>
    <row r="871" ht="15" customHeight="1" s="42">
      <c r="A871" s="55" t="n"/>
      <c r="B871" s="56">
        <f>IF(A871="","",WEEKNUM(A871,21))</f>
        <v/>
      </c>
      <c r="C871" s="57" t="n"/>
      <c r="D871" s="57" t="n"/>
      <c r="E871" s="58" t="n"/>
      <c r="F871" s="57" t="n"/>
      <c r="G871" s="59" t="n"/>
      <c r="H871" s="59" t="n"/>
      <c r="I871" s="60">
        <f>IF(OR(G871="",H871=""),"",MOD(H871-G871,1))</f>
        <v/>
      </c>
      <c r="J871" s="61">
        <f>IF(OR(G871="",H871=""),"",ROUND(MOD(H871-G871,1)*24,2))</f>
        <v/>
      </c>
      <c r="K871" s="62">
        <f>IF(E871="","",IF(E871="Werken","JA","NEE"))</f>
        <v/>
      </c>
      <c r="L871" s="61">
        <f>IF(K871="JA",N(J871),IF(E871="","",0))</f>
        <v/>
      </c>
      <c r="M871" s="62">
        <f>IF(AND(A871="",E871=""),"",IF(E871="","Segment ontbreekt",IF(OR(G871="",H871=""),"Van/tot ontbreekt",IF(N(J871)=0,"Duur is nul",IF(N(J871)&gt;12,"Langer dan 12 uur - controleren",IF(AND(E871="Werken",D871=""),"Werken zonder klant - koppelen","OK"))))))</f>
        <v/>
      </c>
    </row>
    <row r="872" ht="15" customHeight="1" s="42">
      <c r="A872" s="55" t="n"/>
      <c r="B872" s="56">
        <f>IF(A872="","",WEEKNUM(A872,21))</f>
        <v/>
      </c>
      <c r="C872" s="57" t="n"/>
      <c r="D872" s="57" t="n"/>
      <c r="E872" s="58" t="n"/>
      <c r="F872" s="57" t="n"/>
      <c r="G872" s="59" t="n"/>
      <c r="H872" s="59" t="n"/>
      <c r="I872" s="60">
        <f>IF(OR(G872="",H872=""),"",MOD(H872-G872,1))</f>
        <v/>
      </c>
      <c r="J872" s="61">
        <f>IF(OR(G872="",H872=""),"",ROUND(MOD(H872-G872,1)*24,2))</f>
        <v/>
      </c>
      <c r="K872" s="62">
        <f>IF(E872="","",IF(E872="Werken","JA","NEE"))</f>
        <v/>
      </c>
      <c r="L872" s="61">
        <f>IF(K872="JA",N(J872),IF(E872="","",0))</f>
        <v/>
      </c>
      <c r="M872" s="62">
        <f>IF(AND(A872="",E872=""),"",IF(E872="","Segment ontbreekt",IF(OR(G872="",H872=""),"Van/tot ontbreekt",IF(N(J872)=0,"Duur is nul",IF(N(J872)&gt;12,"Langer dan 12 uur - controleren",IF(AND(E872="Werken",D872=""),"Werken zonder klant - koppelen","OK"))))))</f>
        <v/>
      </c>
    </row>
    <row r="873" ht="15" customHeight="1" s="42">
      <c r="A873" s="55" t="n"/>
      <c r="B873" s="56">
        <f>IF(A873="","",WEEKNUM(A873,21))</f>
        <v/>
      </c>
      <c r="C873" s="57" t="n"/>
      <c r="D873" s="57" t="n"/>
      <c r="E873" s="58" t="n"/>
      <c r="F873" s="57" t="n"/>
      <c r="G873" s="59" t="n"/>
      <c r="H873" s="59" t="n"/>
      <c r="I873" s="60">
        <f>IF(OR(G873="",H873=""),"",MOD(H873-G873,1))</f>
        <v/>
      </c>
      <c r="J873" s="61">
        <f>IF(OR(G873="",H873=""),"",ROUND(MOD(H873-G873,1)*24,2))</f>
        <v/>
      </c>
      <c r="K873" s="62">
        <f>IF(E873="","",IF(E873="Werken","JA","NEE"))</f>
        <v/>
      </c>
      <c r="L873" s="61">
        <f>IF(K873="JA",N(J873),IF(E873="","",0))</f>
        <v/>
      </c>
      <c r="M873" s="62">
        <f>IF(AND(A873="",E873=""),"",IF(E873="","Segment ontbreekt",IF(OR(G873="",H873=""),"Van/tot ontbreekt",IF(N(J873)=0,"Duur is nul",IF(N(J873)&gt;12,"Langer dan 12 uur - controleren",IF(AND(E873="Werken",D873=""),"Werken zonder klant - koppelen","OK"))))))</f>
        <v/>
      </c>
    </row>
    <row r="874" ht="15" customHeight="1" s="42">
      <c r="A874" s="55" t="n"/>
      <c r="B874" s="56">
        <f>IF(A874="","",WEEKNUM(A874,21))</f>
        <v/>
      </c>
      <c r="C874" s="57" t="n"/>
      <c r="D874" s="57" t="n"/>
      <c r="E874" s="58" t="n"/>
      <c r="F874" s="57" t="n"/>
      <c r="G874" s="59" t="n"/>
      <c r="H874" s="59" t="n"/>
      <c r="I874" s="60">
        <f>IF(OR(G874="",H874=""),"",MOD(H874-G874,1))</f>
        <v/>
      </c>
      <c r="J874" s="61">
        <f>IF(OR(G874="",H874=""),"",ROUND(MOD(H874-G874,1)*24,2))</f>
        <v/>
      </c>
      <c r="K874" s="62">
        <f>IF(E874="","",IF(E874="Werken","JA","NEE"))</f>
        <v/>
      </c>
      <c r="L874" s="61">
        <f>IF(K874="JA",N(J874),IF(E874="","",0))</f>
        <v/>
      </c>
      <c r="M874" s="62">
        <f>IF(AND(A874="",E874=""),"",IF(E874="","Segment ontbreekt",IF(OR(G874="",H874=""),"Van/tot ontbreekt",IF(N(J874)=0,"Duur is nul",IF(N(J874)&gt;12,"Langer dan 12 uur - controleren",IF(AND(E874="Werken",D874=""),"Werken zonder klant - koppelen","OK"))))))</f>
        <v/>
      </c>
    </row>
    <row r="875" ht="15" customHeight="1" s="42">
      <c r="A875" s="55" t="n"/>
      <c r="B875" s="56">
        <f>IF(A875="","",WEEKNUM(A875,21))</f>
        <v/>
      </c>
      <c r="C875" s="57" t="n"/>
      <c r="D875" s="57" t="n"/>
      <c r="E875" s="58" t="n"/>
      <c r="F875" s="57" t="n"/>
      <c r="G875" s="59" t="n"/>
      <c r="H875" s="59" t="n"/>
      <c r="I875" s="60">
        <f>IF(OR(G875="",H875=""),"",MOD(H875-G875,1))</f>
        <v/>
      </c>
      <c r="J875" s="61">
        <f>IF(OR(G875="",H875=""),"",ROUND(MOD(H875-G875,1)*24,2))</f>
        <v/>
      </c>
      <c r="K875" s="62">
        <f>IF(E875="","",IF(E875="Werken","JA","NEE"))</f>
        <v/>
      </c>
      <c r="L875" s="61">
        <f>IF(K875="JA",N(J875),IF(E875="","",0))</f>
        <v/>
      </c>
      <c r="M875" s="62">
        <f>IF(AND(A875="",E875=""),"",IF(E875="","Segment ontbreekt",IF(OR(G875="",H875=""),"Van/tot ontbreekt",IF(N(J875)=0,"Duur is nul",IF(N(J875)&gt;12,"Langer dan 12 uur - controleren",IF(AND(E875="Werken",D875=""),"Werken zonder klant - koppelen","OK"))))))</f>
        <v/>
      </c>
    </row>
    <row r="876" ht="15" customHeight="1" s="42">
      <c r="A876" s="55" t="n"/>
      <c r="B876" s="56">
        <f>IF(A876="","",WEEKNUM(A876,21))</f>
        <v/>
      </c>
      <c r="C876" s="57" t="n"/>
      <c r="D876" s="57" t="n"/>
      <c r="E876" s="58" t="n"/>
      <c r="F876" s="57" t="n"/>
      <c r="G876" s="59" t="n"/>
      <c r="H876" s="59" t="n"/>
      <c r="I876" s="60">
        <f>IF(OR(G876="",H876=""),"",MOD(H876-G876,1))</f>
        <v/>
      </c>
      <c r="J876" s="61">
        <f>IF(OR(G876="",H876=""),"",ROUND(MOD(H876-G876,1)*24,2))</f>
        <v/>
      </c>
      <c r="K876" s="62">
        <f>IF(E876="","",IF(E876="Werken","JA","NEE"))</f>
        <v/>
      </c>
      <c r="L876" s="61">
        <f>IF(K876="JA",N(J876),IF(E876="","",0))</f>
        <v/>
      </c>
      <c r="M876" s="62">
        <f>IF(AND(A876="",E876=""),"",IF(E876="","Segment ontbreekt",IF(OR(G876="",H876=""),"Van/tot ontbreekt",IF(N(J876)=0,"Duur is nul",IF(N(J876)&gt;12,"Langer dan 12 uur - controleren",IF(AND(E876="Werken",D876=""),"Werken zonder klant - koppelen","OK"))))))</f>
        <v/>
      </c>
    </row>
    <row r="877" ht="15" customHeight="1" s="42">
      <c r="A877" s="55" t="n"/>
      <c r="B877" s="56">
        <f>IF(A877="","",WEEKNUM(A877,21))</f>
        <v/>
      </c>
      <c r="C877" s="57" t="n"/>
      <c r="D877" s="57" t="n"/>
      <c r="E877" s="58" t="n"/>
      <c r="F877" s="57" t="n"/>
      <c r="G877" s="59" t="n"/>
      <c r="H877" s="59" t="n"/>
      <c r="I877" s="60">
        <f>IF(OR(G877="",H877=""),"",MOD(H877-G877,1))</f>
        <v/>
      </c>
      <c r="J877" s="61">
        <f>IF(OR(G877="",H877=""),"",ROUND(MOD(H877-G877,1)*24,2))</f>
        <v/>
      </c>
      <c r="K877" s="62">
        <f>IF(E877="","",IF(E877="Werken","JA","NEE"))</f>
        <v/>
      </c>
      <c r="L877" s="61">
        <f>IF(K877="JA",N(J877),IF(E877="","",0))</f>
        <v/>
      </c>
      <c r="M877" s="62">
        <f>IF(AND(A877="",E877=""),"",IF(E877="","Segment ontbreekt",IF(OR(G877="",H877=""),"Van/tot ontbreekt",IF(N(J877)=0,"Duur is nul",IF(N(J877)&gt;12,"Langer dan 12 uur - controleren",IF(AND(E877="Werken",D877=""),"Werken zonder klant - koppelen","OK"))))))</f>
        <v/>
      </c>
    </row>
    <row r="878" ht="15" customHeight="1" s="42">
      <c r="A878" s="55" t="n"/>
      <c r="B878" s="56">
        <f>IF(A878="","",WEEKNUM(A878,21))</f>
        <v/>
      </c>
      <c r="C878" s="57" t="n"/>
      <c r="D878" s="57" t="n"/>
      <c r="E878" s="58" t="n"/>
      <c r="F878" s="57" t="n"/>
      <c r="G878" s="59" t="n"/>
      <c r="H878" s="59" t="n"/>
      <c r="I878" s="60">
        <f>IF(OR(G878="",H878=""),"",MOD(H878-G878,1))</f>
        <v/>
      </c>
      <c r="J878" s="61">
        <f>IF(OR(G878="",H878=""),"",ROUND(MOD(H878-G878,1)*24,2))</f>
        <v/>
      </c>
      <c r="K878" s="62">
        <f>IF(E878="","",IF(E878="Werken","JA","NEE"))</f>
        <v/>
      </c>
      <c r="L878" s="61">
        <f>IF(K878="JA",N(J878),IF(E878="","",0))</f>
        <v/>
      </c>
      <c r="M878" s="62">
        <f>IF(AND(A878="",E878=""),"",IF(E878="","Segment ontbreekt",IF(OR(G878="",H878=""),"Van/tot ontbreekt",IF(N(J878)=0,"Duur is nul",IF(N(J878)&gt;12,"Langer dan 12 uur - controleren",IF(AND(E878="Werken",D878=""),"Werken zonder klant - koppelen","OK"))))))</f>
        <v/>
      </c>
    </row>
    <row r="879" ht="15" customHeight="1" s="42">
      <c r="A879" s="55" t="n"/>
      <c r="B879" s="56">
        <f>IF(A879="","",WEEKNUM(A879,21))</f>
        <v/>
      </c>
      <c r="C879" s="57" t="n"/>
      <c r="D879" s="57" t="n"/>
      <c r="E879" s="58" t="n"/>
      <c r="F879" s="57" t="n"/>
      <c r="G879" s="59" t="n"/>
      <c r="H879" s="59" t="n"/>
      <c r="I879" s="60">
        <f>IF(OR(G879="",H879=""),"",MOD(H879-G879,1))</f>
        <v/>
      </c>
      <c r="J879" s="61">
        <f>IF(OR(G879="",H879=""),"",ROUND(MOD(H879-G879,1)*24,2))</f>
        <v/>
      </c>
      <c r="K879" s="62">
        <f>IF(E879="","",IF(E879="Werken","JA","NEE"))</f>
        <v/>
      </c>
      <c r="L879" s="61">
        <f>IF(K879="JA",N(J879),IF(E879="","",0))</f>
        <v/>
      </c>
      <c r="M879" s="62">
        <f>IF(AND(A879="",E879=""),"",IF(E879="","Segment ontbreekt",IF(OR(G879="",H879=""),"Van/tot ontbreekt",IF(N(J879)=0,"Duur is nul",IF(N(J879)&gt;12,"Langer dan 12 uur - controleren",IF(AND(E879="Werken",D879=""),"Werken zonder klant - koppelen","OK"))))))</f>
        <v/>
      </c>
    </row>
    <row r="880" ht="15" customHeight="1" s="42">
      <c r="A880" s="55" t="n"/>
      <c r="B880" s="56">
        <f>IF(A880="","",WEEKNUM(A880,21))</f>
        <v/>
      </c>
      <c r="C880" s="57" t="n"/>
      <c r="D880" s="57" t="n"/>
      <c r="E880" s="58" t="n"/>
      <c r="F880" s="57" t="n"/>
      <c r="G880" s="59" t="n"/>
      <c r="H880" s="59" t="n"/>
      <c r="I880" s="60">
        <f>IF(OR(G880="",H880=""),"",MOD(H880-G880,1))</f>
        <v/>
      </c>
      <c r="J880" s="61">
        <f>IF(OR(G880="",H880=""),"",ROUND(MOD(H880-G880,1)*24,2))</f>
        <v/>
      </c>
      <c r="K880" s="62">
        <f>IF(E880="","",IF(E880="Werken","JA","NEE"))</f>
        <v/>
      </c>
      <c r="L880" s="61">
        <f>IF(K880="JA",N(J880),IF(E880="","",0))</f>
        <v/>
      </c>
      <c r="M880" s="62">
        <f>IF(AND(A880="",E880=""),"",IF(E880="","Segment ontbreekt",IF(OR(G880="",H880=""),"Van/tot ontbreekt",IF(N(J880)=0,"Duur is nul",IF(N(J880)&gt;12,"Langer dan 12 uur - controleren",IF(AND(E880="Werken",D880=""),"Werken zonder klant - koppelen","OK"))))))</f>
        <v/>
      </c>
    </row>
    <row r="881" ht="15" customHeight="1" s="42">
      <c r="A881" s="55" t="n"/>
      <c r="B881" s="56">
        <f>IF(A881="","",WEEKNUM(A881,21))</f>
        <v/>
      </c>
      <c r="C881" s="57" t="n"/>
      <c r="D881" s="57" t="n"/>
      <c r="E881" s="58" t="n"/>
      <c r="F881" s="57" t="n"/>
      <c r="G881" s="59" t="n"/>
      <c r="H881" s="59" t="n"/>
      <c r="I881" s="60">
        <f>IF(OR(G881="",H881=""),"",MOD(H881-G881,1))</f>
        <v/>
      </c>
      <c r="J881" s="61">
        <f>IF(OR(G881="",H881=""),"",ROUND(MOD(H881-G881,1)*24,2))</f>
        <v/>
      </c>
      <c r="K881" s="62">
        <f>IF(E881="","",IF(E881="Werken","JA","NEE"))</f>
        <v/>
      </c>
      <c r="L881" s="61">
        <f>IF(K881="JA",N(J881),IF(E881="","",0))</f>
        <v/>
      </c>
      <c r="M881" s="62">
        <f>IF(AND(A881="",E881=""),"",IF(E881="","Segment ontbreekt",IF(OR(G881="",H881=""),"Van/tot ontbreekt",IF(N(J881)=0,"Duur is nul",IF(N(J881)&gt;12,"Langer dan 12 uur - controleren",IF(AND(E881="Werken",D881=""),"Werken zonder klant - koppelen","OK"))))))</f>
        <v/>
      </c>
    </row>
    <row r="882" ht="15" customHeight="1" s="42">
      <c r="A882" s="55" t="n"/>
      <c r="B882" s="56">
        <f>IF(A882="","",WEEKNUM(A882,21))</f>
        <v/>
      </c>
      <c r="C882" s="57" t="n"/>
      <c r="D882" s="57" t="n"/>
      <c r="E882" s="58" t="n"/>
      <c r="F882" s="57" t="n"/>
      <c r="G882" s="59" t="n"/>
      <c r="H882" s="59" t="n"/>
      <c r="I882" s="60">
        <f>IF(OR(G882="",H882=""),"",MOD(H882-G882,1))</f>
        <v/>
      </c>
      <c r="J882" s="61">
        <f>IF(OR(G882="",H882=""),"",ROUND(MOD(H882-G882,1)*24,2))</f>
        <v/>
      </c>
      <c r="K882" s="62">
        <f>IF(E882="","",IF(E882="Werken","JA","NEE"))</f>
        <v/>
      </c>
      <c r="L882" s="61">
        <f>IF(K882="JA",N(J882),IF(E882="","",0))</f>
        <v/>
      </c>
      <c r="M882" s="62">
        <f>IF(AND(A882="",E882=""),"",IF(E882="","Segment ontbreekt",IF(OR(G882="",H882=""),"Van/tot ontbreekt",IF(N(J882)=0,"Duur is nul",IF(N(J882)&gt;12,"Langer dan 12 uur - controleren",IF(AND(E882="Werken",D882=""),"Werken zonder klant - koppelen","OK"))))))</f>
        <v/>
      </c>
    </row>
    <row r="883" ht="15" customHeight="1" s="42">
      <c r="A883" s="55" t="n"/>
      <c r="B883" s="56">
        <f>IF(A883="","",WEEKNUM(A883,21))</f>
        <v/>
      </c>
      <c r="C883" s="57" t="n"/>
      <c r="D883" s="57" t="n"/>
      <c r="E883" s="58" t="n"/>
      <c r="F883" s="57" t="n"/>
      <c r="G883" s="59" t="n"/>
      <c r="H883" s="59" t="n"/>
      <c r="I883" s="60">
        <f>IF(OR(G883="",H883=""),"",MOD(H883-G883,1))</f>
        <v/>
      </c>
      <c r="J883" s="61">
        <f>IF(OR(G883="",H883=""),"",ROUND(MOD(H883-G883,1)*24,2))</f>
        <v/>
      </c>
      <c r="K883" s="62">
        <f>IF(E883="","",IF(E883="Werken","JA","NEE"))</f>
        <v/>
      </c>
      <c r="L883" s="61">
        <f>IF(K883="JA",N(J883),IF(E883="","",0))</f>
        <v/>
      </c>
      <c r="M883" s="62">
        <f>IF(AND(A883="",E883=""),"",IF(E883="","Segment ontbreekt",IF(OR(G883="",H883=""),"Van/tot ontbreekt",IF(N(J883)=0,"Duur is nul",IF(N(J883)&gt;12,"Langer dan 12 uur - controleren",IF(AND(E883="Werken",D883=""),"Werken zonder klant - koppelen","OK"))))))</f>
        <v/>
      </c>
    </row>
    <row r="884" ht="15" customHeight="1" s="42">
      <c r="A884" s="55" t="n"/>
      <c r="B884" s="56">
        <f>IF(A884="","",WEEKNUM(A884,21))</f>
        <v/>
      </c>
      <c r="C884" s="57" t="n"/>
      <c r="D884" s="57" t="n"/>
      <c r="E884" s="58" t="n"/>
      <c r="F884" s="57" t="n"/>
      <c r="G884" s="59" t="n"/>
      <c r="H884" s="59" t="n"/>
      <c r="I884" s="60">
        <f>IF(OR(G884="",H884=""),"",MOD(H884-G884,1))</f>
        <v/>
      </c>
      <c r="J884" s="61">
        <f>IF(OR(G884="",H884=""),"",ROUND(MOD(H884-G884,1)*24,2))</f>
        <v/>
      </c>
      <c r="K884" s="62">
        <f>IF(E884="","",IF(E884="Werken","JA","NEE"))</f>
        <v/>
      </c>
      <c r="L884" s="61">
        <f>IF(K884="JA",N(J884),IF(E884="","",0))</f>
        <v/>
      </c>
      <c r="M884" s="62">
        <f>IF(AND(A884="",E884=""),"",IF(E884="","Segment ontbreekt",IF(OR(G884="",H884=""),"Van/tot ontbreekt",IF(N(J884)=0,"Duur is nul",IF(N(J884)&gt;12,"Langer dan 12 uur - controleren",IF(AND(E884="Werken",D884=""),"Werken zonder klant - koppelen","OK"))))))</f>
        <v/>
      </c>
    </row>
    <row r="885" ht="15" customHeight="1" s="42">
      <c r="A885" s="55" t="n"/>
      <c r="B885" s="56">
        <f>IF(A885="","",WEEKNUM(A885,21))</f>
        <v/>
      </c>
      <c r="C885" s="57" t="n"/>
      <c r="D885" s="57" t="n"/>
      <c r="E885" s="58" t="n"/>
      <c r="F885" s="57" t="n"/>
      <c r="G885" s="59" t="n"/>
      <c r="H885" s="59" t="n"/>
      <c r="I885" s="60">
        <f>IF(OR(G885="",H885=""),"",MOD(H885-G885,1))</f>
        <v/>
      </c>
      <c r="J885" s="61">
        <f>IF(OR(G885="",H885=""),"",ROUND(MOD(H885-G885,1)*24,2))</f>
        <v/>
      </c>
      <c r="K885" s="62">
        <f>IF(E885="","",IF(E885="Werken","JA","NEE"))</f>
        <v/>
      </c>
      <c r="L885" s="61">
        <f>IF(K885="JA",N(J885),IF(E885="","",0))</f>
        <v/>
      </c>
      <c r="M885" s="62">
        <f>IF(AND(A885="",E885=""),"",IF(E885="","Segment ontbreekt",IF(OR(G885="",H885=""),"Van/tot ontbreekt",IF(N(J885)=0,"Duur is nul",IF(N(J885)&gt;12,"Langer dan 12 uur - controleren",IF(AND(E885="Werken",D885=""),"Werken zonder klant - koppelen","OK"))))))</f>
        <v/>
      </c>
    </row>
    <row r="886" ht="15" customHeight="1" s="42">
      <c r="A886" s="55" t="n"/>
      <c r="B886" s="56">
        <f>IF(A886="","",WEEKNUM(A886,21))</f>
        <v/>
      </c>
      <c r="C886" s="57" t="n"/>
      <c r="D886" s="57" t="n"/>
      <c r="E886" s="58" t="n"/>
      <c r="F886" s="57" t="n"/>
      <c r="G886" s="59" t="n"/>
      <c r="H886" s="59" t="n"/>
      <c r="I886" s="60">
        <f>IF(OR(G886="",H886=""),"",MOD(H886-G886,1))</f>
        <v/>
      </c>
      <c r="J886" s="61">
        <f>IF(OR(G886="",H886=""),"",ROUND(MOD(H886-G886,1)*24,2))</f>
        <v/>
      </c>
      <c r="K886" s="62">
        <f>IF(E886="","",IF(E886="Werken","JA","NEE"))</f>
        <v/>
      </c>
      <c r="L886" s="61">
        <f>IF(K886="JA",N(J886),IF(E886="","",0))</f>
        <v/>
      </c>
      <c r="M886" s="62">
        <f>IF(AND(A886="",E886=""),"",IF(E886="","Segment ontbreekt",IF(OR(G886="",H886=""),"Van/tot ontbreekt",IF(N(J886)=0,"Duur is nul",IF(N(J886)&gt;12,"Langer dan 12 uur - controleren",IF(AND(E886="Werken",D886=""),"Werken zonder klant - koppelen","OK"))))))</f>
        <v/>
      </c>
    </row>
    <row r="887" ht="15" customHeight="1" s="42">
      <c r="A887" s="55" t="n"/>
      <c r="B887" s="56">
        <f>IF(A887="","",WEEKNUM(A887,21))</f>
        <v/>
      </c>
      <c r="C887" s="57" t="n"/>
      <c r="D887" s="57" t="n"/>
      <c r="E887" s="58" t="n"/>
      <c r="F887" s="57" t="n"/>
      <c r="G887" s="59" t="n"/>
      <c r="H887" s="59" t="n"/>
      <c r="I887" s="60">
        <f>IF(OR(G887="",H887=""),"",MOD(H887-G887,1))</f>
        <v/>
      </c>
      <c r="J887" s="61">
        <f>IF(OR(G887="",H887=""),"",ROUND(MOD(H887-G887,1)*24,2))</f>
        <v/>
      </c>
      <c r="K887" s="62">
        <f>IF(E887="","",IF(E887="Werken","JA","NEE"))</f>
        <v/>
      </c>
      <c r="L887" s="61">
        <f>IF(K887="JA",N(J887),IF(E887="","",0))</f>
        <v/>
      </c>
      <c r="M887" s="62">
        <f>IF(AND(A887="",E887=""),"",IF(E887="","Segment ontbreekt",IF(OR(G887="",H887=""),"Van/tot ontbreekt",IF(N(J887)=0,"Duur is nul",IF(N(J887)&gt;12,"Langer dan 12 uur - controleren",IF(AND(E887="Werken",D887=""),"Werken zonder klant - koppelen","OK"))))))</f>
        <v/>
      </c>
    </row>
    <row r="888" ht="15" customHeight="1" s="42">
      <c r="A888" s="55" t="n"/>
      <c r="B888" s="56">
        <f>IF(A888="","",WEEKNUM(A888,21))</f>
        <v/>
      </c>
      <c r="C888" s="57" t="n"/>
      <c r="D888" s="57" t="n"/>
      <c r="E888" s="58" t="n"/>
      <c r="F888" s="57" t="n"/>
      <c r="G888" s="59" t="n"/>
      <c r="H888" s="59" t="n"/>
      <c r="I888" s="60">
        <f>IF(OR(G888="",H888=""),"",MOD(H888-G888,1))</f>
        <v/>
      </c>
      <c r="J888" s="61">
        <f>IF(OR(G888="",H888=""),"",ROUND(MOD(H888-G888,1)*24,2))</f>
        <v/>
      </c>
      <c r="K888" s="62">
        <f>IF(E888="","",IF(E888="Werken","JA","NEE"))</f>
        <v/>
      </c>
      <c r="L888" s="61">
        <f>IF(K888="JA",N(J888),IF(E888="","",0))</f>
        <v/>
      </c>
      <c r="M888" s="62">
        <f>IF(AND(A888="",E888=""),"",IF(E888="","Segment ontbreekt",IF(OR(G888="",H888=""),"Van/tot ontbreekt",IF(N(J888)=0,"Duur is nul",IF(N(J888)&gt;12,"Langer dan 12 uur - controleren",IF(AND(E888="Werken",D888=""),"Werken zonder klant - koppelen","OK"))))))</f>
        <v/>
      </c>
    </row>
    <row r="889" ht="15" customHeight="1" s="42">
      <c r="A889" s="55" t="n"/>
      <c r="B889" s="56">
        <f>IF(A889="","",WEEKNUM(A889,21))</f>
        <v/>
      </c>
      <c r="C889" s="57" t="n"/>
      <c r="D889" s="57" t="n"/>
      <c r="E889" s="58" t="n"/>
      <c r="F889" s="57" t="n"/>
      <c r="G889" s="59" t="n"/>
      <c r="H889" s="59" t="n"/>
      <c r="I889" s="60">
        <f>IF(OR(G889="",H889=""),"",MOD(H889-G889,1))</f>
        <v/>
      </c>
      <c r="J889" s="61">
        <f>IF(OR(G889="",H889=""),"",ROUND(MOD(H889-G889,1)*24,2))</f>
        <v/>
      </c>
      <c r="K889" s="62">
        <f>IF(E889="","",IF(E889="Werken","JA","NEE"))</f>
        <v/>
      </c>
      <c r="L889" s="61">
        <f>IF(K889="JA",N(J889),IF(E889="","",0))</f>
        <v/>
      </c>
      <c r="M889" s="62">
        <f>IF(AND(A889="",E889=""),"",IF(E889="","Segment ontbreekt",IF(OR(G889="",H889=""),"Van/tot ontbreekt",IF(N(J889)=0,"Duur is nul",IF(N(J889)&gt;12,"Langer dan 12 uur - controleren",IF(AND(E889="Werken",D889=""),"Werken zonder klant - koppelen","OK"))))))</f>
        <v/>
      </c>
    </row>
    <row r="890" ht="15" customHeight="1" s="42">
      <c r="A890" s="55" t="n"/>
      <c r="B890" s="56">
        <f>IF(A890="","",WEEKNUM(A890,21))</f>
        <v/>
      </c>
      <c r="C890" s="57" t="n"/>
      <c r="D890" s="57" t="n"/>
      <c r="E890" s="58" t="n"/>
      <c r="F890" s="57" t="n"/>
      <c r="G890" s="59" t="n"/>
      <c r="H890" s="59" t="n"/>
      <c r="I890" s="60">
        <f>IF(OR(G890="",H890=""),"",MOD(H890-G890,1))</f>
        <v/>
      </c>
      <c r="J890" s="61">
        <f>IF(OR(G890="",H890=""),"",ROUND(MOD(H890-G890,1)*24,2))</f>
        <v/>
      </c>
      <c r="K890" s="62">
        <f>IF(E890="","",IF(E890="Werken","JA","NEE"))</f>
        <v/>
      </c>
      <c r="L890" s="61">
        <f>IF(K890="JA",N(J890),IF(E890="","",0))</f>
        <v/>
      </c>
      <c r="M890" s="62">
        <f>IF(AND(A890="",E890=""),"",IF(E890="","Segment ontbreekt",IF(OR(G890="",H890=""),"Van/tot ontbreekt",IF(N(J890)=0,"Duur is nul",IF(N(J890)&gt;12,"Langer dan 12 uur - controleren",IF(AND(E890="Werken",D890=""),"Werken zonder klant - koppelen","OK"))))))</f>
        <v/>
      </c>
    </row>
    <row r="891" ht="15" customHeight="1" s="42">
      <c r="A891" s="55" t="n"/>
      <c r="B891" s="56">
        <f>IF(A891="","",WEEKNUM(A891,21))</f>
        <v/>
      </c>
      <c r="C891" s="57" t="n"/>
      <c r="D891" s="57" t="n"/>
      <c r="E891" s="58" t="n"/>
      <c r="F891" s="57" t="n"/>
      <c r="G891" s="59" t="n"/>
      <c r="H891" s="59" t="n"/>
      <c r="I891" s="60">
        <f>IF(OR(G891="",H891=""),"",MOD(H891-G891,1))</f>
        <v/>
      </c>
      <c r="J891" s="61">
        <f>IF(OR(G891="",H891=""),"",ROUND(MOD(H891-G891,1)*24,2))</f>
        <v/>
      </c>
      <c r="K891" s="62">
        <f>IF(E891="","",IF(E891="Werken","JA","NEE"))</f>
        <v/>
      </c>
      <c r="L891" s="61">
        <f>IF(K891="JA",N(J891),IF(E891="","",0))</f>
        <v/>
      </c>
      <c r="M891" s="62">
        <f>IF(AND(A891="",E891=""),"",IF(E891="","Segment ontbreekt",IF(OR(G891="",H891=""),"Van/tot ontbreekt",IF(N(J891)=0,"Duur is nul",IF(N(J891)&gt;12,"Langer dan 12 uur - controleren",IF(AND(E891="Werken",D891=""),"Werken zonder klant - koppelen","OK"))))))</f>
        <v/>
      </c>
    </row>
    <row r="892" ht="15" customHeight="1" s="42">
      <c r="A892" s="55" t="n"/>
      <c r="B892" s="56">
        <f>IF(A892="","",WEEKNUM(A892,21))</f>
        <v/>
      </c>
      <c r="C892" s="57" t="n"/>
      <c r="D892" s="57" t="n"/>
      <c r="E892" s="58" t="n"/>
      <c r="F892" s="57" t="n"/>
      <c r="G892" s="59" t="n"/>
      <c r="H892" s="59" t="n"/>
      <c r="I892" s="60">
        <f>IF(OR(G892="",H892=""),"",MOD(H892-G892,1))</f>
        <v/>
      </c>
      <c r="J892" s="61">
        <f>IF(OR(G892="",H892=""),"",ROUND(MOD(H892-G892,1)*24,2))</f>
        <v/>
      </c>
      <c r="K892" s="62">
        <f>IF(E892="","",IF(E892="Werken","JA","NEE"))</f>
        <v/>
      </c>
      <c r="L892" s="61">
        <f>IF(K892="JA",N(J892),IF(E892="","",0))</f>
        <v/>
      </c>
      <c r="M892" s="62">
        <f>IF(AND(A892="",E892=""),"",IF(E892="","Segment ontbreekt",IF(OR(G892="",H892=""),"Van/tot ontbreekt",IF(N(J892)=0,"Duur is nul",IF(N(J892)&gt;12,"Langer dan 12 uur - controleren",IF(AND(E892="Werken",D892=""),"Werken zonder klant - koppelen","OK"))))))</f>
        <v/>
      </c>
    </row>
    <row r="893" ht="15" customHeight="1" s="42">
      <c r="A893" s="55" t="n"/>
      <c r="B893" s="56">
        <f>IF(A893="","",WEEKNUM(A893,21))</f>
        <v/>
      </c>
      <c r="C893" s="57" t="n"/>
      <c r="D893" s="57" t="n"/>
      <c r="E893" s="58" t="n"/>
      <c r="F893" s="57" t="n"/>
      <c r="G893" s="59" t="n"/>
      <c r="H893" s="59" t="n"/>
      <c r="I893" s="60">
        <f>IF(OR(G893="",H893=""),"",MOD(H893-G893,1))</f>
        <v/>
      </c>
      <c r="J893" s="61">
        <f>IF(OR(G893="",H893=""),"",ROUND(MOD(H893-G893,1)*24,2))</f>
        <v/>
      </c>
      <c r="K893" s="62">
        <f>IF(E893="","",IF(E893="Werken","JA","NEE"))</f>
        <v/>
      </c>
      <c r="L893" s="61">
        <f>IF(K893="JA",N(J893),IF(E893="","",0))</f>
        <v/>
      </c>
      <c r="M893" s="62">
        <f>IF(AND(A893="",E893=""),"",IF(E893="","Segment ontbreekt",IF(OR(G893="",H893=""),"Van/tot ontbreekt",IF(N(J893)=0,"Duur is nul",IF(N(J893)&gt;12,"Langer dan 12 uur - controleren",IF(AND(E893="Werken",D893=""),"Werken zonder klant - koppelen","OK"))))))</f>
        <v/>
      </c>
    </row>
    <row r="894" ht="15" customHeight="1" s="42">
      <c r="A894" s="55" t="n"/>
      <c r="B894" s="56">
        <f>IF(A894="","",WEEKNUM(A894,21))</f>
        <v/>
      </c>
      <c r="C894" s="57" t="n"/>
      <c r="D894" s="57" t="n"/>
      <c r="E894" s="58" t="n"/>
      <c r="F894" s="57" t="n"/>
      <c r="G894" s="59" t="n"/>
      <c r="H894" s="59" t="n"/>
      <c r="I894" s="60">
        <f>IF(OR(G894="",H894=""),"",MOD(H894-G894,1))</f>
        <v/>
      </c>
      <c r="J894" s="61">
        <f>IF(OR(G894="",H894=""),"",ROUND(MOD(H894-G894,1)*24,2))</f>
        <v/>
      </c>
      <c r="K894" s="62">
        <f>IF(E894="","",IF(E894="Werken","JA","NEE"))</f>
        <v/>
      </c>
      <c r="L894" s="61">
        <f>IF(K894="JA",N(J894),IF(E894="","",0))</f>
        <v/>
      </c>
      <c r="M894" s="62">
        <f>IF(AND(A894="",E894=""),"",IF(E894="","Segment ontbreekt",IF(OR(G894="",H894=""),"Van/tot ontbreekt",IF(N(J894)=0,"Duur is nul",IF(N(J894)&gt;12,"Langer dan 12 uur - controleren",IF(AND(E894="Werken",D894=""),"Werken zonder klant - koppelen","OK"))))))</f>
        <v/>
      </c>
    </row>
    <row r="895" ht="15" customHeight="1" s="42">
      <c r="A895" s="55" t="n"/>
      <c r="B895" s="56">
        <f>IF(A895="","",WEEKNUM(A895,21))</f>
        <v/>
      </c>
      <c r="C895" s="57" t="n"/>
      <c r="D895" s="57" t="n"/>
      <c r="E895" s="58" t="n"/>
      <c r="F895" s="57" t="n"/>
      <c r="G895" s="59" t="n"/>
      <c r="H895" s="59" t="n"/>
      <c r="I895" s="60">
        <f>IF(OR(G895="",H895=""),"",MOD(H895-G895,1))</f>
        <v/>
      </c>
      <c r="J895" s="61">
        <f>IF(OR(G895="",H895=""),"",ROUND(MOD(H895-G895,1)*24,2))</f>
        <v/>
      </c>
      <c r="K895" s="62">
        <f>IF(E895="","",IF(E895="Werken","JA","NEE"))</f>
        <v/>
      </c>
      <c r="L895" s="61">
        <f>IF(K895="JA",N(J895),IF(E895="","",0))</f>
        <v/>
      </c>
      <c r="M895" s="62">
        <f>IF(AND(A895="",E895=""),"",IF(E895="","Segment ontbreekt",IF(OR(G895="",H895=""),"Van/tot ontbreekt",IF(N(J895)=0,"Duur is nul",IF(N(J895)&gt;12,"Langer dan 12 uur - controleren",IF(AND(E895="Werken",D895=""),"Werken zonder klant - koppelen","OK"))))))</f>
        <v/>
      </c>
    </row>
    <row r="896" ht="15" customHeight="1" s="42">
      <c r="A896" s="55" t="n"/>
      <c r="B896" s="56">
        <f>IF(A896="","",WEEKNUM(A896,21))</f>
        <v/>
      </c>
      <c r="C896" s="57" t="n"/>
      <c r="D896" s="57" t="n"/>
      <c r="E896" s="58" t="n"/>
      <c r="F896" s="57" t="n"/>
      <c r="G896" s="59" t="n"/>
      <c r="H896" s="59" t="n"/>
      <c r="I896" s="60">
        <f>IF(OR(G896="",H896=""),"",MOD(H896-G896,1))</f>
        <v/>
      </c>
      <c r="J896" s="61">
        <f>IF(OR(G896="",H896=""),"",ROUND(MOD(H896-G896,1)*24,2))</f>
        <v/>
      </c>
      <c r="K896" s="62">
        <f>IF(E896="","",IF(E896="Werken","JA","NEE"))</f>
        <v/>
      </c>
      <c r="L896" s="61">
        <f>IF(K896="JA",N(J896),IF(E896="","",0))</f>
        <v/>
      </c>
      <c r="M896" s="62">
        <f>IF(AND(A896="",E896=""),"",IF(E896="","Segment ontbreekt",IF(OR(G896="",H896=""),"Van/tot ontbreekt",IF(N(J896)=0,"Duur is nul",IF(N(J896)&gt;12,"Langer dan 12 uur - controleren",IF(AND(E896="Werken",D896=""),"Werken zonder klant - koppelen","OK"))))))</f>
        <v/>
      </c>
    </row>
    <row r="897" ht="15" customHeight="1" s="42">
      <c r="A897" s="55" t="n"/>
      <c r="B897" s="56">
        <f>IF(A897="","",WEEKNUM(A897,21))</f>
        <v/>
      </c>
      <c r="C897" s="57" t="n"/>
      <c r="D897" s="57" t="n"/>
      <c r="E897" s="58" t="n"/>
      <c r="F897" s="57" t="n"/>
      <c r="G897" s="59" t="n"/>
      <c r="H897" s="59" t="n"/>
      <c r="I897" s="60">
        <f>IF(OR(G897="",H897=""),"",MOD(H897-G897,1))</f>
        <v/>
      </c>
      <c r="J897" s="61">
        <f>IF(OR(G897="",H897=""),"",ROUND(MOD(H897-G897,1)*24,2))</f>
        <v/>
      </c>
      <c r="K897" s="62">
        <f>IF(E897="","",IF(E897="Werken","JA","NEE"))</f>
        <v/>
      </c>
      <c r="L897" s="61">
        <f>IF(K897="JA",N(J897),IF(E897="","",0))</f>
        <v/>
      </c>
      <c r="M897" s="62">
        <f>IF(AND(A897="",E897=""),"",IF(E897="","Segment ontbreekt",IF(OR(G897="",H897=""),"Van/tot ontbreekt",IF(N(J897)=0,"Duur is nul",IF(N(J897)&gt;12,"Langer dan 12 uur - controleren",IF(AND(E897="Werken",D897=""),"Werken zonder klant - koppelen","OK"))))))</f>
        <v/>
      </c>
    </row>
    <row r="898" ht="15" customHeight="1" s="42">
      <c r="A898" s="55" t="n"/>
      <c r="B898" s="56">
        <f>IF(A898="","",WEEKNUM(A898,21))</f>
        <v/>
      </c>
      <c r="C898" s="57" t="n"/>
      <c r="D898" s="57" t="n"/>
      <c r="E898" s="58" t="n"/>
      <c r="F898" s="57" t="n"/>
      <c r="G898" s="59" t="n"/>
      <c r="H898" s="59" t="n"/>
      <c r="I898" s="60">
        <f>IF(OR(G898="",H898=""),"",MOD(H898-G898,1))</f>
        <v/>
      </c>
      <c r="J898" s="61">
        <f>IF(OR(G898="",H898=""),"",ROUND(MOD(H898-G898,1)*24,2))</f>
        <v/>
      </c>
      <c r="K898" s="62">
        <f>IF(E898="","",IF(E898="Werken","JA","NEE"))</f>
        <v/>
      </c>
      <c r="L898" s="61">
        <f>IF(K898="JA",N(J898),IF(E898="","",0))</f>
        <v/>
      </c>
      <c r="M898" s="62">
        <f>IF(AND(A898="",E898=""),"",IF(E898="","Segment ontbreekt",IF(OR(G898="",H898=""),"Van/tot ontbreekt",IF(N(J898)=0,"Duur is nul",IF(N(J898)&gt;12,"Langer dan 12 uur - controleren",IF(AND(E898="Werken",D898=""),"Werken zonder klant - koppelen","OK"))))))</f>
        <v/>
      </c>
    </row>
    <row r="899" ht="15" customHeight="1" s="42">
      <c r="A899" s="55" t="n"/>
      <c r="B899" s="56">
        <f>IF(A899="","",WEEKNUM(A899,21))</f>
        <v/>
      </c>
      <c r="C899" s="57" t="n"/>
      <c r="D899" s="57" t="n"/>
      <c r="E899" s="58" t="n"/>
      <c r="F899" s="57" t="n"/>
      <c r="G899" s="59" t="n"/>
      <c r="H899" s="59" t="n"/>
      <c r="I899" s="60">
        <f>IF(OR(G899="",H899=""),"",MOD(H899-G899,1))</f>
        <v/>
      </c>
      <c r="J899" s="61">
        <f>IF(OR(G899="",H899=""),"",ROUND(MOD(H899-G899,1)*24,2))</f>
        <v/>
      </c>
      <c r="K899" s="62">
        <f>IF(E899="","",IF(E899="Werken","JA","NEE"))</f>
        <v/>
      </c>
      <c r="L899" s="61">
        <f>IF(K899="JA",N(J899),IF(E899="","",0))</f>
        <v/>
      </c>
      <c r="M899" s="62">
        <f>IF(AND(A899="",E899=""),"",IF(E899="","Segment ontbreekt",IF(OR(G899="",H899=""),"Van/tot ontbreekt",IF(N(J899)=0,"Duur is nul",IF(N(J899)&gt;12,"Langer dan 12 uur - controleren",IF(AND(E899="Werken",D899=""),"Werken zonder klant - koppelen","OK"))))))</f>
        <v/>
      </c>
    </row>
    <row r="900" ht="15" customHeight="1" s="42">
      <c r="A900" s="55" t="n"/>
      <c r="B900" s="56">
        <f>IF(A900="","",WEEKNUM(A900,21))</f>
        <v/>
      </c>
      <c r="C900" s="57" t="n"/>
      <c r="D900" s="57" t="n"/>
      <c r="E900" s="58" t="n"/>
      <c r="F900" s="57" t="n"/>
      <c r="G900" s="59" t="n"/>
      <c r="H900" s="59" t="n"/>
      <c r="I900" s="60">
        <f>IF(OR(G900="",H900=""),"",MOD(H900-G900,1))</f>
        <v/>
      </c>
      <c r="J900" s="61">
        <f>IF(OR(G900="",H900=""),"",ROUND(MOD(H900-G900,1)*24,2))</f>
        <v/>
      </c>
      <c r="K900" s="62">
        <f>IF(E900="","",IF(E900="Werken","JA","NEE"))</f>
        <v/>
      </c>
      <c r="L900" s="61">
        <f>IF(K900="JA",N(J900),IF(E900="","",0))</f>
        <v/>
      </c>
      <c r="M900" s="62">
        <f>IF(AND(A900="",E900=""),"",IF(E900="","Segment ontbreekt",IF(OR(G900="",H900=""),"Van/tot ontbreekt",IF(N(J900)=0,"Duur is nul",IF(N(J900)&gt;12,"Langer dan 12 uur - controleren",IF(AND(E900="Werken",D900=""),"Werken zonder klant - koppelen","OK"))))))</f>
        <v/>
      </c>
    </row>
    <row r="901" ht="15" customHeight="1" s="42">
      <c r="A901" s="55" t="n"/>
      <c r="B901" s="56">
        <f>IF(A901="","",WEEKNUM(A901,21))</f>
        <v/>
      </c>
      <c r="C901" s="57" t="n"/>
      <c r="D901" s="57" t="n"/>
      <c r="E901" s="58" t="n"/>
      <c r="F901" s="57" t="n"/>
      <c r="G901" s="59" t="n"/>
      <c r="H901" s="59" t="n"/>
      <c r="I901" s="60">
        <f>IF(OR(G901="",H901=""),"",MOD(H901-G901,1))</f>
        <v/>
      </c>
      <c r="J901" s="61">
        <f>IF(OR(G901="",H901=""),"",ROUND(MOD(H901-G901,1)*24,2))</f>
        <v/>
      </c>
      <c r="K901" s="62">
        <f>IF(E901="","",IF(E901="Werken","JA","NEE"))</f>
        <v/>
      </c>
      <c r="L901" s="61">
        <f>IF(K901="JA",N(J901),IF(E901="","",0))</f>
        <v/>
      </c>
      <c r="M901" s="62">
        <f>IF(AND(A901="",E901=""),"",IF(E901="","Segment ontbreekt",IF(OR(G901="",H901=""),"Van/tot ontbreekt",IF(N(J901)=0,"Duur is nul",IF(N(J901)&gt;12,"Langer dan 12 uur - controleren",IF(AND(E901="Werken",D901=""),"Werken zonder klant - koppelen","OK"))))))</f>
        <v/>
      </c>
    </row>
    <row r="902" ht="15" customHeight="1" s="42">
      <c r="A902" s="55" t="n"/>
      <c r="B902" s="56">
        <f>IF(A902="","",WEEKNUM(A902,21))</f>
        <v/>
      </c>
      <c r="C902" s="57" t="n"/>
      <c r="D902" s="57" t="n"/>
      <c r="E902" s="58" t="n"/>
      <c r="F902" s="57" t="n"/>
      <c r="G902" s="59" t="n"/>
      <c r="H902" s="59" t="n"/>
      <c r="I902" s="60">
        <f>IF(OR(G902="",H902=""),"",MOD(H902-G902,1))</f>
        <v/>
      </c>
      <c r="J902" s="61">
        <f>IF(OR(G902="",H902=""),"",ROUND(MOD(H902-G902,1)*24,2))</f>
        <v/>
      </c>
      <c r="K902" s="62">
        <f>IF(E902="","",IF(E902="Werken","JA","NEE"))</f>
        <v/>
      </c>
      <c r="L902" s="61">
        <f>IF(K902="JA",N(J902),IF(E902="","",0))</f>
        <v/>
      </c>
      <c r="M902" s="62">
        <f>IF(AND(A902="",E902=""),"",IF(E902="","Segment ontbreekt",IF(OR(G902="",H902=""),"Van/tot ontbreekt",IF(N(J902)=0,"Duur is nul",IF(N(J902)&gt;12,"Langer dan 12 uur - controleren",IF(AND(E902="Werken",D902=""),"Werken zonder klant - koppelen","OK"))))))</f>
        <v/>
      </c>
    </row>
    <row r="903" ht="15" customHeight="1" s="42">
      <c r="A903" s="55" t="n"/>
      <c r="B903" s="56">
        <f>IF(A903="","",WEEKNUM(A903,21))</f>
        <v/>
      </c>
      <c r="C903" s="57" t="n"/>
      <c r="D903" s="57" t="n"/>
      <c r="E903" s="58" t="n"/>
      <c r="F903" s="57" t="n"/>
      <c r="G903" s="59" t="n"/>
      <c r="H903" s="59" t="n"/>
      <c r="I903" s="60">
        <f>IF(OR(G903="",H903=""),"",MOD(H903-G903,1))</f>
        <v/>
      </c>
      <c r="J903" s="61">
        <f>IF(OR(G903="",H903=""),"",ROUND(MOD(H903-G903,1)*24,2))</f>
        <v/>
      </c>
      <c r="K903" s="62">
        <f>IF(E903="","",IF(E903="Werken","JA","NEE"))</f>
        <v/>
      </c>
      <c r="L903" s="61">
        <f>IF(K903="JA",N(J903),IF(E903="","",0))</f>
        <v/>
      </c>
      <c r="M903" s="62">
        <f>IF(AND(A903="",E903=""),"",IF(E903="","Segment ontbreekt",IF(OR(G903="",H903=""),"Van/tot ontbreekt",IF(N(J903)=0,"Duur is nul",IF(N(J903)&gt;12,"Langer dan 12 uur - controleren",IF(AND(E903="Werken",D903=""),"Werken zonder klant - koppelen","OK"))))))</f>
        <v/>
      </c>
    </row>
    <row r="904" ht="15" customHeight="1" s="42">
      <c r="A904" s="55" t="n"/>
      <c r="B904" s="56">
        <f>IF(A904="","",WEEKNUM(A904,21))</f>
        <v/>
      </c>
      <c r="C904" s="57" t="n"/>
      <c r="D904" s="57" t="n"/>
      <c r="E904" s="58" t="n"/>
      <c r="F904" s="57" t="n"/>
      <c r="G904" s="59" t="n"/>
      <c r="H904" s="59" t="n"/>
      <c r="I904" s="60">
        <f>IF(OR(G904="",H904=""),"",MOD(H904-G904,1))</f>
        <v/>
      </c>
      <c r="J904" s="61">
        <f>IF(OR(G904="",H904=""),"",ROUND(MOD(H904-G904,1)*24,2))</f>
        <v/>
      </c>
      <c r="K904" s="62">
        <f>IF(E904="","",IF(E904="Werken","JA","NEE"))</f>
        <v/>
      </c>
      <c r="L904" s="61">
        <f>IF(K904="JA",N(J904),IF(E904="","",0))</f>
        <v/>
      </c>
      <c r="M904" s="62">
        <f>IF(AND(A904="",E904=""),"",IF(E904="","Segment ontbreekt",IF(OR(G904="",H904=""),"Van/tot ontbreekt",IF(N(J904)=0,"Duur is nul",IF(N(J904)&gt;12,"Langer dan 12 uur - controleren",IF(AND(E904="Werken",D904=""),"Werken zonder klant - koppelen","OK"))))))</f>
        <v/>
      </c>
    </row>
    <row r="905" ht="15" customHeight="1" s="42">
      <c r="A905" s="55" t="n"/>
      <c r="B905" s="56">
        <f>IF(A905="","",WEEKNUM(A905,21))</f>
        <v/>
      </c>
      <c r="C905" s="57" t="n"/>
      <c r="D905" s="57" t="n"/>
      <c r="E905" s="58" t="n"/>
      <c r="F905" s="57" t="n"/>
      <c r="G905" s="59" t="n"/>
      <c r="H905" s="59" t="n"/>
      <c r="I905" s="60">
        <f>IF(OR(G905="",H905=""),"",MOD(H905-G905,1))</f>
        <v/>
      </c>
      <c r="J905" s="61">
        <f>IF(OR(G905="",H905=""),"",ROUND(MOD(H905-G905,1)*24,2))</f>
        <v/>
      </c>
      <c r="K905" s="62">
        <f>IF(E905="","",IF(E905="Werken","JA","NEE"))</f>
        <v/>
      </c>
      <c r="L905" s="61">
        <f>IF(K905="JA",N(J905),IF(E905="","",0))</f>
        <v/>
      </c>
      <c r="M905" s="62">
        <f>IF(AND(A905="",E905=""),"",IF(E905="","Segment ontbreekt",IF(OR(G905="",H905=""),"Van/tot ontbreekt",IF(N(J905)=0,"Duur is nul",IF(N(J905)&gt;12,"Langer dan 12 uur - controleren",IF(AND(E905="Werken",D905=""),"Werken zonder klant - koppelen","OK"))))))</f>
        <v/>
      </c>
    </row>
    <row r="906" ht="15" customHeight="1" s="42">
      <c r="A906" s="55" t="n"/>
      <c r="B906" s="56">
        <f>IF(A906="","",WEEKNUM(A906,21))</f>
        <v/>
      </c>
      <c r="C906" s="57" t="n"/>
      <c r="D906" s="57" t="n"/>
      <c r="E906" s="58" t="n"/>
      <c r="F906" s="57" t="n"/>
      <c r="G906" s="59" t="n"/>
      <c r="H906" s="59" t="n"/>
      <c r="I906" s="60">
        <f>IF(OR(G906="",H906=""),"",MOD(H906-G906,1))</f>
        <v/>
      </c>
      <c r="J906" s="61">
        <f>IF(OR(G906="",H906=""),"",ROUND(MOD(H906-G906,1)*24,2))</f>
        <v/>
      </c>
      <c r="K906" s="62">
        <f>IF(E906="","",IF(E906="Werken","JA","NEE"))</f>
        <v/>
      </c>
      <c r="L906" s="61">
        <f>IF(K906="JA",N(J906),IF(E906="","",0))</f>
        <v/>
      </c>
      <c r="M906" s="62">
        <f>IF(AND(A906="",E906=""),"",IF(E906="","Segment ontbreekt",IF(OR(G906="",H906=""),"Van/tot ontbreekt",IF(N(J906)=0,"Duur is nul",IF(N(J906)&gt;12,"Langer dan 12 uur - controleren",IF(AND(E906="Werken",D906=""),"Werken zonder klant - koppelen","OK"))))))</f>
        <v/>
      </c>
    </row>
    <row r="907" ht="15" customHeight="1" s="42">
      <c r="A907" s="55" t="n"/>
      <c r="B907" s="56">
        <f>IF(A907="","",WEEKNUM(A907,21))</f>
        <v/>
      </c>
      <c r="C907" s="57" t="n"/>
      <c r="D907" s="57" t="n"/>
      <c r="E907" s="58" t="n"/>
      <c r="F907" s="57" t="n"/>
      <c r="G907" s="59" t="n"/>
      <c r="H907" s="59" t="n"/>
      <c r="I907" s="60">
        <f>IF(OR(G907="",H907=""),"",MOD(H907-G907,1))</f>
        <v/>
      </c>
      <c r="J907" s="61">
        <f>IF(OR(G907="",H907=""),"",ROUND(MOD(H907-G907,1)*24,2))</f>
        <v/>
      </c>
      <c r="K907" s="62">
        <f>IF(E907="","",IF(E907="Werken","JA","NEE"))</f>
        <v/>
      </c>
      <c r="L907" s="61">
        <f>IF(K907="JA",N(J907),IF(E907="","",0))</f>
        <v/>
      </c>
      <c r="M907" s="62">
        <f>IF(AND(A907="",E907=""),"",IF(E907="","Segment ontbreekt",IF(OR(G907="",H907=""),"Van/tot ontbreekt",IF(N(J907)=0,"Duur is nul",IF(N(J907)&gt;12,"Langer dan 12 uur - controleren",IF(AND(E907="Werken",D907=""),"Werken zonder klant - koppelen","OK"))))))</f>
        <v/>
      </c>
    </row>
    <row r="908" ht="15" customHeight="1" s="42">
      <c r="A908" s="55" t="n"/>
      <c r="B908" s="56">
        <f>IF(A908="","",WEEKNUM(A908,21))</f>
        <v/>
      </c>
      <c r="C908" s="57" t="n"/>
      <c r="D908" s="57" t="n"/>
      <c r="E908" s="58" t="n"/>
      <c r="F908" s="57" t="n"/>
      <c r="G908" s="59" t="n"/>
      <c r="H908" s="59" t="n"/>
      <c r="I908" s="60">
        <f>IF(OR(G908="",H908=""),"",MOD(H908-G908,1))</f>
        <v/>
      </c>
      <c r="J908" s="61">
        <f>IF(OR(G908="",H908=""),"",ROUND(MOD(H908-G908,1)*24,2))</f>
        <v/>
      </c>
      <c r="K908" s="62">
        <f>IF(E908="","",IF(E908="Werken","JA","NEE"))</f>
        <v/>
      </c>
      <c r="L908" s="61">
        <f>IF(K908="JA",N(J908),IF(E908="","",0))</f>
        <v/>
      </c>
      <c r="M908" s="62">
        <f>IF(AND(A908="",E908=""),"",IF(E908="","Segment ontbreekt",IF(OR(G908="",H908=""),"Van/tot ontbreekt",IF(N(J908)=0,"Duur is nul",IF(N(J908)&gt;12,"Langer dan 12 uur - controleren",IF(AND(E908="Werken",D908=""),"Werken zonder klant - koppelen","OK"))))))</f>
        <v/>
      </c>
    </row>
    <row r="909" ht="15" customHeight="1" s="42">
      <c r="A909" s="55" t="n"/>
      <c r="B909" s="56">
        <f>IF(A909="","",WEEKNUM(A909,21))</f>
        <v/>
      </c>
      <c r="C909" s="57" t="n"/>
      <c r="D909" s="57" t="n"/>
      <c r="E909" s="58" t="n"/>
      <c r="F909" s="57" t="n"/>
      <c r="G909" s="59" t="n"/>
      <c r="H909" s="59" t="n"/>
      <c r="I909" s="60">
        <f>IF(OR(G909="",H909=""),"",MOD(H909-G909,1))</f>
        <v/>
      </c>
      <c r="J909" s="61">
        <f>IF(OR(G909="",H909=""),"",ROUND(MOD(H909-G909,1)*24,2))</f>
        <v/>
      </c>
      <c r="K909" s="62">
        <f>IF(E909="","",IF(E909="Werken","JA","NEE"))</f>
        <v/>
      </c>
      <c r="L909" s="61">
        <f>IF(K909="JA",N(J909),IF(E909="","",0))</f>
        <v/>
      </c>
      <c r="M909" s="62">
        <f>IF(AND(A909="",E909=""),"",IF(E909="","Segment ontbreekt",IF(OR(G909="",H909=""),"Van/tot ontbreekt",IF(N(J909)=0,"Duur is nul",IF(N(J909)&gt;12,"Langer dan 12 uur - controleren",IF(AND(E909="Werken",D909=""),"Werken zonder klant - koppelen","OK"))))))</f>
        <v/>
      </c>
    </row>
    <row r="910" ht="15" customHeight="1" s="42">
      <c r="A910" s="55" t="n"/>
      <c r="B910" s="56">
        <f>IF(A910="","",WEEKNUM(A910,21))</f>
        <v/>
      </c>
      <c r="C910" s="57" t="n"/>
      <c r="D910" s="57" t="n"/>
      <c r="E910" s="58" t="n"/>
      <c r="F910" s="57" t="n"/>
      <c r="G910" s="59" t="n"/>
      <c r="H910" s="59" t="n"/>
      <c r="I910" s="60">
        <f>IF(OR(G910="",H910=""),"",MOD(H910-G910,1))</f>
        <v/>
      </c>
      <c r="J910" s="61">
        <f>IF(OR(G910="",H910=""),"",ROUND(MOD(H910-G910,1)*24,2))</f>
        <v/>
      </c>
      <c r="K910" s="62">
        <f>IF(E910="","",IF(E910="Werken","JA","NEE"))</f>
        <v/>
      </c>
      <c r="L910" s="61">
        <f>IF(K910="JA",N(J910),IF(E910="","",0))</f>
        <v/>
      </c>
      <c r="M910" s="62">
        <f>IF(AND(A910="",E910=""),"",IF(E910="","Segment ontbreekt",IF(OR(G910="",H910=""),"Van/tot ontbreekt",IF(N(J910)=0,"Duur is nul",IF(N(J910)&gt;12,"Langer dan 12 uur - controleren",IF(AND(E910="Werken",D910=""),"Werken zonder klant - koppelen","OK"))))))</f>
        <v/>
      </c>
    </row>
    <row r="911" ht="15" customHeight="1" s="42">
      <c r="A911" s="55" t="n"/>
      <c r="B911" s="56">
        <f>IF(A911="","",WEEKNUM(A911,21))</f>
        <v/>
      </c>
      <c r="C911" s="57" t="n"/>
      <c r="D911" s="57" t="n"/>
      <c r="E911" s="58" t="n"/>
      <c r="F911" s="57" t="n"/>
      <c r="G911" s="59" t="n"/>
      <c r="H911" s="59" t="n"/>
      <c r="I911" s="60">
        <f>IF(OR(G911="",H911=""),"",MOD(H911-G911,1))</f>
        <v/>
      </c>
      <c r="J911" s="61">
        <f>IF(OR(G911="",H911=""),"",ROUND(MOD(H911-G911,1)*24,2))</f>
        <v/>
      </c>
      <c r="K911" s="62">
        <f>IF(E911="","",IF(E911="Werken","JA","NEE"))</f>
        <v/>
      </c>
      <c r="L911" s="61">
        <f>IF(K911="JA",N(J911),IF(E911="","",0))</f>
        <v/>
      </c>
      <c r="M911" s="62">
        <f>IF(AND(A911="",E911=""),"",IF(E911="","Segment ontbreekt",IF(OR(G911="",H911=""),"Van/tot ontbreekt",IF(N(J911)=0,"Duur is nul",IF(N(J911)&gt;12,"Langer dan 12 uur - controleren",IF(AND(E911="Werken",D911=""),"Werken zonder klant - koppelen","OK"))))))</f>
        <v/>
      </c>
    </row>
    <row r="912" ht="15" customHeight="1" s="42">
      <c r="A912" s="55" t="n"/>
      <c r="B912" s="56">
        <f>IF(A912="","",WEEKNUM(A912,21))</f>
        <v/>
      </c>
      <c r="C912" s="57" t="n"/>
      <c r="D912" s="57" t="n"/>
      <c r="E912" s="58" t="n"/>
      <c r="F912" s="57" t="n"/>
      <c r="G912" s="59" t="n"/>
      <c r="H912" s="59" t="n"/>
      <c r="I912" s="60">
        <f>IF(OR(G912="",H912=""),"",MOD(H912-G912,1))</f>
        <v/>
      </c>
      <c r="J912" s="61">
        <f>IF(OR(G912="",H912=""),"",ROUND(MOD(H912-G912,1)*24,2))</f>
        <v/>
      </c>
      <c r="K912" s="62">
        <f>IF(E912="","",IF(E912="Werken","JA","NEE"))</f>
        <v/>
      </c>
      <c r="L912" s="61">
        <f>IF(K912="JA",N(J912),IF(E912="","",0))</f>
        <v/>
      </c>
      <c r="M912" s="62">
        <f>IF(AND(A912="",E912=""),"",IF(E912="","Segment ontbreekt",IF(OR(G912="",H912=""),"Van/tot ontbreekt",IF(N(J912)=0,"Duur is nul",IF(N(J912)&gt;12,"Langer dan 12 uur - controleren",IF(AND(E912="Werken",D912=""),"Werken zonder klant - koppelen","OK"))))))</f>
        <v/>
      </c>
    </row>
    <row r="913" ht="15" customHeight="1" s="42">
      <c r="A913" s="55" t="n"/>
      <c r="B913" s="56">
        <f>IF(A913="","",WEEKNUM(A913,21))</f>
        <v/>
      </c>
      <c r="C913" s="57" t="n"/>
      <c r="D913" s="57" t="n"/>
      <c r="E913" s="58" t="n"/>
      <c r="F913" s="57" t="n"/>
      <c r="G913" s="59" t="n"/>
      <c r="H913" s="59" t="n"/>
      <c r="I913" s="60">
        <f>IF(OR(G913="",H913=""),"",MOD(H913-G913,1))</f>
        <v/>
      </c>
      <c r="J913" s="61">
        <f>IF(OR(G913="",H913=""),"",ROUND(MOD(H913-G913,1)*24,2))</f>
        <v/>
      </c>
      <c r="K913" s="62">
        <f>IF(E913="","",IF(E913="Werken","JA","NEE"))</f>
        <v/>
      </c>
      <c r="L913" s="61">
        <f>IF(K913="JA",N(J913),IF(E913="","",0))</f>
        <v/>
      </c>
      <c r="M913" s="62">
        <f>IF(AND(A913="",E913=""),"",IF(E913="","Segment ontbreekt",IF(OR(G913="",H913=""),"Van/tot ontbreekt",IF(N(J913)=0,"Duur is nul",IF(N(J913)&gt;12,"Langer dan 12 uur - controleren",IF(AND(E913="Werken",D913=""),"Werken zonder klant - koppelen","OK"))))))</f>
        <v/>
      </c>
    </row>
    <row r="914" ht="15" customHeight="1" s="42">
      <c r="A914" s="55" t="n"/>
      <c r="B914" s="56">
        <f>IF(A914="","",WEEKNUM(A914,21))</f>
        <v/>
      </c>
      <c r="C914" s="57" t="n"/>
      <c r="D914" s="57" t="n"/>
      <c r="E914" s="58" t="n"/>
      <c r="F914" s="57" t="n"/>
      <c r="G914" s="59" t="n"/>
      <c r="H914" s="59" t="n"/>
      <c r="I914" s="60">
        <f>IF(OR(G914="",H914=""),"",MOD(H914-G914,1))</f>
        <v/>
      </c>
      <c r="J914" s="61">
        <f>IF(OR(G914="",H914=""),"",ROUND(MOD(H914-G914,1)*24,2))</f>
        <v/>
      </c>
      <c r="K914" s="62">
        <f>IF(E914="","",IF(E914="Werken","JA","NEE"))</f>
        <v/>
      </c>
      <c r="L914" s="61">
        <f>IF(K914="JA",N(J914),IF(E914="","",0))</f>
        <v/>
      </c>
      <c r="M914" s="62">
        <f>IF(AND(A914="",E914=""),"",IF(E914="","Segment ontbreekt",IF(OR(G914="",H914=""),"Van/tot ontbreekt",IF(N(J914)=0,"Duur is nul",IF(N(J914)&gt;12,"Langer dan 12 uur - controleren",IF(AND(E914="Werken",D914=""),"Werken zonder klant - koppelen","OK"))))))</f>
        <v/>
      </c>
    </row>
    <row r="915" ht="15" customHeight="1" s="42">
      <c r="A915" s="55" t="n"/>
      <c r="B915" s="56">
        <f>IF(A915="","",WEEKNUM(A915,21))</f>
        <v/>
      </c>
      <c r="C915" s="57" t="n"/>
      <c r="D915" s="57" t="n"/>
      <c r="E915" s="58" t="n"/>
      <c r="F915" s="57" t="n"/>
      <c r="G915" s="59" t="n"/>
      <c r="H915" s="59" t="n"/>
      <c r="I915" s="60">
        <f>IF(OR(G915="",H915=""),"",MOD(H915-G915,1))</f>
        <v/>
      </c>
      <c r="J915" s="61">
        <f>IF(OR(G915="",H915=""),"",ROUND(MOD(H915-G915,1)*24,2))</f>
        <v/>
      </c>
      <c r="K915" s="62">
        <f>IF(E915="","",IF(E915="Werken","JA","NEE"))</f>
        <v/>
      </c>
      <c r="L915" s="61">
        <f>IF(K915="JA",N(J915),IF(E915="","",0))</f>
        <v/>
      </c>
      <c r="M915" s="62">
        <f>IF(AND(A915="",E915=""),"",IF(E915="","Segment ontbreekt",IF(OR(G915="",H915=""),"Van/tot ontbreekt",IF(N(J915)=0,"Duur is nul",IF(N(J915)&gt;12,"Langer dan 12 uur - controleren",IF(AND(E915="Werken",D915=""),"Werken zonder klant - koppelen","OK"))))))</f>
        <v/>
      </c>
    </row>
    <row r="916" ht="15" customHeight="1" s="42">
      <c r="A916" s="55" t="n"/>
      <c r="B916" s="56">
        <f>IF(A916="","",WEEKNUM(A916,21))</f>
        <v/>
      </c>
      <c r="C916" s="57" t="n"/>
      <c r="D916" s="57" t="n"/>
      <c r="E916" s="58" t="n"/>
      <c r="F916" s="57" t="n"/>
      <c r="G916" s="59" t="n"/>
      <c r="H916" s="59" t="n"/>
      <c r="I916" s="60">
        <f>IF(OR(G916="",H916=""),"",MOD(H916-G916,1))</f>
        <v/>
      </c>
      <c r="J916" s="61">
        <f>IF(OR(G916="",H916=""),"",ROUND(MOD(H916-G916,1)*24,2))</f>
        <v/>
      </c>
      <c r="K916" s="62">
        <f>IF(E916="","",IF(E916="Werken","JA","NEE"))</f>
        <v/>
      </c>
      <c r="L916" s="61">
        <f>IF(K916="JA",N(J916),IF(E916="","",0))</f>
        <v/>
      </c>
      <c r="M916" s="62">
        <f>IF(AND(A916="",E916=""),"",IF(E916="","Segment ontbreekt",IF(OR(G916="",H916=""),"Van/tot ontbreekt",IF(N(J916)=0,"Duur is nul",IF(N(J916)&gt;12,"Langer dan 12 uur - controleren",IF(AND(E916="Werken",D916=""),"Werken zonder klant - koppelen","OK"))))))</f>
        <v/>
      </c>
    </row>
    <row r="917" ht="15" customHeight="1" s="42">
      <c r="A917" s="55" t="n"/>
      <c r="B917" s="56">
        <f>IF(A917="","",WEEKNUM(A917,21))</f>
        <v/>
      </c>
      <c r="C917" s="57" t="n"/>
      <c r="D917" s="57" t="n"/>
      <c r="E917" s="58" t="n"/>
      <c r="F917" s="57" t="n"/>
      <c r="G917" s="59" t="n"/>
      <c r="H917" s="59" t="n"/>
      <c r="I917" s="60">
        <f>IF(OR(G917="",H917=""),"",MOD(H917-G917,1))</f>
        <v/>
      </c>
      <c r="J917" s="61">
        <f>IF(OR(G917="",H917=""),"",ROUND(MOD(H917-G917,1)*24,2))</f>
        <v/>
      </c>
      <c r="K917" s="62">
        <f>IF(E917="","",IF(E917="Werken","JA","NEE"))</f>
        <v/>
      </c>
      <c r="L917" s="61">
        <f>IF(K917="JA",N(J917),IF(E917="","",0))</f>
        <v/>
      </c>
      <c r="M917" s="62">
        <f>IF(AND(A917="",E917=""),"",IF(E917="","Segment ontbreekt",IF(OR(G917="",H917=""),"Van/tot ontbreekt",IF(N(J917)=0,"Duur is nul",IF(N(J917)&gt;12,"Langer dan 12 uur - controleren",IF(AND(E917="Werken",D917=""),"Werken zonder klant - koppelen","OK"))))))</f>
        <v/>
      </c>
    </row>
    <row r="918" ht="15" customHeight="1" s="42">
      <c r="A918" s="55" t="n"/>
      <c r="B918" s="56">
        <f>IF(A918="","",WEEKNUM(A918,21))</f>
        <v/>
      </c>
      <c r="C918" s="57" t="n"/>
      <c r="D918" s="57" t="n"/>
      <c r="E918" s="58" t="n"/>
      <c r="F918" s="57" t="n"/>
      <c r="G918" s="59" t="n"/>
      <c r="H918" s="59" t="n"/>
      <c r="I918" s="60">
        <f>IF(OR(G918="",H918=""),"",MOD(H918-G918,1))</f>
        <v/>
      </c>
      <c r="J918" s="61">
        <f>IF(OR(G918="",H918=""),"",ROUND(MOD(H918-G918,1)*24,2))</f>
        <v/>
      </c>
      <c r="K918" s="62">
        <f>IF(E918="","",IF(E918="Werken","JA","NEE"))</f>
        <v/>
      </c>
      <c r="L918" s="61">
        <f>IF(K918="JA",N(J918),IF(E918="","",0))</f>
        <v/>
      </c>
      <c r="M918" s="62">
        <f>IF(AND(A918="",E918=""),"",IF(E918="","Segment ontbreekt",IF(OR(G918="",H918=""),"Van/tot ontbreekt",IF(N(J918)=0,"Duur is nul",IF(N(J918)&gt;12,"Langer dan 12 uur - controleren",IF(AND(E918="Werken",D918=""),"Werken zonder klant - koppelen","OK"))))))</f>
        <v/>
      </c>
    </row>
    <row r="919" ht="15" customHeight="1" s="42">
      <c r="A919" s="55" t="n"/>
      <c r="B919" s="56">
        <f>IF(A919="","",WEEKNUM(A919,21))</f>
        <v/>
      </c>
      <c r="C919" s="57" t="n"/>
      <c r="D919" s="57" t="n"/>
      <c r="E919" s="58" t="n"/>
      <c r="F919" s="57" t="n"/>
      <c r="G919" s="59" t="n"/>
      <c r="H919" s="59" t="n"/>
      <c r="I919" s="60">
        <f>IF(OR(G919="",H919=""),"",MOD(H919-G919,1))</f>
        <v/>
      </c>
      <c r="J919" s="61">
        <f>IF(OR(G919="",H919=""),"",ROUND(MOD(H919-G919,1)*24,2))</f>
        <v/>
      </c>
      <c r="K919" s="62">
        <f>IF(E919="","",IF(E919="Werken","JA","NEE"))</f>
        <v/>
      </c>
      <c r="L919" s="61">
        <f>IF(K919="JA",N(J919),IF(E919="","",0))</f>
        <v/>
      </c>
      <c r="M919" s="62">
        <f>IF(AND(A919="",E919=""),"",IF(E919="","Segment ontbreekt",IF(OR(G919="",H919=""),"Van/tot ontbreekt",IF(N(J919)=0,"Duur is nul",IF(N(J919)&gt;12,"Langer dan 12 uur - controleren",IF(AND(E919="Werken",D919=""),"Werken zonder klant - koppelen","OK"))))))</f>
        <v/>
      </c>
    </row>
    <row r="920" ht="15" customHeight="1" s="42">
      <c r="A920" s="55" t="n"/>
      <c r="B920" s="56">
        <f>IF(A920="","",WEEKNUM(A920,21))</f>
        <v/>
      </c>
      <c r="C920" s="57" t="n"/>
      <c r="D920" s="57" t="n"/>
      <c r="E920" s="58" t="n"/>
      <c r="F920" s="57" t="n"/>
      <c r="G920" s="59" t="n"/>
      <c r="H920" s="59" t="n"/>
      <c r="I920" s="60">
        <f>IF(OR(G920="",H920=""),"",MOD(H920-G920,1))</f>
        <v/>
      </c>
      <c r="J920" s="61">
        <f>IF(OR(G920="",H920=""),"",ROUND(MOD(H920-G920,1)*24,2))</f>
        <v/>
      </c>
      <c r="K920" s="62">
        <f>IF(E920="","",IF(E920="Werken","JA","NEE"))</f>
        <v/>
      </c>
      <c r="L920" s="61">
        <f>IF(K920="JA",N(J920),IF(E920="","",0))</f>
        <v/>
      </c>
      <c r="M920" s="62">
        <f>IF(AND(A920="",E920=""),"",IF(E920="","Segment ontbreekt",IF(OR(G920="",H920=""),"Van/tot ontbreekt",IF(N(J920)=0,"Duur is nul",IF(N(J920)&gt;12,"Langer dan 12 uur - controleren",IF(AND(E920="Werken",D920=""),"Werken zonder klant - koppelen","OK"))))))</f>
        <v/>
      </c>
    </row>
    <row r="921" ht="15" customHeight="1" s="42">
      <c r="A921" s="55" t="n"/>
      <c r="B921" s="56">
        <f>IF(A921="","",WEEKNUM(A921,21))</f>
        <v/>
      </c>
      <c r="C921" s="57" t="n"/>
      <c r="D921" s="57" t="n"/>
      <c r="E921" s="58" t="n"/>
      <c r="F921" s="57" t="n"/>
      <c r="G921" s="59" t="n"/>
      <c r="H921" s="59" t="n"/>
      <c r="I921" s="60">
        <f>IF(OR(G921="",H921=""),"",MOD(H921-G921,1))</f>
        <v/>
      </c>
      <c r="J921" s="61">
        <f>IF(OR(G921="",H921=""),"",ROUND(MOD(H921-G921,1)*24,2))</f>
        <v/>
      </c>
      <c r="K921" s="62">
        <f>IF(E921="","",IF(E921="Werken","JA","NEE"))</f>
        <v/>
      </c>
      <c r="L921" s="61">
        <f>IF(K921="JA",N(J921),IF(E921="","",0))</f>
        <v/>
      </c>
      <c r="M921" s="62">
        <f>IF(AND(A921="",E921=""),"",IF(E921="","Segment ontbreekt",IF(OR(G921="",H921=""),"Van/tot ontbreekt",IF(N(J921)=0,"Duur is nul",IF(N(J921)&gt;12,"Langer dan 12 uur - controleren",IF(AND(E921="Werken",D921=""),"Werken zonder klant - koppelen","OK"))))))</f>
        <v/>
      </c>
    </row>
    <row r="922" ht="15" customHeight="1" s="42">
      <c r="A922" s="55" t="n"/>
      <c r="B922" s="56">
        <f>IF(A922="","",WEEKNUM(A922,21))</f>
        <v/>
      </c>
      <c r="C922" s="57" t="n"/>
      <c r="D922" s="57" t="n"/>
      <c r="E922" s="58" t="n"/>
      <c r="F922" s="57" t="n"/>
      <c r="G922" s="59" t="n"/>
      <c r="H922" s="59" t="n"/>
      <c r="I922" s="60">
        <f>IF(OR(G922="",H922=""),"",MOD(H922-G922,1))</f>
        <v/>
      </c>
      <c r="J922" s="61">
        <f>IF(OR(G922="",H922=""),"",ROUND(MOD(H922-G922,1)*24,2))</f>
        <v/>
      </c>
      <c r="K922" s="62">
        <f>IF(E922="","",IF(E922="Werken","JA","NEE"))</f>
        <v/>
      </c>
      <c r="L922" s="61">
        <f>IF(K922="JA",N(J922),IF(E922="","",0))</f>
        <v/>
      </c>
      <c r="M922" s="62">
        <f>IF(AND(A922="",E922=""),"",IF(E922="","Segment ontbreekt",IF(OR(G922="",H922=""),"Van/tot ontbreekt",IF(N(J922)=0,"Duur is nul",IF(N(J922)&gt;12,"Langer dan 12 uur - controleren",IF(AND(E922="Werken",D922=""),"Werken zonder klant - koppelen","OK"))))))</f>
        <v/>
      </c>
    </row>
    <row r="923" ht="15" customHeight="1" s="42">
      <c r="A923" s="55" t="n"/>
      <c r="B923" s="56">
        <f>IF(A923="","",WEEKNUM(A923,21))</f>
        <v/>
      </c>
      <c r="C923" s="57" t="n"/>
      <c r="D923" s="57" t="n"/>
      <c r="E923" s="58" t="n"/>
      <c r="F923" s="57" t="n"/>
      <c r="G923" s="59" t="n"/>
      <c r="H923" s="59" t="n"/>
      <c r="I923" s="60">
        <f>IF(OR(G923="",H923=""),"",MOD(H923-G923,1))</f>
        <v/>
      </c>
      <c r="J923" s="61">
        <f>IF(OR(G923="",H923=""),"",ROUND(MOD(H923-G923,1)*24,2))</f>
        <v/>
      </c>
      <c r="K923" s="62">
        <f>IF(E923="","",IF(E923="Werken","JA","NEE"))</f>
        <v/>
      </c>
      <c r="L923" s="61">
        <f>IF(K923="JA",N(J923),IF(E923="","",0))</f>
        <v/>
      </c>
      <c r="M923" s="62">
        <f>IF(AND(A923="",E923=""),"",IF(E923="","Segment ontbreekt",IF(OR(G923="",H923=""),"Van/tot ontbreekt",IF(N(J923)=0,"Duur is nul",IF(N(J923)&gt;12,"Langer dan 12 uur - controleren",IF(AND(E923="Werken",D923=""),"Werken zonder klant - koppelen","OK"))))))</f>
        <v/>
      </c>
    </row>
    <row r="924" ht="15" customHeight="1" s="42">
      <c r="A924" s="55" t="n"/>
      <c r="B924" s="56">
        <f>IF(A924="","",WEEKNUM(A924,21))</f>
        <v/>
      </c>
      <c r="C924" s="57" t="n"/>
      <c r="D924" s="57" t="n"/>
      <c r="E924" s="58" t="n"/>
      <c r="F924" s="57" t="n"/>
      <c r="G924" s="59" t="n"/>
      <c r="H924" s="59" t="n"/>
      <c r="I924" s="60">
        <f>IF(OR(G924="",H924=""),"",MOD(H924-G924,1))</f>
        <v/>
      </c>
      <c r="J924" s="61">
        <f>IF(OR(G924="",H924=""),"",ROUND(MOD(H924-G924,1)*24,2))</f>
        <v/>
      </c>
      <c r="K924" s="62">
        <f>IF(E924="","",IF(E924="Werken","JA","NEE"))</f>
        <v/>
      </c>
      <c r="L924" s="61">
        <f>IF(K924="JA",N(J924),IF(E924="","",0))</f>
        <v/>
      </c>
      <c r="M924" s="62">
        <f>IF(AND(A924="",E924=""),"",IF(E924="","Segment ontbreekt",IF(OR(G924="",H924=""),"Van/tot ontbreekt",IF(N(J924)=0,"Duur is nul",IF(N(J924)&gt;12,"Langer dan 12 uur - controleren",IF(AND(E924="Werken",D924=""),"Werken zonder klant - koppelen","OK"))))))</f>
        <v/>
      </c>
    </row>
    <row r="925" ht="15" customHeight="1" s="42">
      <c r="A925" s="55" t="n"/>
      <c r="B925" s="56">
        <f>IF(A925="","",WEEKNUM(A925,21))</f>
        <v/>
      </c>
      <c r="C925" s="57" t="n"/>
      <c r="D925" s="57" t="n"/>
      <c r="E925" s="58" t="n"/>
      <c r="F925" s="57" t="n"/>
      <c r="G925" s="59" t="n"/>
      <c r="H925" s="59" t="n"/>
      <c r="I925" s="60">
        <f>IF(OR(G925="",H925=""),"",MOD(H925-G925,1))</f>
        <v/>
      </c>
      <c r="J925" s="61">
        <f>IF(OR(G925="",H925=""),"",ROUND(MOD(H925-G925,1)*24,2))</f>
        <v/>
      </c>
      <c r="K925" s="62">
        <f>IF(E925="","",IF(E925="Werken","JA","NEE"))</f>
        <v/>
      </c>
      <c r="L925" s="61">
        <f>IF(K925="JA",N(J925),IF(E925="","",0))</f>
        <v/>
      </c>
      <c r="M925" s="62">
        <f>IF(AND(A925="",E925=""),"",IF(E925="","Segment ontbreekt",IF(OR(G925="",H925=""),"Van/tot ontbreekt",IF(N(J925)=0,"Duur is nul",IF(N(J925)&gt;12,"Langer dan 12 uur - controleren",IF(AND(E925="Werken",D925=""),"Werken zonder klant - koppelen","OK"))))))</f>
        <v/>
      </c>
    </row>
    <row r="926" ht="15" customHeight="1" s="42">
      <c r="A926" s="55" t="n"/>
      <c r="B926" s="56">
        <f>IF(A926="","",WEEKNUM(A926,21))</f>
        <v/>
      </c>
      <c r="C926" s="57" t="n"/>
      <c r="D926" s="57" t="n"/>
      <c r="E926" s="58" t="n"/>
      <c r="F926" s="57" t="n"/>
      <c r="G926" s="59" t="n"/>
      <c r="H926" s="59" t="n"/>
      <c r="I926" s="60">
        <f>IF(OR(G926="",H926=""),"",MOD(H926-G926,1))</f>
        <v/>
      </c>
      <c r="J926" s="61">
        <f>IF(OR(G926="",H926=""),"",ROUND(MOD(H926-G926,1)*24,2))</f>
        <v/>
      </c>
      <c r="K926" s="62">
        <f>IF(E926="","",IF(E926="Werken","JA","NEE"))</f>
        <v/>
      </c>
      <c r="L926" s="61">
        <f>IF(K926="JA",N(J926),IF(E926="","",0))</f>
        <v/>
      </c>
      <c r="M926" s="62">
        <f>IF(AND(A926="",E926=""),"",IF(E926="","Segment ontbreekt",IF(OR(G926="",H926=""),"Van/tot ontbreekt",IF(N(J926)=0,"Duur is nul",IF(N(J926)&gt;12,"Langer dan 12 uur - controleren",IF(AND(E926="Werken",D926=""),"Werken zonder klant - koppelen","OK"))))))</f>
        <v/>
      </c>
    </row>
    <row r="927" ht="15" customHeight="1" s="42">
      <c r="A927" s="55" t="n"/>
      <c r="B927" s="56">
        <f>IF(A927="","",WEEKNUM(A927,21))</f>
        <v/>
      </c>
      <c r="C927" s="57" t="n"/>
      <c r="D927" s="57" t="n"/>
      <c r="E927" s="58" t="n"/>
      <c r="F927" s="57" t="n"/>
      <c r="G927" s="59" t="n"/>
      <c r="H927" s="59" t="n"/>
      <c r="I927" s="60">
        <f>IF(OR(G927="",H927=""),"",MOD(H927-G927,1))</f>
        <v/>
      </c>
      <c r="J927" s="61">
        <f>IF(OR(G927="",H927=""),"",ROUND(MOD(H927-G927,1)*24,2))</f>
        <v/>
      </c>
      <c r="K927" s="62">
        <f>IF(E927="","",IF(E927="Werken","JA","NEE"))</f>
        <v/>
      </c>
      <c r="L927" s="61">
        <f>IF(K927="JA",N(J927),IF(E927="","",0))</f>
        <v/>
      </c>
      <c r="M927" s="62">
        <f>IF(AND(A927="",E927=""),"",IF(E927="","Segment ontbreekt",IF(OR(G927="",H927=""),"Van/tot ontbreekt",IF(N(J927)=0,"Duur is nul",IF(N(J927)&gt;12,"Langer dan 12 uur - controleren",IF(AND(E927="Werken",D927=""),"Werken zonder klant - koppelen","OK"))))))</f>
        <v/>
      </c>
    </row>
    <row r="928" ht="15" customHeight="1" s="42">
      <c r="A928" s="55" t="n"/>
      <c r="B928" s="56">
        <f>IF(A928="","",WEEKNUM(A928,21))</f>
        <v/>
      </c>
      <c r="C928" s="57" t="n"/>
      <c r="D928" s="57" t="n"/>
      <c r="E928" s="58" t="n"/>
      <c r="F928" s="57" t="n"/>
      <c r="G928" s="59" t="n"/>
      <c r="H928" s="59" t="n"/>
      <c r="I928" s="60">
        <f>IF(OR(G928="",H928=""),"",MOD(H928-G928,1))</f>
        <v/>
      </c>
      <c r="J928" s="61">
        <f>IF(OR(G928="",H928=""),"",ROUND(MOD(H928-G928,1)*24,2))</f>
        <v/>
      </c>
      <c r="K928" s="62">
        <f>IF(E928="","",IF(E928="Werken","JA","NEE"))</f>
        <v/>
      </c>
      <c r="L928" s="61">
        <f>IF(K928="JA",N(J928),IF(E928="","",0))</f>
        <v/>
      </c>
      <c r="M928" s="62">
        <f>IF(AND(A928="",E928=""),"",IF(E928="","Segment ontbreekt",IF(OR(G928="",H928=""),"Van/tot ontbreekt",IF(N(J928)=0,"Duur is nul",IF(N(J928)&gt;12,"Langer dan 12 uur - controleren",IF(AND(E928="Werken",D928=""),"Werken zonder klant - koppelen","OK"))))))</f>
        <v/>
      </c>
    </row>
    <row r="929" ht="15" customHeight="1" s="42">
      <c r="A929" s="55" t="n"/>
      <c r="B929" s="56">
        <f>IF(A929="","",WEEKNUM(A929,21))</f>
        <v/>
      </c>
      <c r="C929" s="57" t="n"/>
      <c r="D929" s="57" t="n"/>
      <c r="E929" s="58" t="n"/>
      <c r="F929" s="57" t="n"/>
      <c r="G929" s="59" t="n"/>
      <c r="H929" s="59" t="n"/>
      <c r="I929" s="60">
        <f>IF(OR(G929="",H929=""),"",MOD(H929-G929,1))</f>
        <v/>
      </c>
      <c r="J929" s="61">
        <f>IF(OR(G929="",H929=""),"",ROUND(MOD(H929-G929,1)*24,2))</f>
        <v/>
      </c>
      <c r="K929" s="62">
        <f>IF(E929="","",IF(E929="Werken","JA","NEE"))</f>
        <v/>
      </c>
      <c r="L929" s="61">
        <f>IF(K929="JA",N(J929),IF(E929="","",0))</f>
        <v/>
      </c>
      <c r="M929" s="62">
        <f>IF(AND(A929="",E929=""),"",IF(E929="","Segment ontbreekt",IF(OR(G929="",H929=""),"Van/tot ontbreekt",IF(N(J929)=0,"Duur is nul",IF(N(J929)&gt;12,"Langer dan 12 uur - controleren",IF(AND(E929="Werken",D929=""),"Werken zonder klant - koppelen","OK"))))))</f>
        <v/>
      </c>
    </row>
    <row r="930" ht="15" customHeight="1" s="42">
      <c r="A930" s="55" t="n"/>
      <c r="B930" s="56">
        <f>IF(A930="","",WEEKNUM(A930,21))</f>
        <v/>
      </c>
      <c r="C930" s="57" t="n"/>
      <c r="D930" s="57" t="n"/>
      <c r="E930" s="58" t="n"/>
      <c r="F930" s="57" t="n"/>
      <c r="G930" s="59" t="n"/>
      <c r="H930" s="59" t="n"/>
      <c r="I930" s="60">
        <f>IF(OR(G930="",H930=""),"",MOD(H930-G930,1))</f>
        <v/>
      </c>
      <c r="J930" s="61">
        <f>IF(OR(G930="",H930=""),"",ROUND(MOD(H930-G930,1)*24,2))</f>
        <v/>
      </c>
      <c r="K930" s="62">
        <f>IF(E930="","",IF(E930="Werken","JA","NEE"))</f>
        <v/>
      </c>
      <c r="L930" s="61">
        <f>IF(K930="JA",N(J930),IF(E930="","",0))</f>
        <v/>
      </c>
      <c r="M930" s="62">
        <f>IF(AND(A930="",E930=""),"",IF(E930="","Segment ontbreekt",IF(OR(G930="",H930=""),"Van/tot ontbreekt",IF(N(J930)=0,"Duur is nul",IF(N(J930)&gt;12,"Langer dan 12 uur - controleren",IF(AND(E930="Werken",D930=""),"Werken zonder klant - koppelen","OK"))))))</f>
        <v/>
      </c>
    </row>
    <row r="931" ht="15" customHeight="1" s="42">
      <c r="A931" s="55" t="n"/>
      <c r="B931" s="56">
        <f>IF(A931="","",WEEKNUM(A931,21))</f>
        <v/>
      </c>
      <c r="C931" s="57" t="n"/>
      <c r="D931" s="57" t="n"/>
      <c r="E931" s="58" t="n"/>
      <c r="F931" s="57" t="n"/>
      <c r="G931" s="59" t="n"/>
      <c r="H931" s="59" t="n"/>
      <c r="I931" s="60">
        <f>IF(OR(G931="",H931=""),"",MOD(H931-G931,1))</f>
        <v/>
      </c>
      <c r="J931" s="61">
        <f>IF(OR(G931="",H931=""),"",ROUND(MOD(H931-G931,1)*24,2))</f>
        <v/>
      </c>
      <c r="K931" s="62">
        <f>IF(E931="","",IF(E931="Werken","JA","NEE"))</f>
        <v/>
      </c>
      <c r="L931" s="61">
        <f>IF(K931="JA",N(J931),IF(E931="","",0))</f>
        <v/>
      </c>
      <c r="M931" s="62">
        <f>IF(AND(A931="",E931=""),"",IF(E931="","Segment ontbreekt",IF(OR(G931="",H931=""),"Van/tot ontbreekt",IF(N(J931)=0,"Duur is nul",IF(N(J931)&gt;12,"Langer dan 12 uur - controleren",IF(AND(E931="Werken",D931=""),"Werken zonder klant - koppelen","OK"))))))</f>
        <v/>
      </c>
    </row>
    <row r="932" ht="15" customHeight="1" s="42">
      <c r="A932" s="55" t="n"/>
      <c r="B932" s="56">
        <f>IF(A932="","",WEEKNUM(A932,21))</f>
        <v/>
      </c>
      <c r="C932" s="57" t="n"/>
      <c r="D932" s="57" t="n"/>
      <c r="E932" s="58" t="n"/>
      <c r="F932" s="57" t="n"/>
      <c r="G932" s="59" t="n"/>
      <c r="H932" s="59" t="n"/>
      <c r="I932" s="60">
        <f>IF(OR(G932="",H932=""),"",MOD(H932-G932,1))</f>
        <v/>
      </c>
      <c r="J932" s="61">
        <f>IF(OR(G932="",H932=""),"",ROUND(MOD(H932-G932,1)*24,2))</f>
        <v/>
      </c>
      <c r="K932" s="62">
        <f>IF(E932="","",IF(E932="Werken","JA","NEE"))</f>
        <v/>
      </c>
      <c r="L932" s="61">
        <f>IF(K932="JA",N(J932),IF(E932="","",0))</f>
        <v/>
      </c>
      <c r="M932" s="62">
        <f>IF(AND(A932="",E932=""),"",IF(E932="","Segment ontbreekt",IF(OR(G932="",H932=""),"Van/tot ontbreekt",IF(N(J932)=0,"Duur is nul",IF(N(J932)&gt;12,"Langer dan 12 uur - controleren",IF(AND(E932="Werken",D932=""),"Werken zonder klant - koppelen","OK"))))))</f>
        <v/>
      </c>
    </row>
    <row r="933" ht="15" customHeight="1" s="42">
      <c r="A933" s="55" t="n"/>
      <c r="B933" s="56">
        <f>IF(A933="","",WEEKNUM(A933,21))</f>
        <v/>
      </c>
      <c r="C933" s="57" t="n"/>
      <c r="D933" s="57" t="n"/>
      <c r="E933" s="58" t="n"/>
      <c r="F933" s="57" t="n"/>
      <c r="G933" s="59" t="n"/>
      <c r="H933" s="59" t="n"/>
      <c r="I933" s="60">
        <f>IF(OR(G933="",H933=""),"",MOD(H933-G933,1))</f>
        <v/>
      </c>
      <c r="J933" s="61">
        <f>IF(OR(G933="",H933=""),"",ROUND(MOD(H933-G933,1)*24,2))</f>
        <v/>
      </c>
      <c r="K933" s="62">
        <f>IF(E933="","",IF(E933="Werken","JA","NEE"))</f>
        <v/>
      </c>
      <c r="L933" s="61">
        <f>IF(K933="JA",N(J933),IF(E933="","",0))</f>
        <v/>
      </c>
      <c r="M933" s="62">
        <f>IF(AND(A933="",E933=""),"",IF(E933="","Segment ontbreekt",IF(OR(G933="",H933=""),"Van/tot ontbreekt",IF(N(J933)=0,"Duur is nul",IF(N(J933)&gt;12,"Langer dan 12 uur - controleren",IF(AND(E933="Werken",D933=""),"Werken zonder klant - koppelen","OK"))))))</f>
        <v/>
      </c>
    </row>
    <row r="934" ht="15" customHeight="1" s="42">
      <c r="A934" s="55" t="n"/>
      <c r="B934" s="56">
        <f>IF(A934="","",WEEKNUM(A934,21))</f>
        <v/>
      </c>
      <c r="C934" s="57" t="n"/>
      <c r="D934" s="57" t="n"/>
      <c r="E934" s="58" t="n"/>
      <c r="F934" s="57" t="n"/>
      <c r="G934" s="59" t="n"/>
      <c r="H934" s="59" t="n"/>
      <c r="I934" s="60">
        <f>IF(OR(G934="",H934=""),"",MOD(H934-G934,1))</f>
        <v/>
      </c>
      <c r="J934" s="61">
        <f>IF(OR(G934="",H934=""),"",ROUND(MOD(H934-G934,1)*24,2))</f>
        <v/>
      </c>
      <c r="K934" s="62">
        <f>IF(E934="","",IF(E934="Werken","JA","NEE"))</f>
        <v/>
      </c>
      <c r="L934" s="61">
        <f>IF(K934="JA",N(J934),IF(E934="","",0))</f>
        <v/>
      </c>
      <c r="M934" s="62">
        <f>IF(AND(A934="",E934=""),"",IF(E934="","Segment ontbreekt",IF(OR(G934="",H934=""),"Van/tot ontbreekt",IF(N(J934)=0,"Duur is nul",IF(N(J934)&gt;12,"Langer dan 12 uur - controleren",IF(AND(E934="Werken",D934=""),"Werken zonder klant - koppelen","OK"))))))</f>
        <v/>
      </c>
    </row>
    <row r="935" ht="15" customHeight="1" s="42">
      <c r="A935" s="55" t="n"/>
      <c r="B935" s="56">
        <f>IF(A935="","",WEEKNUM(A935,21))</f>
        <v/>
      </c>
      <c r="C935" s="57" t="n"/>
      <c r="D935" s="57" t="n"/>
      <c r="E935" s="58" t="n"/>
      <c r="F935" s="57" t="n"/>
      <c r="G935" s="59" t="n"/>
      <c r="H935" s="59" t="n"/>
      <c r="I935" s="60">
        <f>IF(OR(G935="",H935=""),"",MOD(H935-G935,1))</f>
        <v/>
      </c>
      <c r="J935" s="61">
        <f>IF(OR(G935="",H935=""),"",ROUND(MOD(H935-G935,1)*24,2))</f>
        <v/>
      </c>
      <c r="K935" s="62">
        <f>IF(E935="","",IF(E935="Werken","JA","NEE"))</f>
        <v/>
      </c>
      <c r="L935" s="61">
        <f>IF(K935="JA",N(J935),IF(E935="","",0))</f>
        <v/>
      </c>
      <c r="M935" s="62">
        <f>IF(AND(A935="",E935=""),"",IF(E935="","Segment ontbreekt",IF(OR(G935="",H935=""),"Van/tot ontbreekt",IF(N(J935)=0,"Duur is nul",IF(N(J935)&gt;12,"Langer dan 12 uur - controleren",IF(AND(E935="Werken",D935=""),"Werken zonder klant - koppelen","OK"))))))</f>
        <v/>
      </c>
    </row>
    <row r="936" ht="15" customHeight="1" s="42">
      <c r="A936" s="55" t="n"/>
      <c r="B936" s="56">
        <f>IF(A936="","",WEEKNUM(A936,21))</f>
        <v/>
      </c>
      <c r="C936" s="57" t="n"/>
      <c r="D936" s="57" t="n"/>
      <c r="E936" s="58" t="n"/>
      <c r="F936" s="57" t="n"/>
      <c r="G936" s="59" t="n"/>
      <c r="H936" s="59" t="n"/>
      <c r="I936" s="60">
        <f>IF(OR(G936="",H936=""),"",MOD(H936-G936,1))</f>
        <v/>
      </c>
      <c r="J936" s="61">
        <f>IF(OR(G936="",H936=""),"",ROUND(MOD(H936-G936,1)*24,2))</f>
        <v/>
      </c>
      <c r="K936" s="62">
        <f>IF(E936="","",IF(E936="Werken","JA","NEE"))</f>
        <v/>
      </c>
      <c r="L936" s="61">
        <f>IF(K936="JA",N(J936),IF(E936="","",0))</f>
        <v/>
      </c>
      <c r="M936" s="62">
        <f>IF(AND(A936="",E936=""),"",IF(E936="","Segment ontbreekt",IF(OR(G936="",H936=""),"Van/tot ontbreekt",IF(N(J936)=0,"Duur is nul",IF(N(J936)&gt;12,"Langer dan 12 uur - controleren",IF(AND(E936="Werken",D936=""),"Werken zonder klant - koppelen","OK"))))))</f>
        <v/>
      </c>
    </row>
    <row r="937" ht="15" customHeight="1" s="42">
      <c r="A937" s="55" t="n"/>
      <c r="B937" s="56">
        <f>IF(A937="","",WEEKNUM(A937,21))</f>
        <v/>
      </c>
      <c r="C937" s="57" t="n"/>
      <c r="D937" s="57" t="n"/>
      <c r="E937" s="58" t="n"/>
      <c r="F937" s="57" t="n"/>
      <c r="G937" s="59" t="n"/>
      <c r="H937" s="59" t="n"/>
      <c r="I937" s="60">
        <f>IF(OR(G937="",H937=""),"",MOD(H937-G937,1))</f>
        <v/>
      </c>
      <c r="J937" s="61">
        <f>IF(OR(G937="",H937=""),"",ROUND(MOD(H937-G937,1)*24,2))</f>
        <v/>
      </c>
      <c r="K937" s="62">
        <f>IF(E937="","",IF(E937="Werken","JA","NEE"))</f>
        <v/>
      </c>
      <c r="L937" s="61">
        <f>IF(K937="JA",N(J937),IF(E937="","",0))</f>
        <v/>
      </c>
      <c r="M937" s="62">
        <f>IF(AND(A937="",E937=""),"",IF(E937="","Segment ontbreekt",IF(OR(G937="",H937=""),"Van/tot ontbreekt",IF(N(J937)=0,"Duur is nul",IF(N(J937)&gt;12,"Langer dan 12 uur - controleren",IF(AND(E937="Werken",D937=""),"Werken zonder klant - koppelen","OK"))))))</f>
        <v/>
      </c>
    </row>
    <row r="938" ht="15" customHeight="1" s="42">
      <c r="A938" s="55" t="n"/>
      <c r="B938" s="56">
        <f>IF(A938="","",WEEKNUM(A938,21))</f>
        <v/>
      </c>
      <c r="C938" s="57" t="n"/>
      <c r="D938" s="57" t="n"/>
      <c r="E938" s="58" t="n"/>
      <c r="F938" s="57" t="n"/>
      <c r="G938" s="59" t="n"/>
      <c r="H938" s="59" t="n"/>
      <c r="I938" s="60">
        <f>IF(OR(G938="",H938=""),"",MOD(H938-G938,1))</f>
        <v/>
      </c>
      <c r="J938" s="61">
        <f>IF(OR(G938="",H938=""),"",ROUND(MOD(H938-G938,1)*24,2))</f>
        <v/>
      </c>
      <c r="K938" s="62">
        <f>IF(E938="","",IF(E938="Werken","JA","NEE"))</f>
        <v/>
      </c>
      <c r="L938" s="61">
        <f>IF(K938="JA",N(J938),IF(E938="","",0))</f>
        <v/>
      </c>
      <c r="M938" s="62">
        <f>IF(AND(A938="",E938=""),"",IF(E938="","Segment ontbreekt",IF(OR(G938="",H938=""),"Van/tot ontbreekt",IF(N(J938)=0,"Duur is nul",IF(N(J938)&gt;12,"Langer dan 12 uur - controleren",IF(AND(E938="Werken",D938=""),"Werken zonder klant - koppelen","OK"))))))</f>
        <v/>
      </c>
    </row>
    <row r="939" ht="15" customHeight="1" s="42">
      <c r="A939" s="55" t="n"/>
      <c r="B939" s="56">
        <f>IF(A939="","",WEEKNUM(A939,21))</f>
        <v/>
      </c>
      <c r="C939" s="57" t="n"/>
      <c r="D939" s="57" t="n"/>
      <c r="E939" s="58" t="n"/>
      <c r="F939" s="57" t="n"/>
      <c r="G939" s="59" t="n"/>
      <c r="H939" s="59" t="n"/>
      <c r="I939" s="60">
        <f>IF(OR(G939="",H939=""),"",MOD(H939-G939,1))</f>
        <v/>
      </c>
      <c r="J939" s="61">
        <f>IF(OR(G939="",H939=""),"",ROUND(MOD(H939-G939,1)*24,2))</f>
        <v/>
      </c>
      <c r="K939" s="62">
        <f>IF(E939="","",IF(E939="Werken","JA","NEE"))</f>
        <v/>
      </c>
      <c r="L939" s="61">
        <f>IF(K939="JA",N(J939),IF(E939="","",0))</f>
        <v/>
      </c>
      <c r="M939" s="62">
        <f>IF(AND(A939="",E939=""),"",IF(E939="","Segment ontbreekt",IF(OR(G939="",H939=""),"Van/tot ontbreekt",IF(N(J939)=0,"Duur is nul",IF(N(J939)&gt;12,"Langer dan 12 uur - controleren",IF(AND(E939="Werken",D939=""),"Werken zonder klant - koppelen","OK"))))))</f>
        <v/>
      </c>
    </row>
    <row r="940" ht="15" customHeight="1" s="42">
      <c r="A940" s="55" t="n"/>
      <c r="B940" s="56">
        <f>IF(A940="","",WEEKNUM(A940,21))</f>
        <v/>
      </c>
      <c r="C940" s="57" t="n"/>
      <c r="D940" s="57" t="n"/>
      <c r="E940" s="58" t="n"/>
      <c r="F940" s="57" t="n"/>
      <c r="G940" s="59" t="n"/>
      <c r="H940" s="59" t="n"/>
      <c r="I940" s="60">
        <f>IF(OR(G940="",H940=""),"",MOD(H940-G940,1))</f>
        <v/>
      </c>
      <c r="J940" s="61">
        <f>IF(OR(G940="",H940=""),"",ROUND(MOD(H940-G940,1)*24,2))</f>
        <v/>
      </c>
      <c r="K940" s="62">
        <f>IF(E940="","",IF(E940="Werken","JA","NEE"))</f>
        <v/>
      </c>
      <c r="L940" s="61">
        <f>IF(K940="JA",N(J940),IF(E940="","",0))</f>
        <v/>
      </c>
      <c r="M940" s="62">
        <f>IF(AND(A940="",E940=""),"",IF(E940="","Segment ontbreekt",IF(OR(G940="",H940=""),"Van/tot ontbreekt",IF(N(J940)=0,"Duur is nul",IF(N(J940)&gt;12,"Langer dan 12 uur - controleren",IF(AND(E940="Werken",D940=""),"Werken zonder klant - koppelen","OK"))))))</f>
        <v/>
      </c>
    </row>
    <row r="941" ht="15" customHeight="1" s="42">
      <c r="A941" s="55" t="n"/>
      <c r="B941" s="56">
        <f>IF(A941="","",WEEKNUM(A941,21))</f>
        <v/>
      </c>
      <c r="C941" s="57" t="n"/>
      <c r="D941" s="57" t="n"/>
      <c r="E941" s="58" t="n"/>
      <c r="F941" s="57" t="n"/>
      <c r="G941" s="59" t="n"/>
      <c r="H941" s="59" t="n"/>
      <c r="I941" s="60">
        <f>IF(OR(G941="",H941=""),"",MOD(H941-G941,1))</f>
        <v/>
      </c>
      <c r="J941" s="61">
        <f>IF(OR(G941="",H941=""),"",ROUND(MOD(H941-G941,1)*24,2))</f>
        <v/>
      </c>
      <c r="K941" s="62">
        <f>IF(E941="","",IF(E941="Werken","JA","NEE"))</f>
        <v/>
      </c>
      <c r="L941" s="61">
        <f>IF(K941="JA",N(J941),IF(E941="","",0))</f>
        <v/>
      </c>
      <c r="M941" s="62">
        <f>IF(AND(A941="",E941=""),"",IF(E941="","Segment ontbreekt",IF(OR(G941="",H941=""),"Van/tot ontbreekt",IF(N(J941)=0,"Duur is nul",IF(N(J941)&gt;12,"Langer dan 12 uur - controleren",IF(AND(E941="Werken",D941=""),"Werken zonder klant - koppelen","OK"))))))</f>
        <v/>
      </c>
    </row>
    <row r="942" ht="15" customHeight="1" s="42">
      <c r="A942" s="55" t="n"/>
      <c r="B942" s="56">
        <f>IF(A942="","",WEEKNUM(A942,21))</f>
        <v/>
      </c>
      <c r="C942" s="57" t="n"/>
      <c r="D942" s="57" t="n"/>
      <c r="E942" s="58" t="n"/>
      <c r="F942" s="57" t="n"/>
      <c r="G942" s="59" t="n"/>
      <c r="H942" s="59" t="n"/>
      <c r="I942" s="60">
        <f>IF(OR(G942="",H942=""),"",MOD(H942-G942,1))</f>
        <v/>
      </c>
      <c r="J942" s="61">
        <f>IF(OR(G942="",H942=""),"",ROUND(MOD(H942-G942,1)*24,2))</f>
        <v/>
      </c>
      <c r="K942" s="62">
        <f>IF(E942="","",IF(E942="Werken","JA","NEE"))</f>
        <v/>
      </c>
      <c r="L942" s="61">
        <f>IF(K942="JA",N(J942),IF(E942="","",0))</f>
        <v/>
      </c>
      <c r="M942" s="62">
        <f>IF(AND(A942="",E942=""),"",IF(E942="","Segment ontbreekt",IF(OR(G942="",H942=""),"Van/tot ontbreekt",IF(N(J942)=0,"Duur is nul",IF(N(J942)&gt;12,"Langer dan 12 uur - controleren",IF(AND(E942="Werken",D942=""),"Werken zonder klant - koppelen","OK"))))))</f>
        <v/>
      </c>
    </row>
    <row r="943" ht="15" customHeight="1" s="42">
      <c r="A943" s="55" t="n"/>
      <c r="B943" s="56">
        <f>IF(A943="","",WEEKNUM(A943,21))</f>
        <v/>
      </c>
      <c r="C943" s="57" t="n"/>
      <c r="D943" s="57" t="n"/>
      <c r="E943" s="58" t="n"/>
      <c r="F943" s="57" t="n"/>
      <c r="G943" s="59" t="n"/>
      <c r="H943" s="59" t="n"/>
      <c r="I943" s="60">
        <f>IF(OR(G943="",H943=""),"",MOD(H943-G943,1))</f>
        <v/>
      </c>
      <c r="J943" s="61">
        <f>IF(OR(G943="",H943=""),"",ROUND(MOD(H943-G943,1)*24,2))</f>
        <v/>
      </c>
      <c r="K943" s="62">
        <f>IF(E943="","",IF(E943="Werken","JA","NEE"))</f>
        <v/>
      </c>
      <c r="L943" s="61">
        <f>IF(K943="JA",N(J943),IF(E943="","",0))</f>
        <v/>
      </c>
      <c r="M943" s="62">
        <f>IF(AND(A943="",E943=""),"",IF(E943="","Segment ontbreekt",IF(OR(G943="",H943=""),"Van/tot ontbreekt",IF(N(J943)=0,"Duur is nul",IF(N(J943)&gt;12,"Langer dan 12 uur - controleren",IF(AND(E943="Werken",D943=""),"Werken zonder klant - koppelen","OK"))))))</f>
        <v/>
      </c>
    </row>
    <row r="944" ht="15" customHeight="1" s="42">
      <c r="A944" s="55" t="n"/>
      <c r="B944" s="56">
        <f>IF(A944="","",WEEKNUM(A944,21))</f>
        <v/>
      </c>
      <c r="C944" s="57" t="n"/>
      <c r="D944" s="57" t="n"/>
      <c r="E944" s="58" t="n"/>
      <c r="F944" s="57" t="n"/>
      <c r="G944" s="59" t="n"/>
      <c r="H944" s="59" t="n"/>
      <c r="I944" s="60">
        <f>IF(OR(G944="",H944=""),"",MOD(H944-G944,1))</f>
        <v/>
      </c>
      <c r="J944" s="61">
        <f>IF(OR(G944="",H944=""),"",ROUND(MOD(H944-G944,1)*24,2))</f>
        <v/>
      </c>
      <c r="K944" s="62">
        <f>IF(E944="","",IF(E944="Werken","JA","NEE"))</f>
        <v/>
      </c>
      <c r="L944" s="61">
        <f>IF(K944="JA",N(J944),IF(E944="","",0))</f>
        <v/>
      </c>
      <c r="M944" s="62">
        <f>IF(AND(A944="",E944=""),"",IF(E944="","Segment ontbreekt",IF(OR(G944="",H944=""),"Van/tot ontbreekt",IF(N(J944)=0,"Duur is nul",IF(N(J944)&gt;12,"Langer dan 12 uur - controleren",IF(AND(E944="Werken",D944=""),"Werken zonder klant - koppelen","OK"))))))</f>
        <v/>
      </c>
    </row>
    <row r="945" ht="15" customHeight="1" s="42">
      <c r="A945" s="55" t="n"/>
      <c r="B945" s="56">
        <f>IF(A945="","",WEEKNUM(A945,21))</f>
        <v/>
      </c>
      <c r="C945" s="57" t="n"/>
      <c r="D945" s="57" t="n"/>
      <c r="E945" s="58" t="n"/>
      <c r="F945" s="57" t="n"/>
      <c r="G945" s="59" t="n"/>
      <c r="H945" s="59" t="n"/>
      <c r="I945" s="60">
        <f>IF(OR(G945="",H945=""),"",MOD(H945-G945,1))</f>
        <v/>
      </c>
      <c r="J945" s="61">
        <f>IF(OR(G945="",H945=""),"",ROUND(MOD(H945-G945,1)*24,2))</f>
        <v/>
      </c>
      <c r="K945" s="62">
        <f>IF(E945="","",IF(E945="Werken","JA","NEE"))</f>
        <v/>
      </c>
      <c r="L945" s="61">
        <f>IF(K945="JA",N(J945),IF(E945="","",0))</f>
        <v/>
      </c>
      <c r="M945" s="62">
        <f>IF(AND(A945="",E945=""),"",IF(E945="","Segment ontbreekt",IF(OR(G945="",H945=""),"Van/tot ontbreekt",IF(N(J945)=0,"Duur is nul",IF(N(J945)&gt;12,"Langer dan 12 uur - controleren",IF(AND(E945="Werken",D945=""),"Werken zonder klant - koppelen","OK"))))))</f>
        <v/>
      </c>
    </row>
    <row r="946" ht="15" customHeight="1" s="42">
      <c r="A946" s="55" t="n"/>
      <c r="B946" s="56">
        <f>IF(A946="","",WEEKNUM(A946,21))</f>
        <v/>
      </c>
      <c r="C946" s="57" t="n"/>
      <c r="D946" s="57" t="n"/>
      <c r="E946" s="58" t="n"/>
      <c r="F946" s="57" t="n"/>
      <c r="G946" s="59" t="n"/>
      <c r="H946" s="59" t="n"/>
      <c r="I946" s="60">
        <f>IF(OR(G946="",H946=""),"",MOD(H946-G946,1))</f>
        <v/>
      </c>
      <c r="J946" s="61">
        <f>IF(OR(G946="",H946=""),"",ROUND(MOD(H946-G946,1)*24,2))</f>
        <v/>
      </c>
      <c r="K946" s="62">
        <f>IF(E946="","",IF(E946="Werken","JA","NEE"))</f>
        <v/>
      </c>
      <c r="L946" s="61">
        <f>IF(K946="JA",N(J946),IF(E946="","",0))</f>
        <v/>
      </c>
      <c r="M946" s="62">
        <f>IF(AND(A946="",E946=""),"",IF(E946="","Segment ontbreekt",IF(OR(G946="",H946=""),"Van/tot ontbreekt",IF(N(J946)=0,"Duur is nul",IF(N(J946)&gt;12,"Langer dan 12 uur - controleren",IF(AND(E946="Werken",D946=""),"Werken zonder klant - koppelen","OK"))))))</f>
        <v/>
      </c>
    </row>
    <row r="947" ht="15" customHeight="1" s="42">
      <c r="A947" s="55" t="n"/>
      <c r="B947" s="56">
        <f>IF(A947="","",WEEKNUM(A947,21))</f>
        <v/>
      </c>
      <c r="C947" s="57" t="n"/>
      <c r="D947" s="57" t="n"/>
      <c r="E947" s="58" t="n"/>
      <c r="F947" s="57" t="n"/>
      <c r="G947" s="59" t="n"/>
      <c r="H947" s="59" t="n"/>
      <c r="I947" s="60">
        <f>IF(OR(G947="",H947=""),"",MOD(H947-G947,1))</f>
        <v/>
      </c>
      <c r="J947" s="61">
        <f>IF(OR(G947="",H947=""),"",ROUND(MOD(H947-G947,1)*24,2))</f>
        <v/>
      </c>
      <c r="K947" s="62">
        <f>IF(E947="","",IF(E947="Werken","JA","NEE"))</f>
        <v/>
      </c>
      <c r="L947" s="61">
        <f>IF(K947="JA",N(J947),IF(E947="","",0))</f>
        <v/>
      </c>
      <c r="M947" s="62">
        <f>IF(AND(A947="",E947=""),"",IF(E947="","Segment ontbreekt",IF(OR(G947="",H947=""),"Van/tot ontbreekt",IF(N(J947)=0,"Duur is nul",IF(N(J947)&gt;12,"Langer dan 12 uur - controleren",IF(AND(E947="Werken",D947=""),"Werken zonder klant - koppelen","OK"))))))</f>
        <v/>
      </c>
    </row>
    <row r="948" ht="15" customHeight="1" s="42">
      <c r="A948" s="55" t="n"/>
      <c r="B948" s="56">
        <f>IF(A948="","",WEEKNUM(A948,21))</f>
        <v/>
      </c>
      <c r="C948" s="57" t="n"/>
      <c r="D948" s="57" t="n"/>
      <c r="E948" s="58" t="n"/>
      <c r="F948" s="57" t="n"/>
      <c r="G948" s="59" t="n"/>
      <c r="H948" s="59" t="n"/>
      <c r="I948" s="60">
        <f>IF(OR(G948="",H948=""),"",MOD(H948-G948,1))</f>
        <v/>
      </c>
      <c r="J948" s="61">
        <f>IF(OR(G948="",H948=""),"",ROUND(MOD(H948-G948,1)*24,2))</f>
        <v/>
      </c>
      <c r="K948" s="62">
        <f>IF(E948="","",IF(E948="Werken","JA","NEE"))</f>
        <v/>
      </c>
      <c r="L948" s="61">
        <f>IF(K948="JA",N(J948),IF(E948="","",0))</f>
        <v/>
      </c>
      <c r="M948" s="62">
        <f>IF(AND(A948="",E948=""),"",IF(E948="","Segment ontbreekt",IF(OR(G948="",H948=""),"Van/tot ontbreekt",IF(N(J948)=0,"Duur is nul",IF(N(J948)&gt;12,"Langer dan 12 uur - controleren",IF(AND(E948="Werken",D948=""),"Werken zonder klant - koppelen","OK"))))))</f>
        <v/>
      </c>
    </row>
    <row r="949" ht="15" customHeight="1" s="42">
      <c r="A949" s="55" t="n"/>
      <c r="B949" s="56">
        <f>IF(A949="","",WEEKNUM(A949,21))</f>
        <v/>
      </c>
      <c r="C949" s="57" t="n"/>
      <c r="D949" s="57" t="n"/>
      <c r="E949" s="58" t="n"/>
      <c r="F949" s="57" t="n"/>
      <c r="G949" s="59" t="n"/>
      <c r="H949" s="59" t="n"/>
      <c r="I949" s="60">
        <f>IF(OR(G949="",H949=""),"",MOD(H949-G949,1))</f>
        <v/>
      </c>
      <c r="J949" s="61">
        <f>IF(OR(G949="",H949=""),"",ROUND(MOD(H949-G949,1)*24,2))</f>
        <v/>
      </c>
      <c r="K949" s="62">
        <f>IF(E949="","",IF(E949="Werken","JA","NEE"))</f>
        <v/>
      </c>
      <c r="L949" s="61">
        <f>IF(K949="JA",N(J949),IF(E949="","",0))</f>
        <v/>
      </c>
      <c r="M949" s="62">
        <f>IF(AND(A949="",E949=""),"",IF(E949="","Segment ontbreekt",IF(OR(G949="",H949=""),"Van/tot ontbreekt",IF(N(J949)=0,"Duur is nul",IF(N(J949)&gt;12,"Langer dan 12 uur - controleren",IF(AND(E949="Werken",D949=""),"Werken zonder klant - koppelen","OK"))))))</f>
        <v/>
      </c>
    </row>
    <row r="950" ht="15" customHeight="1" s="42">
      <c r="A950" s="55" t="n"/>
      <c r="B950" s="56">
        <f>IF(A950="","",WEEKNUM(A950,21))</f>
        <v/>
      </c>
      <c r="C950" s="57" t="n"/>
      <c r="D950" s="57" t="n"/>
      <c r="E950" s="58" t="n"/>
      <c r="F950" s="57" t="n"/>
      <c r="G950" s="59" t="n"/>
      <c r="H950" s="59" t="n"/>
      <c r="I950" s="60">
        <f>IF(OR(G950="",H950=""),"",MOD(H950-G950,1))</f>
        <v/>
      </c>
      <c r="J950" s="61">
        <f>IF(OR(G950="",H950=""),"",ROUND(MOD(H950-G950,1)*24,2))</f>
        <v/>
      </c>
      <c r="K950" s="62">
        <f>IF(E950="","",IF(E950="Werken","JA","NEE"))</f>
        <v/>
      </c>
      <c r="L950" s="61">
        <f>IF(K950="JA",N(J950),IF(E950="","",0))</f>
        <v/>
      </c>
      <c r="M950" s="62">
        <f>IF(AND(A950="",E950=""),"",IF(E950="","Segment ontbreekt",IF(OR(G950="",H950=""),"Van/tot ontbreekt",IF(N(J950)=0,"Duur is nul",IF(N(J950)&gt;12,"Langer dan 12 uur - controleren",IF(AND(E950="Werken",D950=""),"Werken zonder klant - koppelen","OK"))))))</f>
        <v/>
      </c>
    </row>
    <row r="951" ht="15" customHeight="1" s="42">
      <c r="A951" s="55" t="n"/>
      <c r="B951" s="56">
        <f>IF(A951="","",WEEKNUM(A951,21))</f>
        <v/>
      </c>
      <c r="C951" s="57" t="n"/>
      <c r="D951" s="57" t="n"/>
      <c r="E951" s="58" t="n"/>
      <c r="F951" s="57" t="n"/>
      <c r="G951" s="59" t="n"/>
      <c r="H951" s="59" t="n"/>
      <c r="I951" s="60">
        <f>IF(OR(G951="",H951=""),"",MOD(H951-G951,1))</f>
        <v/>
      </c>
      <c r="J951" s="61">
        <f>IF(OR(G951="",H951=""),"",ROUND(MOD(H951-G951,1)*24,2))</f>
        <v/>
      </c>
      <c r="K951" s="62">
        <f>IF(E951="","",IF(E951="Werken","JA","NEE"))</f>
        <v/>
      </c>
      <c r="L951" s="61">
        <f>IF(K951="JA",N(J951),IF(E951="","",0))</f>
        <v/>
      </c>
      <c r="M951" s="62">
        <f>IF(AND(A951="",E951=""),"",IF(E951="","Segment ontbreekt",IF(OR(G951="",H951=""),"Van/tot ontbreekt",IF(N(J951)=0,"Duur is nul",IF(N(J951)&gt;12,"Langer dan 12 uur - controleren",IF(AND(E951="Werken",D951=""),"Werken zonder klant - koppelen","OK"))))))</f>
        <v/>
      </c>
    </row>
    <row r="952" ht="15" customHeight="1" s="42">
      <c r="A952" s="55" t="n"/>
      <c r="B952" s="56">
        <f>IF(A952="","",WEEKNUM(A952,21))</f>
        <v/>
      </c>
      <c r="C952" s="57" t="n"/>
      <c r="D952" s="57" t="n"/>
      <c r="E952" s="58" t="n"/>
      <c r="F952" s="57" t="n"/>
      <c r="G952" s="59" t="n"/>
      <c r="H952" s="59" t="n"/>
      <c r="I952" s="60">
        <f>IF(OR(G952="",H952=""),"",MOD(H952-G952,1))</f>
        <v/>
      </c>
      <c r="J952" s="61">
        <f>IF(OR(G952="",H952=""),"",ROUND(MOD(H952-G952,1)*24,2))</f>
        <v/>
      </c>
      <c r="K952" s="62">
        <f>IF(E952="","",IF(E952="Werken","JA","NEE"))</f>
        <v/>
      </c>
      <c r="L952" s="61">
        <f>IF(K952="JA",N(J952),IF(E952="","",0))</f>
        <v/>
      </c>
      <c r="M952" s="62">
        <f>IF(AND(A952="",E952=""),"",IF(E952="","Segment ontbreekt",IF(OR(G952="",H952=""),"Van/tot ontbreekt",IF(N(J952)=0,"Duur is nul",IF(N(J952)&gt;12,"Langer dan 12 uur - controleren",IF(AND(E952="Werken",D952=""),"Werken zonder klant - koppelen","OK"))))))</f>
        <v/>
      </c>
    </row>
    <row r="953" ht="15" customHeight="1" s="42">
      <c r="A953" s="55" t="n"/>
      <c r="B953" s="56">
        <f>IF(A953="","",WEEKNUM(A953,21))</f>
        <v/>
      </c>
      <c r="C953" s="57" t="n"/>
      <c r="D953" s="57" t="n"/>
      <c r="E953" s="58" t="n"/>
      <c r="F953" s="57" t="n"/>
      <c r="G953" s="59" t="n"/>
      <c r="H953" s="59" t="n"/>
      <c r="I953" s="60">
        <f>IF(OR(G953="",H953=""),"",MOD(H953-G953,1))</f>
        <v/>
      </c>
      <c r="J953" s="61">
        <f>IF(OR(G953="",H953=""),"",ROUND(MOD(H953-G953,1)*24,2))</f>
        <v/>
      </c>
      <c r="K953" s="62">
        <f>IF(E953="","",IF(E953="Werken","JA","NEE"))</f>
        <v/>
      </c>
      <c r="L953" s="61">
        <f>IF(K953="JA",N(J953),IF(E953="","",0))</f>
        <v/>
      </c>
      <c r="M953" s="62">
        <f>IF(AND(A953="",E953=""),"",IF(E953="","Segment ontbreekt",IF(OR(G953="",H953=""),"Van/tot ontbreekt",IF(N(J953)=0,"Duur is nul",IF(N(J953)&gt;12,"Langer dan 12 uur - controleren",IF(AND(E953="Werken",D953=""),"Werken zonder klant - koppelen","OK"))))))</f>
        <v/>
      </c>
    </row>
    <row r="954" ht="15" customHeight="1" s="42">
      <c r="A954" s="55" t="n"/>
      <c r="B954" s="56">
        <f>IF(A954="","",WEEKNUM(A954,21))</f>
        <v/>
      </c>
      <c r="C954" s="57" t="n"/>
      <c r="D954" s="57" t="n"/>
      <c r="E954" s="58" t="n"/>
      <c r="F954" s="57" t="n"/>
      <c r="G954" s="59" t="n"/>
      <c r="H954" s="59" t="n"/>
      <c r="I954" s="60">
        <f>IF(OR(G954="",H954=""),"",MOD(H954-G954,1))</f>
        <v/>
      </c>
      <c r="J954" s="61">
        <f>IF(OR(G954="",H954=""),"",ROUND(MOD(H954-G954,1)*24,2))</f>
        <v/>
      </c>
      <c r="K954" s="62">
        <f>IF(E954="","",IF(E954="Werken","JA","NEE"))</f>
        <v/>
      </c>
      <c r="L954" s="61">
        <f>IF(K954="JA",N(J954),IF(E954="","",0))</f>
        <v/>
      </c>
      <c r="M954" s="62">
        <f>IF(AND(A954="",E954=""),"",IF(E954="","Segment ontbreekt",IF(OR(G954="",H954=""),"Van/tot ontbreekt",IF(N(J954)=0,"Duur is nul",IF(N(J954)&gt;12,"Langer dan 12 uur - controleren",IF(AND(E954="Werken",D954=""),"Werken zonder klant - koppelen","OK"))))))</f>
        <v/>
      </c>
    </row>
    <row r="955" ht="15" customHeight="1" s="42">
      <c r="A955" s="55" t="n"/>
      <c r="B955" s="56">
        <f>IF(A955="","",WEEKNUM(A955,21))</f>
        <v/>
      </c>
      <c r="C955" s="57" t="n"/>
      <c r="D955" s="57" t="n"/>
      <c r="E955" s="58" t="n"/>
      <c r="F955" s="57" t="n"/>
      <c r="G955" s="59" t="n"/>
      <c r="H955" s="59" t="n"/>
      <c r="I955" s="60">
        <f>IF(OR(G955="",H955=""),"",MOD(H955-G955,1))</f>
        <v/>
      </c>
      <c r="J955" s="61">
        <f>IF(OR(G955="",H955=""),"",ROUND(MOD(H955-G955,1)*24,2))</f>
        <v/>
      </c>
      <c r="K955" s="62">
        <f>IF(E955="","",IF(E955="Werken","JA","NEE"))</f>
        <v/>
      </c>
      <c r="L955" s="61">
        <f>IF(K955="JA",N(J955),IF(E955="","",0))</f>
        <v/>
      </c>
      <c r="M955" s="62">
        <f>IF(AND(A955="",E955=""),"",IF(E955="","Segment ontbreekt",IF(OR(G955="",H955=""),"Van/tot ontbreekt",IF(N(J955)=0,"Duur is nul",IF(N(J955)&gt;12,"Langer dan 12 uur - controleren",IF(AND(E955="Werken",D955=""),"Werken zonder klant - koppelen","OK"))))))</f>
        <v/>
      </c>
    </row>
    <row r="956" ht="15" customHeight="1" s="42">
      <c r="A956" s="55" t="n"/>
      <c r="B956" s="56">
        <f>IF(A956="","",WEEKNUM(A956,21))</f>
        <v/>
      </c>
      <c r="C956" s="57" t="n"/>
      <c r="D956" s="57" t="n"/>
      <c r="E956" s="58" t="n"/>
      <c r="F956" s="57" t="n"/>
      <c r="G956" s="59" t="n"/>
      <c r="H956" s="59" t="n"/>
      <c r="I956" s="60">
        <f>IF(OR(G956="",H956=""),"",MOD(H956-G956,1))</f>
        <v/>
      </c>
      <c r="J956" s="61">
        <f>IF(OR(G956="",H956=""),"",ROUND(MOD(H956-G956,1)*24,2))</f>
        <v/>
      </c>
      <c r="K956" s="62">
        <f>IF(E956="","",IF(E956="Werken","JA","NEE"))</f>
        <v/>
      </c>
      <c r="L956" s="61">
        <f>IF(K956="JA",N(J956),IF(E956="","",0))</f>
        <v/>
      </c>
      <c r="M956" s="62">
        <f>IF(AND(A956="",E956=""),"",IF(E956="","Segment ontbreekt",IF(OR(G956="",H956=""),"Van/tot ontbreekt",IF(N(J956)=0,"Duur is nul",IF(N(J956)&gt;12,"Langer dan 12 uur - controleren",IF(AND(E956="Werken",D956=""),"Werken zonder klant - koppelen","OK"))))))</f>
        <v/>
      </c>
    </row>
    <row r="957" ht="15" customHeight="1" s="42">
      <c r="A957" s="55" t="n"/>
      <c r="B957" s="56">
        <f>IF(A957="","",WEEKNUM(A957,21))</f>
        <v/>
      </c>
      <c r="C957" s="57" t="n"/>
      <c r="D957" s="57" t="n"/>
      <c r="E957" s="58" t="n"/>
      <c r="F957" s="57" t="n"/>
      <c r="G957" s="59" t="n"/>
      <c r="H957" s="59" t="n"/>
      <c r="I957" s="60">
        <f>IF(OR(G957="",H957=""),"",MOD(H957-G957,1))</f>
        <v/>
      </c>
      <c r="J957" s="61">
        <f>IF(OR(G957="",H957=""),"",ROUND(MOD(H957-G957,1)*24,2))</f>
        <v/>
      </c>
      <c r="K957" s="62">
        <f>IF(E957="","",IF(E957="Werken","JA","NEE"))</f>
        <v/>
      </c>
      <c r="L957" s="61">
        <f>IF(K957="JA",N(J957),IF(E957="","",0))</f>
        <v/>
      </c>
      <c r="M957" s="62">
        <f>IF(AND(A957="",E957=""),"",IF(E957="","Segment ontbreekt",IF(OR(G957="",H957=""),"Van/tot ontbreekt",IF(N(J957)=0,"Duur is nul",IF(N(J957)&gt;12,"Langer dan 12 uur - controleren",IF(AND(E957="Werken",D957=""),"Werken zonder klant - koppelen","OK"))))))</f>
        <v/>
      </c>
    </row>
    <row r="958" ht="15" customHeight="1" s="42">
      <c r="A958" s="55" t="n"/>
      <c r="B958" s="56">
        <f>IF(A958="","",WEEKNUM(A958,21))</f>
        <v/>
      </c>
      <c r="C958" s="57" t="n"/>
      <c r="D958" s="57" t="n"/>
      <c r="E958" s="58" t="n"/>
      <c r="F958" s="57" t="n"/>
      <c r="G958" s="59" t="n"/>
      <c r="H958" s="59" t="n"/>
      <c r="I958" s="60">
        <f>IF(OR(G958="",H958=""),"",MOD(H958-G958,1))</f>
        <v/>
      </c>
      <c r="J958" s="61">
        <f>IF(OR(G958="",H958=""),"",ROUND(MOD(H958-G958,1)*24,2))</f>
        <v/>
      </c>
      <c r="K958" s="62">
        <f>IF(E958="","",IF(E958="Werken","JA","NEE"))</f>
        <v/>
      </c>
      <c r="L958" s="61">
        <f>IF(K958="JA",N(J958),IF(E958="","",0))</f>
        <v/>
      </c>
      <c r="M958" s="62">
        <f>IF(AND(A958="",E958=""),"",IF(E958="","Segment ontbreekt",IF(OR(G958="",H958=""),"Van/tot ontbreekt",IF(N(J958)=0,"Duur is nul",IF(N(J958)&gt;12,"Langer dan 12 uur - controleren",IF(AND(E958="Werken",D958=""),"Werken zonder klant - koppelen","OK"))))))</f>
        <v/>
      </c>
    </row>
    <row r="959" ht="15" customHeight="1" s="42">
      <c r="A959" s="55" t="n"/>
      <c r="B959" s="56">
        <f>IF(A959="","",WEEKNUM(A959,21))</f>
        <v/>
      </c>
      <c r="C959" s="57" t="n"/>
      <c r="D959" s="57" t="n"/>
      <c r="E959" s="58" t="n"/>
      <c r="F959" s="57" t="n"/>
      <c r="G959" s="59" t="n"/>
      <c r="H959" s="59" t="n"/>
      <c r="I959" s="60">
        <f>IF(OR(G959="",H959=""),"",MOD(H959-G959,1))</f>
        <v/>
      </c>
      <c r="J959" s="61">
        <f>IF(OR(G959="",H959=""),"",ROUND(MOD(H959-G959,1)*24,2))</f>
        <v/>
      </c>
      <c r="K959" s="62">
        <f>IF(E959="","",IF(E959="Werken","JA","NEE"))</f>
        <v/>
      </c>
      <c r="L959" s="61">
        <f>IF(K959="JA",N(J959),IF(E959="","",0))</f>
        <v/>
      </c>
      <c r="M959" s="62">
        <f>IF(AND(A959="",E959=""),"",IF(E959="","Segment ontbreekt",IF(OR(G959="",H959=""),"Van/tot ontbreekt",IF(N(J959)=0,"Duur is nul",IF(N(J959)&gt;12,"Langer dan 12 uur - controleren",IF(AND(E959="Werken",D959=""),"Werken zonder klant - koppelen","OK"))))))</f>
        <v/>
      </c>
    </row>
    <row r="960" ht="15" customHeight="1" s="42">
      <c r="A960" s="55" t="n"/>
      <c r="B960" s="56">
        <f>IF(A960="","",WEEKNUM(A960,21))</f>
        <v/>
      </c>
      <c r="C960" s="57" t="n"/>
      <c r="D960" s="57" t="n"/>
      <c r="E960" s="58" t="n"/>
      <c r="F960" s="57" t="n"/>
      <c r="G960" s="59" t="n"/>
      <c r="H960" s="59" t="n"/>
      <c r="I960" s="60">
        <f>IF(OR(G960="",H960=""),"",MOD(H960-G960,1))</f>
        <v/>
      </c>
      <c r="J960" s="61">
        <f>IF(OR(G960="",H960=""),"",ROUND(MOD(H960-G960,1)*24,2))</f>
        <v/>
      </c>
      <c r="K960" s="62">
        <f>IF(E960="","",IF(E960="Werken","JA","NEE"))</f>
        <v/>
      </c>
      <c r="L960" s="61">
        <f>IF(K960="JA",N(J960),IF(E960="","",0))</f>
        <v/>
      </c>
      <c r="M960" s="62">
        <f>IF(AND(A960="",E960=""),"",IF(E960="","Segment ontbreekt",IF(OR(G960="",H960=""),"Van/tot ontbreekt",IF(N(J960)=0,"Duur is nul",IF(N(J960)&gt;12,"Langer dan 12 uur - controleren",IF(AND(E960="Werken",D960=""),"Werken zonder klant - koppelen","OK"))))))</f>
        <v/>
      </c>
    </row>
    <row r="961" ht="15" customHeight="1" s="42">
      <c r="A961" s="55" t="n"/>
      <c r="B961" s="56">
        <f>IF(A961="","",WEEKNUM(A961,21))</f>
        <v/>
      </c>
      <c r="C961" s="57" t="n"/>
      <c r="D961" s="57" t="n"/>
      <c r="E961" s="58" t="n"/>
      <c r="F961" s="57" t="n"/>
      <c r="G961" s="59" t="n"/>
      <c r="H961" s="59" t="n"/>
      <c r="I961" s="60">
        <f>IF(OR(G961="",H961=""),"",MOD(H961-G961,1))</f>
        <v/>
      </c>
      <c r="J961" s="61">
        <f>IF(OR(G961="",H961=""),"",ROUND(MOD(H961-G961,1)*24,2))</f>
        <v/>
      </c>
      <c r="K961" s="62">
        <f>IF(E961="","",IF(E961="Werken","JA","NEE"))</f>
        <v/>
      </c>
      <c r="L961" s="61">
        <f>IF(K961="JA",N(J961),IF(E961="","",0))</f>
        <v/>
      </c>
      <c r="M961" s="62">
        <f>IF(AND(A961="",E961=""),"",IF(E961="","Segment ontbreekt",IF(OR(G961="",H961=""),"Van/tot ontbreekt",IF(N(J961)=0,"Duur is nul",IF(N(J961)&gt;12,"Langer dan 12 uur - controleren",IF(AND(E961="Werken",D961=""),"Werken zonder klant - koppelen","OK"))))))</f>
        <v/>
      </c>
    </row>
    <row r="962" ht="15" customHeight="1" s="42">
      <c r="A962" s="55" t="n"/>
      <c r="B962" s="56">
        <f>IF(A962="","",WEEKNUM(A962,21))</f>
        <v/>
      </c>
      <c r="C962" s="57" t="n"/>
      <c r="D962" s="57" t="n"/>
      <c r="E962" s="58" t="n"/>
      <c r="F962" s="57" t="n"/>
      <c r="G962" s="59" t="n"/>
      <c r="H962" s="59" t="n"/>
      <c r="I962" s="60">
        <f>IF(OR(G962="",H962=""),"",MOD(H962-G962,1))</f>
        <v/>
      </c>
      <c r="J962" s="61">
        <f>IF(OR(G962="",H962=""),"",ROUND(MOD(H962-G962,1)*24,2))</f>
        <v/>
      </c>
      <c r="K962" s="62">
        <f>IF(E962="","",IF(E962="Werken","JA","NEE"))</f>
        <v/>
      </c>
      <c r="L962" s="61">
        <f>IF(K962="JA",N(J962),IF(E962="","",0))</f>
        <v/>
      </c>
      <c r="M962" s="62">
        <f>IF(AND(A962="",E962=""),"",IF(E962="","Segment ontbreekt",IF(OR(G962="",H962=""),"Van/tot ontbreekt",IF(N(J962)=0,"Duur is nul",IF(N(J962)&gt;12,"Langer dan 12 uur - controleren",IF(AND(E962="Werken",D962=""),"Werken zonder klant - koppelen","OK"))))))</f>
        <v/>
      </c>
    </row>
    <row r="963" ht="15" customHeight="1" s="42">
      <c r="A963" s="55" t="n"/>
      <c r="B963" s="56">
        <f>IF(A963="","",WEEKNUM(A963,21))</f>
        <v/>
      </c>
      <c r="C963" s="57" t="n"/>
      <c r="D963" s="57" t="n"/>
      <c r="E963" s="58" t="n"/>
      <c r="F963" s="57" t="n"/>
      <c r="G963" s="59" t="n"/>
      <c r="H963" s="59" t="n"/>
      <c r="I963" s="60">
        <f>IF(OR(G963="",H963=""),"",MOD(H963-G963,1))</f>
        <v/>
      </c>
      <c r="J963" s="61">
        <f>IF(OR(G963="",H963=""),"",ROUND(MOD(H963-G963,1)*24,2))</f>
        <v/>
      </c>
      <c r="K963" s="62">
        <f>IF(E963="","",IF(E963="Werken","JA","NEE"))</f>
        <v/>
      </c>
      <c r="L963" s="61">
        <f>IF(K963="JA",N(J963),IF(E963="","",0))</f>
        <v/>
      </c>
      <c r="M963" s="62">
        <f>IF(AND(A963="",E963=""),"",IF(E963="","Segment ontbreekt",IF(OR(G963="",H963=""),"Van/tot ontbreekt",IF(N(J963)=0,"Duur is nul",IF(N(J963)&gt;12,"Langer dan 12 uur - controleren",IF(AND(E963="Werken",D963=""),"Werken zonder klant - koppelen","OK"))))))</f>
        <v/>
      </c>
    </row>
    <row r="964" ht="15" customHeight="1" s="42">
      <c r="A964" s="55" t="n"/>
      <c r="B964" s="56">
        <f>IF(A964="","",WEEKNUM(A964,21))</f>
        <v/>
      </c>
      <c r="C964" s="57" t="n"/>
      <c r="D964" s="57" t="n"/>
      <c r="E964" s="58" t="n"/>
      <c r="F964" s="57" t="n"/>
      <c r="G964" s="59" t="n"/>
      <c r="H964" s="59" t="n"/>
      <c r="I964" s="60">
        <f>IF(OR(G964="",H964=""),"",MOD(H964-G964,1))</f>
        <v/>
      </c>
      <c r="J964" s="61">
        <f>IF(OR(G964="",H964=""),"",ROUND(MOD(H964-G964,1)*24,2))</f>
        <v/>
      </c>
      <c r="K964" s="62">
        <f>IF(E964="","",IF(E964="Werken","JA","NEE"))</f>
        <v/>
      </c>
      <c r="L964" s="61">
        <f>IF(K964="JA",N(J964),IF(E964="","",0))</f>
        <v/>
      </c>
      <c r="M964" s="62">
        <f>IF(AND(A964="",E964=""),"",IF(E964="","Segment ontbreekt",IF(OR(G964="",H964=""),"Van/tot ontbreekt",IF(N(J964)=0,"Duur is nul",IF(N(J964)&gt;12,"Langer dan 12 uur - controleren",IF(AND(E964="Werken",D964=""),"Werken zonder klant - koppelen","OK"))))))</f>
        <v/>
      </c>
    </row>
    <row r="965" ht="15" customHeight="1" s="42">
      <c r="A965" s="55" t="n"/>
      <c r="B965" s="56">
        <f>IF(A965="","",WEEKNUM(A965,21))</f>
        <v/>
      </c>
      <c r="C965" s="57" t="n"/>
      <c r="D965" s="57" t="n"/>
      <c r="E965" s="58" t="n"/>
      <c r="F965" s="57" t="n"/>
      <c r="G965" s="59" t="n"/>
      <c r="H965" s="59" t="n"/>
      <c r="I965" s="60">
        <f>IF(OR(G965="",H965=""),"",MOD(H965-G965,1))</f>
        <v/>
      </c>
      <c r="J965" s="61">
        <f>IF(OR(G965="",H965=""),"",ROUND(MOD(H965-G965,1)*24,2))</f>
        <v/>
      </c>
      <c r="K965" s="62">
        <f>IF(E965="","",IF(E965="Werken","JA","NEE"))</f>
        <v/>
      </c>
      <c r="L965" s="61">
        <f>IF(K965="JA",N(J965),IF(E965="","",0))</f>
        <v/>
      </c>
      <c r="M965" s="62">
        <f>IF(AND(A965="",E965=""),"",IF(E965="","Segment ontbreekt",IF(OR(G965="",H965=""),"Van/tot ontbreekt",IF(N(J965)=0,"Duur is nul",IF(N(J965)&gt;12,"Langer dan 12 uur - controleren",IF(AND(E965="Werken",D965=""),"Werken zonder klant - koppelen","OK"))))))</f>
        <v/>
      </c>
    </row>
    <row r="966" ht="15" customHeight="1" s="42">
      <c r="A966" s="55" t="n"/>
      <c r="B966" s="56">
        <f>IF(A966="","",WEEKNUM(A966,21))</f>
        <v/>
      </c>
      <c r="C966" s="57" t="n"/>
      <c r="D966" s="57" t="n"/>
      <c r="E966" s="58" t="n"/>
      <c r="F966" s="57" t="n"/>
      <c r="G966" s="59" t="n"/>
      <c r="H966" s="59" t="n"/>
      <c r="I966" s="60">
        <f>IF(OR(G966="",H966=""),"",MOD(H966-G966,1))</f>
        <v/>
      </c>
      <c r="J966" s="61">
        <f>IF(OR(G966="",H966=""),"",ROUND(MOD(H966-G966,1)*24,2))</f>
        <v/>
      </c>
      <c r="K966" s="62">
        <f>IF(E966="","",IF(E966="Werken","JA","NEE"))</f>
        <v/>
      </c>
      <c r="L966" s="61">
        <f>IF(K966="JA",N(J966),IF(E966="","",0))</f>
        <v/>
      </c>
      <c r="M966" s="62">
        <f>IF(AND(A966="",E966=""),"",IF(E966="","Segment ontbreekt",IF(OR(G966="",H966=""),"Van/tot ontbreekt",IF(N(J966)=0,"Duur is nul",IF(N(J966)&gt;12,"Langer dan 12 uur - controleren",IF(AND(E966="Werken",D966=""),"Werken zonder klant - koppelen","OK"))))))</f>
        <v/>
      </c>
    </row>
    <row r="967" ht="15" customHeight="1" s="42">
      <c r="A967" s="55" t="n"/>
      <c r="B967" s="56">
        <f>IF(A967="","",WEEKNUM(A967,21))</f>
        <v/>
      </c>
      <c r="C967" s="57" t="n"/>
      <c r="D967" s="57" t="n"/>
      <c r="E967" s="58" t="n"/>
      <c r="F967" s="57" t="n"/>
      <c r="G967" s="59" t="n"/>
      <c r="H967" s="59" t="n"/>
      <c r="I967" s="60">
        <f>IF(OR(G967="",H967=""),"",MOD(H967-G967,1))</f>
        <v/>
      </c>
      <c r="J967" s="61">
        <f>IF(OR(G967="",H967=""),"",ROUND(MOD(H967-G967,1)*24,2))</f>
        <v/>
      </c>
      <c r="K967" s="62">
        <f>IF(E967="","",IF(E967="Werken","JA","NEE"))</f>
        <v/>
      </c>
      <c r="L967" s="61">
        <f>IF(K967="JA",N(J967),IF(E967="","",0))</f>
        <v/>
      </c>
      <c r="M967" s="62">
        <f>IF(AND(A967="",E967=""),"",IF(E967="","Segment ontbreekt",IF(OR(G967="",H967=""),"Van/tot ontbreekt",IF(N(J967)=0,"Duur is nul",IF(N(J967)&gt;12,"Langer dan 12 uur - controleren",IF(AND(E967="Werken",D967=""),"Werken zonder klant - koppelen","OK"))))))</f>
        <v/>
      </c>
    </row>
    <row r="968" ht="15" customHeight="1" s="42">
      <c r="A968" s="55" t="n"/>
      <c r="B968" s="56">
        <f>IF(A968="","",WEEKNUM(A968,21))</f>
        <v/>
      </c>
      <c r="C968" s="57" t="n"/>
      <c r="D968" s="57" t="n"/>
      <c r="E968" s="58" t="n"/>
      <c r="F968" s="57" t="n"/>
      <c r="G968" s="59" t="n"/>
      <c r="H968" s="59" t="n"/>
      <c r="I968" s="60">
        <f>IF(OR(G968="",H968=""),"",MOD(H968-G968,1))</f>
        <v/>
      </c>
      <c r="J968" s="61">
        <f>IF(OR(G968="",H968=""),"",ROUND(MOD(H968-G968,1)*24,2))</f>
        <v/>
      </c>
      <c r="K968" s="62">
        <f>IF(E968="","",IF(E968="Werken","JA","NEE"))</f>
        <v/>
      </c>
      <c r="L968" s="61">
        <f>IF(K968="JA",N(J968),IF(E968="","",0))</f>
        <v/>
      </c>
      <c r="M968" s="62">
        <f>IF(AND(A968="",E968=""),"",IF(E968="","Segment ontbreekt",IF(OR(G968="",H968=""),"Van/tot ontbreekt",IF(N(J968)=0,"Duur is nul",IF(N(J968)&gt;12,"Langer dan 12 uur - controleren",IF(AND(E968="Werken",D968=""),"Werken zonder klant - koppelen","OK"))))))</f>
        <v/>
      </c>
    </row>
    <row r="969" ht="15" customHeight="1" s="42">
      <c r="A969" s="55" t="n"/>
      <c r="B969" s="56">
        <f>IF(A969="","",WEEKNUM(A969,21))</f>
        <v/>
      </c>
      <c r="C969" s="57" t="n"/>
      <c r="D969" s="57" t="n"/>
      <c r="E969" s="58" t="n"/>
      <c r="F969" s="57" t="n"/>
      <c r="G969" s="59" t="n"/>
      <c r="H969" s="59" t="n"/>
      <c r="I969" s="60">
        <f>IF(OR(G969="",H969=""),"",MOD(H969-G969,1))</f>
        <v/>
      </c>
      <c r="J969" s="61">
        <f>IF(OR(G969="",H969=""),"",ROUND(MOD(H969-G969,1)*24,2))</f>
        <v/>
      </c>
      <c r="K969" s="62">
        <f>IF(E969="","",IF(E969="Werken","JA","NEE"))</f>
        <v/>
      </c>
      <c r="L969" s="61">
        <f>IF(K969="JA",N(J969),IF(E969="","",0))</f>
        <v/>
      </c>
      <c r="M969" s="62">
        <f>IF(AND(A969="",E969=""),"",IF(E969="","Segment ontbreekt",IF(OR(G969="",H969=""),"Van/tot ontbreekt",IF(N(J969)=0,"Duur is nul",IF(N(J969)&gt;12,"Langer dan 12 uur - controleren",IF(AND(E969="Werken",D969=""),"Werken zonder klant - koppelen","OK"))))))</f>
        <v/>
      </c>
    </row>
    <row r="970" ht="15" customHeight="1" s="42">
      <c r="A970" s="55" t="n"/>
      <c r="B970" s="56">
        <f>IF(A970="","",WEEKNUM(A970,21))</f>
        <v/>
      </c>
      <c r="C970" s="57" t="n"/>
      <c r="D970" s="57" t="n"/>
      <c r="E970" s="58" t="n"/>
      <c r="F970" s="57" t="n"/>
      <c r="G970" s="59" t="n"/>
      <c r="H970" s="59" t="n"/>
      <c r="I970" s="60">
        <f>IF(OR(G970="",H970=""),"",MOD(H970-G970,1))</f>
        <v/>
      </c>
      <c r="J970" s="61">
        <f>IF(OR(G970="",H970=""),"",ROUND(MOD(H970-G970,1)*24,2))</f>
        <v/>
      </c>
      <c r="K970" s="62">
        <f>IF(E970="","",IF(E970="Werken","JA","NEE"))</f>
        <v/>
      </c>
      <c r="L970" s="61">
        <f>IF(K970="JA",N(J970),IF(E970="","",0))</f>
        <v/>
      </c>
      <c r="M970" s="62">
        <f>IF(AND(A970="",E970=""),"",IF(E970="","Segment ontbreekt",IF(OR(G970="",H970=""),"Van/tot ontbreekt",IF(N(J970)=0,"Duur is nul",IF(N(J970)&gt;12,"Langer dan 12 uur - controleren",IF(AND(E970="Werken",D970=""),"Werken zonder klant - koppelen","OK"))))))</f>
        <v/>
      </c>
    </row>
    <row r="971" ht="15" customHeight="1" s="42">
      <c r="A971" s="55" t="n"/>
      <c r="B971" s="56">
        <f>IF(A971="","",WEEKNUM(A971,21))</f>
        <v/>
      </c>
      <c r="C971" s="57" t="n"/>
      <c r="D971" s="57" t="n"/>
      <c r="E971" s="58" t="n"/>
      <c r="F971" s="57" t="n"/>
      <c r="G971" s="59" t="n"/>
      <c r="H971" s="59" t="n"/>
      <c r="I971" s="60">
        <f>IF(OR(G971="",H971=""),"",MOD(H971-G971,1))</f>
        <v/>
      </c>
      <c r="J971" s="61">
        <f>IF(OR(G971="",H971=""),"",ROUND(MOD(H971-G971,1)*24,2))</f>
        <v/>
      </c>
      <c r="K971" s="62">
        <f>IF(E971="","",IF(E971="Werken","JA","NEE"))</f>
        <v/>
      </c>
      <c r="L971" s="61">
        <f>IF(K971="JA",N(J971),IF(E971="","",0))</f>
        <v/>
      </c>
      <c r="M971" s="62">
        <f>IF(AND(A971="",E971=""),"",IF(E971="","Segment ontbreekt",IF(OR(G971="",H971=""),"Van/tot ontbreekt",IF(N(J971)=0,"Duur is nul",IF(N(J971)&gt;12,"Langer dan 12 uur - controleren",IF(AND(E971="Werken",D971=""),"Werken zonder klant - koppelen","OK"))))))</f>
        <v/>
      </c>
    </row>
    <row r="972" ht="15" customHeight="1" s="42">
      <c r="A972" s="55" t="n"/>
      <c r="B972" s="56">
        <f>IF(A972="","",WEEKNUM(A972,21))</f>
        <v/>
      </c>
      <c r="C972" s="57" t="n"/>
      <c r="D972" s="57" t="n"/>
      <c r="E972" s="58" t="n"/>
      <c r="F972" s="57" t="n"/>
      <c r="G972" s="59" t="n"/>
      <c r="H972" s="59" t="n"/>
      <c r="I972" s="60">
        <f>IF(OR(G972="",H972=""),"",MOD(H972-G972,1))</f>
        <v/>
      </c>
      <c r="J972" s="61">
        <f>IF(OR(G972="",H972=""),"",ROUND(MOD(H972-G972,1)*24,2))</f>
        <v/>
      </c>
      <c r="K972" s="62">
        <f>IF(E972="","",IF(E972="Werken","JA","NEE"))</f>
        <v/>
      </c>
      <c r="L972" s="61">
        <f>IF(K972="JA",N(J972),IF(E972="","",0))</f>
        <v/>
      </c>
      <c r="M972" s="62">
        <f>IF(AND(A972="",E972=""),"",IF(E972="","Segment ontbreekt",IF(OR(G972="",H972=""),"Van/tot ontbreekt",IF(N(J972)=0,"Duur is nul",IF(N(J972)&gt;12,"Langer dan 12 uur - controleren",IF(AND(E972="Werken",D972=""),"Werken zonder klant - koppelen","OK"))))))</f>
        <v/>
      </c>
    </row>
    <row r="973" ht="15" customHeight="1" s="42">
      <c r="A973" s="55" t="n"/>
      <c r="B973" s="56">
        <f>IF(A973="","",WEEKNUM(A973,21))</f>
        <v/>
      </c>
      <c r="C973" s="57" t="n"/>
      <c r="D973" s="57" t="n"/>
      <c r="E973" s="58" t="n"/>
      <c r="F973" s="57" t="n"/>
      <c r="G973" s="59" t="n"/>
      <c r="H973" s="59" t="n"/>
      <c r="I973" s="60">
        <f>IF(OR(G973="",H973=""),"",MOD(H973-G973,1))</f>
        <v/>
      </c>
      <c r="J973" s="61">
        <f>IF(OR(G973="",H973=""),"",ROUND(MOD(H973-G973,1)*24,2))</f>
        <v/>
      </c>
      <c r="K973" s="62">
        <f>IF(E973="","",IF(E973="Werken","JA","NEE"))</f>
        <v/>
      </c>
      <c r="L973" s="61">
        <f>IF(K973="JA",N(J973),IF(E973="","",0))</f>
        <v/>
      </c>
      <c r="M973" s="62">
        <f>IF(AND(A973="",E973=""),"",IF(E973="","Segment ontbreekt",IF(OR(G973="",H973=""),"Van/tot ontbreekt",IF(N(J973)=0,"Duur is nul",IF(N(J973)&gt;12,"Langer dan 12 uur - controleren",IF(AND(E973="Werken",D973=""),"Werken zonder klant - koppelen","OK"))))))</f>
        <v/>
      </c>
    </row>
    <row r="974" ht="15" customHeight="1" s="42">
      <c r="A974" s="55" t="n"/>
      <c r="B974" s="56">
        <f>IF(A974="","",WEEKNUM(A974,21))</f>
        <v/>
      </c>
      <c r="C974" s="57" t="n"/>
      <c r="D974" s="57" t="n"/>
      <c r="E974" s="58" t="n"/>
      <c r="F974" s="57" t="n"/>
      <c r="G974" s="59" t="n"/>
      <c r="H974" s="59" t="n"/>
      <c r="I974" s="60">
        <f>IF(OR(G974="",H974=""),"",MOD(H974-G974,1))</f>
        <v/>
      </c>
      <c r="J974" s="61">
        <f>IF(OR(G974="",H974=""),"",ROUND(MOD(H974-G974,1)*24,2))</f>
        <v/>
      </c>
      <c r="K974" s="62">
        <f>IF(E974="","",IF(E974="Werken","JA","NEE"))</f>
        <v/>
      </c>
      <c r="L974" s="61">
        <f>IF(K974="JA",N(J974),IF(E974="","",0))</f>
        <v/>
      </c>
      <c r="M974" s="62">
        <f>IF(AND(A974="",E974=""),"",IF(E974="","Segment ontbreekt",IF(OR(G974="",H974=""),"Van/tot ontbreekt",IF(N(J974)=0,"Duur is nul",IF(N(J974)&gt;12,"Langer dan 12 uur - controleren",IF(AND(E974="Werken",D974=""),"Werken zonder klant - koppelen","OK"))))))</f>
        <v/>
      </c>
    </row>
    <row r="975" ht="15" customHeight="1" s="42">
      <c r="A975" s="55" t="n"/>
      <c r="B975" s="56">
        <f>IF(A975="","",WEEKNUM(A975,21))</f>
        <v/>
      </c>
      <c r="C975" s="57" t="n"/>
      <c r="D975" s="57" t="n"/>
      <c r="E975" s="58" t="n"/>
      <c r="F975" s="57" t="n"/>
      <c r="G975" s="59" t="n"/>
      <c r="H975" s="59" t="n"/>
      <c r="I975" s="60">
        <f>IF(OR(G975="",H975=""),"",MOD(H975-G975,1))</f>
        <v/>
      </c>
      <c r="J975" s="61">
        <f>IF(OR(G975="",H975=""),"",ROUND(MOD(H975-G975,1)*24,2))</f>
        <v/>
      </c>
      <c r="K975" s="62">
        <f>IF(E975="","",IF(E975="Werken","JA","NEE"))</f>
        <v/>
      </c>
      <c r="L975" s="61">
        <f>IF(K975="JA",N(J975),IF(E975="","",0))</f>
        <v/>
      </c>
      <c r="M975" s="62">
        <f>IF(AND(A975="",E975=""),"",IF(E975="","Segment ontbreekt",IF(OR(G975="",H975=""),"Van/tot ontbreekt",IF(N(J975)=0,"Duur is nul",IF(N(J975)&gt;12,"Langer dan 12 uur - controleren",IF(AND(E975="Werken",D975=""),"Werken zonder klant - koppelen","OK"))))))</f>
        <v/>
      </c>
    </row>
    <row r="976" ht="15" customHeight="1" s="42">
      <c r="A976" s="55" t="n"/>
      <c r="B976" s="56">
        <f>IF(A976="","",WEEKNUM(A976,21))</f>
        <v/>
      </c>
      <c r="C976" s="57" t="n"/>
      <c r="D976" s="57" t="n"/>
      <c r="E976" s="58" t="n"/>
      <c r="F976" s="57" t="n"/>
      <c r="G976" s="59" t="n"/>
      <c r="H976" s="59" t="n"/>
      <c r="I976" s="60">
        <f>IF(OR(G976="",H976=""),"",MOD(H976-G976,1))</f>
        <v/>
      </c>
      <c r="J976" s="61">
        <f>IF(OR(G976="",H976=""),"",ROUND(MOD(H976-G976,1)*24,2))</f>
        <v/>
      </c>
      <c r="K976" s="62">
        <f>IF(E976="","",IF(E976="Werken","JA","NEE"))</f>
        <v/>
      </c>
      <c r="L976" s="61">
        <f>IF(K976="JA",N(J976),IF(E976="","",0))</f>
        <v/>
      </c>
      <c r="M976" s="62">
        <f>IF(AND(A976="",E976=""),"",IF(E976="","Segment ontbreekt",IF(OR(G976="",H976=""),"Van/tot ontbreekt",IF(N(J976)=0,"Duur is nul",IF(N(J976)&gt;12,"Langer dan 12 uur - controleren",IF(AND(E976="Werken",D976=""),"Werken zonder klant - koppelen","OK"))))))</f>
        <v/>
      </c>
    </row>
    <row r="977" ht="15" customHeight="1" s="42">
      <c r="A977" s="55" t="n"/>
      <c r="B977" s="56">
        <f>IF(A977="","",WEEKNUM(A977,21))</f>
        <v/>
      </c>
      <c r="C977" s="57" t="n"/>
      <c r="D977" s="57" t="n"/>
      <c r="E977" s="58" t="n"/>
      <c r="F977" s="57" t="n"/>
      <c r="G977" s="59" t="n"/>
      <c r="H977" s="59" t="n"/>
      <c r="I977" s="60">
        <f>IF(OR(G977="",H977=""),"",MOD(H977-G977,1))</f>
        <v/>
      </c>
      <c r="J977" s="61">
        <f>IF(OR(G977="",H977=""),"",ROUND(MOD(H977-G977,1)*24,2))</f>
        <v/>
      </c>
      <c r="K977" s="62">
        <f>IF(E977="","",IF(E977="Werken","JA","NEE"))</f>
        <v/>
      </c>
      <c r="L977" s="61">
        <f>IF(K977="JA",N(J977),IF(E977="","",0))</f>
        <v/>
      </c>
      <c r="M977" s="62">
        <f>IF(AND(A977="",E977=""),"",IF(E977="","Segment ontbreekt",IF(OR(G977="",H977=""),"Van/tot ontbreekt",IF(N(J977)=0,"Duur is nul",IF(N(J977)&gt;12,"Langer dan 12 uur - controleren",IF(AND(E977="Werken",D977=""),"Werken zonder klant - koppelen","OK"))))))</f>
        <v/>
      </c>
    </row>
    <row r="978" ht="15" customHeight="1" s="42">
      <c r="A978" s="55" t="n"/>
      <c r="B978" s="56">
        <f>IF(A978="","",WEEKNUM(A978,21))</f>
        <v/>
      </c>
      <c r="C978" s="57" t="n"/>
      <c r="D978" s="57" t="n"/>
      <c r="E978" s="58" t="n"/>
      <c r="F978" s="57" t="n"/>
      <c r="G978" s="59" t="n"/>
      <c r="H978" s="59" t="n"/>
      <c r="I978" s="60">
        <f>IF(OR(G978="",H978=""),"",MOD(H978-G978,1))</f>
        <v/>
      </c>
      <c r="J978" s="61">
        <f>IF(OR(G978="",H978=""),"",ROUND(MOD(H978-G978,1)*24,2))</f>
        <v/>
      </c>
      <c r="K978" s="62">
        <f>IF(E978="","",IF(E978="Werken","JA","NEE"))</f>
        <v/>
      </c>
      <c r="L978" s="61">
        <f>IF(K978="JA",N(J978),IF(E978="","",0))</f>
        <v/>
      </c>
      <c r="M978" s="62">
        <f>IF(AND(A978="",E978=""),"",IF(E978="","Segment ontbreekt",IF(OR(G978="",H978=""),"Van/tot ontbreekt",IF(N(J978)=0,"Duur is nul",IF(N(J978)&gt;12,"Langer dan 12 uur - controleren",IF(AND(E978="Werken",D978=""),"Werken zonder klant - koppelen","OK"))))))</f>
        <v/>
      </c>
    </row>
    <row r="979" ht="15" customHeight="1" s="42">
      <c r="A979" s="55" t="n"/>
      <c r="B979" s="56">
        <f>IF(A979="","",WEEKNUM(A979,21))</f>
        <v/>
      </c>
      <c r="C979" s="57" t="n"/>
      <c r="D979" s="57" t="n"/>
      <c r="E979" s="58" t="n"/>
      <c r="F979" s="57" t="n"/>
      <c r="G979" s="59" t="n"/>
      <c r="H979" s="59" t="n"/>
      <c r="I979" s="60">
        <f>IF(OR(G979="",H979=""),"",MOD(H979-G979,1))</f>
        <v/>
      </c>
      <c r="J979" s="61">
        <f>IF(OR(G979="",H979=""),"",ROUND(MOD(H979-G979,1)*24,2))</f>
        <v/>
      </c>
      <c r="K979" s="62">
        <f>IF(E979="","",IF(E979="Werken","JA","NEE"))</f>
        <v/>
      </c>
      <c r="L979" s="61">
        <f>IF(K979="JA",N(J979),IF(E979="","",0))</f>
        <v/>
      </c>
      <c r="M979" s="62">
        <f>IF(AND(A979="",E979=""),"",IF(E979="","Segment ontbreekt",IF(OR(G979="",H979=""),"Van/tot ontbreekt",IF(N(J979)=0,"Duur is nul",IF(N(J979)&gt;12,"Langer dan 12 uur - controleren",IF(AND(E979="Werken",D979=""),"Werken zonder klant - koppelen","OK"))))))</f>
        <v/>
      </c>
    </row>
    <row r="980" ht="15" customHeight="1" s="42">
      <c r="A980" s="55" t="n"/>
      <c r="B980" s="56">
        <f>IF(A980="","",WEEKNUM(A980,21))</f>
        <v/>
      </c>
      <c r="C980" s="57" t="n"/>
      <c r="D980" s="57" t="n"/>
      <c r="E980" s="58" t="n"/>
      <c r="F980" s="57" t="n"/>
      <c r="G980" s="59" t="n"/>
      <c r="H980" s="59" t="n"/>
      <c r="I980" s="60">
        <f>IF(OR(G980="",H980=""),"",MOD(H980-G980,1))</f>
        <v/>
      </c>
      <c r="J980" s="61">
        <f>IF(OR(G980="",H980=""),"",ROUND(MOD(H980-G980,1)*24,2))</f>
        <v/>
      </c>
      <c r="K980" s="62">
        <f>IF(E980="","",IF(E980="Werken","JA","NEE"))</f>
        <v/>
      </c>
      <c r="L980" s="61">
        <f>IF(K980="JA",N(J980),IF(E980="","",0))</f>
        <v/>
      </c>
      <c r="M980" s="62">
        <f>IF(AND(A980="",E980=""),"",IF(E980="","Segment ontbreekt",IF(OR(G980="",H980=""),"Van/tot ontbreekt",IF(N(J980)=0,"Duur is nul",IF(N(J980)&gt;12,"Langer dan 12 uur - controleren",IF(AND(E980="Werken",D980=""),"Werken zonder klant - koppelen","OK"))))))</f>
        <v/>
      </c>
    </row>
    <row r="981" ht="15" customHeight="1" s="42">
      <c r="A981" s="55" t="n"/>
      <c r="B981" s="56">
        <f>IF(A981="","",WEEKNUM(A981,21))</f>
        <v/>
      </c>
      <c r="C981" s="57" t="n"/>
      <c r="D981" s="57" t="n"/>
      <c r="E981" s="58" t="n"/>
      <c r="F981" s="57" t="n"/>
      <c r="G981" s="59" t="n"/>
      <c r="H981" s="59" t="n"/>
      <c r="I981" s="60">
        <f>IF(OR(G981="",H981=""),"",MOD(H981-G981,1))</f>
        <v/>
      </c>
      <c r="J981" s="61">
        <f>IF(OR(G981="",H981=""),"",ROUND(MOD(H981-G981,1)*24,2))</f>
        <v/>
      </c>
      <c r="K981" s="62">
        <f>IF(E981="","",IF(E981="Werken","JA","NEE"))</f>
        <v/>
      </c>
      <c r="L981" s="61">
        <f>IF(K981="JA",N(J981),IF(E981="","",0))</f>
        <v/>
      </c>
      <c r="M981" s="62">
        <f>IF(AND(A981="",E981=""),"",IF(E981="","Segment ontbreekt",IF(OR(G981="",H981=""),"Van/tot ontbreekt",IF(N(J981)=0,"Duur is nul",IF(N(J981)&gt;12,"Langer dan 12 uur - controleren",IF(AND(E981="Werken",D981=""),"Werken zonder klant - koppelen","OK"))))))</f>
        <v/>
      </c>
    </row>
    <row r="982" ht="15" customHeight="1" s="42">
      <c r="A982" s="55" t="n"/>
      <c r="B982" s="56">
        <f>IF(A982="","",WEEKNUM(A982,21))</f>
        <v/>
      </c>
      <c r="C982" s="57" t="n"/>
      <c r="D982" s="57" t="n"/>
      <c r="E982" s="58" t="n"/>
      <c r="F982" s="57" t="n"/>
      <c r="G982" s="59" t="n"/>
      <c r="H982" s="59" t="n"/>
      <c r="I982" s="60">
        <f>IF(OR(G982="",H982=""),"",MOD(H982-G982,1))</f>
        <v/>
      </c>
      <c r="J982" s="61">
        <f>IF(OR(G982="",H982=""),"",ROUND(MOD(H982-G982,1)*24,2))</f>
        <v/>
      </c>
      <c r="K982" s="62">
        <f>IF(E982="","",IF(E982="Werken","JA","NEE"))</f>
        <v/>
      </c>
      <c r="L982" s="61">
        <f>IF(K982="JA",N(J982),IF(E982="","",0))</f>
        <v/>
      </c>
      <c r="M982" s="62">
        <f>IF(AND(A982="",E982=""),"",IF(E982="","Segment ontbreekt",IF(OR(G982="",H982=""),"Van/tot ontbreekt",IF(N(J982)=0,"Duur is nul",IF(N(J982)&gt;12,"Langer dan 12 uur - controleren",IF(AND(E982="Werken",D982=""),"Werken zonder klant - koppelen","OK"))))))</f>
        <v/>
      </c>
    </row>
    <row r="983" ht="15" customHeight="1" s="42">
      <c r="A983" s="55" t="n"/>
      <c r="B983" s="56">
        <f>IF(A983="","",WEEKNUM(A983,21))</f>
        <v/>
      </c>
      <c r="C983" s="57" t="n"/>
      <c r="D983" s="57" t="n"/>
      <c r="E983" s="58" t="n"/>
      <c r="F983" s="57" t="n"/>
      <c r="G983" s="59" t="n"/>
      <c r="H983" s="59" t="n"/>
      <c r="I983" s="60">
        <f>IF(OR(G983="",H983=""),"",MOD(H983-G983,1))</f>
        <v/>
      </c>
      <c r="J983" s="61">
        <f>IF(OR(G983="",H983=""),"",ROUND(MOD(H983-G983,1)*24,2))</f>
        <v/>
      </c>
      <c r="K983" s="62">
        <f>IF(E983="","",IF(E983="Werken","JA","NEE"))</f>
        <v/>
      </c>
      <c r="L983" s="61">
        <f>IF(K983="JA",N(J983),IF(E983="","",0))</f>
        <v/>
      </c>
      <c r="M983" s="62">
        <f>IF(AND(A983="",E983=""),"",IF(E983="","Segment ontbreekt",IF(OR(G983="",H983=""),"Van/tot ontbreekt",IF(N(J983)=0,"Duur is nul",IF(N(J983)&gt;12,"Langer dan 12 uur - controleren",IF(AND(E983="Werken",D983=""),"Werken zonder klant - koppelen","OK"))))))</f>
        <v/>
      </c>
    </row>
    <row r="984" ht="15" customHeight="1" s="42">
      <c r="A984" s="55" t="n"/>
      <c r="B984" s="56">
        <f>IF(A984="","",WEEKNUM(A984,21))</f>
        <v/>
      </c>
      <c r="C984" s="57" t="n"/>
      <c r="D984" s="57" t="n"/>
      <c r="E984" s="58" t="n"/>
      <c r="F984" s="57" t="n"/>
      <c r="G984" s="59" t="n"/>
      <c r="H984" s="59" t="n"/>
      <c r="I984" s="60">
        <f>IF(OR(G984="",H984=""),"",MOD(H984-G984,1))</f>
        <v/>
      </c>
      <c r="J984" s="61">
        <f>IF(OR(G984="",H984=""),"",ROUND(MOD(H984-G984,1)*24,2))</f>
        <v/>
      </c>
      <c r="K984" s="62">
        <f>IF(E984="","",IF(E984="Werken","JA","NEE"))</f>
        <v/>
      </c>
      <c r="L984" s="61">
        <f>IF(K984="JA",N(J984),IF(E984="","",0))</f>
        <v/>
      </c>
      <c r="M984" s="62">
        <f>IF(AND(A984="",E984=""),"",IF(E984="","Segment ontbreekt",IF(OR(G984="",H984=""),"Van/tot ontbreekt",IF(N(J984)=0,"Duur is nul",IF(N(J984)&gt;12,"Langer dan 12 uur - controleren",IF(AND(E984="Werken",D984=""),"Werken zonder klant - koppelen","OK"))))))</f>
        <v/>
      </c>
    </row>
    <row r="985" ht="15" customHeight="1" s="42">
      <c r="A985" s="55" t="n"/>
      <c r="B985" s="56">
        <f>IF(A985="","",WEEKNUM(A985,21))</f>
        <v/>
      </c>
      <c r="C985" s="57" t="n"/>
      <c r="D985" s="57" t="n"/>
      <c r="E985" s="58" t="n"/>
      <c r="F985" s="57" t="n"/>
      <c r="G985" s="59" t="n"/>
      <c r="H985" s="59" t="n"/>
      <c r="I985" s="60">
        <f>IF(OR(G985="",H985=""),"",MOD(H985-G985,1))</f>
        <v/>
      </c>
      <c r="J985" s="61">
        <f>IF(OR(G985="",H985=""),"",ROUND(MOD(H985-G985,1)*24,2))</f>
        <v/>
      </c>
      <c r="K985" s="62">
        <f>IF(E985="","",IF(E985="Werken","JA","NEE"))</f>
        <v/>
      </c>
      <c r="L985" s="61">
        <f>IF(K985="JA",N(J985),IF(E985="","",0))</f>
        <v/>
      </c>
      <c r="M985" s="62">
        <f>IF(AND(A985="",E985=""),"",IF(E985="","Segment ontbreekt",IF(OR(G985="",H985=""),"Van/tot ontbreekt",IF(N(J985)=0,"Duur is nul",IF(N(J985)&gt;12,"Langer dan 12 uur - controleren",IF(AND(E985="Werken",D985=""),"Werken zonder klant - koppelen","OK"))))))</f>
        <v/>
      </c>
    </row>
    <row r="986" ht="15" customHeight="1" s="42">
      <c r="A986" s="55" t="n"/>
      <c r="B986" s="56">
        <f>IF(A986="","",WEEKNUM(A986,21))</f>
        <v/>
      </c>
      <c r="C986" s="57" t="n"/>
      <c r="D986" s="57" t="n"/>
      <c r="E986" s="58" t="n"/>
      <c r="F986" s="57" t="n"/>
      <c r="G986" s="59" t="n"/>
      <c r="H986" s="59" t="n"/>
      <c r="I986" s="60">
        <f>IF(OR(G986="",H986=""),"",MOD(H986-G986,1))</f>
        <v/>
      </c>
      <c r="J986" s="61">
        <f>IF(OR(G986="",H986=""),"",ROUND(MOD(H986-G986,1)*24,2))</f>
        <v/>
      </c>
      <c r="K986" s="62">
        <f>IF(E986="","",IF(E986="Werken","JA","NEE"))</f>
        <v/>
      </c>
      <c r="L986" s="61">
        <f>IF(K986="JA",N(J986),IF(E986="","",0))</f>
        <v/>
      </c>
      <c r="M986" s="62">
        <f>IF(AND(A986="",E986=""),"",IF(E986="","Segment ontbreekt",IF(OR(G986="",H986=""),"Van/tot ontbreekt",IF(N(J986)=0,"Duur is nul",IF(N(J986)&gt;12,"Langer dan 12 uur - controleren",IF(AND(E986="Werken",D986=""),"Werken zonder klant - koppelen","OK"))))))</f>
        <v/>
      </c>
    </row>
    <row r="987" ht="15" customHeight="1" s="42">
      <c r="A987" s="55" t="n"/>
      <c r="B987" s="56">
        <f>IF(A987="","",WEEKNUM(A987,21))</f>
        <v/>
      </c>
      <c r="C987" s="57" t="n"/>
      <c r="D987" s="57" t="n"/>
      <c r="E987" s="58" t="n"/>
      <c r="F987" s="57" t="n"/>
      <c r="G987" s="59" t="n"/>
      <c r="H987" s="59" t="n"/>
      <c r="I987" s="60">
        <f>IF(OR(G987="",H987=""),"",MOD(H987-G987,1))</f>
        <v/>
      </c>
      <c r="J987" s="61">
        <f>IF(OR(G987="",H987=""),"",ROUND(MOD(H987-G987,1)*24,2))</f>
        <v/>
      </c>
      <c r="K987" s="62">
        <f>IF(E987="","",IF(E987="Werken","JA","NEE"))</f>
        <v/>
      </c>
      <c r="L987" s="61">
        <f>IF(K987="JA",N(J987),IF(E987="","",0))</f>
        <v/>
      </c>
      <c r="M987" s="62">
        <f>IF(AND(A987="",E987=""),"",IF(E987="","Segment ontbreekt",IF(OR(G987="",H987=""),"Van/tot ontbreekt",IF(N(J987)=0,"Duur is nul",IF(N(J987)&gt;12,"Langer dan 12 uur - controleren",IF(AND(E987="Werken",D987=""),"Werken zonder klant - koppelen","OK"))))))</f>
        <v/>
      </c>
    </row>
    <row r="988" ht="15" customHeight="1" s="42">
      <c r="A988" s="55" t="n"/>
      <c r="B988" s="56">
        <f>IF(A988="","",WEEKNUM(A988,21))</f>
        <v/>
      </c>
      <c r="C988" s="57" t="n"/>
      <c r="D988" s="57" t="n"/>
      <c r="E988" s="58" t="n"/>
      <c r="F988" s="57" t="n"/>
      <c r="G988" s="59" t="n"/>
      <c r="H988" s="59" t="n"/>
      <c r="I988" s="60">
        <f>IF(OR(G988="",H988=""),"",MOD(H988-G988,1))</f>
        <v/>
      </c>
      <c r="J988" s="61">
        <f>IF(OR(G988="",H988=""),"",ROUND(MOD(H988-G988,1)*24,2))</f>
        <v/>
      </c>
      <c r="K988" s="62">
        <f>IF(E988="","",IF(E988="Werken","JA","NEE"))</f>
        <v/>
      </c>
      <c r="L988" s="61">
        <f>IF(K988="JA",N(J988),IF(E988="","",0))</f>
        <v/>
      </c>
      <c r="M988" s="62">
        <f>IF(AND(A988="",E988=""),"",IF(E988="","Segment ontbreekt",IF(OR(G988="",H988=""),"Van/tot ontbreekt",IF(N(J988)=0,"Duur is nul",IF(N(J988)&gt;12,"Langer dan 12 uur - controleren",IF(AND(E988="Werken",D988=""),"Werken zonder klant - koppelen","OK"))))))</f>
        <v/>
      </c>
    </row>
    <row r="989" ht="15" customHeight="1" s="42">
      <c r="A989" s="55" t="n"/>
      <c r="B989" s="56">
        <f>IF(A989="","",WEEKNUM(A989,21))</f>
        <v/>
      </c>
      <c r="C989" s="57" t="n"/>
      <c r="D989" s="57" t="n"/>
      <c r="E989" s="58" t="n"/>
      <c r="F989" s="57" t="n"/>
      <c r="G989" s="59" t="n"/>
      <c r="H989" s="59" t="n"/>
      <c r="I989" s="60">
        <f>IF(OR(G989="",H989=""),"",MOD(H989-G989,1))</f>
        <v/>
      </c>
      <c r="J989" s="61">
        <f>IF(OR(G989="",H989=""),"",ROUND(MOD(H989-G989,1)*24,2))</f>
        <v/>
      </c>
      <c r="K989" s="62">
        <f>IF(E989="","",IF(E989="Werken","JA","NEE"))</f>
        <v/>
      </c>
      <c r="L989" s="61">
        <f>IF(K989="JA",N(J989),IF(E989="","",0))</f>
        <v/>
      </c>
      <c r="M989" s="62">
        <f>IF(AND(A989="",E989=""),"",IF(E989="","Segment ontbreekt",IF(OR(G989="",H989=""),"Van/tot ontbreekt",IF(N(J989)=0,"Duur is nul",IF(N(J989)&gt;12,"Langer dan 12 uur - controleren",IF(AND(E989="Werken",D989=""),"Werken zonder klant - koppelen","OK"))))))</f>
        <v/>
      </c>
    </row>
    <row r="990" ht="15" customHeight="1" s="42">
      <c r="A990" s="55" t="n"/>
      <c r="B990" s="56">
        <f>IF(A990="","",WEEKNUM(A990,21))</f>
        <v/>
      </c>
      <c r="C990" s="57" t="n"/>
      <c r="D990" s="57" t="n"/>
      <c r="E990" s="58" t="n"/>
      <c r="F990" s="57" t="n"/>
      <c r="G990" s="59" t="n"/>
      <c r="H990" s="59" t="n"/>
      <c r="I990" s="60">
        <f>IF(OR(G990="",H990=""),"",MOD(H990-G990,1))</f>
        <v/>
      </c>
      <c r="J990" s="61">
        <f>IF(OR(G990="",H990=""),"",ROUND(MOD(H990-G990,1)*24,2))</f>
        <v/>
      </c>
      <c r="K990" s="62">
        <f>IF(E990="","",IF(E990="Werken","JA","NEE"))</f>
        <v/>
      </c>
      <c r="L990" s="61">
        <f>IF(K990="JA",N(J990),IF(E990="","",0))</f>
        <v/>
      </c>
      <c r="M990" s="62">
        <f>IF(AND(A990="",E990=""),"",IF(E990="","Segment ontbreekt",IF(OR(G990="",H990=""),"Van/tot ontbreekt",IF(N(J990)=0,"Duur is nul",IF(N(J990)&gt;12,"Langer dan 12 uur - controleren",IF(AND(E990="Werken",D990=""),"Werken zonder klant - koppelen","OK"))))))</f>
        <v/>
      </c>
    </row>
    <row r="991" ht="15" customHeight="1" s="42">
      <c r="A991" s="55" t="n"/>
      <c r="B991" s="56">
        <f>IF(A991="","",WEEKNUM(A991,21))</f>
        <v/>
      </c>
      <c r="C991" s="57" t="n"/>
      <c r="D991" s="57" t="n"/>
      <c r="E991" s="58" t="n"/>
      <c r="F991" s="57" t="n"/>
      <c r="G991" s="59" t="n"/>
      <c r="H991" s="59" t="n"/>
      <c r="I991" s="60">
        <f>IF(OR(G991="",H991=""),"",MOD(H991-G991,1))</f>
        <v/>
      </c>
      <c r="J991" s="61">
        <f>IF(OR(G991="",H991=""),"",ROUND(MOD(H991-G991,1)*24,2))</f>
        <v/>
      </c>
      <c r="K991" s="62">
        <f>IF(E991="","",IF(E991="Werken","JA","NEE"))</f>
        <v/>
      </c>
      <c r="L991" s="61">
        <f>IF(K991="JA",N(J991),IF(E991="","",0))</f>
        <v/>
      </c>
      <c r="M991" s="62">
        <f>IF(AND(A991="",E991=""),"",IF(E991="","Segment ontbreekt",IF(OR(G991="",H991=""),"Van/tot ontbreekt",IF(N(J991)=0,"Duur is nul",IF(N(J991)&gt;12,"Langer dan 12 uur - controleren",IF(AND(E991="Werken",D991=""),"Werken zonder klant - koppelen","OK"))))))</f>
        <v/>
      </c>
    </row>
    <row r="992" ht="15" customHeight="1" s="42">
      <c r="A992" s="55" t="n"/>
      <c r="B992" s="56">
        <f>IF(A992="","",WEEKNUM(A992,21))</f>
        <v/>
      </c>
      <c r="C992" s="57" t="n"/>
      <c r="D992" s="57" t="n"/>
      <c r="E992" s="58" t="n"/>
      <c r="F992" s="57" t="n"/>
      <c r="G992" s="59" t="n"/>
      <c r="H992" s="59" t="n"/>
      <c r="I992" s="60">
        <f>IF(OR(G992="",H992=""),"",MOD(H992-G992,1))</f>
        <v/>
      </c>
      <c r="J992" s="61">
        <f>IF(OR(G992="",H992=""),"",ROUND(MOD(H992-G992,1)*24,2))</f>
        <v/>
      </c>
      <c r="K992" s="62">
        <f>IF(E992="","",IF(E992="Werken","JA","NEE"))</f>
        <v/>
      </c>
      <c r="L992" s="61">
        <f>IF(K992="JA",N(J992),IF(E992="","",0))</f>
        <v/>
      </c>
      <c r="M992" s="62">
        <f>IF(AND(A992="",E992=""),"",IF(E992="","Segment ontbreekt",IF(OR(G992="",H992=""),"Van/tot ontbreekt",IF(N(J992)=0,"Duur is nul",IF(N(J992)&gt;12,"Langer dan 12 uur - controleren",IF(AND(E992="Werken",D992=""),"Werken zonder klant - koppelen","OK"))))))</f>
        <v/>
      </c>
    </row>
    <row r="993" ht="15" customHeight="1" s="42">
      <c r="A993" s="55" t="n"/>
      <c r="B993" s="56">
        <f>IF(A993="","",WEEKNUM(A993,21))</f>
        <v/>
      </c>
      <c r="C993" s="57" t="n"/>
      <c r="D993" s="57" t="n"/>
      <c r="E993" s="58" t="n"/>
      <c r="F993" s="57" t="n"/>
      <c r="G993" s="59" t="n"/>
      <c r="H993" s="59" t="n"/>
      <c r="I993" s="60">
        <f>IF(OR(G993="",H993=""),"",MOD(H993-G993,1))</f>
        <v/>
      </c>
      <c r="J993" s="61">
        <f>IF(OR(G993="",H993=""),"",ROUND(MOD(H993-G993,1)*24,2))</f>
        <v/>
      </c>
      <c r="K993" s="62">
        <f>IF(E993="","",IF(E993="Werken","JA","NEE"))</f>
        <v/>
      </c>
      <c r="L993" s="61">
        <f>IF(K993="JA",N(J993),IF(E993="","",0))</f>
        <v/>
      </c>
      <c r="M993" s="62">
        <f>IF(AND(A993="",E993=""),"",IF(E993="","Segment ontbreekt",IF(OR(G993="",H993=""),"Van/tot ontbreekt",IF(N(J993)=0,"Duur is nul",IF(N(J993)&gt;12,"Langer dan 12 uur - controleren",IF(AND(E993="Werken",D993=""),"Werken zonder klant - koppelen","OK"))))))</f>
        <v/>
      </c>
    </row>
    <row r="994" ht="15" customHeight="1" s="42">
      <c r="A994" s="55" t="n"/>
      <c r="B994" s="56">
        <f>IF(A994="","",WEEKNUM(A994,21))</f>
        <v/>
      </c>
      <c r="C994" s="57" t="n"/>
      <c r="D994" s="57" t="n"/>
      <c r="E994" s="58" t="n"/>
      <c r="F994" s="57" t="n"/>
      <c r="G994" s="59" t="n"/>
      <c r="H994" s="59" t="n"/>
      <c r="I994" s="60">
        <f>IF(OR(G994="",H994=""),"",MOD(H994-G994,1))</f>
        <v/>
      </c>
      <c r="J994" s="61">
        <f>IF(OR(G994="",H994=""),"",ROUND(MOD(H994-G994,1)*24,2))</f>
        <v/>
      </c>
      <c r="K994" s="62">
        <f>IF(E994="","",IF(E994="Werken","JA","NEE"))</f>
        <v/>
      </c>
      <c r="L994" s="61">
        <f>IF(K994="JA",N(J994),IF(E994="","",0))</f>
        <v/>
      </c>
      <c r="M994" s="62">
        <f>IF(AND(A994="",E994=""),"",IF(E994="","Segment ontbreekt",IF(OR(G994="",H994=""),"Van/tot ontbreekt",IF(N(J994)=0,"Duur is nul",IF(N(J994)&gt;12,"Langer dan 12 uur - controleren",IF(AND(E994="Werken",D994=""),"Werken zonder klant - koppelen","OK"))))))</f>
        <v/>
      </c>
    </row>
    <row r="995" ht="15" customHeight="1" s="42">
      <c r="A995" s="55" t="n"/>
      <c r="B995" s="56">
        <f>IF(A995="","",WEEKNUM(A995,21))</f>
        <v/>
      </c>
      <c r="C995" s="57" t="n"/>
      <c r="D995" s="57" t="n"/>
      <c r="E995" s="58" t="n"/>
      <c r="F995" s="57" t="n"/>
      <c r="G995" s="59" t="n"/>
      <c r="H995" s="59" t="n"/>
      <c r="I995" s="60">
        <f>IF(OR(G995="",H995=""),"",MOD(H995-G995,1))</f>
        <v/>
      </c>
      <c r="J995" s="61">
        <f>IF(OR(G995="",H995=""),"",ROUND(MOD(H995-G995,1)*24,2))</f>
        <v/>
      </c>
      <c r="K995" s="62">
        <f>IF(E995="","",IF(E995="Werken","JA","NEE"))</f>
        <v/>
      </c>
      <c r="L995" s="61">
        <f>IF(K995="JA",N(J995),IF(E995="","",0))</f>
        <v/>
      </c>
      <c r="M995" s="62">
        <f>IF(AND(A995="",E995=""),"",IF(E995="","Segment ontbreekt",IF(OR(G995="",H995=""),"Van/tot ontbreekt",IF(N(J995)=0,"Duur is nul",IF(N(J995)&gt;12,"Langer dan 12 uur - controleren",IF(AND(E995="Werken",D995=""),"Werken zonder klant - koppelen","OK"))))))</f>
        <v/>
      </c>
    </row>
    <row r="996" ht="15" customHeight="1" s="42">
      <c r="A996" s="55" t="n"/>
      <c r="B996" s="56">
        <f>IF(A996="","",WEEKNUM(A996,21))</f>
        <v/>
      </c>
      <c r="C996" s="57" t="n"/>
      <c r="D996" s="57" t="n"/>
      <c r="E996" s="58" t="n"/>
      <c r="F996" s="57" t="n"/>
      <c r="G996" s="59" t="n"/>
      <c r="H996" s="59" t="n"/>
      <c r="I996" s="60">
        <f>IF(OR(G996="",H996=""),"",MOD(H996-G996,1))</f>
        <v/>
      </c>
      <c r="J996" s="61">
        <f>IF(OR(G996="",H996=""),"",ROUND(MOD(H996-G996,1)*24,2))</f>
        <v/>
      </c>
      <c r="K996" s="62">
        <f>IF(E996="","",IF(E996="Werken","JA","NEE"))</f>
        <v/>
      </c>
      <c r="L996" s="61">
        <f>IF(K996="JA",N(J996),IF(E996="","",0))</f>
        <v/>
      </c>
      <c r="M996" s="62">
        <f>IF(AND(A996="",E996=""),"",IF(E996="","Segment ontbreekt",IF(OR(G996="",H996=""),"Van/tot ontbreekt",IF(N(J996)=0,"Duur is nul",IF(N(J996)&gt;12,"Langer dan 12 uur - controleren",IF(AND(E996="Werken",D996=""),"Werken zonder klant - koppelen","OK"))))))</f>
        <v/>
      </c>
    </row>
    <row r="997" ht="15" customHeight="1" s="42">
      <c r="A997" s="55" t="n"/>
      <c r="B997" s="56">
        <f>IF(A997="","",WEEKNUM(A997,21))</f>
        <v/>
      </c>
      <c r="C997" s="57" t="n"/>
      <c r="D997" s="57" t="n"/>
      <c r="E997" s="58" t="n"/>
      <c r="F997" s="57" t="n"/>
      <c r="G997" s="59" t="n"/>
      <c r="H997" s="59" t="n"/>
      <c r="I997" s="60">
        <f>IF(OR(G997="",H997=""),"",MOD(H997-G997,1))</f>
        <v/>
      </c>
      <c r="J997" s="61">
        <f>IF(OR(G997="",H997=""),"",ROUND(MOD(H997-G997,1)*24,2))</f>
        <v/>
      </c>
      <c r="K997" s="62">
        <f>IF(E997="","",IF(E997="Werken","JA","NEE"))</f>
        <v/>
      </c>
      <c r="L997" s="61">
        <f>IF(K997="JA",N(J997),IF(E997="","",0))</f>
        <v/>
      </c>
      <c r="M997" s="62">
        <f>IF(AND(A997="",E997=""),"",IF(E997="","Segment ontbreekt",IF(OR(G997="",H997=""),"Van/tot ontbreekt",IF(N(J997)=0,"Duur is nul",IF(N(J997)&gt;12,"Langer dan 12 uur - controleren",IF(AND(E997="Werken",D997=""),"Werken zonder klant - koppelen","OK"))))))</f>
        <v/>
      </c>
    </row>
    <row r="998" ht="15" customHeight="1" s="42">
      <c r="A998" s="55" t="n"/>
      <c r="B998" s="56">
        <f>IF(A998="","",WEEKNUM(A998,21))</f>
        <v/>
      </c>
      <c r="C998" s="57" t="n"/>
      <c r="D998" s="57" t="n"/>
      <c r="E998" s="58" t="n"/>
      <c r="F998" s="57" t="n"/>
      <c r="G998" s="59" t="n"/>
      <c r="H998" s="59" t="n"/>
      <c r="I998" s="60">
        <f>IF(OR(G998="",H998=""),"",MOD(H998-G998,1))</f>
        <v/>
      </c>
      <c r="J998" s="61">
        <f>IF(OR(G998="",H998=""),"",ROUND(MOD(H998-G998,1)*24,2))</f>
        <v/>
      </c>
      <c r="K998" s="62">
        <f>IF(E998="","",IF(E998="Werken","JA","NEE"))</f>
        <v/>
      </c>
      <c r="L998" s="61">
        <f>IF(K998="JA",N(J998),IF(E998="","",0))</f>
        <v/>
      </c>
      <c r="M998" s="62">
        <f>IF(AND(A998="",E998=""),"",IF(E998="","Segment ontbreekt",IF(OR(G998="",H998=""),"Van/tot ontbreekt",IF(N(J998)=0,"Duur is nul",IF(N(J998)&gt;12,"Langer dan 12 uur - controleren",IF(AND(E998="Werken",D998=""),"Werken zonder klant - koppelen","OK"))))))</f>
        <v/>
      </c>
    </row>
    <row r="999" ht="15" customHeight="1" s="42">
      <c r="A999" s="55" t="n"/>
      <c r="B999" s="56">
        <f>IF(A999="","",WEEKNUM(A999,21))</f>
        <v/>
      </c>
      <c r="C999" s="57" t="n"/>
      <c r="D999" s="57" t="n"/>
      <c r="E999" s="58" t="n"/>
      <c r="F999" s="57" t="n"/>
      <c r="G999" s="59" t="n"/>
      <c r="H999" s="59" t="n"/>
      <c r="I999" s="60">
        <f>IF(OR(G999="",H999=""),"",MOD(H999-G999,1))</f>
        <v/>
      </c>
      <c r="J999" s="61">
        <f>IF(OR(G999="",H999=""),"",ROUND(MOD(H999-G999,1)*24,2))</f>
        <v/>
      </c>
      <c r="K999" s="62">
        <f>IF(E999="","",IF(E999="Werken","JA","NEE"))</f>
        <v/>
      </c>
      <c r="L999" s="61">
        <f>IF(K999="JA",N(J999),IF(E999="","",0))</f>
        <v/>
      </c>
      <c r="M999" s="62">
        <f>IF(AND(A999="",E999=""),"",IF(E999="","Segment ontbreekt",IF(OR(G999="",H999=""),"Van/tot ontbreekt",IF(N(J999)=0,"Duur is nul",IF(N(J999)&gt;12,"Langer dan 12 uur - controleren",IF(AND(E999="Werken",D999=""),"Werken zonder klant - koppelen","OK"))))))</f>
        <v/>
      </c>
    </row>
    <row r="1000" ht="15" customHeight="1" s="42">
      <c r="A1000" s="55" t="n"/>
      <c r="B1000" s="56">
        <f>IF(A1000="","",WEEKNUM(A1000,21))</f>
        <v/>
      </c>
      <c r="C1000" s="57" t="n"/>
      <c r="D1000" s="57" t="n"/>
      <c r="E1000" s="58" t="n"/>
      <c r="F1000" s="57" t="n"/>
      <c r="G1000" s="59" t="n"/>
      <c r="H1000" s="59" t="n"/>
      <c r="I1000" s="60">
        <f>IF(OR(G1000="",H1000=""),"",MOD(H1000-G1000,1))</f>
        <v/>
      </c>
      <c r="J1000" s="61">
        <f>IF(OR(G1000="",H1000=""),"",ROUND(MOD(H1000-G1000,1)*24,2))</f>
        <v/>
      </c>
      <c r="K1000" s="62">
        <f>IF(E1000="","",IF(E1000="Werken","JA","NEE"))</f>
        <v/>
      </c>
      <c r="L1000" s="61">
        <f>IF(K1000="JA",N(J1000),IF(E1000="","",0))</f>
        <v/>
      </c>
      <c r="M1000" s="62">
        <f>IF(AND(A1000="",E1000=""),"",IF(E1000="","Segment ontbreekt",IF(OR(G1000="",H1000=""),"Van/tot ontbreekt",IF(N(J1000)=0,"Duur is nul",IF(N(J1000)&gt;12,"Langer dan 12 uur - controleren",IF(AND(E1000="Werken",D1000=""),"Werken zonder klant - koppelen","OK"))))))</f>
        <v/>
      </c>
    </row>
    <row r="1001" ht="15" customHeight="1" s="42">
      <c r="A1001" s="55" t="n"/>
      <c r="B1001" s="56">
        <f>IF(A1001="","",WEEKNUM(A1001,21))</f>
        <v/>
      </c>
      <c r="C1001" s="57" t="n"/>
      <c r="D1001" s="57" t="n"/>
      <c r="E1001" s="58" t="n"/>
      <c r="F1001" s="57" t="n"/>
      <c r="G1001" s="59" t="n"/>
      <c r="H1001" s="59" t="n"/>
      <c r="I1001" s="60">
        <f>IF(OR(G1001="",H1001=""),"",MOD(H1001-G1001,1))</f>
        <v/>
      </c>
      <c r="J1001" s="61">
        <f>IF(OR(G1001="",H1001=""),"",ROUND(MOD(H1001-G1001,1)*24,2))</f>
        <v/>
      </c>
      <c r="K1001" s="62">
        <f>IF(E1001="","",IF(E1001="Werken","JA","NEE"))</f>
        <v/>
      </c>
      <c r="L1001" s="61">
        <f>IF(K1001="JA",N(J1001),IF(E1001="","",0))</f>
        <v/>
      </c>
      <c r="M1001" s="62">
        <f>IF(AND(A1001="",E1001=""),"",IF(E1001="","Segment ontbreekt",IF(OR(G1001="",H1001=""),"Van/tot ontbreekt",IF(N(J1001)=0,"Duur is nul",IF(N(J1001)&gt;12,"Langer dan 12 uur - controleren",IF(AND(E1001="Werken",D1001=""),"Werken zonder klant - koppelen","OK"))))))</f>
        <v/>
      </c>
    </row>
    <row r="1002" ht="15" customHeight="1" s="42">
      <c r="A1002" s="55" t="n"/>
      <c r="B1002" s="56">
        <f>IF(A1002="","",WEEKNUM(A1002,21))</f>
        <v/>
      </c>
      <c r="C1002" s="57" t="n"/>
      <c r="D1002" s="57" t="n"/>
      <c r="E1002" s="58" t="n"/>
      <c r="F1002" s="57" t="n"/>
      <c r="G1002" s="59" t="n"/>
      <c r="H1002" s="59" t="n"/>
      <c r="I1002" s="60">
        <f>IF(OR(G1002="",H1002=""),"",MOD(H1002-G1002,1))</f>
        <v/>
      </c>
      <c r="J1002" s="61">
        <f>IF(OR(G1002="",H1002=""),"",ROUND(MOD(H1002-G1002,1)*24,2))</f>
        <v/>
      </c>
      <c r="K1002" s="62">
        <f>IF(E1002="","",IF(E1002="Werken","JA","NEE"))</f>
        <v/>
      </c>
      <c r="L1002" s="61">
        <f>IF(K1002="JA",N(J1002),IF(E1002="","",0))</f>
        <v/>
      </c>
      <c r="M1002" s="62">
        <f>IF(AND(A1002="",E1002=""),"",IF(E1002="","Segment ontbreekt",IF(OR(G1002="",H1002=""),"Van/tot ontbreekt",IF(N(J1002)=0,"Duur is nul",IF(N(J1002)&gt;12,"Langer dan 12 uur - controleren",IF(AND(E1002="Werken",D1002=""),"Werken zonder klant - koppelen","OK"))))))</f>
        <v/>
      </c>
    </row>
    <row r="1003" ht="15" customHeight="1" s="42">
      <c r="A1003" s="55" t="n"/>
      <c r="B1003" s="56">
        <f>IF(A1003="","",WEEKNUM(A1003,21))</f>
        <v/>
      </c>
      <c r="C1003" s="57" t="n"/>
      <c r="D1003" s="57" t="n"/>
      <c r="E1003" s="58" t="n"/>
      <c r="F1003" s="57" t="n"/>
      <c r="G1003" s="59" t="n"/>
      <c r="H1003" s="59" t="n"/>
      <c r="I1003" s="60">
        <f>IF(OR(G1003="",H1003=""),"",MOD(H1003-G1003,1))</f>
        <v/>
      </c>
      <c r="J1003" s="61">
        <f>IF(OR(G1003="",H1003=""),"",ROUND(MOD(H1003-G1003,1)*24,2))</f>
        <v/>
      </c>
      <c r="K1003" s="62">
        <f>IF(E1003="","",IF(E1003="Werken","JA","NEE"))</f>
        <v/>
      </c>
      <c r="L1003" s="61">
        <f>IF(K1003="JA",N(J1003),IF(E1003="","",0))</f>
        <v/>
      </c>
      <c r="M1003" s="62">
        <f>IF(AND(A1003="",E1003=""),"",IF(E1003="","Segment ontbreekt",IF(OR(G1003="",H1003=""),"Van/tot ontbreekt",IF(N(J1003)=0,"Duur is nul",IF(N(J1003)&gt;12,"Langer dan 12 uur - controleren",IF(AND(E1003="Werken",D1003=""),"Werken zonder klant - koppelen","OK"))))))</f>
        <v/>
      </c>
    </row>
    <row r="1004" ht="15" customHeight="1" s="42">
      <c r="A1004" s="55" t="n"/>
      <c r="B1004" s="56">
        <f>IF(A1004="","",WEEKNUM(A1004,21))</f>
        <v/>
      </c>
      <c r="C1004" s="57" t="n"/>
      <c r="D1004" s="57" t="n"/>
      <c r="E1004" s="58" t="n"/>
      <c r="F1004" s="57" t="n"/>
      <c r="G1004" s="59" t="n"/>
      <c r="H1004" s="59" t="n"/>
      <c r="I1004" s="60">
        <f>IF(OR(G1004="",H1004=""),"",MOD(H1004-G1004,1))</f>
        <v/>
      </c>
      <c r="J1004" s="61">
        <f>IF(OR(G1004="",H1004=""),"",ROUND(MOD(H1004-G1004,1)*24,2))</f>
        <v/>
      </c>
      <c r="K1004" s="62">
        <f>IF(E1004="","",IF(E1004="Werken","JA","NEE"))</f>
        <v/>
      </c>
      <c r="L1004" s="61">
        <f>IF(K1004="JA",N(J1004),IF(E1004="","",0))</f>
        <v/>
      </c>
      <c r="M1004" s="62">
        <f>IF(AND(A1004="",E1004=""),"",IF(E1004="","Segment ontbreekt",IF(OR(G1004="",H1004=""),"Van/tot ontbreekt",IF(N(J1004)=0,"Duur is nul",IF(N(J1004)&gt;12,"Langer dan 12 uur - controleren",IF(AND(E1004="Werken",D1004=""),"Werken zonder klant - koppelen","OK"))))))</f>
        <v/>
      </c>
    </row>
    <row r="1005" ht="15" customHeight="1" s="42">
      <c r="A1005" s="55" t="n"/>
      <c r="B1005" s="56">
        <f>IF(A1005="","",WEEKNUM(A1005,21))</f>
        <v/>
      </c>
      <c r="C1005" s="57" t="n"/>
      <c r="D1005" s="57" t="n"/>
      <c r="E1005" s="58" t="n"/>
      <c r="F1005" s="57" t="n"/>
      <c r="G1005" s="59" t="n"/>
      <c r="H1005" s="59" t="n"/>
      <c r="I1005" s="60">
        <f>IF(OR(G1005="",H1005=""),"",MOD(H1005-G1005,1))</f>
        <v/>
      </c>
      <c r="J1005" s="61">
        <f>IF(OR(G1005="",H1005=""),"",ROUND(MOD(H1005-G1005,1)*24,2))</f>
        <v/>
      </c>
      <c r="K1005" s="62">
        <f>IF(E1005="","",IF(E1005="Werken","JA","NEE"))</f>
        <v/>
      </c>
      <c r="L1005" s="61">
        <f>IF(K1005="JA",N(J1005),IF(E1005="","",0))</f>
        <v/>
      </c>
      <c r="M1005" s="62">
        <f>IF(AND(A1005="",E1005=""),"",IF(E1005="","Segment ontbreekt",IF(OR(G1005="",H1005=""),"Van/tot ontbreekt",IF(N(J1005)=0,"Duur is nul",IF(N(J1005)&gt;12,"Langer dan 12 uur - controleren",IF(AND(E1005="Werken",D1005=""),"Werken zonder klant - koppelen","OK"))))))</f>
        <v/>
      </c>
    </row>
    <row r="1006" ht="15" customHeight="1" s="42">
      <c r="A1006" s="55" t="n"/>
      <c r="B1006" s="56">
        <f>IF(A1006="","",WEEKNUM(A1006,21))</f>
        <v/>
      </c>
      <c r="C1006" s="57" t="n"/>
      <c r="D1006" s="57" t="n"/>
      <c r="E1006" s="58" t="n"/>
      <c r="F1006" s="57" t="n"/>
      <c r="G1006" s="59" t="n"/>
      <c r="H1006" s="59" t="n"/>
      <c r="I1006" s="60">
        <f>IF(OR(G1006="",H1006=""),"",MOD(H1006-G1006,1))</f>
        <v/>
      </c>
      <c r="J1006" s="61">
        <f>IF(OR(G1006="",H1006=""),"",ROUND(MOD(H1006-G1006,1)*24,2))</f>
        <v/>
      </c>
      <c r="K1006" s="62">
        <f>IF(E1006="","",IF(E1006="Werken","JA","NEE"))</f>
        <v/>
      </c>
      <c r="L1006" s="61">
        <f>IF(K1006="JA",N(J1006),IF(E1006="","",0))</f>
        <v/>
      </c>
      <c r="M1006" s="62">
        <f>IF(AND(A1006="",E1006=""),"",IF(E1006="","Segment ontbreekt",IF(OR(G1006="",H1006=""),"Van/tot ontbreekt",IF(N(J1006)=0,"Duur is nul",IF(N(J1006)&gt;12,"Langer dan 12 uur - controleren",IF(AND(E1006="Werken",D1006=""),"Werken zonder klant - koppelen","OK"))))))</f>
        <v/>
      </c>
    </row>
    <row r="1007" ht="15" customHeight="1" s="42">
      <c r="A1007" s="55" t="n"/>
      <c r="B1007" s="56">
        <f>IF(A1007="","",WEEKNUM(A1007,21))</f>
        <v/>
      </c>
      <c r="C1007" s="57" t="n"/>
      <c r="D1007" s="57" t="n"/>
      <c r="E1007" s="58" t="n"/>
      <c r="F1007" s="57" t="n"/>
      <c r="G1007" s="59" t="n"/>
      <c r="H1007" s="59" t="n"/>
      <c r="I1007" s="60">
        <f>IF(OR(G1007="",H1007=""),"",MOD(H1007-G1007,1))</f>
        <v/>
      </c>
      <c r="J1007" s="61">
        <f>IF(OR(G1007="",H1007=""),"",ROUND(MOD(H1007-G1007,1)*24,2))</f>
        <v/>
      </c>
      <c r="K1007" s="62">
        <f>IF(E1007="","",IF(E1007="Werken","JA","NEE"))</f>
        <v/>
      </c>
      <c r="L1007" s="61">
        <f>IF(K1007="JA",N(J1007),IF(E1007="","",0))</f>
        <v/>
      </c>
      <c r="M1007" s="62">
        <f>IF(AND(A1007="",E1007=""),"",IF(E1007="","Segment ontbreekt",IF(OR(G1007="",H1007=""),"Van/tot ontbreekt",IF(N(J1007)=0,"Duur is nul",IF(N(J1007)&gt;12,"Langer dan 12 uur - controleren",IF(AND(E1007="Werken",D1007=""),"Werken zonder klant - koppelen","OK"))))))</f>
        <v/>
      </c>
    </row>
    <row r="1008" ht="15" customHeight="1" s="42">
      <c r="A1008" s="55" t="n"/>
      <c r="B1008" s="56">
        <f>IF(A1008="","",WEEKNUM(A1008,21))</f>
        <v/>
      </c>
      <c r="C1008" s="57" t="n"/>
      <c r="D1008" s="57" t="n"/>
      <c r="E1008" s="58" t="n"/>
      <c r="F1008" s="57" t="n"/>
      <c r="G1008" s="59" t="n"/>
      <c r="H1008" s="59" t="n"/>
      <c r="I1008" s="60">
        <f>IF(OR(G1008="",H1008=""),"",MOD(H1008-G1008,1))</f>
        <v/>
      </c>
      <c r="J1008" s="61">
        <f>IF(OR(G1008="",H1008=""),"",ROUND(MOD(H1008-G1008,1)*24,2))</f>
        <v/>
      </c>
      <c r="K1008" s="62">
        <f>IF(E1008="","",IF(E1008="Werken","JA","NEE"))</f>
        <v/>
      </c>
      <c r="L1008" s="61">
        <f>IF(K1008="JA",N(J1008),IF(E1008="","",0))</f>
        <v/>
      </c>
      <c r="M1008" s="62">
        <f>IF(AND(A1008="",E1008=""),"",IF(E1008="","Segment ontbreekt",IF(OR(G1008="",H1008=""),"Van/tot ontbreekt",IF(N(J1008)=0,"Duur is nul",IF(N(J1008)&gt;12,"Langer dan 12 uur - controleren",IF(AND(E1008="Werken",D1008=""),"Werken zonder klant - koppelen","OK"))))))</f>
        <v/>
      </c>
    </row>
    <row r="1009" ht="15" customHeight="1" s="42">
      <c r="A1009" s="55" t="n"/>
      <c r="B1009" s="56">
        <f>IF(A1009="","",WEEKNUM(A1009,21))</f>
        <v/>
      </c>
      <c r="C1009" s="57" t="n"/>
      <c r="D1009" s="57" t="n"/>
      <c r="E1009" s="58" t="n"/>
      <c r="F1009" s="57" t="n"/>
      <c r="G1009" s="59" t="n"/>
      <c r="H1009" s="59" t="n"/>
      <c r="I1009" s="60">
        <f>IF(OR(G1009="",H1009=""),"",MOD(H1009-G1009,1))</f>
        <v/>
      </c>
      <c r="J1009" s="61">
        <f>IF(OR(G1009="",H1009=""),"",ROUND(MOD(H1009-G1009,1)*24,2))</f>
        <v/>
      </c>
      <c r="K1009" s="62">
        <f>IF(E1009="","",IF(E1009="Werken","JA","NEE"))</f>
        <v/>
      </c>
      <c r="L1009" s="61">
        <f>IF(K1009="JA",N(J1009),IF(E1009="","",0))</f>
        <v/>
      </c>
      <c r="M1009" s="62">
        <f>IF(AND(A1009="",E1009=""),"",IF(E1009="","Segment ontbreekt",IF(OR(G1009="",H1009=""),"Van/tot ontbreekt",IF(N(J1009)=0,"Duur is nul",IF(N(J1009)&gt;12,"Langer dan 12 uur - controleren",IF(AND(E1009="Werken",D1009=""),"Werken zonder klant - koppelen","OK"))))))</f>
        <v/>
      </c>
    </row>
    <row r="1010" ht="15" customHeight="1" s="42">
      <c r="A1010" s="55" t="n"/>
      <c r="B1010" s="56">
        <f>IF(A1010="","",WEEKNUM(A1010,21))</f>
        <v/>
      </c>
      <c r="C1010" s="57" t="n"/>
      <c r="D1010" s="57" t="n"/>
      <c r="E1010" s="58" t="n"/>
      <c r="F1010" s="57" t="n"/>
      <c r="G1010" s="59" t="n"/>
      <c r="H1010" s="59" t="n"/>
      <c r="I1010" s="60">
        <f>IF(OR(G1010="",H1010=""),"",MOD(H1010-G1010,1))</f>
        <v/>
      </c>
      <c r="J1010" s="61">
        <f>IF(OR(G1010="",H1010=""),"",ROUND(MOD(H1010-G1010,1)*24,2))</f>
        <v/>
      </c>
      <c r="K1010" s="62">
        <f>IF(E1010="","",IF(E1010="Werken","JA","NEE"))</f>
        <v/>
      </c>
      <c r="L1010" s="61">
        <f>IF(K1010="JA",N(J1010),IF(E1010="","",0))</f>
        <v/>
      </c>
      <c r="M1010" s="62">
        <f>IF(AND(A1010="",E1010=""),"",IF(E1010="","Segment ontbreekt",IF(OR(G1010="",H1010=""),"Van/tot ontbreekt",IF(N(J1010)=0,"Duur is nul",IF(N(J1010)&gt;12,"Langer dan 12 uur - controleren",IF(AND(E1010="Werken",D1010=""),"Werken zonder klant - koppelen","OK"))))))</f>
        <v/>
      </c>
    </row>
    <row r="1011" ht="15" customHeight="1" s="42">
      <c r="A1011" s="55" t="n"/>
      <c r="B1011" s="56">
        <f>IF(A1011="","",WEEKNUM(A1011,21))</f>
        <v/>
      </c>
      <c r="C1011" s="57" t="n"/>
      <c r="D1011" s="57" t="n"/>
      <c r="E1011" s="58" t="n"/>
      <c r="F1011" s="57" t="n"/>
      <c r="G1011" s="59" t="n"/>
      <c r="H1011" s="59" t="n"/>
      <c r="I1011" s="60">
        <f>IF(OR(G1011="",H1011=""),"",MOD(H1011-G1011,1))</f>
        <v/>
      </c>
      <c r="J1011" s="61">
        <f>IF(OR(G1011="",H1011=""),"",ROUND(MOD(H1011-G1011,1)*24,2))</f>
        <v/>
      </c>
      <c r="K1011" s="62">
        <f>IF(E1011="","",IF(E1011="Werken","JA","NEE"))</f>
        <v/>
      </c>
      <c r="L1011" s="61">
        <f>IF(K1011="JA",N(J1011),IF(E1011="","",0))</f>
        <v/>
      </c>
      <c r="M1011" s="62">
        <f>IF(AND(A1011="",E1011=""),"",IF(E1011="","Segment ontbreekt",IF(OR(G1011="",H1011=""),"Van/tot ontbreekt",IF(N(J1011)=0,"Duur is nul",IF(N(J1011)&gt;12,"Langer dan 12 uur - controleren",IF(AND(E1011="Werken",D1011=""),"Werken zonder klant - koppelen","OK"))))))</f>
        <v/>
      </c>
    </row>
    <row r="1012" ht="15" customHeight="1" s="42">
      <c r="A1012" s="55" t="n"/>
      <c r="B1012" s="56">
        <f>IF(A1012="","",WEEKNUM(A1012,21))</f>
        <v/>
      </c>
      <c r="C1012" s="57" t="n"/>
      <c r="D1012" s="57" t="n"/>
      <c r="E1012" s="58" t="n"/>
      <c r="F1012" s="57" t="n"/>
      <c r="G1012" s="59" t="n"/>
      <c r="H1012" s="59" t="n"/>
      <c r="I1012" s="60">
        <f>IF(OR(G1012="",H1012=""),"",MOD(H1012-G1012,1))</f>
        <v/>
      </c>
      <c r="J1012" s="61">
        <f>IF(OR(G1012="",H1012=""),"",ROUND(MOD(H1012-G1012,1)*24,2))</f>
        <v/>
      </c>
      <c r="K1012" s="62">
        <f>IF(E1012="","",IF(E1012="Werken","JA","NEE"))</f>
        <v/>
      </c>
      <c r="L1012" s="61">
        <f>IF(K1012="JA",N(J1012),IF(E1012="","",0))</f>
        <v/>
      </c>
      <c r="M1012" s="62">
        <f>IF(AND(A1012="",E1012=""),"",IF(E1012="","Segment ontbreekt",IF(OR(G1012="",H1012=""),"Van/tot ontbreekt",IF(N(J1012)=0,"Duur is nul",IF(N(J1012)&gt;12,"Langer dan 12 uur - controleren",IF(AND(E1012="Werken",D1012=""),"Werken zonder klant - koppelen","OK"))))))</f>
        <v/>
      </c>
    </row>
    <row r="1013" ht="15" customHeight="1" s="42">
      <c r="A1013" s="55" t="n"/>
      <c r="B1013" s="56">
        <f>IF(A1013="","",WEEKNUM(A1013,21))</f>
        <v/>
      </c>
      <c r="C1013" s="57" t="n"/>
      <c r="D1013" s="57" t="n"/>
      <c r="E1013" s="58" t="n"/>
      <c r="F1013" s="57" t="n"/>
      <c r="G1013" s="59" t="n"/>
      <c r="H1013" s="59" t="n"/>
      <c r="I1013" s="60">
        <f>IF(OR(G1013="",H1013=""),"",MOD(H1013-G1013,1))</f>
        <v/>
      </c>
      <c r="J1013" s="61">
        <f>IF(OR(G1013="",H1013=""),"",ROUND(MOD(H1013-G1013,1)*24,2))</f>
        <v/>
      </c>
      <c r="K1013" s="62">
        <f>IF(E1013="","",IF(E1013="Werken","JA","NEE"))</f>
        <v/>
      </c>
      <c r="L1013" s="61">
        <f>IF(K1013="JA",N(J1013),IF(E1013="","",0))</f>
        <v/>
      </c>
      <c r="M1013" s="62">
        <f>IF(AND(A1013="",E1013=""),"",IF(E1013="","Segment ontbreekt",IF(OR(G1013="",H1013=""),"Van/tot ontbreekt",IF(N(J1013)=0,"Duur is nul",IF(N(J1013)&gt;12,"Langer dan 12 uur - controleren",IF(AND(E1013="Werken",D1013=""),"Werken zonder klant - koppelen","OK"))))))</f>
        <v/>
      </c>
    </row>
    <row r="1014" ht="15" customHeight="1" s="42">
      <c r="A1014" s="55" t="n"/>
      <c r="B1014" s="56">
        <f>IF(A1014="","",WEEKNUM(A1014,21))</f>
        <v/>
      </c>
      <c r="C1014" s="57" t="n"/>
      <c r="D1014" s="57" t="n"/>
      <c r="E1014" s="58" t="n"/>
      <c r="F1014" s="57" t="n"/>
      <c r="G1014" s="59" t="n"/>
      <c r="H1014" s="59" t="n"/>
      <c r="I1014" s="60">
        <f>IF(OR(G1014="",H1014=""),"",MOD(H1014-G1014,1))</f>
        <v/>
      </c>
      <c r="J1014" s="61">
        <f>IF(OR(G1014="",H1014=""),"",ROUND(MOD(H1014-G1014,1)*24,2))</f>
        <v/>
      </c>
      <c r="K1014" s="62">
        <f>IF(E1014="","",IF(E1014="Werken","JA","NEE"))</f>
        <v/>
      </c>
      <c r="L1014" s="61">
        <f>IF(K1014="JA",N(J1014),IF(E1014="","",0))</f>
        <v/>
      </c>
      <c r="M1014" s="62">
        <f>IF(AND(A1014="",E1014=""),"",IF(E1014="","Segment ontbreekt",IF(OR(G1014="",H1014=""),"Van/tot ontbreekt",IF(N(J1014)=0,"Duur is nul",IF(N(J1014)&gt;12,"Langer dan 12 uur - controleren",IF(AND(E1014="Werken",D1014=""),"Werken zonder klant - koppelen","OK"))))))</f>
        <v/>
      </c>
    </row>
    <row r="1015" ht="15" customHeight="1" s="42">
      <c r="A1015" s="55" t="n"/>
      <c r="B1015" s="56">
        <f>IF(A1015="","",WEEKNUM(A1015,21))</f>
        <v/>
      </c>
      <c r="C1015" s="57" t="n"/>
      <c r="D1015" s="57" t="n"/>
      <c r="E1015" s="58" t="n"/>
      <c r="F1015" s="57" t="n"/>
      <c r="G1015" s="59" t="n"/>
      <c r="H1015" s="59" t="n"/>
      <c r="I1015" s="60">
        <f>IF(OR(G1015="",H1015=""),"",MOD(H1015-G1015,1))</f>
        <v/>
      </c>
      <c r="J1015" s="61">
        <f>IF(OR(G1015="",H1015=""),"",ROUND(MOD(H1015-G1015,1)*24,2))</f>
        <v/>
      </c>
      <c r="K1015" s="62">
        <f>IF(E1015="","",IF(E1015="Werken","JA","NEE"))</f>
        <v/>
      </c>
      <c r="L1015" s="61">
        <f>IF(K1015="JA",N(J1015),IF(E1015="","",0))</f>
        <v/>
      </c>
      <c r="M1015" s="62">
        <f>IF(AND(A1015="",E1015=""),"",IF(E1015="","Segment ontbreekt",IF(OR(G1015="",H1015=""),"Van/tot ontbreekt",IF(N(J1015)=0,"Duur is nul",IF(N(J1015)&gt;12,"Langer dan 12 uur - controleren",IF(AND(E1015="Werken",D1015=""),"Werken zonder klant - koppelen","OK"))))))</f>
        <v/>
      </c>
    </row>
    <row r="1016" ht="15" customHeight="1" s="42">
      <c r="A1016" s="55" t="n"/>
      <c r="B1016" s="56">
        <f>IF(A1016="","",WEEKNUM(A1016,21))</f>
        <v/>
      </c>
      <c r="C1016" s="57" t="n"/>
      <c r="D1016" s="57" t="n"/>
      <c r="E1016" s="58" t="n"/>
      <c r="F1016" s="57" t="n"/>
      <c r="G1016" s="59" t="n"/>
      <c r="H1016" s="59" t="n"/>
      <c r="I1016" s="60">
        <f>IF(OR(G1016="",H1016=""),"",MOD(H1016-G1016,1))</f>
        <v/>
      </c>
      <c r="J1016" s="61">
        <f>IF(OR(G1016="",H1016=""),"",ROUND(MOD(H1016-G1016,1)*24,2))</f>
        <v/>
      </c>
      <c r="K1016" s="62">
        <f>IF(E1016="","",IF(E1016="Werken","JA","NEE"))</f>
        <v/>
      </c>
      <c r="L1016" s="61">
        <f>IF(K1016="JA",N(J1016),IF(E1016="","",0))</f>
        <v/>
      </c>
      <c r="M1016" s="62">
        <f>IF(AND(A1016="",E1016=""),"",IF(E1016="","Segment ontbreekt",IF(OR(G1016="",H1016=""),"Van/tot ontbreekt",IF(N(J1016)=0,"Duur is nul",IF(N(J1016)&gt;12,"Langer dan 12 uur - controleren",IF(AND(E1016="Werken",D1016=""),"Werken zonder klant - koppelen","OK"))))))</f>
        <v/>
      </c>
    </row>
    <row r="1017" ht="15" customHeight="1" s="42">
      <c r="A1017" s="55" t="n"/>
      <c r="B1017" s="56">
        <f>IF(A1017="","",WEEKNUM(A1017,21))</f>
        <v/>
      </c>
      <c r="C1017" s="57" t="n"/>
      <c r="D1017" s="57" t="n"/>
      <c r="E1017" s="58" t="n"/>
      <c r="F1017" s="57" t="n"/>
      <c r="G1017" s="59" t="n"/>
      <c r="H1017" s="59" t="n"/>
      <c r="I1017" s="60">
        <f>IF(OR(G1017="",H1017=""),"",MOD(H1017-G1017,1))</f>
        <v/>
      </c>
      <c r="J1017" s="61">
        <f>IF(OR(G1017="",H1017=""),"",ROUND(MOD(H1017-G1017,1)*24,2))</f>
        <v/>
      </c>
      <c r="K1017" s="62">
        <f>IF(E1017="","",IF(E1017="Werken","JA","NEE"))</f>
        <v/>
      </c>
      <c r="L1017" s="61">
        <f>IF(K1017="JA",N(J1017),IF(E1017="","",0))</f>
        <v/>
      </c>
      <c r="M1017" s="62">
        <f>IF(AND(A1017="",E1017=""),"",IF(E1017="","Segment ontbreekt",IF(OR(G1017="",H1017=""),"Van/tot ontbreekt",IF(N(J1017)=0,"Duur is nul",IF(N(J1017)&gt;12,"Langer dan 12 uur - controleren",IF(AND(E1017="Werken",D1017=""),"Werken zonder klant - koppelen","OK"))))))</f>
        <v/>
      </c>
    </row>
    <row r="1018" ht="15" customHeight="1" s="42">
      <c r="A1018" s="55" t="n"/>
      <c r="B1018" s="56">
        <f>IF(A1018="","",WEEKNUM(A1018,21))</f>
        <v/>
      </c>
      <c r="C1018" s="57" t="n"/>
      <c r="D1018" s="57" t="n"/>
      <c r="E1018" s="58" t="n"/>
      <c r="F1018" s="57" t="n"/>
      <c r="G1018" s="59" t="n"/>
      <c r="H1018" s="59" t="n"/>
      <c r="I1018" s="60">
        <f>IF(OR(G1018="",H1018=""),"",MOD(H1018-G1018,1))</f>
        <v/>
      </c>
      <c r="J1018" s="61">
        <f>IF(OR(G1018="",H1018=""),"",ROUND(MOD(H1018-G1018,1)*24,2))</f>
        <v/>
      </c>
      <c r="K1018" s="62">
        <f>IF(E1018="","",IF(E1018="Werken","JA","NEE"))</f>
        <v/>
      </c>
      <c r="L1018" s="61">
        <f>IF(K1018="JA",N(J1018),IF(E1018="","",0))</f>
        <v/>
      </c>
      <c r="M1018" s="62">
        <f>IF(AND(A1018="",E1018=""),"",IF(E1018="","Segment ontbreekt",IF(OR(G1018="",H1018=""),"Van/tot ontbreekt",IF(N(J1018)=0,"Duur is nul",IF(N(J1018)&gt;12,"Langer dan 12 uur - controleren",IF(AND(E1018="Werken",D1018=""),"Werken zonder klant - koppelen","OK"))))))</f>
        <v/>
      </c>
    </row>
    <row r="1019" ht="15" customHeight="1" s="42">
      <c r="A1019" s="55" t="n"/>
      <c r="B1019" s="56">
        <f>IF(A1019="","",WEEKNUM(A1019,21))</f>
        <v/>
      </c>
      <c r="C1019" s="57" t="n"/>
      <c r="D1019" s="57" t="n"/>
      <c r="E1019" s="58" t="n"/>
      <c r="F1019" s="57" t="n"/>
      <c r="G1019" s="59" t="n"/>
      <c r="H1019" s="59" t="n"/>
      <c r="I1019" s="60">
        <f>IF(OR(G1019="",H1019=""),"",MOD(H1019-G1019,1))</f>
        <v/>
      </c>
      <c r="J1019" s="61">
        <f>IF(OR(G1019="",H1019=""),"",ROUND(MOD(H1019-G1019,1)*24,2))</f>
        <v/>
      </c>
      <c r="K1019" s="62">
        <f>IF(E1019="","",IF(E1019="Werken","JA","NEE"))</f>
        <v/>
      </c>
      <c r="L1019" s="61">
        <f>IF(K1019="JA",N(J1019),IF(E1019="","",0))</f>
        <v/>
      </c>
      <c r="M1019" s="62">
        <f>IF(AND(A1019="",E1019=""),"",IF(E1019="","Segment ontbreekt",IF(OR(G1019="",H1019=""),"Van/tot ontbreekt",IF(N(J1019)=0,"Duur is nul",IF(N(J1019)&gt;12,"Langer dan 12 uur - controleren",IF(AND(E1019="Werken",D1019=""),"Werken zonder klant - koppelen","OK"))))))</f>
        <v/>
      </c>
    </row>
    <row r="1020" ht="15" customHeight="1" s="42">
      <c r="A1020" s="55" t="n"/>
      <c r="B1020" s="56">
        <f>IF(A1020="","",WEEKNUM(A1020,21))</f>
        <v/>
      </c>
      <c r="C1020" s="57" t="n"/>
      <c r="D1020" s="57" t="n"/>
      <c r="E1020" s="58" t="n"/>
      <c r="F1020" s="57" t="n"/>
      <c r="G1020" s="59" t="n"/>
      <c r="H1020" s="59" t="n"/>
      <c r="I1020" s="60">
        <f>IF(OR(G1020="",H1020=""),"",MOD(H1020-G1020,1))</f>
        <v/>
      </c>
      <c r="J1020" s="61">
        <f>IF(OR(G1020="",H1020=""),"",ROUND(MOD(H1020-G1020,1)*24,2))</f>
        <v/>
      </c>
      <c r="K1020" s="62">
        <f>IF(E1020="","",IF(E1020="Werken","JA","NEE"))</f>
        <v/>
      </c>
      <c r="L1020" s="61">
        <f>IF(K1020="JA",N(J1020),IF(E1020="","",0))</f>
        <v/>
      </c>
      <c r="M1020" s="62">
        <f>IF(AND(A1020="",E1020=""),"",IF(E1020="","Segment ontbreekt",IF(OR(G1020="",H1020=""),"Van/tot ontbreekt",IF(N(J1020)=0,"Duur is nul",IF(N(J1020)&gt;12,"Langer dan 12 uur - controleren",IF(AND(E1020="Werken",D1020=""),"Werken zonder klant - koppelen","OK"))))))</f>
        <v/>
      </c>
    </row>
    <row r="1021" ht="15" customHeight="1" s="42">
      <c r="A1021" s="55" t="n"/>
      <c r="B1021" s="56">
        <f>IF(A1021="","",WEEKNUM(A1021,21))</f>
        <v/>
      </c>
      <c r="C1021" s="57" t="n"/>
      <c r="D1021" s="57" t="n"/>
      <c r="E1021" s="58" t="n"/>
      <c r="F1021" s="57" t="n"/>
      <c r="G1021" s="59" t="n"/>
      <c r="H1021" s="59" t="n"/>
      <c r="I1021" s="60">
        <f>IF(OR(G1021="",H1021=""),"",MOD(H1021-G1021,1))</f>
        <v/>
      </c>
      <c r="J1021" s="61">
        <f>IF(OR(G1021="",H1021=""),"",ROUND(MOD(H1021-G1021,1)*24,2))</f>
        <v/>
      </c>
      <c r="K1021" s="62">
        <f>IF(E1021="","",IF(E1021="Werken","JA","NEE"))</f>
        <v/>
      </c>
      <c r="L1021" s="61">
        <f>IF(K1021="JA",N(J1021),IF(E1021="","",0))</f>
        <v/>
      </c>
      <c r="M1021" s="62">
        <f>IF(AND(A1021="",E1021=""),"",IF(E1021="","Segment ontbreekt",IF(OR(G1021="",H1021=""),"Van/tot ontbreekt",IF(N(J1021)=0,"Duur is nul",IF(N(J1021)&gt;12,"Langer dan 12 uur - controleren",IF(AND(E1021="Werken",D1021=""),"Werken zonder klant - koppelen","OK"))))))</f>
        <v/>
      </c>
    </row>
    <row r="1022" ht="15" customHeight="1" s="42">
      <c r="A1022" s="55" t="n"/>
      <c r="B1022" s="56">
        <f>IF(A1022="","",WEEKNUM(A1022,21))</f>
        <v/>
      </c>
      <c r="C1022" s="57" t="n"/>
      <c r="D1022" s="57" t="n"/>
      <c r="E1022" s="58" t="n"/>
      <c r="F1022" s="57" t="n"/>
      <c r="G1022" s="59" t="n"/>
      <c r="H1022" s="59" t="n"/>
      <c r="I1022" s="60">
        <f>IF(OR(G1022="",H1022=""),"",MOD(H1022-G1022,1))</f>
        <v/>
      </c>
      <c r="J1022" s="61">
        <f>IF(OR(G1022="",H1022=""),"",ROUND(MOD(H1022-G1022,1)*24,2))</f>
        <v/>
      </c>
      <c r="K1022" s="62">
        <f>IF(E1022="","",IF(E1022="Werken","JA","NEE"))</f>
        <v/>
      </c>
      <c r="L1022" s="61">
        <f>IF(K1022="JA",N(J1022),IF(E1022="","",0))</f>
        <v/>
      </c>
      <c r="M1022" s="62">
        <f>IF(AND(A1022="",E1022=""),"",IF(E1022="","Segment ontbreekt",IF(OR(G1022="",H1022=""),"Van/tot ontbreekt",IF(N(J1022)=0,"Duur is nul",IF(N(J1022)&gt;12,"Langer dan 12 uur - controleren",IF(AND(E1022="Werken",D1022=""),"Werken zonder klant - koppelen","OK"))))))</f>
        <v/>
      </c>
    </row>
    <row r="1023" ht="15" customHeight="1" s="42">
      <c r="A1023" s="55" t="n"/>
      <c r="B1023" s="56">
        <f>IF(A1023="","",WEEKNUM(A1023,21))</f>
        <v/>
      </c>
      <c r="C1023" s="57" t="n"/>
      <c r="D1023" s="57" t="n"/>
      <c r="E1023" s="58" t="n"/>
      <c r="F1023" s="57" t="n"/>
      <c r="G1023" s="59" t="n"/>
      <c r="H1023" s="59" t="n"/>
      <c r="I1023" s="60">
        <f>IF(OR(G1023="",H1023=""),"",MOD(H1023-G1023,1))</f>
        <v/>
      </c>
      <c r="J1023" s="61">
        <f>IF(OR(G1023="",H1023=""),"",ROUND(MOD(H1023-G1023,1)*24,2))</f>
        <v/>
      </c>
      <c r="K1023" s="62">
        <f>IF(E1023="","",IF(E1023="Werken","JA","NEE"))</f>
        <v/>
      </c>
      <c r="L1023" s="61">
        <f>IF(K1023="JA",N(J1023),IF(E1023="","",0))</f>
        <v/>
      </c>
      <c r="M1023" s="62">
        <f>IF(AND(A1023="",E1023=""),"",IF(E1023="","Segment ontbreekt",IF(OR(G1023="",H1023=""),"Van/tot ontbreekt",IF(N(J1023)=0,"Duur is nul",IF(N(J1023)&gt;12,"Langer dan 12 uur - controleren",IF(AND(E1023="Werken",D1023=""),"Werken zonder klant - koppelen","OK"))))))</f>
        <v/>
      </c>
    </row>
    <row r="1024" ht="15" customHeight="1" s="42">
      <c r="A1024" s="55" t="n"/>
      <c r="B1024" s="56">
        <f>IF(A1024="","",WEEKNUM(A1024,21))</f>
        <v/>
      </c>
      <c r="C1024" s="57" t="n"/>
      <c r="D1024" s="57" t="n"/>
      <c r="E1024" s="58" t="n"/>
      <c r="F1024" s="57" t="n"/>
      <c r="G1024" s="59" t="n"/>
      <c r="H1024" s="59" t="n"/>
      <c r="I1024" s="60">
        <f>IF(OR(G1024="",H1024=""),"",MOD(H1024-G1024,1))</f>
        <v/>
      </c>
      <c r="J1024" s="61">
        <f>IF(OR(G1024="",H1024=""),"",ROUND(MOD(H1024-G1024,1)*24,2))</f>
        <v/>
      </c>
      <c r="K1024" s="62">
        <f>IF(E1024="","",IF(E1024="Werken","JA","NEE"))</f>
        <v/>
      </c>
      <c r="L1024" s="61">
        <f>IF(K1024="JA",N(J1024),IF(E1024="","",0))</f>
        <v/>
      </c>
      <c r="M1024" s="62">
        <f>IF(AND(A1024="",E1024=""),"",IF(E1024="","Segment ontbreekt",IF(OR(G1024="",H1024=""),"Van/tot ontbreekt",IF(N(J1024)=0,"Duur is nul",IF(N(J1024)&gt;12,"Langer dan 12 uur - controleren",IF(AND(E1024="Werken",D1024=""),"Werken zonder klant - koppelen","OK"))))))</f>
        <v/>
      </c>
    </row>
    <row r="1025" ht="15" customHeight="1" s="42">
      <c r="A1025" s="55" t="n"/>
      <c r="B1025" s="56">
        <f>IF(A1025="","",WEEKNUM(A1025,21))</f>
        <v/>
      </c>
      <c r="C1025" s="57" t="n"/>
      <c r="D1025" s="57" t="n"/>
      <c r="E1025" s="58" t="n"/>
      <c r="F1025" s="57" t="n"/>
      <c r="G1025" s="59" t="n"/>
      <c r="H1025" s="59" t="n"/>
      <c r="I1025" s="60">
        <f>IF(OR(G1025="",H1025=""),"",MOD(H1025-G1025,1))</f>
        <v/>
      </c>
      <c r="J1025" s="61">
        <f>IF(OR(G1025="",H1025=""),"",ROUND(MOD(H1025-G1025,1)*24,2))</f>
        <v/>
      </c>
      <c r="K1025" s="62">
        <f>IF(E1025="","",IF(E1025="Werken","JA","NEE"))</f>
        <v/>
      </c>
      <c r="L1025" s="61">
        <f>IF(K1025="JA",N(J1025),IF(E1025="","",0))</f>
        <v/>
      </c>
      <c r="M1025" s="62">
        <f>IF(AND(A1025="",E1025=""),"",IF(E1025="","Segment ontbreekt",IF(OR(G1025="",H1025=""),"Van/tot ontbreekt",IF(N(J1025)=0,"Duur is nul",IF(N(J1025)&gt;12,"Langer dan 12 uur - controleren",IF(AND(E1025="Werken",D1025=""),"Werken zonder klant - koppelen","OK"))))))</f>
        <v/>
      </c>
    </row>
    <row r="1026" ht="15" customHeight="1" s="42">
      <c r="A1026" s="55" t="n"/>
      <c r="B1026" s="56">
        <f>IF(A1026="","",WEEKNUM(A1026,21))</f>
        <v/>
      </c>
      <c r="C1026" s="57" t="n"/>
      <c r="D1026" s="57" t="n"/>
      <c r="E1026" s="58" t="n"/>
      <c r="F1026" s="57" t="n"/>
      <c r="G1026" s="59" t="n"/>
      <c r="H1026" s="59" t="n"/>
      <c r="I1026" s="60">
        <f>IF(OR(G1026="",H1026=""),"",MOD(H1026-G1026,1))</f>
        <v/>
      </c>
      <c r="J1026" s="61">
        <f>IF(OR(G1026="",H1026=""),"",ROUND(MOD(H1026-G1026,1)*24,2))</f>
        <v/>
      </c>
      <c r="K1026" s="62">
        <f>IF(E1026="","",IF(E1026="Werken","JA","NEE"))</f>
        <v/>
      </c>
      <c r="L1026" s="61">
        <f>IF(K1026="JA",N(J1026),IF(E1026="","",0))</f>
        <v/>
      </c>
      <c r="M1026" s="62">
        <f>IF(AND(A1026="",E1026=""),"",IF(E1026="","Segment ontbreekt",IF(OR(G1026="",H1026=""),"Van/tot ontbreekt",IF(N(J1026)=0,"Duur is nul",IF(N(J1026)&gt;12,"Langer dan 12 uur - controleren",IF(AND(E1026="Werken",D1026=""),"Werken zonder klant - koppelen","OK"))))))</f>
        <v/>
      </c>
    </row>
    <row r="1027" ht="15" customHeight="1" s="42">
      <c r="A1027" s="55" t="n"/>
      <c r="B1027" s="56">
        <f>IF(A1027="","",WEEKNUM(A1027,21))</f>
        <v/>
      </c>
      <c r="C1027" s="57" t="n"/>
      <c r="D1027" s="57" t="n"/>
      <c r="E1027" s="58" t="n"/>
      <c r="F1027" s="57" t="n"/>
      <c r="G1027" s="59" t="n"/>
      <c r="H1027" s="59" t="n"/>
      <c r="I1027" s="60">
        <f>IF(OR(G1027="",H1027=""),"",MOD(H1027-G1027,1))</f>
        <v/>
      </c>
      <c r="J1027" s="61">
        <f>IF(OR(G1027="",H1027=""),"",ROUND(MOD(H1027-G1027,1)*24,2))</f>
        <v/>
      </c>
      <c r="K1027" s="62">
        <f>IF(E1027="","",IF(E1027="Werken","JA","NEE"))</f>
        <v/>
      </c>
      <c r="L1027" s="61">
        <f>IF(K1027="JA",N(J1027),IF(E1027="","",0))</f>
        <v/>
      </c>
      <c r="M1027" s="62">
        <f>IF(AND(A1027="",E1027=""),"",IF(E1027="","Segment ontbreekt",IF(OR(G1027="",H1027=""),"Van/tot ontbreekt",IF(N(J1027)=0,"Duur is nul",IF(N(J1027)&gt;12,"Langer dan 12 uur - controleren",IF(AND(E1027="Werken",D1027=""),"Werken zonder klant - koppelen","OK"))))))</f>
        <v/>
      </c>
    </row>
    <row r="1028" ht="15" customHeight="1" s="42">
      <c r="A1028" s="55" t="n"/>
      <c r="B1028" s="56">
        <f>IF(A1028="","",WEEKNUM(A1028,21))</f>
        <v/>
      </c>
      <c r="C1028" s="57" t="n"/>
      <c r="D1028" s="57" t="n"/>
      <c r="E1028" s="58" t="n"/>
      <c r="F1028" s="57" t="n"/>
      <c r="G1028" s="59" t="n"/>
      <c r="H1028" s="59" t="n"/>
      <c r="I1028" s="60">
        <f>IF(OR(G1028="",H1028=""),"",MOD(H1028-G1028,1))</f>
        <v/>
      </c>
      <c r="J1028" s="61">
        <f>IF(OR(G1028="",H1028=""),"",ROUND(MOD(H1028-G1028,1)*24,2))</f>
        <v/>
      </c>
      <c r="K1028" s="62">
        <f>IF(E1028="","",IF(E1028="Werken","JA","NEE"))</f>
        <v/>
      </c>
      <c r="L1028" s="61">
        <f>IF(K1028="JA",N(J1028),IF(E1028="","",0))</f>
        <v/>
      </c>
      <c r="M1028" s="62">
        <f>IF(AND(A1028="",E1028=""),"",IF(E1028="","Segment ontbreekt",IF(OR(G1028="",H1028=""),"Van/tot ontbreekt",IF(N(J1028)=0,"Duur is nul",IF(N(J1028)&gt;12,"Langer dan 12 uur - controleren",IF(AND(E1028="Werken",D1028=""),"Werken zonder klant - koppelen","OK"))))))</f>
        <v/>
      </c>
    </row>
    <row r="1029" ht="15" customHeight="1" s="42">
      <c r="A1029" s="55" t="n"/>
      <c r="B1029" s="56">
        <f>IF(A1029="","",WEEKNUM(A1029,21))</f>
        <v/>
      </c>
      <c r="C1029" s="57" t="n"/>
      <c r="D1029" s="57" t="n"/>
      <c r="E1029" s="58" t="n"/>
      <c r="F1029" s="57" t="n"/>
      <c r="G1029" s="59" t="n"/>
      <c r="H1029" s="59" t="n"/>
      <c r="I1029" s="60">
        <f>IF(OR(G1029="",H1029=""),"",MOD(H1029-G1029,1))</f>
        <v/>
      </c>
      <c r="J1029" s="61">
        <f>IF(OR(G1029="",H1029=""),"",ROUND(MOD(H1029-G1029,1)*24,2))</f>
        <v/>
      </c>
      <c r="K1029" s="62">
        <f>IF(E1029="","",IF(E1029="Werken","JA","NEE"))</f>
        <v/>
      </c>
      <c r="L1029" s="61">
        <f>IF(K1029="JA",N(J1029),IF(E1029="","",0))</f>
        <v/>
      </c>
      <c r="M1029" s="62">
        <f>IF(AND(A1029="",E1029=""),"",IF(E1029="","Segment ontbreekt",IF(OR(G1029="",H1029=""),"Van/tot ontbreekt",IF(N(J1029)=0,"Duur is nul",IF(N(J1029)&gt;12,"Langer dan 12 uur - controleren",IF(AND(E1029="Werken",D1029=""),"Werken zonder klant - koppelen","OK"))))))</f>
        <v/>
      </c>
    </row>
    <row r="1030" ht="15" customHeight="1" s="42">
      <c r="A1030" s="55" t="n"/>
      <c r="B1030" s="56">
        <f>IF(A1030="","",WEEKNUM(A1030,21))</f>
        <v/>
      </c>
      <c r="C1030" s="57" t="n"/>
      <c r="D1030" s="57" t="n"/>
      <c r="E1030" s="58" t="n"/>
      <c r="F1030" s="57" t="n"/>
      <c r="G1030" s="59" t="n"/>
      <c r="H1030" s="59" t="n"/>
      <c r="I1030" s="60">
        <f>IF(OR(G1030="",H1030=""),"",MOD(H1030-G1030,1))</f>
        <v/>
      </c>
      <c r="J1030" s="61">
        <f>IF(OR(G1030="",H1030=""),"",ROUND(MOD(H1030-G1030,1)*24,2))</f>
        <v/>
      </c>
      <c r="K1030" s="62">
        <f>IF(E1030="","",IF(E1030="Werken","JA","NEE"))</f>
        <v/>
      </c>
      <c r="L1030" s="61">
        <f>IF(K1030="JA",N(J1030),IF(E1030="","",0))</f>
        <v/>
      </c>
      <c r="M1030" s="62">
        <f>IF(AND(A1030="",E1030=""),"",IF(E1030="","Segment ontbreekt",IF(OR(G1030="",H1030=""),"Van/tot ontbreekt",IF(N(J1030)=0,"Duur is nul",IF(N(J1030)&gt;12,"Langer dan 12 uur - controleren",IF(AND(E1030="Werken",D1030=""),"Werken zonder klant - koppelen","OK"))))))</f>
        <v/>
      </c>
    </row>
    <row r="1031" ht="15" customHeight="1" s="42">
      <c r="A1031" s="55" t="n"/>
      <c r="B1031" s="56">
        <f>IF(A1031="","",WEEKNUM(A1031,21))</f>
        <v/>
      </c>
      <c r="C1031" s="57" t="n"/>
      <c r="D1031" s="57" t="n"/>
      <c r="E1031" s="58" t="n"/>
      <c r="F1031" s="57" t="n"/>
      <c r="G1031" s="59" t="n"/>
      <c r="H1031" s="59" t="n"/>
      <c r="I1031" s="60">
        <f>IF(OR(G1031="",H1031=""),"",MOD(H1031-G1031,1))</f>
        <v/>
      </c>
      <c r="J1031" s="61">
        <f>IF(OR(G1031="",H1031=""),"",ROUND(MOD(H1031-G1031,1)*24,2))</f>
        <v/>
      </c>
      <c r="K1031" s="62">
        <f>IF(E1031="","",IF(E1031="Werken","JA","NEE"))</f>
        <v/>
      </c>
      <c r="L1031" s="61">
        <f>IF(K1031="JA",N(J1031),IF(E1031="","",0))</f>
        <v/>
      </c>
      <c r="M1031" s="62">
        <f>IF(AND(A1031="",E1031=""),"",IF(E1031="","Segment ontbreekt",IF(OR(G1031="",H1031=""),"Van/tot ontbreekt",IF(N(J1031)=0,"Duur is nul",IF(N(J1031)&gt;12,"Langer dan 12 uur - controleren",IF(AND(E1031="Werken",D1031=""),"Werken zonder klant - koppelen","OK"))))))</f>
        <v/>
      </c>
    </row>
    <row r="1032" ht="15" customHeight="1" s="42">
      <c r="A1032" s="55" t="n"/>
      <c r="B1032" s="56">
        <f>IF(A1032="","",WEEKNUM(A1032,21))</f>
        <v/>
      </c>
      <c r="C1032" s="57" t="n"/>
      <c r="D1032" s="57" t="n"/>
      <c r="E1032" s="58" t="n"/>
      <c r="F1032" s="57" t="n"/>
      <c r="G1032" s="59" t="n"/>
      <c r="H1032" s="59" t="n"/>
      <c r="I1032" s="60">
        <f>IF(OR(G1032="",H1032=""),"",MOD(H1032-G1032,1))</f>
        <v/>
      </c>
      <c r="J1032" s="61">
        <f>IF(OR(G1032="",H1032=""),"",ROUND(MOD(H1032-G1032,1)*24,2))</f>
        <v/>
      </c>
      <c r="K1032" s="62">
        <f>IF(E1032="","",IF(E1032="Werken","JA","NEE"))</f>
        <v/>
      </c>
      <c r="L1032" s="61">
        <f>IF(K1032="JA",N(J1032),IF(E1032="","",0))</f>
        <v/>
      </c>
      <c r="M1032" s="62">
        <f>IF(AND(A1032="",E1032=""),"",IF(E1032="","Segment ontbreekt",IF(OR(G1032="",H1032=""),"Van/tot ontbreekt",IF(N(J1032)=0,"Duur is nul",IF(N(J1032)&gt;12,"Langer dan 12 uur - controleren",IF(AND(E1032="Werken",D1032=""),"Werken zonder klant - koppelen","OK"))))))</f>
        <v/>
      </c>
    </row>
    <row r="1033" ht="15" customHeight="1" s="42">
      <c r="A1033" s="55" t="n"/>
      <c r="B1033" s="56">
        <f>IF(A1033="","",WEEKNUM(A1033,21))</f>
        <v/>
      </c>
      <c r="C1033" s="57" t="n"/>
      <c r="D1033" s="57" t="n"/>
      <c r="E1033" s="58" t="n"/>
      <c r="F1033" s="57" t="n"/>
      <c r="G1033" s="59" t="n"/>
      <c r="H1033" s="59" t="n"/>
      <c r="I1033" s="60">
        <f>IF(OR(G1033="",H1033=""),"",MOD(H1033-G1033,1))</f>
        <v/>
      </c>
      <c r="J1033" s="61">
        <f>IF(OR(G1033="",H1033=""),"",ROUND(MOD(H1033-G1033,1)*24,2))</f>
        <v/>
      </c>
      <c r="K1033" s="62">
        <f>IF(E1033="","",IF(E1033="Werken","JA","NEE"))</f>
        <v/>
      </c>
      <c r="L1033" s="61">
        <f>IF(K1033="JA",N(J1033),IF(E1033="","",0))</f>
        <v/>
      </c>
      <c r="M1033" s="62">
        <f>IF(AND(A1033="",E1033=""),"",IF(E1033="","Segment ontbreekt",IF(OR(G1033="",H1033=""),"Van/tot ontbreekt",IF(N(J1033)=0,"Duur is nul",IF(N(J1033)&gt;12,"Langer dan 12 uur - controleren",IF(AND(E1033="Werken",D1033=""),"Werken zonder klant - koppelen","OK"))))))</f>
        <v/>
      </c>
    </row>
    <row r="1034" ht="15" customHeight="1" s="42">
      <c r="A1034" s="55" t="n"/>
      <c r="B1034" s="56">
        <f>IF(A1034="","",WEEKNUM(A1034,21))</f>
        <v/>
      </c>
      <c r="C1034" s="57" t="n"/>
      <c r="D1034" s="57" t="n"/>
      <c r="E1034" s="58" t="n"/>
      <c r="F1034" s="57" t="n"/>
      <c r="G1034" s="59" t="n"/>
      <c r="H1034" s="59" t="n"/>
      <c r="I1034" s="60">
        <f>IF(OR(G1034="",H1034=""),"",MOD(H1034-G1034,1))</f>
        <v/>
      </c>
      <c r="J1034" s="61">
        <f>IF(OR(G1034="",H1034=""),"",ROUND(MOD(H1034-G1034,1)*24,2))</f>
        <v/>
      </c>
      <c r="K1034" s="62">
        <f>IF(E1034="","",IF(E1034="Werken","JA","NEE"))</f>
        <v/>
      </c>
      <c r="L1034" s="61">
        <f>IF(K1034="JA",N(J1034),IF(E1034="","",0))</f>
        <v/>
      </c>
      <c r="M1034" s="62">
        <f>IF(AND(A1034="",E1034=""),"",IF(E1034="","Segment ontbreekt",IF(OR(G1034="",H1034=""),"Van/tot ontbreekt",IF(N(J1034)=0,"Duur is nul",IF(N(J1034)&gt;12,"Langer dan 12 uur - controleren",IF(AND(E1034="Werken",D1034=""),"Werken zonder klant - koppelen","OK"))))))</f>
        <v/>
      </c>
    </row>
    <row r="1035" ht="15" customHeight="1" s="42">
      <c r="A1035" s="55" t="n"/>
      <c r="B1035" s="56">
        <f>IF(A1035="","",WEEKNUM(A1035,21))</f>
        <v/>
      </c>
      <c r="C1035" s="57" t="n"/>
      <c r="D1035" s="57" t="n"/>
      <c r="E1035" s="58" t="n"/>
      <c r="F1035" s="57" t="n"/>
      <c r="G1035" s="59" t="n"/>
      <c r="H1035" s="59" t="n"/>
      <c r="I1035" s="60">
        <f>IF(OR(G1035="",H1035=""),"",MOD(H1035-G1035,1))</f>
        <v/>
      </c>
      <c r="J1035" s="61">
        <f>IF(OR(G1035="",H1035=""),"",ROUND(MOD(H1035-G1035,1)*24,2))</f>
        <v/>
      </c>
      <c r="K1035" s="62">
        <f>IF(E1035="","",IF(E1035="Werken","JA","NEE"))</f>
        <v/>
      </c>
      <c r="L1035" s="61">
        <f>IF(K1035="JA",N(J1035),IF(E1035="","",0))</f>
        <v/>
      </c>
      <c r="M1035" s="62">
        <f>IF(AND(A1035="",E1035=""),"",IF(E1035="","Segment ontbreekt",IF(OR(G1035="",H1035=""),"Van/tot ontbreekt",IF(N(J1035)=0,"Duur is nul",IF(N(J1035)&gt;12,"Langer dan 12 uur - controleren",IF(AND(E1035="Werken",D1035=""),"Werken zonder klant - koppelen","OK"))))))</f>
        <v/>
      </c>
    </row>
    <row r="1036" ht="15" customHeight="1" s="42">
      <c r="A1036" s="55" t="n"/>
      <c r="B1036" s="56">
        <f>IF(A1036="","",WEEKNUM(A1036,21))</f>
        <v/>
      </c>
      <c r="C1036" s="57" t="n"/>
      <c r="D1036" s="57" t="n"/>
      <c r="E1036" s="58" t="n"/>
      <c r="F1036" s="57" t="n"/>
      <c r="G1036" s="59" t="n"/>
      <c r="H1036" s="59" t="n"/>
      <c r="I1036" s="60">
        <f>IF(OR(G1036="",H1036=""),"",MOD(H1036-G1036,1))</f>
        <v/>
      </c>
      <c r="J1036" s="61">
        <f>IF(OR(G1036="",H1036=""),"",ROUND(MOD(H1036-G1036,1)*24,2))</f>
        <v/>
      </c>
      <c r="K1036" s="62">
        <f>IF(E1036="","",IF(E1036="Werken","JA","NEE"))</f>
        <v/>
      </c>
      <c r="L1036" s="61">
        <f>IF(K1036="JA",N(J1036),IF(E1036="","",0))</f>
        <v/>
      </c>
      <c r="M1036" s="62">
        <f>IF(AND(A1036="",E1036=""),"",IF(E1036="","Segment ontbreekt",IF(OR(G1036="",H1036=""),"Van/tot ontbreekt",IF(N(J1036)=0,"Duur is nul",IF(N(J1036)&gt;12,"Langer dan 12 uur - controleren",IF(AND(E1036="Werken",D1036=""),"Werken zonder klant - koppelen","OK"))))))</f>
        <v/>
      </c>
    </row>
    <row r="1037" ht="15" customHeight="1" s="42">
      <c r="A1037" s="55" t="n"/>
      <c r="B1037" s="56">
        <f>IF(A1037="","",WEEKNUM(A1037,21))</f>
        <v/>
      </c>
      <c r="C1037" s="57" t="n"/>
      <c r="D1037" s="57" t="n"/>
      <c r="E1037" s="58" t="n"/>
      <c r="F1037" s="57" t="n"/>
      <c r="G1037" s="59" t="n"/>
      <c r="H1037" s="59" t="n"/>
      <c r="I1037" s="60">
        <f>IF(OR(G1037="",H1037=""),"",MOD(H1037-G1037,1))</f>
        <v/>
      </c>
      <c r="J1037" s="61">
        <f>IF(OR(G1037="",H1037=""),"",ROUND(MOD(H1037-G1037,1)*24,2))</f>
        <v/>
      </c>
      <c r="K1037" s="62">
        <f>IF(E1037="","",IF(E1037="Werken","JA","NEE"))</f>
        <v/>
      </c>
      <c r="L1037" s="61">
        <f>IF(K1037="JA",N(J1037),IF(E1037="","",0))</f>
        <v/>
      </c>
      <c r="M1037" s="62">
        <f>IF(AND(A1037="",E1037=""),"",IF(E1037="","Segment ontbreekt",IF(OR(G1037="",H1037=""),"Van/tot ontbreekt",IF(N(J1037)=0,"Duur is nul",IF(N(J1037)&gt;12,"Langer dan 12 uur - controleren",IF(AND(E1037="Werken",D1037=""),"Werken zonder klant - koppelen","OK"))))))</f>
        <v/>
      </c>
    </row>
    <row r="1038" ht="15" customHeight="1" s="42">
      <c r="A1038" s="55" t="n"/>
      <c r="B1038" s="56">
        <f>IF(A1038="","",WEEKNUM(A1038,21))</f>
        <v/>
      </c>
      <c r="C1038" s="57" t="n"/>
      <c r="D1038" s="57" t="n"/>
      <c r="E1038" s="58" t="n"/>
      <c r="F1038" s="57" t="n"/>
      <c r="G1038" s="59" t="n"/>
      <c r="H1038" s="59" t="n"/>
      <c r="I1038" s="60">
        <f>IF(OR(G1038="",H1038=""),"",MOD(H1038-G1038,1))</f>
        <v/>
      </c>
      <c r="J1038" s="61">
        <f>IF(OR(G1038="",H1038=""),"",ROUND(MOD(H1038-G1038,1)*24,2))</f>
        <v/>
      </c>
      <c r="K1038" s="62">
        <f>IF(E1038="","",IF(E1038="Werken","JA","NEE"))</f>
        <v/>
      </c>
      <c r="L1038" s="61">
        <f>IF(K1038="JA",N(J1038),IF(E1038="","",0))</f>
        <v/>
      </c>
      <c r="M1038" s="62">
        <f>IF(AND(A1038="",E1038=""),"",IF(E1038="","Segment ontbreekt",IF(OR(G1038="",H1038=""),"Van/tot ontbreekt",IF(N(J1038)=0,"Duur is nul",IF(N(J1038)&gt;12,"Langer dan 12 uur - controleren",IF(AND(E1038="Werken",D1038=""),"Werken zonder klant - koppelen","OK"))))))</f>
        <v/>
      </c>
    </row>
    <row r="1039" ht="15" customHeight="1" s="42">
      <c r="A1039" s="55" t="n"/>
      <c r="B1039" s="56">
        <f>IF(A1039="","",WEEKNUM(A1039,21))</f>
        <v/>
      </c>
      <c r="C1039" s="57" t="n"/>
      <c r="D1039" s="57" t="n"/>
      <c r="E1039" s="58" t="n"/>
      <c r="F1039" s="57" t="n"/>
      <c r="G1039" s="59" t="n"/>
      <c r="H1039" s="59" t="n"/>
      <c r="I1039" s="60">
        <f>IF(OR(G1039="",H1039=""),"",MOD(H1039-G1039,1))</f>
        <v/>
      </c>
      <c r="J1039" s="61">
        <f>IF(OR(G1039="",H1039=""),"",ROUND(MOD(H1039-G1039,1)*24,2))</f>
        <v/>
      </c>
      <c r="K1039" s="62">
        <f>IF(E1039="","",IF(E1039="Werken","JA","NEE"))</f>
        <v/>
      </c>
      <c r="L1039" s="61">
        <f>IF(K1039="JA",N(J1039),IF(E1039="","",0))</f>
        <v/>
      </c>
      <c r="M1039" s="62">
        <f>IF(AND(A1039="",E1039=""),"",IF(E1039="","Segment ontbreekt",IF(OR(G1039="",H1039=""),"Van/tot ontbreekt",IF(N(J1039)=0,"Duur is nul",IF(N(J1039)&gt;12,"Langer dan 12 uur - controleren",IF(AND(E1039="Werken",D1039=""),"Werken zonder klant - koppelen","OK"))))))</f>
        <v/>
      </c>
    </row>
    <row r="1040" ht="15" customHeight="1" s="42">
      <c r="A1040" s="55" t="n"/>
      <c r="B1040" s="56">
        <f>IF(A1040="","",WEEKNUM(A1040,21))</f>
        <v/>
      </c>
      <c r="C1040" s="57" t="n"/>
      <c r="D1040" s="57" t="n"/>
      <c r="E1040" s="58" t="n"/>
      <c r="F1040" s="57" t="n"/>
      <c r="G1040" s="59" t="n"/>
      <c r="H1040" s="59" t="n"/>
      <c r="I1040" s="60">
        <f>IF(OR(G1040="",H1040=""),"",MOD(H1040-G1040,1))</f>
        <v/>
      </c>
      <c r="J1040" s="61">
        <f>IF(OR(G1040="",H1040=""),"",ROUND(MOD(H1040-G1040,1)*24,2))</f>
        <v/>
      </c>
      <c r="K1040" s="62">
        <f>IF(E1040="","",IF(E1040="Werken","JA","NEE"))</f>
        <v/>
      </c>
      <c r="L1040" s="61">
        <f>IF(K1040="JA",N(J1040),IF(E1040="","",0))</f>
        <v/>
      </c>
      <c r="M1040" s="62">
        <f>IF(AND(A1040="",E1040=""),"",IF(E1040="","Segment ontbreekt",IF(OR(G1040="",H1040=""),"Van/tot ontbreekt",IF(N(J1040)=0,"Duur is nul",IF(N(J1040)&gt;12,"Langer dan 12 uur - controleren",IF(AND(E1040="Werken",D1040=""),"Werken zonder klant - koppelen","OK"))))))</f>
        <v/>
      </c>
    </row>
    <row r="1041" ht="15" customHeight="1" s="42">
      <c r="A1041" s="55" t="n"/>
      <c r="B1041" s="56">
        <f>IF(A1041="","",WEEKNUM(A1041,21))</f>
        <v/>
      </c>
      <c r="C1041" s="57" t="n"/>
      <c r="D1041" s="57" t="n"/>
      <c r="E1041" s="58" t="n"/>
      <c r="F1041" s="57" t="n"/>
      <c r="G1041" s="59" t="n"/>
      <c r="H1041" s="59" t="n"/>
      <c r="I1041" s="60">
        <f>IF(OR(G1041="",H1041=""),"",MOD(H1041-G1041,1))</f>
        <v/>
      </c>
      <c r="J1041" s="61">
        <f>IF(OR(G1041="",H1041=""),"",ROUND(MOD(H1041-G1041,1)*24,2))</f>
        <v/>
      </c>
      <c r="K1041" s="62">
        <f>IF(E1041="","",IF(E1041="Werken","JA","NEE"))</f>
        <v/>
      </c>
      <c r="L1041" s="61">
        <f>IF(K1041="JA",N(J1041),IF(E1041="","",0))</f>
        <v/>
      </c>
      <c r="M1041" s="62">
        <f>IF(AND(A1041="",E1041=""),"",IF(E1041="","Segment ontbreekt",IF(OR(G1041="",H1041=""),"Van/tot ontbreekt",IF(N(J1041)=0,"Duur is nul",IF(N(J1041)&gt;12,"Langer dan 12 uur - controleren",IF(AND(E1041="Werken",D1041=""),"Werken zonder klant - koppelen","OK"))))))</f>
        <v/>
      </c>
    </row>
    <row r="1042" ht="15" customHeight="1" s="42">
      <c r="A1042" s="55" t="n"/>
      <c r="B1042" s="56">
        <f>IF(A1042="","",WEEKNUM(A1042,21))</f>
        <v/>
      </c>
      <c r="C1042" s="57" t="n"/>
      <c r="D1042" s="57" t="n"/>
      <c r="E1042" s="58" t="n"/>
      <c r="F1042" s="57" t="n"/>
      <c r="G1042" s="59" t="n"/>
      <c r="H1042" s="59" t="n"/>
      <c r="I1042" s="60">
        <f>IF(OR(G1042="",H1042=""),"",MOD(H1042-G1042,1))</f>
        <v/>
      </c>
      <c r="J1042" s="61">
        <f>IF(OR(G1042="",H1042=""),"",ROUND(MOD(H1042-G1042,1)*24,2))</f>
        <v/>
      </c>
      <c r="K1042" s="62">
        <f>IF(E1042="","",IF(E1042="Werken","JA","NEE"))</f>
        <v/>
      </c>
      <c r="L1042" s="61">
        <f>IF(K1042="JA",N(J1042),IF(E1042="","",0))</f>
        <v/>
      </c>
      <c r="M1042" s="62">
        <f>IF(AND(A1042="",E1042=""),"",IF(E1042="","Segment ontbreekt",IF(OR(G1042="",H1042=""),"Van/tot ontbreekt",IF(N(J1042)=0,"Duur is nul",IF(N(J1042)&gt;12,"Langer dan 12 uur - controleren",IF(AND(E1042="Werken",D1042=""),"Werken zonder klant - koppelen","OK"))))))</f>
        <v/>
      </c>
    </row>
    <row r="1043" ht="15" customHeight="1" s="42">
      <c r="A1043" s="55" t="n"/>
      <c r="B1043" s="56">
        <f>IF(A1043="","",WEEKNUM(A1043,21))</f>
        <v/>
      </c>
      <c r="C1043" s="57" t="n"/>
      <c r="D1043" s="57" t="n"/>
      <c r="E1043" s="58" t="n"/>
      <c r="F1043" s="57" t="n"/>
      <c r="G1043" s="59" t="n"/>
      <c r="H1043" s="59" t="n"/>
      <c r="I1043" s="60">
        <f>IF(OR(G1043="",H1043=""),"",MOD(H1043-G1043,1))</f>
        <v/>
      </c>
      <c r="J1043" s="61">
        <f>IF(OR(G1043="",H1043=""),"",ROUND(MOD(H1043-G1043,1)*24,2))</f>
        <v/>
      </c>
      <c r="K1043" s="62">
        <f>IF(E1043="","",IF(E1043="Werken","JA","NEE"))</f>
        <v/>
      </c>
      <c r="L1043" s="61">
        <f>IF(K1043="JA",N(J1043),IF(E1043="","",0))</f>
        <v/>
      </c>
      <c r="M1043" s="62">
        <f>IF(AND(A1043="",E1043=""),"",IF(E1043="","Segment ontbreekt",IF(OR(G1043="",H1043=""),"Van/tot ontbreekt",IF(N(J1043)=0,"Duur is nul",IF(N(J1043)&gt;12,"Langer dan 12 uur - controleren",IF(AND(E1043="Werken",D1043=""),"Werken zonder klant - koppelen","OK"))))))</f>
        <v/>
      </c>
    </row>
    <row r="1044" ht="15" customHeight="1" s="42">
      <c r="A1044" s="55" t="n"/>
      <c r="B1044" s="56">
        <f>IF(A1044="","",WEEKNUM(A1044,21))</f>
        <v/>
      </c>
      <c r="C1044" s="57" t="n"/>
      <c r="D1044" s="57" t="n"/>
      <c r="E1044" s="58" t="n"/>
      <c r="F1044" s="57" t="n"/>
      <c r="G1044" s="59" t="n"/>
      <c r="H1044" s="59" t="n"/>
      <c r="I1044" s="60">
        <f>IF(OR(G1044="",H1044=""),"",MOD(H1044-G1044,1))</f>
        <v/>
      </c>
      <c r="J1044" s="61">
        <f>IF(OR(G1044="",H1044=""),"",ROUND(MOD(H1044-G1044,1)*24,2))</f>
        <v/>
      </c>
      <c r="K1044" s="62">
        <f>IF(E1044="","",IF(E1044="Werken","JA","NEE"))</f>
        <v/>
      </c>
      <c r="L1044" s="61">
        <f>IF(K1044="JA",N(J1044),IF(E1044="","",0))</f>
        <v/>
      </c>
      <c r="M1044" s="62">
        <f>IF(AND(A1044="",E1044=""),"",IF(E1044="","Segment ontbreekt",IF(OR(G1044="",H1044=""),"Van/tot ontbreekt",IF(N(J1044)=0,"Duur is nul",IF(N(J1044)&gt;12,"Langer dan 12 uur - controleren",IF(AND(E1044="Werken",D1044=""),"Werken zonder klant - koppelen","OK"))))))</f>
        <v/>
      </c>
    </row>
    <row r="1045" ht="15" customHeight="1" s="42">
      <c r="A1045" s="55" t="n"/>
      <c r="B1045" s="56">
        <f>IF(A1045="","",WEEKNUM(A1045,21))</f>
        <v/>
      </c>
      <c r="C1045" s="57" t="n"/>
      <c r="D1045" s="57" t="n"/>
      <c r="E1045" s="58" t="n"/>
      <c r="F1045" s="57" t="n"/>
      <c r="G1045" s="59" t="n"/>
      <c r="H1045" s="59" t="n"/>
      <c r="I1045" s="60">
        <f>IF(OR(G1045="",H1045=""),"",MOD(H1045-G1045,1))</f>
        <v/>
      </c>
      <c r="J1045" s="61">
        <f>IF(OR(G1045="",H1045=""),"",ROUND(MOD(H1045-G1045,1)*24,2))</f>
        <v/>
      </c>
      <c r="K1045" s="62">
        <f>IF(E1045="","",IF(E1045="Werken","JA","NEE"))</f>
        <v/>
      </c>
      <c r="L1045" s="61">
        <f>IF(K1045="JA",N(J1045),IF(E1045="","",0))</f>
        <v/>
      </c>
      <c r="M1045" s="62">
        <f>IF(AND(A1045="",E1045=""),"",IF(E1045="","Segment ontbreekt",IF(OR(G1045="",H1045=""),"Van/tot ontbreekt",IF(N(J1045)=0,"Duur is nul",IF(N(J1045)&gt;12,"Langer dan 12 uur - controleren",IF(AND(E1045="Werken",D1045=""),"Werken zonder klant - koppelen","OK"))))))</f>
        <v/>
      </c>
    </row>
    <row r="1046" ht="15" customHeight="1" s="42">
      <c r="A1046" s="55" t="n"/>
      <c r="B1046" s="56">
        <f>IF(A1046="","",WEEKNUM(A1046,21))</f>
        <v/>
      </c>
      <c r="C1046" s="57" t="n"/>
      <c r="D1046" s="57" t="n"/>
      <c r="E1046" s="58" t="n"/>
      <c r="F1046" s="57" t="n"/>
      <c r="G1046" s="59" t="n"/>
      <c r="H1046" s="59" t="n"/>
      <c r="I1046" s="60">
        <f>IF(OR(G1046="",H1046=""),"",MOD(H1046-G1046,1))</f>
        <v/>
      </c>
      <c r="J1046" s="61">
        <f>IF(OR(G1046="",H1046=""),"",ROUND(MOD(H1046-G1046,1)*24,2))</f>
        <v/>
      </c>
      <c r="K1046" s="62">
        <f>IF(E1046="","",IF(E1046="Werken","JA","NEE"))</f>
        <v/>
      </c>
      <c r="L1046" s="61">
        <f>IF(K1046="JA",N(J1046),IF(E1046="","",0))</f>
        <v/>
      </c>
      <c r="M1046" s="62">
        <f>IF(AND(A1046="",E1046=""),"",IF(E1046="","Segment ontbreekt",IF(OR(G1046="",H1046=""),"Van/tot ontbreekt",IF(N(J1046)=0,"Duur is nul",IF(N(J1046)&gt;12,"Langer dan 12 uur - controleren",IF(AND(E1046="Werken",D1046=""),"Werken zonder klant - koppelen","OK"))))))</f>
        <v/>
      </c>
    </row>
    <row r="1047" ht="15" customHeight="1" s="42">
      <c r="A1047" s="55" t="n"/>
      <c r="B1047" s="56">
        <f>IF(A1047="","",WEEKNUM(A1047,21))</f>
        <v/>
      </c>
      <c r="C1047" s="57" t="n"/>
      <c r="D1047" s="57" t="n"/>
      <c r="E1047" s="58" t="n"/>
      <c r="F1047" s="57" t="n"/>
      <c r="G1047" s="59" t="n"/>
      <c r="H1047" s="59" t="n"/>
      <c r="I1047" s="60">
        <f>IF(OR(G1047="",H1047=""),"",MOD(H1047-G1047,1))</f>
        <v/>
      </c>
      <c r="J1047" s="61">
        <f>IF(OR(G1047="",H1047=""),"",ROUND(MOD(H1047-G1047,1)*24,2))</f>
        <v/>
      </c>
      <c r="K1047" s="62">
        <f>IF(E1047="","",IF(E1047="Werken","JA","NEE"))</f>
        <v/>
      </c>
      <c r="L1047" s="61">
        <f>IF(K1047="JA",N(J1047),IF(E1047="","",0))</f>
        <v/>
      </c>
      <c r="M1047" s="62">
        <f>IF(AND(A1047="",E1047=""),"",IF(E1047="","Segment ontbreekt",IF(OR(G1047="",H1047=""),"Van/tot ontbreekt",IF(N(J1047)=0,"Duur is nul",IF(N(J1047)&gt;12,"Langer dan 12 uur - controleren",IF(AND(E1047="Werken",D1047=""),"Werken zonder klant - koppelen","OK"))))))</f>
        <v/>
      </c>
    </row>
    <row r="1048" ht="15" customHeight="1" s="42">
      <c r="A1048" s="55" t="n"/>
      <c r="B1048" s="56">
        <f>IF(A1048="","",WEEKNUM(A1048,21))</f>
        <v/>
      </c>
      <c r="C1048" s="57" t="n"/>
      <c r="D1048" s="57" t="n"/>
      <c r="E1048" s="58" t="n"/>
      <c r="F1048" s="57" t="n"/>
      <c r="G1048" s="59" t="n"/>
      <c r="H1048" s="59" t="n"/>
      <c r="I1048" s="60">
        <f>IF(OR(G1048="",H1048=""),"",MOD(H1048-G1048,1))</f>
        <v/>
      </c>
      <c r="J1048" s="61">
        <f>IF(OR(G1048="",H1048=""),"",ROUND(MOD(H1048-G1048,1)*24,2))</f>
        <v/>
      </c>
      <c r="K1048" s="62">
        <f>IF(E1048="","",IF(E1048="Werken","JA","NEE"))</f>
        <v/>
      </c>
      <c r="L1048" s="61">
        <f>IF(K1048="JA",N(J1048),IF(E1048="","",0))</f>
        <v/>
      </c>
      <c r="M1048" s="62">
        <f>IF(AND(A1048="",E1048=""),"",IF(E1048="","Segment ontbreekt",IF(OR(G1048="",H1048=""),"Van/tot ontbreekt",IF(N(J1048)=0,"Duur is nul",IF(N(J1048)&gt;12,"Langer dan 12 uur - controleren",IF(AND(E1048="Werken",D1048=""),"Werken zonder klant - koppelen","OK"))))))</f>
        <v/>
      </c>
    </row>
    <row r="1049" ht="15" customHeight="1" s="42">
      <c r="A1049" s="55" t="n"/>
      <c r="B1049" s="56">
        <f>IF(A1049="","",WEEKNUM(A1049,21))</f>
        <v/>
      </c>
      <c r="C1049" s="57" t="n"/>
      <c r="D1049" s="57" t="n"/>
      <c r="E1049" s="58" t="n"/>
      <c r="F1049" s="57" t="n"/>
      <c r="G1049" s="59" t="n"/>
      <c r="H1049" s="59" t="n"/>
      <c r="I1049" s="60">
        <f>IF(OR(G1049="",H1049=""),"",MOD(H1049-G1049,1))</f>
        <v/>
      </c>
      <c r="J1049" s="61">
        <f>IF(OR(G1049="",H1049=""),"",ROUND(MOD(H1049-G1049,1)*24,2))</f>
        <v/>
      </c>
      <c r="K1049" s="62">
        <f>IF(E1049="","",IF(E1049="Werken","JA","NEE"))</f>
        <v/>
      </c>
      <c r="L1049" s="61">
        <f>IF(K1049="JA",N(J1049),IF(E1049="","",0))</f>
        <v/>
      </c>
      <c r="M1049" s="62">
        <f>IF(AND(A1049="",E1049=""),"",IF(E1049="","Segment ontbreekt",IF(OR(G1049="",H1049=""),"Van/tot ontbreekt",IF(N(J1049)=0,"Duur is nul",IF(N(J1049)&gt;12,"Langer dan 12 uur - controleren",IF(AND(E1049="Werken",D1049=""),"Werken zonder klant - koppelen","OK"))))))</f>
        <v/>
      </c>
    </row>
    <row r="1050" ht="15" customHeight="1" s="42">
      <c r="A1050" s="55" t="n"/>
      <c r="B1050" s="56">
        <f>IF(A1050="","",WEEKNUM(A1050,21))</f>
        <v/>
      </c>
      <c r="C1050" s="57" t="n"/>
      <c r="D1050" s="57" t="n"/>
      <c r="E1050" s="58" t="n"/>
      <c r="F1050" s="57" t="n"/>
      <c r="G1050" s="59" t="n"/>
      <c r="H1050" s="59" t="n"/>
      <c r="I1050" s="60">
        <f>IF(OR(G1050="",H1050=""),"",MOD(H1050-G1050,1))</f>
        <v/>
      </c>
      <c r="J1050" s="61">
        <f>IF(OR(G1050="",H1050=""),"",ROUND(MOD(H1050-G1050,1)*24,2))</f>
        <v/>
      </c>
      <c r="K1050" s="62">
        <f>IF(E1050="","",IF(E1050="Werken","JA","NEE"))</f>
        <v/>
      </c>
      <c r="L1050" s="61">
        <f>IF(K1050="JA",N(J1050),IF(E1050="","",0))</f>
        <v/>
      </c>
      <c r="M1050" s="62">
        <f>IF(AND(A1050="",E1050=""),"",IF(E1050="","Segment ontbreekt",IF(OR(G1050="",H1050=""),"Van/tot ontbreekt",IF(N(J1050)=0,"Duur is nul",IF(N(J1050)&gt;12,"Langer dan 12 uur - controleren",IF(AND(E1050="Werken",D1050=""),"Werken zonder klant - koppelen","OK"))))))</f>
        <v/>
      </c>
    </row>
    <row r="1051" ht="15" customHeight="1" s="42">
      <c r="A1051" s="55" t="n"/>
      <c r="B1051" s="56">
        <f>IF(A1051="","",WEEKNUM(A1051,21))</f>
        <v/>
      </c>
      <c r="C1051" s="57" t="n"/>
      <c r="D1051" s="57" t="n"/>
      <c r="E1051" s="58" t="n"/>
      <c r="F1051" s="57" t="n"/>
      <c r="G1051" s="59" t="n"/>
      <c r="H1051" s="59" t="n"/>
      <c r="I1051" s="60">
        <f>IF(OR(G1051="",H1051=""),"",MOD(H1051-G1051,1))</f>
        <v/>
      </c>
      <c r="J1051" s="61">
        <f>IF(OR(G1051="",H1051=""),"",ROUND(MOD(H1051-G1051,1)*24,2))</f>
        <v/>
      </c>
      <c r="K1051" s="62">
        <f>IF(E1051="","",IF(E1051="Werken","JA","NEE"))</f>
        <v/>
      </c>
      <c r="L1051" s="61">
        <f>IF(K1051="JA",N(J1051),IF(E1051="","",0))</f>
        <v/>
      </c>
      <c r="M1051" s="62">
        <f>IF(AND(A1051="",E1051=""),"",IF(E1051="","Segment ontbreekt",IF(OR(G1051="",H1051=""),"Van/tot ontbreekt",IF(N(J1051)=0,"Duur is nul",IF(N(J1051)&gt;12,"Langer dan 12 uur - controleren",IF(AND(E1051="Werken",D1051=""),"Werken zonder klant - koppelen","OK"))))))</f>
        <v/>
      </c>
    </row>
    <row r="1052" ht="15" customHeight="1" s="42">
      <c r="A1052" s="55" t="n"/>
      <c r="B1052" s="56">
        <f>IF(A1052="","",WEEKNUM(A1052,21))</f>
        <v/>
      </c>
      <c r="C1052" s="57" t="n"/>
      <c r="D1052" s="57" t="n"/>
      <c r="E1052" s="58" t="n"/>
      <c r="F1052" s="57" t="n"/>
      <c r="G1052" s="59" t="n"/>
      <c r="H1052" s="59" t="n"/>
      <c r="I1052" s="60">
        <f>IF(OR(G1052="",H1052=""),"",MOD(H1052-G1052,1))</f>
        <v/>
      </c>
      <c r="J1052" s="61">
        <f>IF(OR(G1052="",H1052=""),"",ROUND(MOD(H1052-G1052,1)*24,2))</f>
        <v/>
      </c>
      <c r="K1052" s="62">
        <f>IF(E1052="","",IF(E1052="Werken","JA","NEE"))</f>
        <v/>
      </c>
      <c r="L1052" s="61">
        <f>IF(K1052="JA",N(J1052),IF(E1052="","",0))</f>
        <v/>
      </c>
      <c r="M1052" s="62">
        <f>IF(AND(A1052="",E1052=""),"",IF(E1052="","Segment ontbreekt",IF(OR(G1052="",H1052=""),"Van/tot ontbreekt",IF(N(J1052)=0,"Duur is nul",IF(N(J1052)&gt;12,"Langer dan 12 uur - controleren",IF(AND(E1052="Werken",D1052=""),"Werken zonder klant - koppelen","OK"))))))</f>
        <v/>
      </c>
    </row>
    <row r="1053" ht="15" customHeight="1" s="42">
      <c r="A1053" s="55" t="n"/>
      <c r="B1053" s="56">
        <f>IF(A1053="","",WEEKNUM(A1053,21))</f>
        <v/>
      </c>
      <c r="C1053" s="57" t="n"/>
      <c r="D1053" s="57" t="n"/>
      <c r="E1053" s="58" t="n"/>
      <c r="F1053" s="57" t="n"/>
      <c r="G1053" s="59" t="n"/>
      <c r="H1053" s="59" t="n"/>
      <c r="I1053" s="60">
        <f>IF(OR(G1053="",H1053=""),"",MOD(H1053-G1053,1))</f>
        <v/>
      </c>
      <c r="J1053" s="61">
        <f>IF(OR(G1053="",H1053=""),"",ROUND(MOD(H1053-G1053,1)*24,2))</f>
        <v/>
      </c>
      <c r="K1053" s="62">
        <f>IF(E1053="","",IF(E1053="Werken","JA","NEE"))</f>
        <v/>
      </c>
      <c r="L1053" s="61">
        <f>IF(K1053="JA",N(J1053),IF(E1053="","",0))</f>
        <v/>
      </c>
      <c r="M1053" s="62">
        <f>IF(AND(A1053="",E1053=""),"",IF(E1053="","Segment ontbreekt",IF(OR(G1053="",H1053=""),"Van/tot ontbreekt",IF(N(J1053)=0,"Duur is nul",IF(N(J1053)&gt;12,"Langer dan 12 uur - controleren",IF(AND(E1053="Werken",D1053=""),"Werken zonder klant - koppelen","OK"))))))</f>
        <v/>
      </c>
    </row>
    <row r="1054" ht="15" customHeight="1" s="42">
      <c r="A1054" s="55" t="n"/>
      <c r="B1054" s="56">
        <f>IF(A1054="","",WEEKNUM(A1054,21))</f>
        <v/>
      </c>
      <c r="C1054" s="57" t="n"/>
      <c r="D1054" s="57" t="n"/>
      <c r="E1054" s="58" t="n"/>
      <c r="F1054" s="57" t="n"/>
      <c r="G1054" s="59" t="n"/>
      <c r="H1054" s="59" t="n"/>
      <c r="I1054" s="60">
        <f>IF(OR(G1054="",H1054=""),"",MOD(H1054-G1054,1))</f>
        <v/>
      </c>
      <c r="J1054" s="61">
        <f>IF(OR(G1054="",H1054=""),"",ROUND(MOD(H1054-G1054,1)*24,2))</f>
        <v/>
      </c>
      <c r="K1054" s="62">
        <f>IF(E1054="","",IF(E1054="Werken","JA","NEE"))</f>
        <v/>
      </c>
      <c r="L1054" s="61">
        <f>IF(K1054="JA",N(J1054),IF(E1054="","",0))</f>
        <v/>
      </c>
      <c r="M1054" s="62">
        <f>IF(AND(A1054="",E1054=""),"",IF(E1054="","Segment ontbreekt",IF(OR(G1054="",H1054=""),"Van/tot ontbreekt",IF(N(J1054)=0,"Duur is nul",IF(N(J1054)&gt;12,"Langer dan 12 uur - controleren",IF(AND(E1054="Werken",D1054=""),"Werken zonder klant - koppelen","OK"))))))</f>
        <v/>
      </c>
    </row>
    <row r="1055" ht="15" customHeight="1" s="42">
      <c r="A1055" s="55" t="n"/>
      <c r="B1055" s="56">
        <f>IF(A1055="","",WEEKNUM(A1055,21))</f>
        <v/>
      </c>
      <c r="C1055" s="57" t="n"/>
      <c r="D1055" s="57" t="n"/>
      <c r="E1055" s="58" t="n"/>
      <c r="F1055" s="57" t="n"/>
      <c r="G1055" s="59" t="n"/>
      <c r="H1055" s="59" t="n"/>
      <c r="I1055" s="60">
        <f>IF(OR(G1055="",H1055=""),"",MOD(H1055-G1055,1))</f>
        <v/>
      </c>
      <c r="J1055" s="61">
        <f>IF(OR(G1055="",H1055=""),"",ROUND(MOD(H1055-G1055,1)*24,2))</f>
        <v/>
      </c>
      <c r="K1055" s="62">
        <f>IF(E1055="","",IF(E1055="Werken","JA","NEE"))</f>
        <v/>
      </c>
      <c r="L1055" s="61">
        <f>IF(K1055="JA",N(J1055),IF(E1055="","",0))</f>
        <v/>
      </c>
      <c r="M1055" s="62">
        <f>IF(AND(A1055="",E1055=""),"",IF(E1055="","Segment ontbreekt",IF(OR(G1055="",H1055=""),"Van/tot ontbreekt",IF(N(J1055)=0,"Duur is nul",IF(N(J1055)&gt;12,"Langer dan 12 uur - controleren",IF(AND(E1055="Werken",D1055=""),"Werken zonder klant - koppelen","OK"))))))</f>
        <v/>
      </c>
    </row>
    <row r="1056" ht="15" customHeight="1" s="42">
      <c r="A1056" s="55" t="n"/>
      <c r="B1056" s="56">
        <f>IF(A1056="","",WEEKNUM(A1056,21))</f>
        <v/>
      </c>
      <c r="C1056" s="57" t="n"/>
      <c r="D1056" s="57" t="n"/>
      <c r="E1056" s="58" t="n"/>
      <c r="F1056" s="57" t="n"/>
      <c r="G1056" s="59" t="n"/>
      <c r="H1056" s="59" t="n"/>
      <c r="I1056" s="60">
        <f>IF(OR(G1056="",H1056=""),"",MOD(H1056-G1056,1))</f>
        <v/>
      </c>
      <c r="J1056" s="61">
        <f>IF(OR(G1056="",H1056=""),"",ROUND(MOD(H1056-G1056,1)*24,2))</f>
        <v/>
      </c>
      <c r="K1056" s="62">
        <f>IF(E1056="","",IF(E1056="Werken","JA","NEE"))</f>
        <v/>
      </c>
      <c r="L1056" s="61">
        <f>IF(K1056="JA",N(J1056),IF(E1056="","",0))</f>
        <v/>
      </c>
      <c r="M1056" s="62">
        <f>IF(AND(A1056="",E1056=""),"",IF(E1056="","Segment ontbreekt",IF(OR(G1056="",H1056=""),"Van/tot ontbreekt",IF(N(J1056)=0,"Duur is nul",IF(N(J1056)&gt;12,"Langer dan 12 uur - controleren",IF(AND(E1056="Werken",D1056=""),"Werken zonder klant - koppelen","OK"))))))</f>
        <v/>
      </c>
    </row>
    <row r="1057" ht="15" customHeight="1" s="42">
      <c r="A1057" s="55" t="n"/>
      <c r="B1057" s="56">
        <f>IF(A1057="","",WEEKNUM(A1057,21))</f>
        <v/>
      </c>
      <c r="C1057" s="57" t="n"/>
      <c r="D1057" s="57" t="n"/>
      <c r="E1057" s="58" t="n"/>
      <c r="F1057" s="57" t="n"/>
      <c r="G1057" s="59" t="n"/>
      <c r="H1057" s="59" t="n"/>
      <c r="I1057" s="60">
        <f>IF(OR(G1057="",H1057=""),"",MOD(H1057-G1057,1))</f>
        <v/>
      </c>
      <c r="J1057" s="61">
        <f>IF(OR(G1057="",H1057=""),"",ROUND(MOD(H1057-G1057,1)*24,2))</f>
        <v/>
      </c>
      <c r="K1057" s="62">
        <f>IF(E1057="","",IF(E1057="Werken","JA","NEE"))</f>
        <v/>
      </c>
      <c r="L1057" s="61">
        <f>IF(K1057="JA",N(J1057),IF(E1057="","",0))</f>
        <v/>
      </c>
      <c r="M1057" s="62">
        <f>IF(AND(A1057="",E1057=""),"",IF(E1057="","Segment ontbreekt",IF(OR(G1057="",H1057=""),"Van/tot ontbreekt",IF(N(J1057)=0,"Duur is nul",IF(N(J1057)&gt;12,"Langer dan 12 uur - controleren",IF(AND(E1057="Werken",D1057=""),"Werken zonder klant - koppelen","OK"))))))</f>
        <v/>
      </c>
    </row>
    <row r="1058" ht="15" customHeight="1" s="42">
      <c r="A1058" s="55" t="n"/>
      <c r="B1058" s="56">
        <f>IF(A1058="","",WEEKNUM(A1058,21))</f>
        <v/>
      </c>
      <c r="C1058" s="57" t="n"/>
      <c r="D1058" s="57" t="n"/>
      <c r="E1058" s="58" t="n"/>
      <c r="F1058" s="57" t="n"/>
      <c r="G1058" s="59" t="n"/>
      <c r="H1058" s="59" t="n"/>
      <c r="I1058" s="60">
        <f>IF(OR(G1058="",H1058=""),"",MOD(H1058-G1058,1))</f>
        <v/>
      </c>
      <c r="J1058" s="61">
        <f>IF(OR(G1058="",H1058=""),"",ROUND(MOD(H1058-G1058,1)*24,2))</f>
        <v/>
      </c>
      <c r="K1058" s="62">
        <f>IF(E1058="","",IF(E1058="Werken","JA","NEE"))</f>
        <v/>
      </c>
      <c r="L1058" s="61">
        <f>IF(K1058="JA",N(J1058),IF(E1058="","",0))</f>
        <v/>
      </c>
      <c r="M1058" s="62">
        <f>IF(AND(A1058="",E1058=""),"",IF(E1058="","Segment ontbreekt",IF(OR(G1058="",H1058=""),"Van/tot ontbreekt",IF(N(J1058)=0,"Duur is nul",IF(N(J1058)&gt;12,"Langer dan 12 uur - controleren",IF(AND(E1058="Werken",D1058=""),"Werken zonder klant - koppelen","OK"))))))</f>
        <v/>
      </c>
    </row>
    <row r="1059" ht="15" customHeight="1" s="42">
      <c r="A1059" s="55" t="n"/>
      <c r="B1059" s="56">
        <f>IF(A1059="","",WEEKNUM(A1059,21))</f>
        <v/>
      </c>
      <c r="C1059" s="57" t="n"/>
      <c r="D1059" s="57" t="n"/>
      <c r="E1059" s="58" t="n"/>
      <c r="F1059" s="57" t="n"/>
      <c r="G1059" s="59" t="n"/>
      <c r="H1059" s="59" t="n"/>
      <c r="I1059" s="60">
        <f>IF(OR(G1059="",H1059=""),"",MOD(H1059-G1059,1))</f>
        <v/>
      </c>
      <c r="J1059" s="61">
        <f>IF(OR(G1059="",H1059=""),"",ROUND(MOD(H1059-G1059,1)*24,2))</f>
        <v/>
      </c>
      <c r="K1059" s="62">
        <f>IF(E1059="","",IF(E1059="Werken","JA","NEE"))</f>
        <v/>
      </c>
      <c r="L1059" s="61">
        <f>IF(K1059="JA",N(J1059),IF(E1059="","",0))</f>
        <v/>
      </c>
      <c r="M1059" s="62">
        <f>IF(AND(A1059="",E1059=""),"",IF(E1059="","Segment ontbreekt",IF(OR(G1059="",H1059=""),"Van/tot ontbreekt",IF(N(J1059)=0,"Duur is nul",IF(N(J1059)&gt;12,"Langer dan 12 uur - controleren",IF(AND(E1059="Werken",D1059=""),"Werken zonder klant - koppelen","OK"))))))</f>
        <v/>
      </c>
    </row>
    <row r="1060" ht="15" customHeight="1" s="42">
      <c r="A1060" s="55" t="n"/>
      <c r="B1060" s="56">
        <f>IF(A1060="","",WEEKNUM(A1060,21))</f>
        <v/>
      </c>
      <c r="C1060" s="57" t="n"/>
      <c r="D1060" s="57" t="n"/>
      <c r="E1060" s="58" t="n"/>
      <c r="F1060" s="57" t="n"/>
      <c r="G1060" s="59" t="n"/>
      <c r="H1060" s="59" t="n"/>
      <c r="I1060" s="60">
        <f>IF(OR(G1060="",H1060=""),"",MOD(H1060-G1060,1))</f>
        <v/>
      </c>
      <c r="J1060" s="61">
        <f>IF(OR(G1060="",H1060=""),"",ROUND(MOD(H1060-G1060,1)*24,2))</f>
        <v/>
      </c>
      <c r="K1060" s="62">
        <f>IF(E1060="","",IF(E1060="Werken","JA","NEE"))</f>
        <v/>
      </c>
      <c r="L1060" s="61">
        <f>IF(K1060="JA",N(J1060),IF(E1060="","",0))</f>
        <v/>
      </c>
      <c r="M1060" s="62">
        <f>IF(AND(A1060="",E1060=""),"",IF(E1060="","Segment ontbreekt",IF(OR(G1060="",H1060=""),"Van/tot ontbreekt",IF(N(J1060)=0,"Duur is nul",IF(N(J1060)&gt;12,"Langer dan 12 uur - controleren",IF(AND(E1060="Werken",D1060=""),"Werken zonder klant - koppelen","OK"))))))</f>
        <v/>
      </c>
    </row>
    <row r="1061" ht="15" customHeight="1" s="42">
      <c r="A1061" s="55" t="n"/>
      <c r="B1061" s="56">
        <f>IF(A1061="","",WEEKNUM(A1061,21))</f>
        <v/>
      </c>
      <c r="C1061" s="57" t="n"/>
      <c r="D1061" s="57" t="n"/>
      <c r="E1061" s="58" t="n"/>
      <c r="F1061" s="57" t="n"/>
      <c r="G1061" s="59" t="n"/>
      <c r="H1061" s="59" t="n"/>
      <c r="I1061" s="60">
        <f>IF(OR(G1061="",H1061=""),"",MOD(H1061-G1061,1))</f>
        <v/>
      </c>
      <c r="J1061" s="61">
        <f>IF(OR(G1061="",H1061=""),"",ROUND(MOD(H1061-G1061,1)*24,2))</f>
        <v/>
      </c>
      <c r="K1061" s="62">
        <f>IF(E1061="","",IF(E1061="Werken","JA","NEE"))</f>
        <v/>
      </c>
      <c r="L1061" s="61">
        <f>IF(K1061="JA",N(J1061),IF(E1061="","",0))</f>
        <v/>
      </c>
      <c r="M1061" s="62">
        <f>IF(AND(A1061="",E1061=""),"",IF(E1061="","Segment ontbreekt",IF(OR(G1061="",H1061=""),"Van/tot ontbreekt",IF(N(J1061)=0,"Duur is nul",IF(N(J1061)&gt;12,"Langer dan 12 uur - controleren",IF(AND(E1061="Werken",D1061=""),"Werken zonder klant - koppelen","OK"))))))</f>
        <v/>
      </c>
    </row>
    <row r="1062" ht="15" customHeight="1" s="42">
      <c r="A1062" s="55" t="n"/>
      <c r="B1062" s="56">
        <f>IF(A1062="","",WEEKNUM(A1062,21))</f>
        <v/>
      </c>
      <c r="C1062" s="57" t="n"/>
      <c r="D1062" s="57" t="n"/>
      <c r="E1062" s="58" t="n"/>
      <c r="F1062" s="57" t="n"/>
      <c r="G1062" s="59" t="n"/>
      <c r="H1062" s="59" t="n"/>
      <c r="I1062" s="60">
        <f>IF(OR(G1062="",H1062=""),"",MOD(H1062-G1062,1))</f>
        <v/>
      </c>
      <c r="J1062" s="61">
        <f>IF(OR(G1062="",H1062=""),"",ROUND(MOD(H1062-G1062,1)*24,2))</f>
        <v/>
      </c>
      <c r="K1062" s="62">
        <f>IF(E1062="","",IF(E1062="Werken","JA","NEE"))</f>
        <v/>
      </c>
      <c r="L1062" s="61">
        <f>IF(K1062="JA",N(J1062),IF(E1062="","",0))</f>
        <v/>
      </c>
      <c r="M1062" s="62">
        <f>IF(AND(A1062="",E1062=""),"",IF(E1062="","Segment ontbreekt",IF(OR(G1062="",H1062=""),"Van/tot ontbreekt",IF(N(J1062)=0,"Duur is nul",IF(N(J1062)&gt;12,"Langer dan 12 uur - controleren",IF(AND(E1062="Werken",D1062=""),"Werken zonder klant - koppelen","OK"))))))</f>
        <v/>
      </c>
    </row>
    <row r="1063" ht="15" customHeight="1" s="42">
      <c r="A1063" s="55" t="n"/>
      <c r="B1063" s="56">
        <f>IF(A1063="","",WEEKNUM(A1063,21))</f>
        <v/>
      </c>
      <c r="C1063" s="57" t="n"/>
      <c r="D1063" s="57" t="n"/>
      <c r="E1063" s="58" t="n"/>
      <c r="F1063" s="57" t="n"/>
      <c r="G1063" s="59" t="n"/>
      <c r="H1063" s="59" t="n"/>
      <c r="I1063" s="60">
        <f>IF(OR(G1063="",H1063=""),"",MOD(H1063-G1063,1))</f>
        <v/>
      </c>
      <c r="J1063" s="61">
        <f>IF(OR(G1063="",H1063=""),"",ROUND(MOD(H1063-G1063,1)*24,2))</f>
        <v/>
      </c>
      <c r="K1063" s="62">
        <f>IF(E1063="","",IF(E1063="Werken","JA","NEE"))</f>
        <v/>
      </c>
      <c r="L1063" s="61">
        <f>IF(K1063="JA",N(J1063),IF(E1063="","",0))</f>
        <v/>
      </c>
      <c r="M1063" s="62">
        <f>IF(AND(A1063="",E1063=""),"",IF(E1063="","Segment ontbreekt",IF(OR(G1063="",H1063=""),"Van/tot ontbreekt",IF(N(J1063)=0,"Duur is nul",IF(N(J1063)&gt;12,"Langer dan 12 uur - controleren",IF(AND(E1063="Werken",D1063=""),"Werken zonder klant - koppelen","OK"))))))</f>
        <v/>
      </c>
    </row>
    <row r="1064" ht="15" customHeight="1" s="42">
      <c r="A1064" s="55" t="n"/>
      <c r="B1064" s="56">
        <f>IF(A1064="","",WEEKNUM(A1064,21))</f>
        <v/>
      </c>
      <c r="C1064" s="57" t="n"/>
      <c r="D1064" s="57" t="n"/>
      <c r="E1064" s="58" t="n"/>
      <c r="F1064" s="57" t="n"/>
      <c r="G1064" s="59" t="n"/>
      <c r="H1064" s="59" t="n"/>
      <c r="I1064" s="60">
        <f>IF(OR(G1064="",H1064=""),"",MOD(H1064-G1064,1))</f>
        <v/>
      </c>
      <c r="J1064" s="61">
        <f>IF(OR(G1064="",H1064=""),"",ROUND(MOD(H1064-G1064,1)*24,2))</f>
        <v/>
      </c>
      <c r="K1064" s="62">
        <f>IF(E1064="","",IF(E1064="Werken","JA","NEE"))</f>
        <v/>
      </c>
      <c r="L1064" s="61">
        <f>IF(K1064="JA",N(J1064),IF(E1064="","",0))</f>
        <v/>
      </c>
      <c r="M1064" s="62">
        <f>IF(AND(A1064="",E1064=""),"",IF(E1064="","Segment ontbreekt",IF(OR(G1064="",H1064=""),"Van/tot ontbreekt",IF(N(J1064)=0,"Duur is nul",IF(N(J1064)&gt;12,"Langer dan 12 uur - controleren",IF(AND(E1064="Werken",D1064=""),"Werken zonder klant - koppelen","OK"))))))</f>
        <v/>
      </c>
    </row>
    <row r="1065" ht="15" customHeight="1" s="42">
      <c r="A1065" s="55" t="n"/>
      <c r="B1065" s="56">
        <f>IF(A1065="","",WEEKNUM(A1065,21))</f>
        <v/>
      </c>
      <c r="C1065" s="57" t="n"/>
      <c r="D1065" s="57" t="n"/>
      <c r="E1065" s="58" t="n"/>
      <c r="F1065" s="57" t="n"/>
      <c r="G1065" s="59" t="n"/>
      <c r="H1065" s="59" t="n"/>
      <c r="I1065" s="60">
        <f>IF(OR(G1065="",H1065=""),"",MOD(H1065-G1065,1))</f>
        <v/>
      </c>
      <c r="J1065" s="61">
        <f>IF(OR(G1065="",H1065=""),"",ROUND(MOD(H1065-G1065,1)*24,2))</f>
        <v/>
      </c>
      <c r="K1065" s="62">
        <f>IF(E1065="","",IF(E1065="Werken","JA","NEE"))</f>
        <v/>
      </c>
      <c r="L1065" s="61">
        <f>IF(K1065="JA",N(J1065),IF(E1065="","",0))</f>
        <v/>
      </c>
      <c r="M1065" s="62">
        <f>IF(AND(A1065="",E1065=""),"",IF(E1065="","Segment ontbreekt",IF(OR(G1065="",H1065=""),"Van/tot ontbreekt",IF(N(J1065)=0,"Duur is nul",IF(N(J1065)&gt;12,"Langer dan 12 uur - controleren",IF(AND(E1065="Werken",D1065=""),"Werken zonder klant - koppelen","OK"))))))</f>
        <v/>
      </c>
    </row>
    <row r="1066" ht="15" customHeight="1" s="42">
      <c r="A1066" s="55" t="n"/>
      <c r="B1066" s="56">
        <f>IF(A1066="","",WEEKNUM(A1066,21))</f>
        <v/>
      </c>
      <c r="C1066" s="57" t="n"/>
      <c r="D1066" s="57" t="n"/>
      <c r="E1066" s="58" t="n"/>
      <c r="F1066" s="57" t="n"/>
      <c r="G1066" s="59" t="n"/>
      <c r="H1066" s="59" t="n"/>
      <c r="I1066" s="60">
        <f>IF(OR(G1066="",H1066=""),"",MOD(H1066-G1066,1))</f>
        <v/>
      </c>
      <c r="J1066" s="61">
        <f>IF(OR(G1066="",H1066=""),"",ROUND(MOD(H1066-G1066,1)*24,2))</f>
        <v/>
      </c>
      <c r="K1066" s="62">
        <f>IF(E1066="","",IF(E1066="Werken","JA","NEE"))</f>
        <v/>
      </c>
      <c r="L1066" s="61">
        <f>IF(K1066="JA",N(J1066),IF(E1066="","",0))</f>
        <v/>
      </c>
      <c r="M1066" s="62">
        <f>IF(AND(A1066="",E1066=""),"",IF(E1066="","Segment ontbreekt",IF(OR(G1066="",H1066=""),"Van/tot ontbreekt",IF(N(J1066)=0,"Duur is nul",IF(N(J1066)&gt;12,"Langer dan 12 uur - controleren",IF(AND(E1066="Werken",D1066=""),"Werken zonder klant - koppelen","OK"))))))</f>
        <v/>
      </c>
    </row>
    <row r="1067" ht="15" customHeight="1" s="42">
      <c r="A1067" s="55" t="n"/>
      <c r="B1067" s="56">
        <f>IF(A1067="","",WEEKNUM(A1067,21))</f>
        <v/>
      </c>
      <c r="C1067" s="57" t="n"/>
      <c r="D1067" s="57" t="n"/>
      <c r="E1067" s="58" t="n"/>
      <c r="F1067" s="57" t="n"/>
      <c r="G1067" s="59" t="n"/>
      <c r="H1067" s="59" t="n"/>
      <c r="I1067" s="60">
        <f>IF(OR(G1067="",H1067=""),"",MOD(H1067-G1067,1))</f>
        <v/>
      </c>
      <c r="J1067" s="61">
        <f>IF(OR(G1067="",H1067=""),"",ROUND(MOD(H1067-G1067,1)*24,2))</f>
        <v/>
      </c>
      <c r="K1067" s="62">
        <f>IF(E1067="","",IF(E1067="Werken","JA","NEE"))</f>
        <v/>
      </c>
      <c r="L1067" s="61">
        <f>IF(K1067="JA",N(J1067),IF(E1067="","",0))</f>
        <v/>
      </c>
      <c r="M1067" s="62">
        <f>IF(AND(A1067="",E1067=""),"",IF(E1067="","Segment ontbreekt",IF(OR(G1067="",H1067=""),"Van/tot ontbreekt",IF(N(J1067)=0,"Duur is nul",IF(N(J1067)&gt;12,"Langer dan 12 uur - controleren",IF(AND(E1067="Werken",D1067=""),"Werken zonder klant - koppelen","OK"))))))</f>
        <v/>
      </c>
    </row>
    <row r="1068" ht="15" customHeight="1" s="42">
      <c r="A1068" s="55" t="n"/>
      <c r="B1068" s="56">
        <f>IF(A1068="","",WEEKNUM(A1068,21))</f>
        <v/>
      </c>
      <c r="C1068" s="57" t="n"/>
      <c r="D1068" s="57" t="n"/>
      <c r="E1068" s="58" t="n"/>
      <c r="F1068" s="57" t="n"/>
      <c r="G1068" s="59" t="n"/>
      <c r="H1068" s="59" t="n"/>
      <c r="I1068" s="60">
        <f>IF(OR(G1068="",H1068=""),"",MOD(H1068-G1068,1))</f>
        <v/>
      </c>
      <c r="J1068" s="61">
        <f>IF(OR(G1068="",H1068=""),"",ROUND(MOD(H1068-G1068,1)*24,2))</f>
        <v/>
      </c>
      <c r="K1068" s="62">
        <f>IF(E1068="","",IF(E1068="Werken","JA","NEE"))</f>
        <v/>
      </c>
      <c r="L1068" s="61">
        <f>IF(K1068="JA",N(J1068),IF(E1068="","",0))</f>
        <v/>
      </c>
      <c r="M1068" s="62">
        <f>IF(AND(A1068="",E1068=""),"",IF(E1068="","Segment ontbreekt",IF(OR(G1068="",H1068=""),"Van/tot ontbreekt",IF(N(J1068)=0,"Duur is nul",IF(N(J1068)&gt;12,"Langer dan 12 uur - controleren",IF(AND(E1068="Werken",D1068=""),"Werken zonder klant - koppelen","OK"))))))</f>
        <v/>
      </c>
    </row>
    <row r="1069" ht="15" customHeight="1" s="42">
      <c r="A1069" s="55" t="n"/>
      <c r="B1069" s="56">
        <f>IF(A1069="","",WEEKNUM(A1069,21))</f>
        <v/>
      </c>
      <c r="C1069" s="57" t="n"/>
      <c r="D1069" s="57" t="n"/>
      <c r="E1069" s="58" t="n"/>
      <c r="F1069" s="57" t="n"/>
      <c r="G1069" s="59" t="n"/>
      <c r="H1069" s="59" t="n"/>
      <c r="I1069" s="60">
        <f>IF(OR(G1069="",H1069=""),"",MOD(H1069-G1069,1))</f>
        <v/>
      </c>
      <c r="J1069" s="61">
        <f>IF(OR(G1069="",H1069=""),"",ROUND(MOD(H1069-G1069,1)*24,2))</f>
        <v/>
      </c>
      <c r="K1069" s="62">
        <f>IF(E1069="","",IF(E1069="Werken","JA","NEE"))</f>
        <v/>
      </c>
      <c r="L1069" s="61">
        <f>IF(K1069="JA",N(J1069),IF(E1069="","",0))</f>
        <v/>
      </c>
      <c r="M1069" s="62">
        <f>IF(AND(A1069="",E1069=""),"",IF(E1069="","Segment ontbreekt",IF(OR(G1069="",H1069=""),"Van/tot ontbreekt",IF(N(J1069)=0,"Duur is nul",IF(N(J1069)&gt;12,"Langer dan 12 uur - controleren",IF(AND(E1069="Werken",D1069=""),"Werken zonder klant - koppelen","OK"))))))</f>
        <v/>
      </c>
    </row>
    <row r="1070" ht="15" customHeight="1" s="42">
      <c r="A1070" s="55" t="n"/>
      <c r="B1070" s="56">
        <f>IF(A1070="","",WEEKNUM(A1070,21))</f>
        <v/>
      </c>
      <c r="C1070" s="57" t="n"/>
      <c r="D1070" s="57" t="n"/>
      <c r="E1070" s="58" t="n"/>
      <c r="F1070" s="57" t="n"/>
      <c r="G1070" s="59" t="n"/>
      <c r="H1070" s="59" t="n"/>
      <c r="I1070" s="60">
        <f>IF(OR(G1070="",H1070=""),"",MOD(H1070-G1070,1))</f>
        <v/>
      </c>
      <c r="J1070" s="61">
        <f>IF(OR(G1070="",H1070=""),"",ROUND(MOD(H1070-G1070,1)*24,2))</f>
        <v/>
      </c>
      <c r="K1070" s="62">
        <f>IF(E1070="","",IF(E1070="Werken","JA","NEE"))</f>
        <v/>
      </c>
      <c r="L1070" s="61">
        <f>IF(K1070="JA",N(J1070),IF(E1070="","",0))</f>
        <v/>
      </c>
      <c r="M1070" s="62">
        <f>IF(AND(A1070="",E1070=""),"",IF(E1070="","Segment ontbreekt",IF(OR(G1070="",H1070=""),"Van/tot ontbreekt",IF(N(J1070)=0,"Duur is nul",IF(N(J1070)&gt;12,"Langer dan 12 uur - controleren",IF(AND(E1070="Werken",D1070=""),"Werken zonder klant - koppelen","OK"))))))</f>
        <v/>
      </c>
    </row>
    <row r="1071" ht="15" customHeight="1" s="42">
      <c r="A1071" s="55" t="n"/>
      <c r="B1071" s="56">
        <f>IF(A1071="","",WEEKNUM(A1071,21))</f>
        <v/>
      </c>
      <c r="C1071" s="57" t="n"/>
      <c r="D1071" s="57" t="n"/>
      <c r="E1071" s="58" t="n"/>
      <c r="F1071" s="57" t="n"/>
      <c r="G1071" s="59" t="n"/>
      <c r="H1071" s="59" t="n"/>
      <c r="I1071" s="60">
        <f>IF(OR(G1071="",H1071=""),"",MOD(H1071-G1071,1))</f>
        <v/>
      </c>
      <c r="J1071" s="61">
        <f>IF(OR(G1071="",H1071=""),"",ROUND(MOD(H1071-G1071,1)*24,2))</f>
        <v/>
      </c>
      <c r="K1071" s="62">
        <f>IF(E1071="","",IF(E1071="Werken","JA","NEE"))</f>
        <v/>
      </c>
      <c r="L1071" s="61">
        <f>IF(K1071="JA",N(J1071),IF(E1071="","",0))</f>
        <v/>
      </c>
      <c r="M1071" s="62">
        <f>IF(AND(A1071="",E1071=""),"",IF(E1071="","Segment ontbreekt",IF(OR(G1071="",H1071=""),"Van/tot ontbreekt",IF(N(J1071)=0,"Duur is nul",IF(N(J1071)&gt;12,"Langer dan 12 uur - controleren",IF(AND(E1071="Werken",D1071=""),"Werken zonder klant - koppelen","OK"))))))</f>
        <v/>
      </c>
    </row>
    <row r="1072" ht="15" customHeight="1" s="42">
      <c r="A1072" s="55" t="n"/>
      <c r="B1072" s="56">
        <f>IF(A1072="","",WEEKNUM(A1072,21))</f>
        <v/>
      </c>
      <c r="C1072" s="57" t="n"/>
      <c r="D1072" s="57" t="n"/>
      <c r="E1072" s="58" t="n"/>
      <c r="F1072" s="57" t="n"/>
      <c r="G1072" s="59" t="n"/>
      <c r="H1072" s="59" t="n"/>
      <c r="I1072" s="60">
        <f>IF(OR(G1072="",H1072=""),"",MOD(H1072-G1072,1))</f>
        <v/>
      </c>
      <c r="J1072" s="61">
        <f>IF(OR(G1072="",H1072=""),"",ROUND(MOD(H1072-G1072,1)*24,2))</f>
        <v/>
      </c>
      <c r="K1072" s="62">
        <f>IF(E1072="","",IF(E1072="Werken","JA","NEE"))</f>
        <v/>
      </c>
      <c r="L1072" s="61">
        <f>IF(K1072="JA",N(J1072),IF(E1072="","",0))</f>
        <v/>
      </c>
      <c r="M1072" s="62">
        <f>IF(AND(A1072="",E1072=""),"",IF(E1072="","Segment ontbreekt",IF(OR(G1072="",H1072=""),"Van/tot ontbreekt",IF(N(J1072)=0,"Duur is nul",IF(N(J1072)&gt;12,"Langer dan 12 uur - controleren",IF(AND(E1072="Werken",D1072=""),"Werken zonder klant - koppelen","OK"))))))</f>
        <v/>
      </c>
    </row>
    <row r="1073" ht="15" customHeight="1" s="42">
      <c r="A1073" s="55" t="n"/>
      <c r="B1073" s="56">
        <f>IF(A1073="","",WEEKNUM(A1073,21))</f>
        <v/>
      </c>
      <c r="C1073" s="57" t="n"/>
      <c r="D1073" s="57" t="n"/>
      <c r="E1073" s="58" t="n"/>
      <c r="F1073" s="57" t="n"/>
      <c r="G1073" s="59" t="n"/>
      <c r="H1073" s="59" t="n"/>
      <c r="I1073" s="60">
        <f>IF(OR(G1073="",H1073=""),"",MOD(H1073-G1073,1))</f>
        <v/>
      </c>
      <c r="J1073" s="61">
        <f>IF(OR(G1073="",H1073=""),"",ROUND(MOD(H1073-G1073,1)*24,2))</f>
        <v/>
      </c>
      <c r="K1073" s="62">
        <f>IF(E1073="","",IF(E1073="Werken","JA","NEE"))</f>
        <v/>
      </c>
      <c r="L1073" s="61">
        <f>IF(K1073="JA",N(J1073),IF(E1073="","",0))</f>
        <v/>
      </c>
      <c r="M1073" s="62">
        <f>IF(AND(A1073="",E1073=""),"",IF(E1073="","Segment ontbreekt",IF(OR(G1073="",H1073=""),"Van/tot ontbreekt",IF(N(J1073)=0,"Duur is nul",IF(N(J1073)&gt;12,"Langer dan 12 uur - controleren",IF(AND(E1073="Werken",D1073=""),"Werken zonder klant - koppelen","OK"))))))</f>
        <v/>
      </c>
    </row>
    <row r="1074" ht="15" customHeight="1" s="42">
      <c r="A1074" s="55" t="n"/>
      <c r="B1074" s="56">
        <f>IF(A1074="","",WEEKNUM(A1074,21))</f>
        <v/>
      </c>
      <c r="C1074" s="57" t="n"/>
      <c r="D1074" s="57" t="n"/>
      <c r="E1074" s="58" t="n"/>
      <c r="F1074" s="57" t="n"/>
      <c r="G1074" s="59" t="n"/>
      <c r="H1074" s="59" t="n"/>
      <c r="I1074" s="60">
        <f>IF(OR(G1074="",H1074=""),"",MOD(H1074-G1074,1))</f>
        <v/>
      </c>
      <c r="J1074" s="61">
        <f>IF(OR(G1074="",H1074=""),"",ROUND(MOD(H1074-G1074,1)*24,2))</f>
        <v/>
      </c>
      <c r="K1074" s="62">
        <f>IF(E1074="","",IF(E1074="Werken","JA","NEE"))</f>
        <v/>
      </c>
      <c r="L1074" s="61">
        <f>IF(K1074="JA",N(J1074),IF(E1074="","",0))</f>
        <v/>
      </c>
      <c r="M1074" s="62">
        <f>IF(AND(A1074="",E1074=""),"",IF(E1074="","Segment ontbreekt",IF(OR(G1074="",H1074=""),"Van/tot ontbreekt",IF(N(J1074)=0,"Duur is nul",IF(N(J1074)&gt;12,"Langer dan 12 uur - controleren",IF(AND(E1074="Werken",D1074=""),"Werken zonder klant - koppelen","OK"))))))</f>
        <v/>
      </c>
    </row>
    <row r="1075" ht="15" customHeight="1" s="42">
      <c r="A1075" s="55" t="n"/>
      <c r="B1075" s="56">
        <f>IF(A1075="","",WEEKNUM(A1075,21))</f>
        <v/>
      </c>
      <c r="C1075" s="57" t="n"/>
      <c r="D1075" s="57" t="n"/>
      <c r="E1075" s="58" t="n"/>
      <c r="F1075" s="57" t="n"/>
      <c r="G1075" s="59" t="n"/>
      <c r="H1075" s="59" t="n"/>
      <c r="I1075" s="60">
        <f>IF(OR(G1075="",H1075=""),"",MOD(H1075-G1075,1))</f>
        <v/>
      </c>
      <c r="J1075" s="61">
        <f>IF(OR(G1075="",H1075=""),"",ROUND(MOD(H1075-G1075,1)*24,2))</f>
        <v/>
      </c>
      <c r="K1075" s="62">
        <f>IF(E1075="","",IF(E1075="Werken","JA","NEE"))</f>
        <v/>
      </c>
      <c r="L1075" s="61">
        <f>IF(K1075="JA",N(J1075),IF(E1075="","",0))</f>
        <v/>
      </c>
      <c r="M1075" s="62">
        <f>IF(AND(A1075="",E1075=""),"",IF(E1075="","Segment ontbreekt",IF(OR(G1075="",H1075=""),"Van/tot ontbreekt",IF(N(J1075)=0,"Duur is nul",IF(N(J1075)&gt;12,"Langer dan 12 uur - controleren",IF(AND(E1075="Werken",D1075=""),"Werken zonder klant - koppelen","OK"))))))</f>
        <v/>
      </c>
    </row>
    <row r="1076" ht="15" customHeight="1" s="42">
      <c r="A1076" s="55" t="n"/>
      <c r="B1076" s="56">
        <f>IF(A1076="","",WEEKNUM(A1076,21))</f>
        <v/>
      </c>
      <c r="C1076" s="57" t="n"/>
      <c r="D1076" s="57" t="n"/>
      <c r="E1076" s="58" t="n"/>
      <c r="F1076" s="57" t="n"/>
      <c r="G1076" s="59" t="n"/>
      <c r="H1076" s="59" t="n"/>
      <c r="I1076" s="60">
        <f>IF(OR(G1076="",H1076=""),"",MOD(H1076-G1076,1))</f>
        <v/>
      </c>
      <c r="J1076" s="61">
        <f>IF(OR(G1076="",H1076=""),"",ROUND(MOD(H1076-G1076,1)*24,2))</f>
        <v/>
      </c>
      <c r="K1076" s="62">
        <f>IF(E1076="","",IF(E1076="Werken","JA","NEE"))</f>
        <v/>
      </c>
      <c r="L1076" s="61">
        <f>IF(K1076="JA",N(J1076),IF(E1076="","",0))</f>
        <v/>
      </c>
      <c r="M1076" s="62">
        <f>IF(AND(A1076="",E1076=""),"",IF(E1076="","Segment ontbreekt",IF(OR(G1076="",H1076=""),"Van/tot ontbreekt",IF(N(J1076)=0,"Duur is nul",IF(N(J1076)&gt;12,"Langer dan 12 uur - controleren",IF(AND(E1076="Werken",D1076=""),"Werken zonder klant - koppelen","OK"))))))</f>
        <v/>
      </c>
    </row>
    <row r="1077" ht="15" customHeight="1" s="42">
      <c r="A1077" s="55" t="n"/>
      <c r="B1077" s="56">
        <f>IF(A1077="","",WEEKNUM(A1077,21))</f>
        <v/>
      </c>
      <c r="C1077" s="57" t="n"/>
      <c r="D1077" s="57" t="n"/>
      <c r="E1077" s="58" t="n"/>
      <c r="F1077" s="57" t="n"/>
      <c r="G1077" s="59" t="n"/>
      <c r="H1077" s="59" t="n"/>
      <c r="I1077" s="60">
        <f>IF(OR(G1077="",H1077=""),"",MOD(H1077-G1077,1))</f>
        <v/>
      </c>
      <c r="J1077" s="61">
        <f>IF(OR(G1077="",H1077=""),"",ROUND(MOD(H1077-G1077,1)*24,2))</f>
        <v/>
      </c>
      <c r="K1077" s="62">
        <f>IF(E1077="","",IF(E1077="Werken","JA","NEE"))</f>
        <v/>
      </c>
      <c r="L1077" s="61">
        <f>IF(K1077="JA",N(J1077),IF(E1077="","",0))</f>
        <v/>
      </c>
      <c r="M1077" s="62">
        <f>IF(AND(A1077="",E1077=""),"",IF(E1077="","Segment ontbreekt",IF(OR(G1077="",H1077=""),"Van/tot ontbreekt",IF(N(J1077)=0,"Duur is nul",IF(N(J1077)&gt;12,"Langer dan 12 uur - controleren",IF(AND(E1077="Werken",D1077=""),"Werken zonder klant - koppelen","OK"))))))</f>
        <v/>
      </c>
    </row>
    <row r="1078" ht="15" customHeight="1" s="42">
      <c r="A1078" s="55" t="n"/>
      <c r="B1078" s="56">
        <f>IF(A1078="","",WEEKNUM(A1078,21))</f>
        <v/>
      </c>
      <c r="C1078" s="57" t="n"/>
      <c r="D1078" s="57" t="n"/>
      <c r="E1078" s="58" t="n"/>
      <c r="F1078" s="57" t="n"/>
      <c r="G1078" s="59" t="n"/>
      <c r="H1078" s="59" t="n"/>
      <c r="I1078" s="60">
        <f>IF(OR(G1078="",H1078=""),"",MOD(H1078-G1078,1))</f>
        <v/>
      </c>
      <c r="J1078" s="61">
        <f>IF(OR(G1078="",H1078=""),"",ROUND(MOD(H1078-G1078,1)*24,2))</f>
        <v/>
      </c>
      <c r="K1078" s="62">
        <f>IF(E1078="","",IF(E1078="Werken","JA","NEE"))</f>
        <v/>
      </c>
      <c r="L1078" s="61">
        <f>IF(K1078="JA",N(J1078),IF(E1078="","",0))</f>
        <v/>
      </c>
      <c r="M1078" s="62">
        <f>IF(AND(A1078="",E1078=""),"",IF(E1078="","Segment ontbreekt",IF(OR(G1078="",H1078=""),"Van/tot ontbreekt",IF(N(J1078)=0,"Duur is nul",IF(N(J1078)&gt;12,"Langer dan 12 uur - controleren",IF(AND(E1078="Werken",D1078=""),"Werken zonder klant - koppelen","OK"))))))</f>
        <v/>
      </c>
    </row>
    <row r="1079" ht="15" customHeight="1" s="42">
      <c r="A1079" s="55" t="n"/>
      <c r="B1079" s="56">
        <f>IF(A1079="","",WEEKNUM(A1079,21))</f>
        <v/>
      </c>
      <c r="C1079" s="57" t="n"/>
      <c r="D1079" s="57" t="n"/>
      <c r="E1079" s="58" t="n"/>
      <c r="F1079" s="57" t="n"/>
      <c r="G1079" s="59" t="n"/>
      <c r="H1079" s="59" t="n"/>
      <c r="I1079" s="60">
        <f>IF(OR(G1079="",H1079=""),"",MOD(H1079-G1079,1))</f>
        <v/>
      </c>
      <c r="J1079" s="61">
        <f>IF(OR(G1079="",H1079=""),"",ROUND(MOD(H1079-G1079,1)*24,2))</f>
        <v/>
      </c>
      <c r="K1079" s="62">
        <f>IF(E1079="","",IF(E1079="Werken","JA","NEE"))</f>
        <v/>
      </c>
      <c r="L1079" s="61">
        <f>IF(K1079="JA",N(J1079),IF(E1079="","",0))</f>
        <v/>
      </c>
      <c r="M1079" s="62">
        <f>IF(AND(A1079="",E1079=""),"",IF(E1079="","Segment ontbreekt",IF(OR(G1079="",H1079=""),"Van/tot ontbreekt",IF(N(J1079)=0,"Duur is nul",IF(N(J1079)&gt;12,"Langer dan 12 uur - controleren",IF(AND(E1079="Werken",D1079=""),"Werken zonder klant - koppelen","OK"))))))</f>
        <v/>
      </c>
    </row>
    <row r="1080" ht="15" customHeight="1" s="42">
      <c r="A1080" s="55" t="n"/>
      <c r="B1080" s="56">
        <f>IF(A1080="","",WEEKNUM(A1080,21))</f>
        <v/>
      </c>
      <c r="C1080" s="57" t="n"/>
      <c r="D1080" s="57" t="n"/>
      <c r="E1080" s="58" t="n"/>
      <c r="F1080" s="57" t="n"/>
      <c r="G1080" s="59" t="n"/>
      <c r="H1080" s="59" t="n"/>
      <c r="I1080" s="60">
        <f>IF(OR(G1080="",H1080=""),"",MOD(H1080-G1080,1))</f>
        <v/>
      </c>
      <c r="J1080" s="61">
        <f>IF(OR(G1080="",H1080=""),"",ROUND(MOD(H1080-G1080,1)*24,2))</f>
        <v/>
      </c>
      <c r="K1080" s="62">
        <f>IF(E1080="","",IF(E1080="Werken","JA","NEE"))</f>
        <v/>
      </c>
      <c r="L1080" s="61">
        <f>IF(K1080="JA",N(J1080),IF(E1080="","",0))</f>
        <v/>
      </c>
      <c r="M1080" s="62">
        <f>IF(AND(A1080="",E1080=""),"",IF(E1080="","Segment ontbreekt",IF(OR(G1080="",H1080=""),"Van/tot ontbreekt",IF(N(J1080)=0,"Duur is nul",IF(N(J1080)&gt;12,"Langer dan 12 uur - controleren",IF(AND(E1080="Werken",D1080=""),"Werken zonder klant - koppelen","OK"))))))</f>
        <v/>
      </c>
    </row>
    <row r="1081" ht="15" customHeight="1" s="42">
      <c r="A1081" s="55" t="n"/>
      <c r="B1081" s="56">
        <f>IF(A1081="","",WEEKNUM(A1081,21))</f>
        <v/>
      </c>
      <c r="C1081" s="57" t="n"/>
      <c r="D1081" s="57" t="n"/>
      <c r="E1081" s="58" t="n"/>
      <c r="F1081" s="57" t="n"/>
      <c r="G1081" s="59" t="n"/>
      <c r="H1081" s="59" t="n"/>
      <c r="I1081" s="60">
        <f>IF(OR(G1081="",H1081=""),"",MOD(H1081-G1081,1))</f>
        <v/>
      </c>
      <c r="J1081" s="61">
        <f>IF(OR(G1081="",H1081=""),"",ROUND(MOD(H1081-G1081,1)*24,2))</f>
        <v/>
      </c>
      <c r="K1081" s="62">
        <f>IF(E1081="","",IF(E1081="Werken","JA","NEE"))</f>
        <v/>
      </c>
      <c r="L1081" s="61">
        <f>IF(K1081="JA",N(J1081),IF(E1081="","",0))</f>
        <v/>
      </c>
      <c r="M1081" s="62">
        <f>IF(AND(A1081="",E1081=""),"",IF(E1081="","Segment ontbreekt",IF(OR(G1081="",H1081=""),"Van/tot ontbreekt",IF(N(J1081)=0,"Duur is nul",IF(N(J1081)&gt;12,"Langer dan 12 uur - controleren",IF(AND(E1081="Werken",D1081=""),"Werken zonder klant - koppelen","OK"))))))</f>
        <v/>
      </c>
    </row>
    <row r="1082" ht="15" customHeight="1" s="42">
      <c r="A1082" s="55" t="n"/>
      <c r="B1082" s="56">
        <f>IF(A1082="","",WEEKNUM(A1082,21))</f>
        <v/>
      </c>
      <c r="C1082" s="57" t="n"/>
      <c r="D1082" s="57" t="n"/>
      <c r="E1082" s="58" t="n"/>
      <c r="F1082" s="57" t="n"/>
      <c r="G1082" s="59" t="n"/>
      <c r="H1082" s="59" t="n"/>
      <c r="I1082" s="60">
        <f>IF(OR(G1082="",H1082=""),"",MOD(H1082-G1082,1))</f>
        <v/>
      </c>
      <c r="J1082" s="61">
        <f>IF(OR(G1082="",H1082=""),"",ROUND(MOD(H1082-G1082,1)*24,2))</f>
        <v/>
      </c>
      <c r="K1082" s="62">
        <f>IF(E1082="","",IF(E1082="Werken","JA","NEE"))</f>
        <v/>
      </c>
      <c r="L1082" s="61">
        <f>IF(K1082="JA",N(J1082),IF(E1082="","",0))</f>
        <v/>
      </c>
      <c r="M1082" s="62">
        <f>IF(AND(A1082="",E1082=""),"",IF(E1082="","Segment ontbreekt",IF(OR(G1082="",H1082=""),"Van/tot ontbreekt",IF(N(J1082)=0,"Duur is nul",IF(N(J1082)&gt;12,"Langer dan 12 uur - controleren",IF(AND(E1082="Werken",D1082=""),"Werken zonder klant - koppelen","OK"))))))</f>
        <v/>
      </c>
    </row>
    <row r="1083" ht="15" customHeight="1" s="42">
      <c r="A1083" s="55" t="n"/>
      <c r="B1083" s="56">
        <f>IF(A1083="","",WEEKNUM(A1083,21))</f>
        <v/>
      </c>
      <c r="C1083" s="57" t="n"/>
      <c r="D1083" s="57" t="n"/>
      <c r="E1083" s="58" t="n"/>
      <c r="F1083" s="57" t="n"/>
      <c r="G1083" s="59" t="n"/>
      <c r="H1083" s="59" t="n"/>
      <c r="I1083" s="60">
        <f>IF(OR(G1083="",H1083=""),"",MOD(H1083-G1083,1))</f>
        <v/>
      </c>
      <c r="J1083" s="61">
        <f>IF(OR(G1083="",H1083=""),"",ROUND(MOD(H1083-G1083,1)*24,2))</f>
        <v/>
      </c>
      <c r="K1083" s="62">
        <f>IF(E1083="","",IF(E1083="Werken","JA","NEE"))</f>
        <v/>
      </c>
      <c r="L1083" s="61">
        <f>IF(K1083="JA",N(J1083),IF(E1083="","",0))</f>
        <v/>
      </c>
      <c r="M1083" s="62">
        <f>IF(AND(A1083="",E1083=""),"",IF(E1083="","Segment ontbreekt",IF(OR(G1083="",H1083=""),"Van/tot ontbreekt",IF(N(J1083)=0,"Duur is nul",IF(N(J1083)&gt;12,"Langer dan 12 uur - controleren",IF(AND(E1083="Werken",D1083=""),"Werken zonder klant - koppelen","OK"))))))</f>
        <v/>
      </c>
    </row>
    <row r="1084" ht="15" customHeight="1" s="42">
      <c r="A1084" s="55" t="n"/>
      <c r="B1084" s="56">
        <f>IF(A1084="","",WEEKNUM(A1084,21))</f>
        <v/>
      </c>
      <c r="C1084" s="57" t="n"/>
      <c r="D1084" s="57" t="n"/>
      <c r="E1084" s="58" t="n"/>
      <c r="F1084" s="57" t="n"/>
      <c r="G1084" s="59" t="n"/>
      <c r="H1084" s="59" t="n"/>
      <c r="I1084" s="60">
        <f>IF(OR(G1084="",H1084=""),"",MOD(H1084-G1084,1))</f>
        <v/>
      </c>
      <c r="J1084" s="61">
        <f>IF(OR(G1084="",H1084=""),"",ROUND(MOD(H1084-G1084,1)*24,2))</f>
        <v/>
      </c>
      <c r="K1084" s="62">
        <f>IF(E1084="","",IF(E1084="Werken","JA","NEE"))</f>
        <v/>
      </c>
      <c r="L1084" s="61">
        <f>IF(K1084="JA",N(J1084),IF(E1084="","",0))</f>
        <v/>
      </c>
      <c r="M1084" s="62">
        <f>IF(AND(A1084="",E1084=""),"",IF(E1084="","Segment ontbreekt",IF(OR(G1084="",H1084=""),"Van/tot ontbreekt",IF(N(J1084)=0,"Duur is nul",IF(N(J1084)&gt;12,"Langer dan 12 uur - controleren",IF(AND(E1084="Werken",D1084=""),"Werken zonder klant - koppelen","OK"))))))</f>
        <v/>
      </c>
    </row>
    <row r="1085" ht="15" customHeight="1" s="42">
      <c r="A1085" s="55" t="n"/>
      <c r="B1085" s="56">
        <f>IF(A1085="","",WEEKNUM(A1085,21))</f>
        <v/>
      </c>
      <c r="C1085" s="57" t="n"/>
      <c r="D1085" s="57" t="n"/>
      <c r="E1085" s="58" t="n"/>
      <c r="F1085" s="57" t="n"/>
      <c r="G1085" s="59" t="n"/>
      <c r="H1085" s="59" t="n"/>
      <c r="I1085" s="60">
        <f>IF(OR(G1085="",H1085=""),"",MOD(H1085-G1085,1))</f>
        <v/>
      </c>
      <c r="J1085" s="61">
        <f>IF(OR(G1085="",H1085=""),"",ROUND(MOD(H1085-G1085,1)*24,2))</f>
        <v/>
      </c>
      <c r="K1085" s="62">
        <f>IF(E1085="","",IF(E1085="Werken","JA","NEE"))</f>
        <v/>
      </c>
      <c r="L1085" s="61">
        <f>IF(K1085="JA",N(J1085),IF(E1085="","",0))</f>
        <v/>
      </c>
      <c r="M1085" s="62">
        <f>IF(AND(A1085="",E1085=""),"",IF(E1085="","Segment ontbreekt",IF(OR(G1085="",H1085=""),"Van/tot ontbreekt",IF(N(J1085)=0,"Duur is nul",IF(N(J1085)&gt;12,"Langer dan 12 uur - controleren",IF(AND(E1085="Werken",D1085=""),"Werken zonder klant - koppelen","OK"))))))</f>
        <v/>
      </c>
    </row>
    <row r="1086" ht="15" customHeight="1" s="42">
      <c r="A1086" s="55" t="n"/>
      <c r="B1086" s="56">
        <f>IF(A1086="","",WEEKNUM(A1086,21))</f>
        <v/>
      </c>
      <c r="C1086" s="57" t="n"/>
      <c r="D1086" s="57" t="n"/>
      <c r="E1086" s="58" t="n"/>
      <c r="F1086" s="57" t="n"/>
      <c r="G1086" s="59" t="n"/>
      <c r="H1086" s="59" t="n"/>
      <c r="I1086" s="60">
        <f>IF(OR(G1086="",H1086=""),"",MOD(H1086-G1086,1))</f>
        <v/>
      </c>
      <c r="J1086" s="61">
        <f>IF(OR(G1086="",H1086=""),"",ROUND(MOD(H1086-G1086,1)*24,2))</f>
        <v/>
      </c>
      <c r="K1086" s="62">
        <f>IF(E1086="","",IF(E1086="Werken","JA","NEE"))</f>
        <v/>
      </c>
      <c r="L1086" s="61">
        <f>IF(K1086="JA",N(J1086),IF(E1086="","",0))</f>
        <v/>
      </c>
      <c r="M1086" s="62">
        <f>IF(AND(A1086="",E1086=""),"",IF(E1086="","Segment ontbreekt",IF(OR(G1086="",H1086=""),"Van/tot ontbreekt",IF(N(J1086)=0,"Duur is nul",IF(N(J1086)&gt;12,"Langer dan 12 uur - controleren",IF(AND(E1086="Werken",D1086=""),"Werken zonder klant - koppelen","OK"))))))</f>
        <v/>
      </c>
    </row>
    <row r="1087" ht="15" customHeight="1" s="42">
      <c r="A1087" s="55" t="n"/>
      <c r="B1087" s="56">
        <f>IF(A1087="","",WEEKNUM(A1087,21))</f>
        <v/>
      </c>
      <c r="C1087" s="57" t="n"/>
      <c r="D1087" s="57" t="n"/>
      <c r="E1087" s="58" t="n"/>
      <c r="F1087" s="57" t="n"/>
      <c r="G1087" s="59" t="n"/>
      <c r="H1087" s="59" t="n"/>
      <c r="I1087" s="60">
        <f>IF(OR(G1087="",H1087=""),"",MOD(H1087-G1087,1))</f>
        <v/>
      </c>
      <c r="J1087" s="61">
        <f>IF(OR(G1087="",H1087=""),"",ROUND(MOD(H1087-G1087,1)*24,2))</f>
        <v/>
      </c>
      <c r="K1087" s="62">
        <f>IF(E1087="","",IF(E1087="Werken","JA","NEE"))</f>
        <v/>
      </c>
      <c r="L1087" s="61">
        <f>IF(K1087="JA",N(J1087),IF(E1087="","",0))</f>
        <v/>
      </c>
      <c r="M1087" s="62">
        <f>IF(AND(A1087="",E1087=""),"",IF(E1087="","Segment ontbreekt",IF(OR(G1087="",H1087=""),"Van/tot ontbreekt",IF(N(J1087)=0,"Duur is nul",IF(N(J1087)&gt;12,"Langer dan 12 uur - controleren",IF(AND(E1087="Werken",D1087=""),"Werken zonder klant - koppelen","OK"))))))</f>
        <v/>
      </c>
    </row>
    <row r="1088" ht="15" customHeight="1" s="42">
      <c r="A1088" s="55" t="n"/>
      <c r="B1088" s="56">
        <f>IF(A1088="","",WEEKNUM(A1088,21))</f>
        <v/>
      </c>
      <c r="C1088" s="57" t="n"/>
      <c r="D1088" s="57" t="n"/>
      <c r="E1088" s="58" t="n"/>
      <c r="F1088" s="57" t="n"/>
      <c r="G1088" s="59" t="n"/>
      <c r="H1088" s="59" t="n"/>
      <c r="I1088" s="60">
        <f>IF(OR(G1088="",H1088=""),"",MOD(H1088-G1088,1))</f>
        <v/>
      </c>
      <c r="J1088" s="61">
        <f>IF(OR(G1088="",H1088=""),"",ROUND(MOD(H1088-G1088,1)*24,2))</f>
        <v/>
      </c>
      <c r="K1088" s="62">
        <f>IF(E1088="","",IF(E1088="Werken","JA","NEE"))</f>
        <v/>
      </c>
      <c r="L1088" s="61">
        <f>IF(K1088="JA",N(J1088),IF(E1088="","",0))</f>
        <v/>
      </c>
      <c r="M1088" s="62">
        <f>IF(AND(A1088="",E1088=""),"",IF(E1088="","Segment ontbreekt",IF(OR(G1088="",H1088=""),"Van/tot ontbreekt",IF(N(J1088)=0,"Duur is nul",IF(N(J1088)&gt;12,"Langer dan 12 uur - controleren",IF(AND(E1088="Werken",D1088=""),"Werken zonder klant - koppelen","OK"))))))</f>
        <v/>
      </c>
    </row>
    <row r="1089" ht="15" customHeight="1" s="42">
      <c r="A1089" s="55" t="n"/>
      <c r="B1089" s="56">
        <f>IF(A1089="","",WEEKNUM(A1089,21))</f>
        <v/>
      </c>
      <c r="C1089" s="57" t="n"/>
      <c r="D1089" s="57" t="n"/>
      <c r="E1089" s="58" t="n"/>
      <c r="F1089" s="57" t="n"/>
      <c r="G1089" s="59" t="n"/>
      <c r="H1089" s="59" t="n"/>
      <c r="I1089" s="60">
        <f>IF(OR(G1089="",H1089=""),"",MOD(H1089-G1089,1))</f>
        <v/>
      </c>
      <c r="J1089" s="61">
        <f>IF(OR(G1089="",H1089=""),"",ROUND(MOD(H1089-G1089,1)*24,2))</f>
        <v/>
      </c>
      <c r="K1089" s="62">
        <f>IF(E1089="","",IF(E1089="Werken","JA","NEE"))</f>
        <v/>
      </c>
      <c r="L1089" s="61">
        <f>IF(K1089="JA",N(J1089),IF(E1089="","",0))</f>
        <v/>
      </c>
      <c r="M1089" s="62">
        <f>IF(AND(A1089="",E1089=""),"",IF(E1089="","Segment ontbreekt",IF(OR(G1089="",H1089=""),"Van/tot ontbreekt",IF(N(J1089)=0,"Duur is nul",IF(N(J1089)&gt;12,"Langer dan 12 uur - controleren",IF(AND(E1089="Werken",D1089=""),"Werken zonder klant - koppelen","OK"))))))</f>
        <v/>
      </c>
    </row>
    <row r="1090" ht="15" customHeight="1" s="42">
      <c r="A1090" s="55" t="n"/>
      <c r="B1090" s="56">
        <f>IF(A1090="","",WEEKNUM(A1090,21))</f>
        <v/>
      </c>
      <c r="C1090" s="57" t="n"/>
      <c r="D1090" s="57" t="n"/>
      <c r="E1090" s="58" t="n"/>
      <c r="F1090" s="57" t="n"/>
      <c r="G1090" s="59" t="n"/>
      <c r="H1090" s="59" t="n"/>
      <c r="I1090" s="60">
        <f>IF(OR(G1090="",H1090=""),"",MOD(H1090-G1090,1))</f>
        <v/>
      </c>
      <c r="J1090" s="61">
        <f>IF(OR(G1090="",H1090=""),"",ROUND(MOD(H1090-G1090,1)*24,2))</f>
        <v/>
      </c>
      <c r="K1090" s="62">
        <f>IF(E1090="","",IF(E1090="Werken","JA","NEE"))</f>
        <v/>
      </c>
      <c r="L1090" s="61">
        <f>IF(K1090="JA",N(J1090),IF(E1090="","",0))</f>
        <v/>
      </c>
      <c r="M1090" s="62">
        <f>IF(AND(A1090="",E1090=""),"",IF(E1090="","Segment ontbreekt",IF(OR(G1090="",H1090=""),"Van/tot ontbreekt",IF(N(J1090)=0,"Duur is nul",IF(N(J1090)&gt;12,"Langer dan 12 uur - controleren",IF(AND(E1090="Werken",D1090=""),"Werken zonder klant - koppelen","OK"))))))</f>
        <v/>
      </c>
    </row>
    <row r="1091" ht="15" customHeight="1" s="42">
      <c r="A1091" s="55" t="n"/>
      <c r="B1091" s="56">
        <f>IF(A1091="","",WEEKNUM(A1091,21))</f>
        <v/>
      </c>
      <c r="C1091" s="57" t="n"/>
      <c r="D1091" s="57" t="n"/>
      <c r="E1091" s="58" t="n"/>
      <c r="F1091" s="57" t="n"/>
      <c r="G1091" s="59" t="n"/>
      <c r="H1091" s="59" t="n"/>
      <c r="I1091" s="60">
        <f>IF(OR(G1091="",H1091=""),"",MOD(H1091-G1091,1))</f>
        <v/>
      </c>
      <c r="J1091" s="61">
        <f>IF(OR(G1091="",H1091=""),"",ROUND(MOD(H1091-G1091,1)*24,2))</f>
        <v/>
      </c>
      <c r="K1091" s="62">
        <f>IF(E1091="","",IF(E1091="Werken","JA","NEE"))</f>
        <v/>
      </c>
      <c r="L1091" s="61">
        <f>IF(K1091="JA",N(J1091),IF(E1091="","",0))</f>
        <v/>
      </c>
      <c r="M1091" s="62">
        <f>IF(AND(A1091="",E1091=""),"",IF(E1091="","Segment ontbreekt",IF(OR(G1091="",H1091=""),"Van/tot ontbreekt",IF(N(J1091)=0,"Duur is nul",IF(N(J1091)&gt;12,"Langer dan 12 uur - controleren",IF(AND(E1091="Werken",D1091=""),"Werken zonder klant - koppelen","OK"))))))</f>
        <v/>
      </c>
    </row>
    <row r="1092" ht="15" customHeight="1" s="42">
      <c r="A1092" s="55" t="n"/>
      <c r="B1092" s="56">
        <f>IF(A1092="","",WEEKNUM(A1092,21))</f>
        <v/>
      </c>
      <c r="C1092" s="57" t="n"/>
      <c r="D1092" s="57" t="n"/>
      <c r="E1092" s="58" t="n"/>
      <c r="F1092" s="57" t="n"/>
      <c r="G1092" s="59" t="n"/>
      <c r="H1092" s="59" t="n"/>
      <c r="I1092" s="60">
        <f>IF(OR(G1092="",H1092=""),"",MOD(H1092-G1092,1))</f>
        <v/>
      </c>
      <c r="J1092" s="61">
        <f>IF(OR(G1092="",H1092=""),"",ROUND(MOD(H1092-G1092,1)*24,2))</f>
        <v/>
      </c>
      <c r="K1092" s="62">
        <f>IF(E1092="","",IF(E1092="Werken","JA","NEE"))</f>
        <v/>
      </c>
      <c r="L1092" s="61">
        <f>IF(K1092="JA",N(J1092),IF(E1092="","",0))</f>
        <v/>
      </c>
      <c r="M1092" s="62">
        <f>IF(AND(A1092="",E1092=""),"",IF(E1092="","Segment ontbreekt",IF(OR(G1092="",H1092=""),"Van/tot ontbreekt",IF(N(J1092)=0,"Duur is nul",IF(N(J1092)&gt;12,"Langer dan 12 uur - controleren",IF(AND(E1092="Werken",D1092=""),"Werken zonder klant - koppelen","OK"))))))</f>
        <v/>
      </c>
    </row>
    <row r="1093" ht="15" customHeight="1" s="42">
      <c r="A1093" s="55" t="n"/>
      <c r="B1093" s="56">
        <f>IF(A1093="","",WEEKNUM(A1093,21))</f>
        <v/>
      </c>
      <c r="C1093" s="57" t="n"/>
      <c r="D1093" s="57" t="n"/>
      <c r="E1093" s="58" t="n"/>
      <c r="F1093" s="57" t="n"/>
      <c r="G1093" s="59" t="n"/>
      <c r="H1093" s="59" t="n"/>
      <c r="I1093" s="60">
        <f>IF(OR(G1093="",H1093=""),"",MOD(H1093-G1093,1))</f>
        <v/>
      </c>
      <c r="J1093" s="61">
        <f>IF(OR(G1093="",H1093=""),"",ROUND(MOD(H1093-G1093,1)*24,2))</f>
        <v/>
      </c>
      <c r="K1093" s="62">
        <f>IF(E1093="","",IF(E1093="Werken","JA","NEE"))</f>
        <v/>
      </c>
      <c r="L1093" s="61">
        <f>IF(K1093="JA",N(J1093),IF(E1093="","",0))</f>
        <v/>
      </c>
      <c r="M1093" s="62">
        <f>IF(AND(A1093="",E1093=""),"",IF(E1093="","Segment ontbreekt",IF(OR(G1093="",H1093=""),"Van/tot ontbreekt",IF(N(J1093)=0,"Duur is nul",IF(N(J1093)&gt;12,"Langer dan 12 uur - controleren",IF(AND(E1093="Werken",D1093=""),"Werken zonder klant - koppelen","OK"))))))</f>
        <v/>
      </c>
    </row>
    <row r="1094" ht="15" customHeight="1" s="42">
      <c r="A1094" s="55" t="n"/>
      <c r="B1094" s="56">
        <f>IF(A1094="","",WEEKNUM(A1094,21))</f>
        <v/>
      </c>
      <c r="C1094" s="57" t="n"/>
      <c r="D1094" s="57" t="n"/>
      <c r="E1094" s="58" t="n"/>
      <c r="F1094" s="57" t="n"/>
      <c r="G1094" s="59" t="n"/>
      <c r="H1094" s="59" t="n"/>
      <c r="I1094" s="60">
        <f>IF(OR(G1094="",H1094=""),"",MOD(H1094-G1094,1))</f>
        <v/>
      </c>
      <c r="J1094" s="61">
        <f>IF(OR(G1094="",H1094=""),"",ROUND(MOD(H1094-G1094,1)*24,2))</f>
        <v/>
      </c>
      <c r="K1094" s="62">
        <f>IF(E1094="","",IF(E1094="Werken","JA","NEE"))</f>
        <v/>
      </c>
      <c r="L1094" s="61">
        <f>IF(K1094="JA",N(J1094),IF(E1094="","",0))</f>
        <v/>
      </c>
      <c r="M1094" s="62">
        <f>IF(AND(A1094="",E1094=""),"",IF(E1094="","Segment ontbreekt",IF(OR(G1094="",H1094=""),"Van/tot ontbreekt",IF(N(J1094)=0,"Duur is nul",IF(N(J1094)&gt;12,"Langer dan 12 uur - controleren",IF(AND(E1094="Werken",D1094=""),"Werken zonder klant - koppelen","OK"))))))</f>
        <v/>
      </c>
    </row>
    <row r="1095" ht="15" customHeight="1" s="42">
      <c r="A1095" s="55" t="n"/>
      <c r="B1095" s="56">
        <f>IF(A1095="","",WEEKNUM(A1095,21))</f>
        <v/>
      </c>
      <c r="C1095" s="57" t="n"/>
      <c r="D1095" s="57" t="n"/>
      <c r="E1095" s="58" t="n"/>
      <c r="F1095" s="57" t="n"/>
      <c r="G1095" s="59" t="n"/>
      <c r="H1095" s="59" t="n"/>
      <c r="I1095" s="60">
        <f>IF(OR(G1095="",H1095=""),"",MOD(H1095-G1095,1))</f>
        <v/>
      </c>
      <c r="J1095" s="61">
        <f>IF(OR(G1095="",H1095=""),"",ROUND(MOD(H1095-G1095,1)*24,2))</f>
        <v/>
      </c>
      <c r="K1095" s="62">
        <f>IF(E1095="","",IF(E1095="Werken","JA","NEE"))</f>
        <v/>
      </c>
      <c r="L1095" s="61">
        <f>IF(K1095="JA",N(J1095),IF(E1095="","",0))</f>
        <v/>
      </c>
      <c r="M1095" s="62">
        <f>IF(AND(A1095="",E1095=""),"",IF(E1095="","Segment ontbreekt",IF(OR(G1095="",H1095=""),"Van/tot ontbreekt",IF(N(J1095)=0,"Duur is nul",IF(N(J1095)&gt;12,"Langer dan 12 uur - controleren",IF(AND(E1095="Werken",D1095=""),"Werken zonder klant - koppelen","OK"))))))</f>
        <v/>
      </c>
    </row>
    <row r="1096" ht="15" customHeight="1" s="42">
      <c r="A1096" s="55" t="n"/>
      <c r="B1096" s="56">
        <f>IF(A1096="","",WEEKNUM(A1096,21))</f>
        <v/>
      </c>
      <c r="C1096" s="57" t="n"/>
      <c r="D1096" s="57" t="n"/>
      <c r="E1096" s="58" t="n"/>
      <c r="F1096" s="57" t="n"/>
      <c r="G1096" s="59" t="n"/>
      <c r="H1096" s="59" t="n"/>
      <c r="I1096" s="60">
        <f>IF(OR(G1096="",H1096=""),"",MOD(H1096-G1096,1))</f>
        <v/>
      </c>
      <c r="J1096" s="61">
        <f>IF(OR(G1096="",H1096=""),"",ROUND(MOD(H1096-G1096,1)*24,2))</f>
        <v/>
      </c>
      <c r="K1096" s="62">
        <f>IF(E1096="","",IF(E1096="Werken","JA","NEE"))</f>
        <v/>
      </c>
      <c r="L1096" s="61">
        <f>IF(K1096="JA",N(J1096),IF(E1096="","",0))</f>
        <v/>
      </c>
      <c r="M1096" s="62">
        <f>IF(AND(A1096="",E1096=""),"",IF(E1096="","Segment ontbreekt",IF(OR(G1096="",H1096=""),"Van/tot ontbreekt",IF(N(J1096)=0,"Duur is nul",IF(N(J1096)&gt;12,"Langer dan 12 uur - controleren",IF(AND(E1096="Werken",D1096=""),"Werken zonder klant - koppelen","OK"))))))</f>
        <v/>
      </c>
    </row>
    <row r="1097" ht="15" customHeight="1" s="42">
      <c r="A1097" s="55" t="n"/>
      <c r="B1097" s="56">
        <f>IF(A1097="","",WEEKNUM(A1097,21))</f>
        <v/>
      </c>
      <c r="C1097" s="57" t="n"/>
      <c r="D1097" s="57" t="n"/>
      <c r="E1097" s="58" t="n"/>
      <c r="F1097" s="57" t="n"/>
      <c r="G1097" s="59" t="n"/>
      <c r="H1097" s="59" t="n"/>
      <c r="I1097" s="60">
        <f>IF(OR(G1097="",H1097=""),"",MOD(H1097-G1097,1))</f>
        <v/>
      </c>
      <c r="J1097" s="61">
        <f>IF(OR(G1097="",H1097=""),"",ROUND(MOD(H1097-G1097,1)*24,2))</f>
        <v/>
      </c>
      <c r="K1097" s="62">
        <f>IF(E1097="","",IF(E1097="Werken","JA","NEE"))</f>
        <v/>
      </c>
      <c r="L1097" s="61">
        <f>IF(K1097="JA",N(J1097),IF(E1097="","",0))</f>
        <v/>
      </c>
      <c r="M1097" s="62">
        <f>IF(AND(A1097="",E1097=""),"",IF(E1097="","Segment ontbreekt",IF(OR(G1097="",H1097=""),"Van/tot ontbreekt",IF(N(J1097)=0,"Duur is nul",IF(N(J1097)&gt;12,"Langer dan 12 uur - controleren",IF(AND(E1097="Werken",D1097=""),"Werken zonder klant - koppelen","OK"))))))</f>
        <v/>
      </c>
    </row>
    <row r="1098" ht="15" customHeight="1" s="42">
      <c r="A1098" s="55" t="n"/>
      <c r="B1098" s="56">
        <f>IF(A1098="","",WEEKNUM(A1098,21))</f>
        <v/>
      </c>
      <c r="C1098" s="57" t="n"/>
      <c r="D1098" s="57" t="n"/>
      <c r="E1098" s="58" t="n"/>
      <c r="F1098" s="57" t="n"/>
      <c r="G1098" s="59" t="n"/>
      <c r="H1098" s="59" t="n"/>
      <c r="I1098" s="60">
        <f>IF(OR(G1098="",H1098=""),"",MOD(H1098-G1098,1))</f>
        <v/>
      </c>
      <c r="J1098" s="61">
        <f>IF(OR(G1098="",H1098=""),"",ROUND(MOD(H1098-G1098,1)*24,2))</f>
        <v/>
      </c>
      <c r="K1098" s="62">
        <f>IF(E1098="","",IF(E1098="Werken","JA","NEE"))</f>
        <v/>
      </c>
      <c r="L1098" s="61">
        <f>IF(K1098="JA",N(J1098),IF(E1098="","",0))</f>
        <v/>
      </c>
      <c r="M1098" s="62">
        <f>IF(AND(A1098="",E1098=""),"",IF(E1098="","Segment ontbreekt",IF(OR(G1098="",H1098=""),"Van/tot ontbreekt",IF(N(J1098)=0,"Duur is nul",IF(N(J1098)&gt;12,"Langer dan 12 uur - controleren",IF(AND(E1098="Werken",D1098=""),"Werken zonder klant - koppelen","OK"))))))</f>
        <v/>
      </c>
    </row>
    <row r="1099" ht="15" customHeight="1" s="42">
      <c r="A1099" s="55" t="n"/>
      <c r="B1099" s="56">
        <f>IF(A1099="","",WEEKNUM(A1099,21))</f>
        <v/>
      </c>
      <c r="C1099" s="57" t="n"/>
      <c r="D1099" s="57" t="n"/>
      <c r="E1099" s="58" t="n"/>
      <c r="F1099" s="57" t="n"/>
      <c r="G1099" s="59" t="n"/>
      <c r="H1099" s="59" t="n"/>
      <c r="I1099" s="60">
        <f>IF(OR(G1099="",H1099=""),"",MOD(H1099-G1099,1))</f>
        <v/>
      </c>
      <c r="J1099" s="61">
        <f>IF(OR(G1099="",H1099=""),"",ROUND(MOD(H1099-G1099,1)*24,2))</f>
        <v/>
      </c>
      <c r="K1099" s="62">
        <f>IF(E1099="","",IF(E1099="Werken","JA","NEE"))</f>
        <v/>
      </c>
      <c r="L1099" s="61">
        <f>IF(K1099="JA",N(J1099),IF(E1099="","",0))</f>
        <v/>
      </c>
      <c r="M1099" s="62">
        <f>IF(AND(A1099="",E1099=""),"",IF(E1099="","Segment ontbreekt",IF(OR(G1099="",H1099=""),"Van/tot ontbreekt",IF(N(J1099)=0,"Duur is nul",IF(N(J1099)&gt;12,"Langer dan 12 uur - controleren",IF(AND(E1099="Werken",D1099=""),"Werken zonder klant - koppelen","OK"))))))</f>
        <v/>
      </c>
    </row>
    <row r="1100" ht="15" customHeight="1" s="42">
      <c r="A1100" s="55" t="n"/>
      <c r="B1100" s="56">
        <f>IF(A1100="","",WEEKNUM(A1100,21))</f>
        <v/>
      </c>
      <c r="C1100" s="57" t="n"/>
      <c r="D1100" s="57" t="n"/>
      <c r="E1100" s="58" t="n"/>
      <c r="F1100" s="57" t="n"/>
      <c r="G1100" s="59" t="n"/>
      <c r="H1100" s="59" t="n"/>
      <c r="I1100" s="60">
        <f>IF(OR(G1100="",H1100=""),"",MOD(H1100-G1100,1))</f>
        <v/>
      </c>
      <c r="J1100" s="61">
        <f>IF(OR(G1100="",H1100=""),"",ROUND(MOD(H1100-G1100,1)*24,2))</f>
        <v/>
      </c>
      <c r="K1100" s="62">
        <f>IF(E1100="","",IF(E1100="Werken","JA","NEE"))</f>
        <v/>
      </c>
      <c r="L1100" s="61">
        <f>IF(K1100="JA",N(J1100),IF(E1100="","",0))</f>
        <v/>
      </c>
      <c r="M1100" s="62">
        <f>IF(AND(A1100="",E1100=""),"",IF(E1100="","Segment ontbreekt",IF(OR(G1100="",H1100=""),"Van/tot ontbreekt",IF(N(J1100)=0,"Duur is nul",IF(N(J1100)&gt;12,"Langer dan 12 uur - controleren",IF(AND(E1100="Werken",D1100=""),"Werken zonder klant - koppelen","OK"))))))</f>
        <v/>
      </c>
    </row>
    <row r="1101" ht="15" customHeight="1" s="42">
      <c r="A1101" s="55" t="n"/>
      <c r="B1101" s="56">
        <f>IF(A1101="","",WEEKNUM(A1101,21))</f>
        <v/>
      </c>
      <c r="C1101" s="57" t="n"/>
      <c r="D1101" s="57" t="n"/>
      <c r="E1101" s="58" t="n"/>
      <c r="F1101" s="57" t="n"/>
      <c r="G1101" s="59" t="n"/>
      <c r="H1101" s="59" t="n"/>
      <c r="I1101" s="60">
        <f>IF(OR(G1101="",H1101=""),"",MOD(H1101-G1101,1))</f>
        <v/>
      </c>
      <c r="J1101" s="61">
        <f>IF(OR(G1101="",H1101=""),"",ROUND(MOD(H1101-G1101,1)*24,2))</f>
        <v/>
      </c>
      <c r="K1101" s="62">
        <f>IF(E1101="","",IF(E1101="Werken","JA","NEE"))</f>
        <v/>
      </c>
      <c r="L1101" s="61">
        <f>IF(K1101="JA",N(J1101),IF(E1101="","",0))</f>
        <v/>
      </c>
      <c r="M1101" s="62">
        <f>IF(AND(A1101="",E1101=""),"",IF(E1101="","Segment ontbreekt",IF(OR(G1101="",H1101=""),"Van/tot ontbreekt",IF(N(J1101)=0,"Duur is nul",IF(N(J1101)&gt;12,"Langer dan 12 uur - controleren",IF(AND(E1101="Werken",D1101=""),"Werken zonder klant - koppelen","OK"))))))</f>
        <v/>
      </c>
    </row>
    <row r="1102" ht="15" customHeight="1" s="42">
      <c r="A1102" s="55" t="n"/>
      <c r="B1102" s="56">
        <f>IF(A1102="","",WEEKNUM(A1102,21))</f>
        <v/>
      </c>
      <c r="C1102" s="57" t="n"/>
      <c r="D1102" s="57" t="n"/>
      <c r="E1102" s="58" t="n"/>
      <c r="F1102" s="57" t="n"/>
      <c r="G1102" s="59" t="n"/>
      <c r="H1102" s="59" t="n"/>
      <c r="I1102" s="60">
        <f>IF(OR(G1102="",H1102=""),"",MOD(H1102-G1102,1))</f>
        <v/>
      </c>
      <c r="J1102" s="61">
        <f>IF(OR(G1102="",H1102=""),"",ROUND(MOD(H1102-G1102,1)*24,2))</f>
        <v/>
      </c>
      <c r="K1102" s="62">
        <f>IF(E1102="","",IF(E1102="Werken","JA","NEE"))</f>
        <v/>
      </c>
      <c r="L1102" s="61">
        <f>IF(K1102="JA",N(J1102),IF(E1102="","",0))</f>
        <v/>
      </c>
      <c r="M1102" s="62">
        <f>IF(AND(A1102="",E1102=""),"",IF(E1102="","Segment ontbreekt",IF(OR(G1102="",H1102=""),"Van/tot ontbreekt",IF(N(J1102)=0,"Duur is nul",IF(N(J1102)&gt;12,"Langer dan 12 uur - controleren",IF(AND(E1102="Werken",D1102=""),"Werken zonder klant - koppelen","OK"))))))</f>
        <v/>
      </c>
    </row>
    <row r="1103" ht="15" customHeight="1" s="42">
      <c r="A1103" s="55" t="n"/>
      <c r="B1103" s="56">
        <f>IF(A1103="","",WEEKNUM(A1103,21))</f>
        <v/>
      </c>
      <c r="C1103" s="57" t="n"/>
      <c r="D1103" s="57" t="n"/>
      <c r="E1103" s="58" t="n"/>
      <c r="F1103" s="57" t="n"/>
      <c r="G1103" s="59" t="n"/>
      <c r="H1103" s="59" t="n"/>
      <c r="I1103" s="60">
        <f>IF(OR(G1103="",H1103=""),"",MOD(H1103-G1103,1))</f>
        <v/>
      </c>
      <c r="J1103" s="61">
        <f>IF(OR(G1103="",H1103=""),"",ROUND(MOD(H1103-G1103,1)*24,2))</f>
        <v/>
      </c>
      <c r="K1103" s="62">
        <f>IF(E1103="","",IF(E1103="Werken","JA","NEE"))</f>
        <v/>
      </c>
      <c r="L1103" s="61">
        <f>IF(K1103="JA",N(J1103),IF(E1103="","",0))</f>
        <v/>
      </c>
      <c r="M1103" s="62">
        <f>IF(AND(A1103="",E1103=""),"",IF(E1103="","Segment ontbreekt",IF(OR(G1103="",H1103=""),"Van/tot ontbreekt",IF(N(J1103)=0,"Duur is nul",IF(N(J1103)&gt;12,"Langer dan 12 uur - controleren",IF(AND(E1103="Werken",D1103=""),"Werken zonder klant - koppelen","OK"))))))</f>
        <v/>
      </c>
    </row>
    <row r="1104" ht="15" customHeight="1" s="42">
      <c r="A1104" s="55" t="n"/>
      <c r="B1104" s="56">
        <f>IF(A1104="","",WEEKNUM(A1104,21))</f>
        <v/>
      </c>
      <c r="C1104" s="57" t="n"/>
      <c r="D1104" s="57" t="n"/>
      <c r="E1104" s="58" t="n"/>
      <c r="F1104" s="57" t="n"/>
      <c r="G1104" s="59" t="n"/>
      <c r="H1104" s="59" t="n"/>
      <c r="I1104" s="60">
        <f>IF(OR(G1104="",H1104=""),"",MOD(H1104-G1104,1))</f>
        <v/>
      </c>
      <c r="J1104" s="61">
        <f>IF(OR(G1104="",H1104=""),"",ROUND(MOD(H1104-G1104,1)*24,2))</f>
        <v/>
      </c>
      <c r="K1104" s="62">
        <f>IF(E1104="","",IF(E1104="Werken","JA","NEE"))</f>
        <v/>
      </c>
      <c r="L1104" s="61">
        <f>IF(K1104="JA",N(J1104),IF(E1104="","",0))</f>
        <v/>
      </c>
      <c r="M1104" s="62">
        <f>IF(AND(A1104="",E1104=""),"",IF(E1104="","Segment ontbreekt",IF(OR(G1104="",H1104=""),"Van/tot ontbreekt",IF(N(J1104)=0,"Duur is nul",IF(N(J1104)&gt;12,"Langer dan 12 uur - controleren",IF(AND(E1104="Werken",D1104=""),"Werken zonder klant - koppelen","OK"))))))</f>
        <v/>
      </c>
    </row>
    <row r="1105" ht="15" customHeight="1" s="42">
      <c r="A1105" s="55" t="n"/>
      <c r="B1105" s="56">
        <f>IF(A1105="","",WEEKNUM(A1105,21))</f>
        <v/>
      </c>
      <c r="C1105" s="57" t="n"/>
      <c r="D1105" s="57" t="n"/>
      <c r="E1105" s="58" t="n"/>
      <c r="F1105" s="57" t="n"/>
      <c r="G1105" s="59" t="n"/>
      <c r="H1105" s="59" t="n"/>
      <c r="I1105" s="60">
        <f>IF(OR(G1105="",H1105=""),"",MOD(H1105-G1105,1))</f>
        <v/>
      </c>
      <c r="J1105" s="61">
        <f>IF(OR(G1105="",H1105=""),"",ROUND(MOD(H1105-G1105,1)*24,2))</f>
        <v/>
      </c>
      <c r="K1105" s="62">
        <f>IF(E1105="","",IF(E1105="Werken","JA","NEE"))</f>
        <v/>
      </c>
      <c r="L1105" s="61">
        <f>IF(K1105="JA",N(J1105),IF(E1105="","",0))</f>
        <v/>
      </c>
      <c r="M1105" s="62">
        <f>IF(AND(A1105="",E1105=""),"",IF(E1105="","Segment ontbreekt",IF(OR(G1105="",H1105=""),"Van/tot ontbreekt",IF(N(J1105)=0,"Duur is nul",IF(N(J1105)&gt;12,"Langer dan 12 uur - controleren",IF(AND(E1105="Werken",D1105=""),"Werken zonder klant - koppelen","OK"))))))</f>
        <v/>
      </c>
    </row>
    <row r="1106" ht="15" customHeight="1" s="42">
      <c r="A1106" s="55" t="n"/>
      <c r="B1106" s="56">
        <f>IF(A1106="","",WEEKNUM(A1106,21))</f>
        <v/>
      </c>
      <c r="C1106" s="57" t="n"/>
      <c r="D1106" s="57" t="n"/>
      <c r="E1106" s="58" t="n"/>
      <c r="F1106" s="57" t="n"/>
      <c r="G1106" s="59" t="n"/>
      <c r="H1106" s="59" t="n"/>
      <c r="I1106" s="60">
        <f>IF(OR(G1106="",H1106=""),"",MOD(H1106-G1106,1))</f>
        <v/>
      </c>
      <c r="J1106" s="61">
        <f>IF(OR(G1106="",H1106=""),"",ROUND(MOD(H1106-G1106,1)*24,2))</f>
        <v/>
      </c>
      <c r="K1106" s="62">
        <f>IF(E1106="","",IF(E1106="Werken","JA","NEE"))</f>
        <v/>
      </c>
      <c r="L1106" s="61">
        <f>IF(K1106="JA",N(J1106),IF(E1106="","",0))</f>
        <v/>
      </c>
      <c r="M1106" s="62">
        <f>IF(AND(A1106="",E1106=""),"",IF(E1106="","Segment ontbreekt",IF(OR(G1106="",H1106=""),"Van/tot ontbreekt",IF(N(J1106)=0,"Duur is nul",IF(N(J1106)&gt;12,"Langer dan 12 uur - controleren",IF(AND(E1106="Werken",D1106=""),"Werken zonder klant - koppelen","OK"))))))</f>
        <v/>
      </c>
    </row>
    <row r="1107" ht="15" customHeight="1" s="42">
      <c r="A1107" s="55" t="n"/>
      <c r="B1107" s="56">
        <f>IF(A1107="","",WEEKNUM(A1107,21))</f>
        <v/>
      </c>
      <c r="C1107" s="57" t="n"/>
      <c r="D1107" s="57" t="n"/>
      <c r="E1107" s="58" t="n"/>
      <c r="F1107" s="57" t="n"/>
      <c r="G1107" s="59" t="n"/>
      <c r="H1107" s="59" t="n"/>
      <c r="I1107" s="60">
        <f>IF(OR(G1107="",H1107=""),"",MOD(H1107-G1107,1))</f>
        <v/>
      </c>
      <c r="J1107" s="61">
        <f>IF(OR(G1107="",H1107=""),"",ROUND(MOD(H1107-G1107,1)*24,2))</f>
        <v/>
      </c>
      <c r="K1107" s="62">
        <f>IF(E1107="","",IF(E1107="Werken","JA","NEE"))</f>
        <v/>
      </c>
      <c r="L1107" s="61">
        <f>IF(K1107="JA",N(J1107),IF(E1107="","",0))</f>
        <v/>
      </c>
      <c r="M1107" s="62">
        <f>IF(AND(A1107="",E1107=""),"",IF(E1107="","Segment ontbreekt",IF(OR(G1107="",H1107=""),"Van/tot ontbreekt",IF(N(J1107)=0,"Duur is nul",IF(N(J1107)&gt;12,"Langer dan 12 uur - controleren",IF(AND(E1107="Werken",D1107=""),"Werken zonder klant - koppelen","OK"))))))</f>
        <v/>
      </c>
    </row>
    <row r="1108" ht="15" customHeight="1" s="42">
      <c r="A1108" s="55" t="n"/>
      <c r="B1108" s="56">
        <f>IF(A1108="","",WEEKNUM(A1108,21))</f>
        <v/>
      </c>
      <c r="C1108" s="57" t="n"/>
      <c r="D1108" s="57" t="n"/>
      <c r="E1108" s="58" t="n"/>
      <c r="F1108" s="57" t="n"/>
      <c r="G1108" s="59" t="n"/>
      <c r="H1108" s="59" t="n"/>
      <c r="I1108" s="60">
        <f>IF(OR(G1108="",H1108=""),"",MOD(H1108-G1108,1))</f>
        <v/>
      </c>
      <c r="J1108" s="61">
        <f>IF(OR(G1108="",H1108=""),"",ROUND(MOD(H1108-G1108,1)*24,2))</f>
        <v/>
      </c>
      <c r="K1108" s="62">
        <f>IF(E1108="","",IF(E1108="Werken","JA","NEE"))</f>
        <v/>
      </c>
      <c r="L1108" s="61">
        <f>IF(K1108="JA",N(J1108),IF(E1108="","",0))</f>
        <v/>
      </c>
      <c r="M1108" s="62">
        <f>IF(AND(A1108="",E1108=""),"",IF(E1108="","Segment ontbreekt",IF(OR(G1108="",H1108=""),"Van/tot ontbreekt",IF(N(J1108)=0,"Duur is nul",IF(N(J1108)&gt;12,"Langer dan 12 uur - controleren",IF(AND(E1108="Werken",D1108=""),"Werken zonder klant - koppelen","OK"))))))</f>
        <v/>
      </c>
    </row>
    <row r="1109" ht="15" customHeight="1" s="42">
      <c r="A1109" s="55" t="n"/>
      <c r="B1109" s="56">
        <f>IF(A1109="","",WEEKNUM(A1109,21))</f>
        <v/>
      </c>
      <c r="C1109" s="57" t="n"/>
      <c r="D1109" s="57" t="n"/>
      <c r="E1109" s="58" t="n"/>
      <c r="F1109" s="57" t="n"/>
      <c r="G1109" s="59" t="n"/>
      <c r="H1109" s="59" t="n"/>
      <c r="I1109" s="60">
        <f>IF(OR(G1109="",H1109=""),"",MOD(H1109-G1109,1))</f>
        <v/>
      </c>
      <c r="J1109" s="61">
        <f>IF(OR(G1109="",H1109=""),"",ROUND(MOD(H1109-G1109,1)*24,2))</f>
        <v/>
      </c>
      <c r="K1109" s="62">
        <f>IF(E1109="","",IF(E1109="Werken","JA","NEE"))</f>
        <v/>
      </c>
      <c r="L1109" s="61">
        <f>IF(K1109="JA",N(J1109),IF(E1109="","",0))</f>
        <v/>
      </c>
      <c r="M1109" s="62">
        <f>IF(AND(A1109="",E1109=""),"",IF(E1109="","Segment ontbreekt",IF(OR(G1109="",H1109=""),"Van/tot ontbreekt",IF(N(J1109)=0,"Duur is nul",IF(N(J1109)&gt;12,"Langer dan 12 uur - controleren",IF(AND(E1109="Werken",D1109=""),"Werken zonder klant - koppelen","OK"))))))</f>
        <v/>
      </c>
    </row>
    <row r="1110" ht="15" customHeight="1" s="42">
      <c r="A1110" s="55" t="n"/>
      <c r="B1110" s="56">
        <f>IF(A1110="","",WEEKNUM(A1110,21))</f>
        <v/>
      </c>
      <c r="C1110" s="57" t="n"/>
      <c r="D1110" s="57" t="n"/>
      <c r="E1110" s="58" t="n"/>
      <c r="F1110" s="57" t="n"/>
      <c r="G1110" s="59" t="n"/>
      <c r="H1110" s="59" t="n"/>
      <c r="I1110" s="60">
        <f>IF(OR(G1110="",H1110=""),"",MOD(H1110-G1110,1))</f>
        <v/>
      </c>
      <c r="J1110" s="61">
        <f>IF(OR(G1110="",H1110=""),"",ROUND(MOD(H1110-G1110,1)*24,2))</f>
        <v/>
      </c>
      <c r="K1110" s="62">
        <f>IF(E1110="","",IF(E1110="Werken","JA","NEE"))</f>
        <v/>
      </c>
      <c r="L1110" s="61">
        <f>IF(K1110="JA",N(J1110),IF(E1110="","",0))</f>
        <v/>
      </c>
      <c r="M1110" s="62">
        <f>IF(AND(A1110="",E1110=""),"",IF(E1110="","Segment ontbreekt",IF(OR(G1110="",H1110=""),"Van/tot ontbreekt",IF(N(J1110)=0,"Duur is nul",IF(N(J1110)&gt;12,"Langer dan 12 uur - controleren",IF(AND(E1110="Werken",D1110=""),"Werken zonder klant - koppelen","OK"))))))</f>
        <v/>
      </c>
    </row>
    <row r="1111" ht="15" customHeight="1" s="42">
      <c r="A1111" s="55" t="n"/>
      <c r="B1111" s="56">
        <f>IF(A1111="","",WEEKNUM(A1111,21))</f>
        <v/>
      </c>
      <c r="C1111" s="57" t="n"/>
      <c r="D1111" s="57" t="n"/>
      <c r="E1111" s="58" t="n"/>
      <c r="F1111" s="57" t="n"/>
      <c r="G1111" s="59" t="n"/>
      <c r="H1111" s="59" t="n"/>
      <c r="I1111" s="60">
        <f>IF(OR(G1111="",H1111=""),"",MOD(H1111-G1111,1))</f>
        <v/>
      </c>
      <c r="J1111" s="61">
        <f>IF(OR(G1111="",H1111=""),"",ROUND(MOD(H1111-G1111,1)*24,2))</f>
        <v/>
      </c>
      <c r="K1111" s="62">
        <f>IF(E1111="","",IF(E1111="Werken","JA","NEE"))</f>
        <v/>
      </c>
      <c r="L1111" s="61">
        <f>IF(K1111="JA",N(J1111),IF(E1111="","",0))</f>
        <v/>
      </c>
      <c r="M1111" s="62">
        <f>IF(AND(A1111="",E1111=""),"",IF(E1111="","Segment ontbreekt",IF(OR(G1111="",H1111=""),"Van/tot ontbreekt",IF(N(J1111)=0,"Duur is nul",IF(N(J1111)&gt;12,"Langer dan 12 uur - controleren",IF(AND(E1111="Werken",D1111=""),"Werken zonder klant - koppelen","OK"))))))</f>
        <v/>
      </c>
    </row>
    <row r="1112" ht="15" customHeight="1" s="42">
      <c r="A1112" s="55" t="n"/>
      <c r="B1112" s="56">
        <f>IF(A1112="","",WEEKNUM(A1112,21))</f>
        <v/>
      </c>
      <c r="C1112" s="57" t="n"/>
      <c r="D1112" s="57" t="n"/>
      <c r="E1112" s="58" t="n"/>
      <c r="F1112" s="57" t="n"/>
      <c r="G1112" s="59" t="n"/>
      <c r="H1112" s="59" t="n"/>
      <c r="I1112" s="60">
        <f>IF(OR(G1112="",H1112=""),"",MOD(H1112-G1112,1))</f>
        <v/>
      </c>
      <c r="J1112" s="61">
        <f>IF(OR(G1112="",H1112=""),"",ROUND(MOD(H1112-G1112,1)*24,2))</f>
        <v/>
      </c>
      <c r="K1112" s="62">
        <f>IF(E1112="","",IF(E1112="Werken","JA","NEE"))</f>
        <v/>
      </c>
      <c r="L1112" s="61">
        <f>IF(K1112="JA",N(J1112),IF(E1112="","",0))</f>
        <v/>
      </c>
      <c r="M1112" s="62">
        <f>IF(AND(A1112="",E1112=""),"",IF(E1112="","Segment ontbreekt",IF(OR(G1112="",H1112=""),"Van/tot ontbreekt",IF(N(J1112)=0,"Duur is nul",IF(N(J1112)&gt;12,"Langer dan 12 uur - controleren",IF(AND(E1112="Werken",D1112=""),"Werken zonder klant - koppelen","OK"))))))</f>
        <v/>
      </c>
    </row>
    <row r="1113" ht="15" customHeight="1" s="42">
      <c r="A1113" s="55" t="n"/>
      <c r="B1113" s="56">
        <f>IF(A1113="","",WEEKNUM(A1113,21))</f>
        <v/>
      </c>
      <c r="C1113" s="57" t="n"/>
      <c r="D1113" s="57" t="n"/>
      <c r="E1113" s="58" t="n"/>
      <c r="F1113" s="57" t="n"/>
      <c r="G1113" s="59" t="n"/>
      <c r="H1113" s="59" t="n"/>
      <c r="I1113" s="60">
        <f>IF(OR(G1113="",H1113=""),"",MOD(H1113-G1113,1))</f>
        <v/>
      </c>
      <c r="J1113" s="61">
        <f>IF(OR(G1113="",H1113=""),"",ROUND(MOD(H1113-G1113,1)*24,2))</f>
        <v/>
      </c>
      <c r="K1113" s="62">
        <f>IF(E1113="","",IF(E1113="Werken","JA","NEE"))</f>
        <v/>
      </c>
      <c r="L1113" s="61">
        <f>IF(K1113="JA",N(J1113),IF(E1113="","",0))</f>
        <v/>
      </c>
      <c r="M1113" s="62">
        <f>IF(AND(A1113="",E1113=""),"",IF(E1113="","Segment ontbreekt",IF(OR(G1113="",H1113=""),"Van/tot ontbreekt",IF(N(J1113)=0,"Duur is nul",IF(N(J1113)&gt;12,"Langer dan 12 uur - controleren",IF(AND(E1113="Werken",D1113=""),"Werken zonder klant - koppelen","OK"))))))</f>
        <v/>
      </c>
    </row>
    <row r="1114" ht="15" customHeight="1" s="42">
      <c r="A1114" s="55" t="n"/>
      <c r="B1114" s="56">
        <f>IF(A1114="","",WEEKNUM(A1114,21))</f>
        <v/>
      </c>
      <c r="C1114" s="57" t="n"/>
      <c r="D1114" s="57" t="n"/>
      <c r="E1114" s="58" t="n"/>
      <c r="F1114" s="57" t="n"/>
      <c r="G1114" s="59" t="n"/>
      <c r="H1114" s="59" t="n"/>
      <c r="I1114" s="60">
        <f>IF(OR(G1114="",H1114=""),"",MOD(H1114-G1114,1))</f>
        <v/>
      </c>
      <c r="J1114" s="61">
        <f>IF(OR(G1114="",H1114=""),"",ROUND(MOD(H1114-G1114,1)*24,2))</f>
        <v/>
      </c>
      <c r="K1114" s="62">
        <f>IF(E1114="","",IF(E1114="Werken","JA","NEE"))</f>
        <v/>
      </c>
      <c r="L1114" s="61">
        <f>IF(K1114="JA",N(J1114),IF(E1114="","",0))</f>
        <v/>
      </c>
      <c r="M1114" s="62">
        <f>IF(AND(A1114="",E1114=""),"",IF(E1114="","Segment ontbreekt",IF(OR(G1114="",H1114=""),"Van/tot ontbreekt",IF(N(J1114)=0,"Duur is nul",IF(N(J1114)&gt;12,"Langer dan 12 uur - controleren",IF(AND(E1114="Werken",D1114=""),"Werken zonder klant - koppelen","OK"))))))</f>
        <v/>
      </c>
    </row>
    <row r="1115" ht="15" customHeight="1" s="42">
      <c r="A1115" s="55" t="n"/>
      <c r="B1115" s="56">
        <f>IF(A1115="","",WEEKNUM(A1115,21))</f>
        <v/>
      </c>
      <c r="C1115" s="57" t="n"/>
      <c r="D1115" s="57" t="n"/>
      <c r="E1115" s="58" t="n"/>
      <c r="F1115" s="57" t="n"/>
      <c r="G1115" s="59" t="n"/>
      <c r="H1115" s="59" t="n"/>
      <c r="I1115" s="60">
        <f>IF(OR(G1115="",H1115=""),"",MOD(H1115-G1115,1))</f>
        <v/>
      </c>
      <c r="J1115" s="61">
        <f>IF(OR(G1115="",H1115=""),"",ROUND(MOD(H1115-G1115,1)*24,2))</f>
        <v/>
      </c>
      <c r="K1115" s="62">
        <f>IF(E1115="","",IF(E1115="Werken","JA","NEE"))</f>
        <v/>
      </c>
      <c r="L1115" s="61">
        <f>IF(K1115="JA",N(J1115),IF(E1115="","",0))</f>
        <v/>
      </c>
      <c r="M1115" s="62">
        <f>IF(AND(A1115="",E1115=""),"",IF(E1115="","Segment ontbreekt",IF(OR(G1115="",H1115=""),"Van/tot ontbreekt",IF(N(J1115)=0,"Duur is nul",IF(N(J1115)&gt;12,"Langer dan 12 uur - controleren",IF(AND(E1115="Werken",D1115=""),"Werken zonder klant - koppelen","OK"))))))</f>
        <v/>
      </c>
    </row>
    <row r="1116" ht="15" customHeight="1" s="42">
      <c r="A1116" s="55" t="n"/>
      <c r="B1116" s="56">
        <f>IF(A1116="","",WEEKNUM(A1116,21))</f>
        <v/>
      </c>
      <c r="C1116" s="57" t="n"/>
      <c r="D1116" s="57" t="n"/>
      <c r="E1116" s="58" t="n"/>
      <c r="F1116" s="57" t="n"/>
      <c r="G1116" s="59" t="n"/>
      <c r="H1116" s="59" t="n"/>
      <c r="I1116" s="60">
        <f>IF(OR(G1116="",H1116=""),"",MOD(H1116-G1116,1))</f>
        <v/>
      </c>
      <c r="J1116" s="61">
        <f>IF(OR(G1116="",H1116=""),"",ROUND(MOD(H1116-G1116,1)*24,2))</f>
        <v/>
      </c>
      <c r="K1116" s="62">
        <f>IF(E1116="","",IF(E1116="Werken","JA","NEE"))</f>
        <v/>
      </c>
      <c r="L1116" s="61">
        <f>IF(K1116="JA",N(J1116),IF(E1116="","",0))</f>
        <v/>
      </c>
      <c r="M1116" s="62">
        <f>IF(AND(A1116="",E1116=""),"",IF(E1116="","Segment ontbreekt",IF(OR(G1116="",H1116=""),"Van/tot ontbreekt",IF(N(J1116)=0,"Duur is nul",IF(N(J1116)&gt;12,"Langer dan 12 uur - controleren",IF(AND(E1116="Werken",D1116=""),"Werken zonder klant - koppelen","OK"))))))</f>
        <v/>
      </c>
    </row>
    <row r="1117" ht="15" customHeight="1" s="42">
      <c r="A1117" s="55" t="n"/>
      <c r="B1117" s="56">
        <f>IF(A1117="","",WEEKNUM(A1117,21))</f>
        <v/>
      </c>
      <c r="C1117" s="57" t="n"/>
      <c r="D1117" s="57" t="n"/>
      <c r="E1117" s="58" t="n"/>
      <c r="F1117" s="57" t="n"/>
      <c r="G1117" s="59" t="n"/>
      <c r="H1117" s="59" t="n"/>
      <c r="I1117" s="60">
        <f>IF(OR(G1117="",H1117=""),"",MOD(H1117-G1117,1))</f>
        <v/>
      </c>
      <c r="J1117" s="61">
        <f>IF(OR(G1117="",H1117=""),"",ROUND(MOD(H1117-G1117,1)*24,2))</f>
        <v/>
      </c>
      <c r="K1117" s="62">
        <f>IF(E1117="","",IF(E1117="Werken","JA","NEE"))</f>
        <v/>
      </c>
      <c r="L1117" s="61">
        <f>IF(K1117="JA",N(J1117),IF(E1117="","",0))</f>
        <v/>
      </c>
      <c r="M1117" s="62">
        <f>IF(AND(A1117="",E1117=""),"",IF(E1117="","Segment ontbreekt",IF(OR(G1117="",H1117=""),"Van/tot ontbreekt",IF(N(J1117)=0,"Duur is nul",IF(N(J1117)&gt;12,"Langer dan 12 uur - controleren",IF(AND(E1117="Werken",D1117=""),"Werken zonder klant - koppelen","OK"))))))</f>
        <v/>
      </c>
    </row>
    <row r="1118" ht="15" customHeight="1" s="42">
      <c r="A1118" s="55" t="n"/>
      <c r="B1118" s="56">
        <f>IF(A1118="","",WEEKNUM(A1118,21))</f>
        <v/>
      </c>
      <c r="C1118" s="57" t="n"/>
      <c r="D1118" s="57" t="n"/>
      <c r="E1118" s="58" t="n"/>
      <c r="F1118" s="57" t="n"/>
      <c r="G1118" s="59" t="n"/>
      <c r="H1118" s="59" t="n"/>
      <c r="I1118" s="60">
        <f>IF(OR(G1118="",H1118=""),"",MOD(H1118-G1118,1))</f>
        <v/>
      </c>
      <c r="J1118" s="61">
        <f>IF(OR(G1118="",H1118=""),"",ROUND(MOD(H1118-G1118,1)*24,2))</f>
        <v/>
      </c>
      <c r="K1118" s="62">
        <f>IF(E1118="","",IF(E1118="Werken","JA","NEE"))</f>
        <v/>
      </c>
      <c r="L1118" s="61">
        <f>IF(K1118="JA",N(J1118),IF(E1118="","",0))</f>
        <v/>
      </c>
      <c r="M1118" s="62">
        <f>IF(AND(A1118="",E1118=""),"",IF(E1118="","Segment ontbreekt",IF(OR(G1118="",H1118=""),"Van/tot ontbreekt",IF(N(J1118)=0,"Duur is nul",IF(N(J1118)&gt;12,"Langer dan 12 uur - controleren",IF(AND(E1118="Werken",D1118=""),"Werken zonder klant - koppelen","OK"))))))</f>
        <v/>
      </c>
    </row>
    <row r="1119" ht="15" customHeight="1" s="42">
      <c r="A1119" s="55" t="n"/>
      <c r="B1119" s="56">
        <f>IF(A1119="","",WEEKNUM(A1119,21))</f>
        <v/>
      </c>
      <c r="C1119" s="57" t="n"/>
      <c r="D1119" s="57" t="n"/>
      <c r="E1119" s="58" t="n"/>
      <c r="F1119" s="57" t="n"/>
      <c r="G1119" s="59" t="n"/>
      <c r="H1119" s="59" t="n"/>
      <c r="I1119" s="60">
        <f>IF(OR(G1119="",H1119=""),"",MOD(H1119-G1119,1))</f>
        <v/>
      </c>
      <c r="J1119" s="61">
        <f>IF(OR(G1119="",H1119=""),"",ROUND(MOD(H1119-G1119,1)*24,2))</f>
        <v/>
      </c>
      <c r="K1119" s="62">
        <f>IF(E1119="","",IF(E1119="Werken","JA","NEE"))</f>
        <v/>
      </c>
      <c r="L1119" s="61">
        <f>IF(K1119="JA",N(J1119),IF(E1119="","",0))</f>
        <v/>
      </c>
      <c r="M1119" s="62">
        <f>IF(AND(A1119="",E1119=""),"",IF(E1119="","Segment ontbreekt",IF(OR(G1119="",H1119=""),"Van/tot ontbreekt",IF(N(J1119)=0,"Duur is nul",IF(N(J1119)&gt;12,"Langer dan 12 uur - controleren",IF(AND(E1119="Werken",D1119=""),"Werken zonder klant - koppelen","OK"))))))</f>
        <v/>
      </c>
    </row>
    <row r="1120" ht="15" customHeight="1" s="42">
      <c r="A1120" s="55" t="n"/>
      <c r="B1120" s="56">
        <f>IF(A1120="","",WEEKNUM(A1120,21))</f>
        <v/>
      </c>
      <c r="C1120" s="57" t="n"/>
      <c r="D1120" s="57" t="n"/>
      <c r="E1120" s="58" t="n"/>
      <c r="F1120" s="57" t="n"/>
      <c r="G1120" s="59" t="n"/>
      <c r="H1120" s="59" t="n"/>
      <c r="I1120" s="60">
        <f>IF(OR(G1120="",H1120=""),"",MOD(H1120-G1120,1))</f>
        <v/>
      </c>
      <c r="J1120" s="61">
        <f>IF(OR(G1120="",H1120=""),"",ROUND(MOD(H1120-G1120,1)*24,2))</f>
        <v/>
      </c>
      <c r="K1120" s="62">
        <f>IF(E1120="","",IF(E1120="Werken","JA","NEE"))</f>
        <v/>
      </c>
      <c r="L1120" s="61">
        <f>IF(K1120="JA",N(J1120),IF(E1120="","",0))</f>
        <v/>
      </c>
      <c r="M1120" s="62">
        <f>IF(AND(A1120="",E1120=""),"",IF(E1120="","Segment ontbreekt",IF(OR(G1120="",H1120=""),"Van/tot ontbreekt",IF(N(J1120)=0,"Duur is nul",IF(N(J1120)&gt;12,"Langer dan 12 uur - controleren",IF(AND(E1120="Werken",D1120=""),"Werken zonder klant - koppelen","OK"))))))</f>
        <v/>
      </c>
    </row>
    <row r="1121" ht="15" customHeight="1" s="42">
      <c r="A1121" s="55" t="n"/>
      <c r="B1121" s="56">
        <f>IF(A1121="","",WEEKNUM(A1121,21))</f>
        <v/>
      </c>
      <c r="C1121" s="57" t="n"/>
      <c r="D1121" s="57" t="n"/>
      <c r="E1121" s="58" t="n"/>
      <c r="F1121" s="57" t="n"/>
      <c r="G1121" s="59" t="n"/>
      <c r="H1121" s="59" t="n"/>
      <c r="I1121" s="60">
        <f>IF(OR(G1121="",H1121=""),"",MOD(H1121-G1121,1))</f>
        <v/>
      </c>
      <c r="J1121" s="61">
        <f>IF(OR(G1121="",H1121=""),"",ROUND(MOD(H1121-G1121,1)*24,2))</f>
        <v/>
      </c>
      <c r="K1121" s="62">
        <f>IF(E1121="","",IF(E1121="Werken","JA","NEE"))</f>
        <v/>
      </c>
      <c r="L1121" s="61">
        <f>IF(K1121="JA",N(J1121),IF(E1121="","",0))</f>
        <v/>
      </c>
      <c r="M1121" s="62">
        <f>IF(AND(A1121="",E1121=""),"",IF(E1121="","Segment ontbreekt",IF(OR(G1121="",H1121=""),"Van/tot ontbreekt",IF(N(J1121)=0,"Duur is nul",IF(N(J1121)&gt;12,"Langer dan 12 uur - controleren",IF(AND(E1121="Werken",D1121=""),"Werken zonder klant - koppelen","OK"))))))</f>
        <v/>
      </c>
    </row>
    <row r="1122" ht="15" customHeight="1" s="42">
      <c r="A1122" s="55" t="n"/>
      <c r="B1122" s="56">
        <f>IF(A1122="","",WEEKNUM(A1122,21))</f>
        <v/>
      </c>
      <c r="C1122" s="57" t="n"/>
      <c r="D1122" s="57" t="n"/>
      <c r="E1122" s="58" t="n"/>
      <c r="F1122" s="57" t="n"/>
      <c r="G1122" s="59" t="n"/>
      <c r="H1122" s="59" t="n"/>
      <c r="I1122" s="60">
        <f>IF(OR(G1122="",H1122=""),"",MOD(H1122-G1122,1))</f>
        <v/>
      </c>
      <c r="J1122" s="61">
        <f>IF(OR(G1122="",H1122=""),"",ROUND(MOD(H1122-G1122,1)*24,2))</f>
        <v/>
      </c>
      <c r="K1122" s="62">
        <f>IF(E1122="","",IF(E1122="Werken","JA","NEE"))</f>
        <v/>
      </c>
      <c r="L1122" s="61">
        <f>IF(K1122="JA",N(J1122),IF(E1122="","",0))</f>
        <v/>
      </c>
      <c r="M1122" s="62">
        <f>IF(AND(A1122="",E1122=""),"",IF(E1122="","Segment ontbreekt",IF(OR(G1122="",H1122=""),"Van/tot ontbreekt",IF(N(J1122)=0,"Duur is nul",IF(N(J1122)&gt;12,"Langer dan 12 uur - controleren",IF(AND(E1122="Werken",D1122=""),"Werken zonder klant - koppelen","OK"))))))</f>
        <v/>
      </c>
    </row>
    <row r="1123" ht="15" customHeight="1" s="42">
      <c r="A1123" s="55" t="n"/>
      <c r="B1123" s="56">
        <f>IF(A1123="","",WEEKNUM(A1123,21))</f>
        <v/>
      </c>
      <c r="C1123" s="57" t="n"/>
      <c r="D1123" s="57" t="n"/>
      <c r="E1123" s="58" t="n"/>
      <c r="F1123" s="57" t="n"/>
      <c r="G1123" s="59" t="n"/>
      <c r="H1123" s="59" t="n"/>
      <c r="I1123" s="60">
        <f>IF(OR(G1123="",H1123=""),"",MOD(H1123-G1123,1))</f>
        <v/>
      </c>
      <c r="J1123" s="61">
        <f>IF(OR(G1123="",H1123=""),"",ROUND(MOD(H1123-G1123,1)*24,2))</f>
        <v/>
      </c>
      <c r="K1123" s="62">
        <f>IF(E1123="","",IF(E1123="Werken","JA","NEE"))</f>
        <v/>
      </c>
      <c r="L1123" s="61">
        <f>IF(K1123="JA",N(J1123),IF(E1123="","",0))</f>
        <v/>
      </c>
      <c r="M1123" s="62">
        <f>IF(AND(A1123="",E1123=""),"",IF(E1123="","Segment ontbreekt",IF(OR(G1123="",H1123=""),"Van/tot ontbreekt",IF(N(J1123)=0,"Duur is nul",IF(N(J1123)&gt;12,"Langer dan 12 uur - controleren",IF(AND(E1123="Werken",D1123=""),"Werken zonder klant - koppelen","OK"))))))</f>
        <v/>
      </c>
    </row>
    <row r="1124" ht="15" customHeight="1" s="42">
      <c r="A1124" s="55" t="n"/>
      <c r="B1124" s="56">
        <f>IF(A1124="","",WEEKNUM(A1124,21))</f>
        <v/>
      </c>
      <c r="C1124" s="57" t="n"/>
      <c r="D1124" s="57" t="n"/>
      <c r="E1124" s="58" t="n"/>
      <c r="F1124" s="57" t="n"/>
      <c r="G1124" s="59" t="n"/>
      <c r="H1124" s="59" t="n"/>
      <c r="I1124" s="60">
        <f>IF(OR(G1124="",H1124=""),"",MOD(H1124-G1124,1))</f>
        <v/>
      </c>
      <c r="J1124" s="61">
        <f>IF(OR(G1124="",H1124=""),"",ROUND(MOD(H1124-G1124,1)*24,2))</f>
        <v/>
      </c>
      <c r="K1124" s="62">
        <f>IF(E1124="","",IF(E1124="Werken","JA","NEE"))</f>
        <v/>
      </c>
      <c r="L1124" s="61">
        <f>IF(K1124="JA",N(J1124),IF(E1124="","",0))</f>
        <v/>
      </c>
      <c r="M1124" s="62">
        <f>IF(AND(A1124="",E1124=""),"",IF(E1124="","Segment ontbreekt",IF(OR(G1124="",H1124=""),"Van/tot ontbreekt",IF(N(J1124)=0,"Duur is nul",IF(N(J1124)&gt;12,"Langer dan 12 uur - controleren",IF(AND(E1124="Werken",D1124=""),"Werken zonder klant - koppelen","OK"))))))</f>
        <v/>
      </c>
    </row>
    <row r="1125" ht="15" customHeight="1" s="42">
      <c r="A1125" s="55" t="n"/>
      <c r="B1125" s="56">
        <f>IF(A1125="","",WEEKNUM(A1125,21))</f>
        <v/>
      </c>
      <c r="C1125" s="57" t="n"/>
      <c r="D1125" s="57" t="n"/>
      <c r="E1125" s="58" t="n"/>
      <c r="F1125" s="57" t="n"/>
      <c r="G1125" s="59" t="n"/>
      <c r="H1125" s="59" t="n"/>
      <c r="I1125" s="60">
        <f>IF(OR(G1125="",H1125=""),"",MOD(H1125-G1125,1))</f>
        <v/>
      </c>
      <c r="J1125" s="61">
        <f>IF(OR(G1125="",H1125=""),"",ROUND(MOD(H1125-G1125,1)*24,2))</f>
        <v/>
      </c>
      <c r="K1125" s="62">
        <f>IF(E1125="","",IF(E1125="Werken","JA","NEE"))</f>
        <v/>
      </c>
      <c r="L1125" s="61">
        <f>IF(K1125="JA",N(J1125),IF(E1125="","",0))</f>
        <v/>
      </c>
      <c r="M1125" s="62">
        <f>IF(AND(A1125="",E1125=""),"",IF(E1125="","Segment ontbreekt",IF(OR(G1125="",H1125=""),"Van/tot ontbreekt",IF(N(J1125)=0,"Duur is nul",IF(N(J1125)&gt;12,"Langer dan 12 uur - controleren",IF(AND(E1125="Werken",D1125=""),"Werken zonder klant - koppelen","OK"))))))</f>
        <v/>
      </c>
    </row>
    <row r="1126" ht="15" customHeight="1" s="42">
      <c r="A1126" s="55" t="n"/>
      <c r="B1126" s="56">
        <f>IF(A1126="","",WEEKNUM(A1126,21))</f>
        <v/>
      </c>
      <c r="C1126" s="57" t="n"/>
      <c r="D1126" s="57" t="n"/>
      <c r="E1126" s="58" t="n"/>
      <c r="F1126" s="57" t="n"/>
      <c r="G1126" s="59" t="n"/>
      <c r="H1126" s="59" t="n"/>
      <c r="I1126" s="60">
        <f>IF(OR(G1126="",H1126=""),"",MOD(H1126-G1126,1))</f>
        <v/>
      </c>
      <c r="J1126" s="61">
        <f>IF(OR(G1126="",H1126=""),"",ROUND(MOD(H1126-G1126,1)*24,2))</f>
        <v/>
      </c>
      <c r="K1126" s="62">
        <f>IF(E1126="","",IF(E1126="Werken","JA","NEE"))</f>
        <v/>
      </c>
      <c r="L1126" s="61">
        <f>IF(K1126="JA",N(J1126),IF(E1126="","",0))</f>
        <v/>
      </c>
      <c r="M1126" s="62">
        <f>IF(AND(A1126="",E1126=""),"",IF(E1126="","Segment ontbreekt",IF(OR(G1126="",H1126=""),"Van/tot ontbreekt",IF(N(J1126)=0,"Duur is nul",IF(N(J1126)&gt;12,"Langer dan 12 uur - controleren",IF(AND(E1126="Werken",D1126=""),"Werken zonder klant - koppelen","OK"))))))</f>
        <v/>
      </c>
    </row>
    <row r="1127" ht="15" customHeight="1" s="42">
      <c r="A1127" s="55" t="n"/>
      <c r="B1127" s="56">
        <f>IF(A1127="","",WEEKNUM(A1127,21))</f>
        <v/>
      </c>
      <c r="C1127" s="57" t="n"/>
      <c r="D1127" s="57" t="n"/>
      <c r="E1127" s="58" t="n"/>
      <c r="F1127" s="57" t="n"/>
      <c r="G1127" s="59" t="n"/>
      <c r="H1127" s="59" t="n"/>
      <c r="I1127" s="60">
        <f>IF(OR(G1127="",H1127=""),"",MOD(H1127-G1127,1))</f>
        <v/>
      </c>
      <c r="J1127" s="61">
        <f>IF(OR(G1127="",H1127=""),"",ROUND(MOD(H1127-G1127,1)*24,2))</f>
        <v/>
      </c>
      <c r="K1127" s="62">
        <f>IF(E1127="","",IF(E1127="Werken","JA","NEE"))</f>
        <v/>
      </c>
      <c r="L1127" s="61">
        <f>IF(K1127="JA",N(J1127),IF(E1127="","",0))</f>
        <v/>
      </c>
      <c r="M1127" s="62">
        <f>IF(AND(A1127="",E1127=""),"",IF(E1127="","Segment ontbreekt",IF(OR(G1127="",H1127=""),"Van/tot ontbreekt",IF(N(J1127)=0,"Duur is nul",IF(N(J1127)&gt;12,"Langer dan 12 uur - controleren",IF(AND(E1127="Werken",D1127=""),"Werken zonder klant - koppelen","OK"))))))</f>
        <v/>
      </c>
    </row>
    <row r="1128" ht="15" customHeight="1" s="42">
      <c r="A1128" s="55" t="n"/>
      <c r="B1128" s="56">
        <f>IF(A1128="","",WEEKNUM(A1128,21))</f>
        <v/>
      </c>
      <c r="C1128" s="57" t="n"/>
      <c r="D1128" s="57" t="n"/>
      <c r="E1128" s="58" t="n"/>
      <c r="F1128" s="57" t="n"/>
      <c r="G1128" s="59" t="n"/>
      <c r="H1128" s="59" t="n"/>
      <c r="I1128" s="60">
        <f>IF(OR(G1128="",H1128=""),"",MOD(H1128-G1128,1))</f>
        <v/>
      </c>
      <c r="J1128" s="61">
        <f>IF(OR(G1128="",H1128=""),"",ROUND(MOD(H1128-G1128,1)*24,2))</f>
        <v/>
      </c>
      <c r="K1128" s="62">
        <f>IF(E1128="","",IF(E1128="Werken","JA","NEE"))</f>
        <v/>
      </c>
      <c r="L1128" s="61">
        <f>IF(K1128="JA",N(J1128),IF(E1128="","",0))</f>
        <v/>
      </c>
      <c r="M1128" s="62">
        <f>IF(AND(A1128="",E1128=""),"",IF(E1128="","Segment ontbreekt",IF(OR(G1128="",H1128=""),"Van/tot ontbreekt",IF(N(J1128)=0,"Duur is nul",IF(N(J1128)&gt;12,"Langer dan 12 uur - controleren",IF(AND(E1128="Werken",D1128=""),"Werken zonder klant - koppelen","OK"))))))</f>
        <v/>
      </c>
    </row>
    <row r="1129" ht="15" customHeight="1" s="42">
      <c r="A1129" s="55" t="n"/>
      <c r="B1129" s="56">
        <f>IF(A1129="","",WEEKNUM(A1129,21))</f>
        <v/>
      </c>
      <c r="C1129" s="57" t="n"/>
      <c r="D1129" s="57" t="n"/>
      <c r="E1129" s="58" t="n"/>
      <c r="F1129" s="57" t="n"/>
      <c r="G1129" s="59" t="n"/>
      <c r="H1129" s="59" t="n"/>
      <c r="I1129" s="60">
        <f>IF(OR(G1129="",H1129=""),"",MOD(H1129-G1129,1))</f>
        <v/>
      </c>
      <c r="J1129" s="61">
        <f>IF(OR(G1129="",H1129=""),"",ROUND(MOD(H1129-G1129,1)*24,2))</f>
        <v/>
      </c>
      <c r="K1129" s="62">
        <f>IF(E1129="","",IF(E1129="Werken","JA","NEE"))</f>
        <v/>
      </c>
      <c r="L1129" s="61">
        <f>IF(K1129="JA",N(J1129),IF(E1129="","",0))</f>
        <v/>
      </c>
      <c r="M1129" s="62">
        <f>IF(AND(A1129="",E1129=""),"",IF(E1129="","Segment ontbreekt",IF(OR(G1129="",H1129=""),"Van/tot ontbreekt",IF(N(J1129)=0,"Duur is nul",IF(N(J1129)&gt;12,"Langer dan 12 uur - controleren",IF(AND(E1129="Werken",D1129=""),"Werken zonder klant - koppelen","OK"))))))</f>
        <v/>
      </c>
    </row>
    <row r="1130" ht="15" customHeight="1" s="42">
      <c r="A1130" s="55" t="n"/>
      <c r="B1130" s="56">
        <f>IF(A1130="","",WEEKNUM(A1130,21))</f>
        <v/>
      </c>
      <c r="C1130" s="57" t="n"/>
      <c r="D1130" s="57" t="n"/>
      <c r="E1130" s="58" t="n"/>
      <c r="F1130" s="57" t="n"/>
      <c r="G1130" s="59" t="n"/>
      <c r="H1130" s="59" t="n"/>
      <c r="I1130" s="60">
        <f>IF(OR(G1130="",H1130=""),"",MOD(H1130-G1130,1))</f>
        <v/>
      </c>
      <c r="J1130" s="61">
        <f>IF(OR(G1130="",H1130=""),"",ROUND(MOD(H1130-G1130,1)*24,2))</f>
        <v/>
      </c>
      <c r="K1130" s="62">
        <f>IF(E1130="","",IF(E1130="Werken","JA","NEE"))</f>
        <v/>
      </c>
      <c r="L1130" s="61">
        <f>IF(K1130="JA",N(J1130),IF(E1130="","",0))</f>
        <v/>
      </c>
      <c r="M1130" s="62">
        <f>IF(AND(A1130="",E1130=""),"",IF(E1130="","Segment ontbreekt",IF(OR(G1130="",H1130=""),"Van/tot ontbreekt",IF(N(J1130)=0,"Duur is nul",IF(N(J1130)&gt;12,"Langer dan 12 uur - controleren",IF(AND(E1130="Werken",D1130=""),"Werken zonder klant - koppelen","OK"))))))</f>
        <v/>
      </c>
    </row>
    <row r="1131" ht="15" customHeight="1" s="42">
      <c r="A1131" s="55" t="n"/>
      <c r="B1131" s="56">
        <f>IF(A1131="","",WEEKNUM(A1131,21))</f>
        <v/>
      </c>
      <c r="C1131" s="57" t="n"/>
      <c r="D1131" s="57" t="n"/>
      <c r="E1131" s="58" t="n"/>
      <c r="F1131" s="57" t="n"/>
      <c r="G1131" s="59" t="n"/>
      <c r="H1131" s="59" t="n"/>
      <c r="I1131" s="60">
        <f>IF(OR(G1131="",H1131=""),"",MOD(H1131-G1131,1))</f>
        <v/>
      </c>
      <c r="J1131" s="61">
        <f>IF(OR(G1131="",H1131=""),"",ROUND(MOD(H1131-G1131,1)*24,2))</f>
        <v/>
      </c>
      <c r="K1131" s="62">
        <f>IF(E1131="","",IF(E1131="Werken","JA","NEE"))</f>
        <v/>
      </c>
      <c r="L1131" s="61">
        <f>IF(K1131="JA",N(J1131),IF(E1131="","",0))</f>
        <v/>
      </c>
      <c r="M1131" s="62">
        <f>IF(AND(A1131="",E1131=""),"",IF(E1131="","Segment ontbreekt",IF(OR(G1131="",H1131=""),"Van/tot ontbreekt",IF(N(J1131)=0,"Duur is nul",IF(N(J1131)&gt;12,"Langer dan 12 uur - controleren",IF(AND(E1131="Werken",D1131=""),"Werken zonder klant - koppelen","OK"))))))</f>
        <v/>
      </c>
    </row>
    <row r="1132" ht="15" customHeight="1" s="42">
      <c r="A1132" s="55" t="n"/>
      <c r="B1132" s="56">
        <f>IF(A1132="","",WEEKNUM(A1132,21))</f>
        <v/>
      </c>
      <c r="C1132" s="57" t="n"/>
      <c r="D1132" s="57" t="n"/>
      <c r="E1132" s="58" t="n"/>
      <c r="F1132" s="57" t="n"/>
      <c r="G1132" s="59" t="n"/>
      <c r="H1132" s="59" t="n"/>
      <c r="I1132" s="60">
        <f>IF(OR(G1132="",H1132=""),"",MOD(H1132-G1132,1))</f>
        <v/>
      </c>
      <c r="J1132" s="61">
        <f>IF(OR(G1132="",H1132=""),"",ROUND(MOD(H1132-G1132,1)*24,2))</f>
        <v/>
      </c>
      <c r="K1132" s="62">
        <f>IF(E1132="","",IF(E1132="Werken","JA","NEE"))</f>
        <v/>
      </c>
      <c r="L1132" s="61">
        <f>IF(K1132="JA",N(J1132),IF(E1132="","",0))</f>
        <v/>
      </c>
      <c r="M1132" s="62">
        <f>IF(AND(A1132="",E1132=""),"",IF(E1132="","Segment ontbreekt",IF(OR(G1132="",H1132=""),"Van/tot ontbreekt",IF(N(J1132)=0,"Duur is nul",IF(N(J1132)&gt;12,"Langer dan 12 uur - controleren",IF(AND(E1132="Werken",D1132=""),"Werken zonder klant - koppelen","OK"))))))</f>
        <v/>
      </c>
    </row>
    <row r="1133" ht="15" customHeight="1" s="42">
      <c r="A1133" s="55" t="n"/>
      <c r="B1133" s="56">
        <f>IF(A1133="","",WEEKNUM(A1133,21))</f>
        <v/>
      </c>
      <c r="C1133" s="57" t="n"/>
      <c r="D1133" s="57" t="n"/>
      <c r="E1133" s="58" t="n"/>
      <c r="F1133" s="57" t="n"/>
      <c r="G1133" s="59" t="n"/>
      <c r="H1133" s="59" t="n"/>
      <c r="I1133" s="60">
        <f>IF(OR(G1133="",H1133=""),"",MOD(H1133-G1133,1))</f>
        <v/>
      </c>
      <c r="J1133" s="61">
        <f>IF(OR(G1133="",H1133=""),"",ROUND(MOD(H1133-G1133,1)*24,2))</f>
        <v/>
      </c>
      <c r="K1133" s="62">
        <f>IF(E1133="","",IF(E1133="Werken","JA","NEE"))</f>
        <v/>
      </c>
      <c r="L1133" s="61">
        <f>IF(K1133="JA",N(J1133),IF(E1133="","",0))</f>
        <v/>
      </c>
      <c r="M1133" s="62">
        <f>IF(AND(A1133="",E1133=""),"",IF(E1133="","Segment ontbreekt",IF(OR(G1133="",H1133=""),"Van/tot ontbreekt",IF(N(J1133)=0,"Duur is nul",IF(N(J1133)&gt;12,"Langer dan 12 uur - controleren",IF(AND(E1133="Werken",D1133=""),"Werken zonder klant - koppelen","OK"))))))</f>
        <v/>
      </c>
    </row>
    <row r="1134" ht="15" customHeight="1" s="42">
      <c r="A1134" s="55" t="n"/>
      <c r="B1134" s="56">
        <f>IF(A1134="","",WEEKNUM(A1134,21))</f>
        <v/>
      </c>
      <c r="C1134" s="57" t="n"/>
      <c r="D1134" s="57" t="n"/>
      <c r="E1134" s="58" t="n"/>
      <c r="F1134" s="57" t="n"/>
      <c r="G1134" s="59" t="n"/>
      <c r="H1134" s="59" t="n"/>
      <c r="I1134" s="60">
        <f>IF(OR(G1134="",H1134=""),"",MOD(H1134-G1134,1))</f>
        <v/>
      </c>
      <c r="J1134" s="61">
        <f>IF(OR(G1134="",H1134=""),"",ROUND(MOD(H1134-G1134,1)*24,2))</f>
        <v/>
      </c>
      <c r="K1134" s="62">
        <f>IF(E1134="","",IF(E1134="Werken","JA","NEE"))</f>
        <v/>
      </c>
      <c r="L1134" s="61">
        <f>IF(K1134="JA",N(J1134),IF(E1134="","",0))</f>
        <v/>
      </c>
      <c r="M1134" s="62">
        <f>IF(AND(A1134="",E1134=""),"",IF(E1134="","Segment ontbreekt",IF(OR(G1134="",H1134=""),"Van/tot ontbreekt",IF(N(J1134)=0,"Duur is nul",IF(N(J1134)&gt;12,"Langer dan 12 uur - controleren",IF(AND(E1134="Werken",D1134=""),"Werken zonder klant - koppelen","OK"))))))</f>
        <v/>
      </c>
    </row>
    <row r="1135" ht="15" customHeight="1" s="42">
      <c r="A1135" s="55" t="n"/>
      <c r="B1135" s="56">
        <f>IF(A1135="","",WEEKNUM(A1135,21))</f>
        <v/>
      </c>
      <c r="C1135" s="57" t="n"/>
      <c r="D1135" s="57" t="n"/>
      <c r="E1135" s="58" t="n"/>
      <c r="F1135" s="57" t="n"/>
      <c r="G1135" s="59" t="n"/>
      <c r="H1135" s="59" t="n"/>
      <c r="I1135" s="60">
        <f>IF(OR(G1135="",H1135=""),"",MOD(H1135-G1135,1))</f>
        <v/>
      </c>
      <c r="J1135" s="61">
        <f>IF(OR(G1135="",H1135=""),"",ROUND(MOD(H1135-G1135,1)*24,2))</f>
        <v/>
      </c>
      <c r="K1135" s="62">
        <f>IF(E1135="","",IF(E1135="Werken","JA","NEE"))</f>
        <v/>
      </c>
      <c r="L1135" s="61">
        <f>IF(K1135="JA",N(J1135),IF(E1135="","",0))</f>
        <v/>
      </c>
      <c r="M1135" s="62">
        <f>IF(AND(A1135="",E1135=""),"",IF(E1135="","Segment ontbreekt",IF(OR(G1135="",H1135=""),"Van/tot ontbreekt",IF(N(J1135)=0,"Duur is nul",IF(N(J1135)&gt;12,"Langer dan 12 uur - controleren",IF(AND(E1135="Werken",D1135=""),"Werken zonder klant - koppelen","OK"))))))</f>
        <v/>
      </c>
    </row>
    <row r="1136" ht="15" customHeight="1" s="42">
      <c r="A1136" s="55" t="n"/>
      <c r="B1136" s="56">
        <f>IF(A1136="","",WEEKNUM(A1136,21))</f>
        <v/>
      </c>
      <c r="C1136" s="57" t="n"/>
      <c r="D1136" s="57" t="n"/>
      <c r="E1136" s="58" t="n"/>
      <c r="F1136" s="57" t="n"/>
      <c r="G1136" s="59" t="n"/>
      <c r="H1136" s="59" t="n"/>
      <c r="I1136" s="60">
        <f>IF(OR(G1136="",H1136=""),"",MOD(H1136-G1136,1))</f>
        <v/>
      </c>
      <c r="J1136" s="61">
        <f>IF(OR(G1136="",H1136=""),"",ROUND(MOD(H1136-G1136,1)*24,2))</f>
        <v/>
      </c>
      <c r="K1136" s="62">
        <f>IF(E1136="","",IF(E1136="Werken","JA","NEE"))</f>
        <v/>
      </c>
      <c r="L1136" s="61">
        <f>IF(K1136="JA",N(J1136),IF(E1136="","",0))</f>
        <v/>
      </c>
      <c r="M1136" s="62">
        <f>IF(AND(A1136="",E1136=""),"",IF(E1136="","Segment ontbreekt",IF(OR(G1136="",H1136=""),"Van/tot ontbreekt",IF(N(J1136)=0,"Duur is nul",IF(N(J1136)&gt;12,"Langer dan 12 uur - controleren",IF(AND(E1136="Werken",D1136=""),"Werken zonder klant - koppelen","OK"))))))</f>
        <v/>
      </c>
    </row>
    <row r="1137" ht="15" customHeight="1" s="42">
      <c r="A1137" s="55" t="n"/>
      <c r="B1137" s="56">
        <f>IF(A1137="","",WEEKNUM(A1137,21))</f>
        <v/>
      </c>
      <c r="C1137" s="57" t="n"/>
      <c r="D1137" s="57" t="n"/>
      <c r="E1137" s="58" t="n"/>
      <c r="F1137" s="57" t="n"/>
      <c r="G1137" s="59" t="n"/>
      <c r="H1137" s="59" t="n"/>
      <c r="I1137" s="60">
        <f>IF(OR(G1137="",H1137=""),"",MOD(H1137-G1137,1))</f>
        <v/>
      </c>
      <c r="J1137" s="61">
        <f>IF(OR(G1137="",H1137=""),"",ROUND(MOD(H1137-G1137,1)*24,2))</f>
        <v/>
      </c>
      <c r="K1137" s="62">
        <f>IF(E1137="","",IF(E1137="Werken","JA","NEE"))</f>
        <v/>
      </c>
      <c r="L1137" s="61">
        <f>IF(K1137="JA",N(J1137),IF(E1137="","",0))</f>
        <v/>
      </c>
      <c r="M1137" s="62">
        <f>IF(AND(A1137="",E1137=""),"",IF(E1137="","Segment ontbreekt",IF(OR(G1137="",H1137=""),"Van/tot ontbreekt",IF(N(J1137)=0,"Duur is nul",IF(N(J1137)&gt;12,"Langer dan 12 uur - controleren",IF(AND(E1137="Werken",D1137=""),"Werken zonder klant - koppelen","OK"))))))</f>
        <v/>
      </c>
    </row>
    <row r="1138" ht="15" customHeight="1" s="42">
      <c r="A1138" s="55" t="n"/>
      <c r="B1138" s="56">
        <f>IF(A1138="","",WEEKNUM(A1138,21))</f>
        <v/>
      </c>
      <c r="C1138" s="57" t="n"/>
      <c r="D1138" s="57" t="n"/>
      <c r="E1138" s="58" t="n"/>
      <c r="F1138" s="57" t="n"/>
      <c r="G1138" s="59" t="n"/>
      <c r="H1138" s="59" t="n"/>
      <c r="I1138" s="60">
        <f>IF(OR(G1138="",H1138=""),"",MOD(H1138-G1138,1))</f>
        <v/>
      </c>
      <c r="J1138" s="61">
        <f>IF(OR(G1138="",H1138=""),"",ROUND(MOD(H1138-G1138,1)*24,2))</f>
        <v/>
      </c>
      <c r="K1138" s="62">
        <f>IF(E1138="","",IF(E1138="Werken","JA","NEE"))</f>
        <v/>
      </c>
      <c r="L1138" s="61">
        <f>IF(K1138="JA",N(J1138),IF(E1138="","",0))</f>
        <v/>
      </c>
      <c r="M1138" s="62">
        <f>IF(AND(A1138="",E1138=""),"",IF(E1138="","Segment ontbreekt",IF(OR(G1138="",H1138=""),"Van/tot ontbreekt",IF(N(J1138)=0,"Duur is nul",IF(N(J1138)&gt;12,"Langer dan 12 uur - controleren",IF(AND(E1138="Werken",D1138=""),"Werken zonder klant - koppelen","OK"))))))</f>
        <v/>
      </c>
    </row>
    <row r="1139" ht="15" customHeight="1" s="42">
      <c r="A1139" s="55" t="n"/>
      <c r="B1139" s="56">
        <f>IF(A1139="","",WEEKNUM(A1139,21))</f>
        <v/>
      </c>
      <c r="C1139" s="57" t="n"/>
      <c r="D1139" s="57" t="n"/>
      <c r="E1139" s="58" t="n"/>
      <c r="F1139" s="57" t="n"/>
      <c r="G1139" s="59" t="n"/>
      <c r="H1139" s="59" t="n"/>
      <c r="I1139" s="60">
        <f>IF(OR(G1139="",H1139=""),"",MOD(H1139-G1139,1))</f>
        <v/>
      </c>
      <c r="J1139" s="61">
        <f>IF(OR(G1139="",H1139=""),"",ROUND(MOD(H1139-G1139,1)*24,2))</f>
        <v/>
      </c>
      <c r="K1139" s="62">
        <f>IF(E1139="","",IF(E1139="Werken","JA","NEE"))</f>
        <v/>
      </c>
      <c r="L1139" s="61">
        <f>IF(K1139="JA",N(J1139),IF(E1139="","",0))</f>
        <v/>
      </c>
      <c r="M1139" s="62">
        <f>IF(AND(A1139="",E1139=""),"",IF(E1139="","Segment ontbreekt",IF(OR(G1139="",H1139=""),"Van/tot ontbreekt",IF(N(J1139)=0,"Duur is nul",IF(N(J1139)&gt;12,"Langer dan 12 uur - controleren",IF(AND(E1139="Werken",D1139=""),"Werken zonder klant - koppelen","OK"))))))</f>
        <v/>
      </c>
    </row>
    <row r="1140" ht="15" customHeight="1" s="42">
      <c r="A1140" s="55" t="n"/>
      <c r="B1140" s="56">
        <f>IF(A1140="","",WEEKNUM(A1140,21))</f>
        <v/>
      </c>
      <c r="C1140" s="57" t="n"/>
      <c r="D1140" s="57" t="n"/>
      <c r="E1140" s="58" t="n"/>
      <c r="F1140" s="57" t="n"/>
      <c r="G1140" s="59" t="n"/>
      <c r="H1140" s="59" t="n"/>
      <c r="I1140" s="60">
        <f>IF(OR(G1140="",H1140=""),"",MOD(H1140-G1140,1))</f>
        <v/>
      </c>
      <c r="J1140" s="61">
        <f>IF(OR(G1140="",H1140=""),"",ROUND(MOD(H1140-G1140,1)*24,2))</f>
        <v/>
      </c>
      <c r="K1140" s="62">
        <f>IF(E1140="","",IF(E1140="Werken","JA","NEE"))</f>
        <v/>
      </c>
      <c r="L1140" s="61">
        <f>IF(K1140="JA",N(J1140),IF(E1140="","",0))</f>
        <v/>
      </c>
      <c r="M1140" s="62">
        <f>IF(AND(A1140="",E1140=""),"",IF(E1140="","Segment ontbreekt",IF(OR(G1140="",H1140=""),"Van/tot ontbreekt",IF(N(J1140)=0,"Duur is nul",IF(N(J1140)&gt;12,"Langer dan 12 uur - controleren",IF(AND(E1140="Werken",D1140=""),"Werken zonder klant - koppelen","OK"))))))</f>
        <v/>
      </c>
    </row>
    <row r="1141" ht="15" customHeight="1" s="42">
      <c r="A1141" s="55" t="n"/>
      <c r="B1141" s="56">
        <f>IF(A1141="","",WEEKNUM(A1141,21))</f>
        <v/>
      </c>
      <c r="C1141" s="57" t="n"/>
      <c r="D1141" s="57" t="n"/>
      <c r="E1141" s="58" t="n"/>
      <c r="F1141" s="57" t="n"/>
      <c r="G1141" s="59" t="n"/>
      <c r="H1141" s="59" t="n"/>
      <c r="I1141" s="60">
        <f>IF(OR(G1141="",H1141=""),"",MOD(H1141-G1141,1))</f>
        <v/>
      </c>
      <c r="J1141" s="61">
        <f>IF(OR(G1141="",H1141=""),"",ROUND(MOD(H1141-G1141,1)*24,2))</f>
        <v/>
      </c>
      <c r="K1141" s="62">
        <f>IF(E1141="","",IF(E1141="Werken","JA","NEE"))</f>
        <v/>
      </c>
      <c r="L1141" s="61">
        <f>IF(K1141="JA",N(J1141),IF(E1141="","",0))</f>
        <v/>
      </c>
      <c r="M1141" s="62">
        <f>IF(AND(A1141="",E1141=""),"",IF(E1141="","Segment ontbreekt",IF(OR(G1141="",H1141=""),"Van/tot ontbreekt",IF(N(J1141)=0,"Duur is nul",IF(N(J1141)&gt;12,"Langer dan 12 uur - controleren",IF(AND(E1141="Werken",D1141=""),"Werken zonder klant - koppelen","OK"))))))</f>
        <v/>
      </c>
    </row>
    <row r="1142" ht="15" customHeight="1" s="42">
      <c r="A1142" s="55" t="n"/>
      <c r="B1142" s="56">
        <f>IF(A1142="","",WEEKNUM(A1142,21))</f>
        <v/>
      </c>
      <c r="C1142" s="57" t="n"/>
      <c r="D1142" s="57" t="n"/>
      <c r="E1142" s="58" t="n"/>
      <c r="F1142" s="57" t="n"/>
      <c r="G1142" s="59" t="n"/>
      <c r="H1142" s="59" t="n"/>
      <c r="I1142" s="60">
        <f>IF(OR(G1142="",H1142=""),"",MOD(H1142-G1142,1))</f>
        <v/>
      </c>
      <c r="J1142" s="61">
        <f>IF(OR(G1142="",H1142=""),"",ROUND(MOD(H1142-G1142,1)*24,2))</f>
        <v/>
      </c>
      <c r="K1142" s="62">
        <f>IF(E1142="","",IF(E1142="Werken","JA","NEE"))</f>
        <v/>
      </c>
      <c r="L1142" s="61">
        <f>IF(K1142="JA",N(J1142),IF(E1142="","",0))</f>
        <v/>
      </c>
      <c r="M1142" s="62">
        <f>IF(AND(A1142="",E1142=""),"",IF(E1142="","Segment ontbreekt",IF(OR(G1142="",H1142=""),"Van/tot ontbreekt",IF(N(J1142)=0,"Duur is nul",IF(N(J1142)&gt;12,"Langer dan 12 uur - controleren",IF(AND(E1142="Werken",D1142=""),"Werken zonder klant - koppelen","OK"))))))</f>
        <v/>
      </c>
    </row>
    <row r="1143" ht="15" customHeight="1" s="42">
      <c r="A1143" s="55" t="n"/>
      <c r="B1143" s="56">
        <f>IF(A1143="","",WEEKNUM(A1143,21))</f>
        <v/>
      </c>
      <c r="C1143" s="57" t="n"/>
      <c r="D1143" s="57" t="n"/>
      <c r="E1143" s="58" t="n"/>
      <c r="F1143" s="57" t="n"/>
      <c r="G1143" s="59" t="n"/>
      <c r="H1143" s="59" t="n"/>
      <c r="I1143" s="60">
        <f>IF(OR(G1143="",H1143=""),"",MOD(H1143-G1143,1))</f>
        <v/>
      </c>
      <c r="J1143" s="61">
        <f>IF(OR(G1143="",H1143=""),"",ROUND(MOD(H1143-G1143,1)*24,2))</f>
        <v/>
      </c>
      <c r="K1143" s="62">
        <f>IF(E1143="","",IF(E1143="Werken","JA","NEE"))</f>
        <v/>
      </c>
      <c r="L1143" s="61">
        <f>IF(K1143="JA",N(J1143),IF(E1143="","",0))</f>
        <v/>
      </c>
      <c r="M1143" s="62">
        <f>IF(AND(A1143="",E1143=""),"",IF(E1143="","Segment ontbreekt",IF(OR(G1143="",H1143=""),"Van/tot ontbreekt",IF(N(J1143)=0,"Duur is nul",IF(N(J1143)&gt;12,"Langer dan 12 uur - controleren",IF(AND(E1143="Werken",D1143=""),"Werken zonder klant - koppelen","OK"))))))</f>
        <v/>
      </c>
    </row>
    <row r="1144" ht="15" customHeight="1" s="42">
      <c r="A1144" s="55" t="n"/>
      <c r="B1144" s="56">
        <f>IF(A1144="","",WEEKNUM(A1144,21))</f>
        <v/>
      </c>
      <c r="C1144" s="57" t="n"/>
      <c r="D1144" s="57" t="n"/>
      <c r="E1144" s="58" t="n"/>
      <c r="F1144" s="57" t="n"/>
      <c r="G1144" s="59" t="n"/>
      <c r="H1144" s="59" t="n"/>
      <c r="I1144" s="60">
        <f>IF(OR(G1144="",H1144=""),"",MOD(H1144-G1144,1))</f>
        <v/>
      </c>
      <c r="J1144" s="61">
        <f>IF(OR(G1144="",H1144=""),"",ROUND(MOD(H1144-G1144,1)*24,2))</f>
        <v/>
      </c>
      <c r="K1144" s="62">
        <f>IF(E1144="","",IF(E1144="Werken","JA","NEE"))</f>
        <v/>
      </c>
      <c r="L1144" s="61">
        <f>IF(K1144="JA",N(J1144),IF(E1144="","",0))</f>
        <v/>
      </c>
      <c r="M1144" s="62">
        <f>IF(AND(A1144="",E1144=""),"",IF(E1144="","Segment ontbreekt",IF(OR(G1144="",H1144=""),"Van/tot ontbreekt",IF(N(J1144)=0,"Duur is nul",IF(N(J1144)&gt;12,"Langer dan 12 uur - controleren",IF(AND(E1144="Werken",D1144=""),"Werken zonder klant - koppelen","OK"))))))</f>
        <v/>
      </c>
    </row>
    <row r="1145" ht="15" customHeight="1" s="42">
      <c r="A1145" s="55" t="n"/>
      <c r="B1145" s="56">
        <f>IF(A1145="","",WEEKNUM(A1145,21))</f>
        <v/>
      </c>
      <c r="C1145" s="57" t="n"/>
      <c r="D1145" s="57" t="n"/>
      <c r="E1145" s="58" t="n"/>
      <c r="F1145" s="57" t="n"/>
      <c r="G1145" s="59" t="n"/>
      <c r="H1145" s="59" t="n"/>
      <c r="I1145" s="60">
        <f>IF(OR(G1145="",H1145=""),"",MOD(H1145-G1145,1))</f>
        <v/>
      </c>
      <c r="J1145" s="61">
        <f>IF(OR(G1145="",H1145=""),"",ROUND(MOD(H1145-G1145,1)*24,2))</f>
        <v/>
      </c>
      <c r="K1145" s="62">
        <f>IF(E1145="","",IF(E1145="Werken","JA","NEE"))</f>
        <v/>
      </c>
      <c r="L1145" s="61">
        <f>IF(K1145="JA",N(J1145),IF(E1145="","",0))</f>
        <v/>
      </c>
      <c r="M1145" s="62">
        <f>IF(AND(A1145="",E1145=""),"",IF(E1145="","Segment ontbreekt",IF(OR(G1145="",H1145=""),"Van/tot ontbreekt",IF(N(J1145)=0,"Duur is nul",IF(N(J1145)&gt;12,"Langer dan 12 uur - controleren",IF(AND(E1145="Werken",D1145=""),"Werken zonder klant - koppelen","OK"))))))</f>
        <v/>
      </c>
    </row>
    <row r="1146" ht="15" customHeight="1" s="42">
      <c r="A1146" s="55" t="n"/>
      <c r="B1146" s="56">
        <f>IF(A1146="","",WEEKNUM(A1146,21))</f>
        <v/>
      </c>
      <c r="C1146" s="57" t="n"/>
      <c r="D1146" s="57" t="n"/>
      <c r="E1146" s="58" t="n"/>
      <c r="F1146" s="57" t="n"/>
      <c r="G1146" s="59" t="n"/>
      <c r="H1146" s="59" t="n"/>
      <c r="I1146" s="60">
        <f>IF(OR(G1146="",H1146=""),"",MOD(H1146-G1146,1))</f>
        <v/>
      </c>
      <c r="J1146" s="61">
        <f>IF(OR(G1146="",H1146=""),"",ROUND(MOD(H1146-G1146,1)*24,2))</f>
        <v/>
      </c>
      <c r="K1146" s="62">
        <f>IF(E1146="","",IF(E1146="Werken","JA","NEE"))</f>
        <v/>
      </c>
      <c r="L1146" s="61">
        <f>IF(K1146="JA",N(J1146),IF(E1146="","",0))</f>
        <v/>
      </c>
      <c r="M1146" s="62">
        <f>IF(AND(A1146="",E1146=""),"",IF(E1146="","Segment ontbreekt",IF(OR(G1146="",H1146=""),"Van/tot ontbreekt",IF(N(J1146)=0,"Duur is nul",IF(N(J1146)&gt;12,"Langer dan 12 uur - controleren",IF(AND(E1146="Werken",D1146=""),"Werken zonder klant - koppelen","OK"))))))</f>
        <v/>
      </c>
    </row>
    <row r="1147" ht="15" customHeight="1" s="42">
      <c r="A1147" s="55" t="n"/>
      <c r="B1147" s="56">
        <f>IF(A1147="","",WEEKNUM(A1147,21))</f>
        <v/>
      </c>
      <c r="C1147" s="57" t="n"/>
      <c r="D1147" s="57" t="n"/>
      <c r="E1147" s="58" t="n"/>
      <c r="F1147" s="57" t="n"/>
      <c r="G1147" s="59" t="n"/>
      <c r="H1147" s="59" t="n"/>
      <c r="I1147" s="60">
        <f>IF(OR(G1147="",H1147=""),"",MOD(H1147-G1147,1))</f>
        <v/>
      </c>
      <c r="J1147" s="61">
        <f>IF(OR(G1147="",H1147=""),"",ROUND(MOD(H1147-G1147,1)*24,2))</f>
        <v/>
      </c>
      <c r="K1147" s="62">
        <f>IF(E1147="","",IF(E1147="Werken","JA","NEE"))</f>
        <v/>
      </c>
      <c r="L1147" s="61">
        <f>IF(K1147="JA",N(J1147),IF(E1147="","",0))</f>
        <v/>
      </c>
      <c r="M1147" s="62">
        <f>IF(AND(A1147="",E1147=""),"",IF(E1147="","Segment ontbreekt",IF(OR(G1147="",H1147=""),"Van/tot ontbreekt",IF(N(J1147)=0,"Duur is nul",IF(N(J1147)&gt;12,"Langer dan 12 uur - controleren",IF(AND(E1147="Werken",D1147=""),"Werken zonder klant - koppelen","OK"))))))</f>
        <v/>
      </c>
    </row>
    <row r="1148" ht="15" customHeight="1" s="42">
      <c r="A1148" s="55" t="n"/>
      <c r="B1148" s="56">
        <f>IF(A1148="","",WEEKNUM(A1148,21))</f>
        <v/>
      </c>
      <c r="C1148" s="57" t="n"/>
      <c r="D1148" s="57" t="n"/>
      <c r="E1148" s="58" t="n"/>
      <c r="F1148" s="57" t="n"/>
      <c r="G1148" s="59" t="n"/>
      <c r="H1148" s="59" t="n"/>
      <c r="I1148" s="60">
        <f>IF(OR(G1148="",H1148=""),"",MOD(H1148-G1148,1))</f>
        <v/>
      </c>
      <c r="J1148" s="61">
        <f>IF(OR(G1148="",H1148=""),"",ROUND(MOD(H1148-G1148,1)*24,2))</f>
        <v/>
      </c>
      <c r="K1148" s="62">
        <f>IF(E1148="","",IF(E1148="Werken","JA","NEE"))</f>
        <v/>
      </c>
      <c r="L1148" s="61">
        <f>IF(K1148="JA",N(J1148),IF(E1148="","",0))</f>
        <v/>
      </c>
      <c r="M1148" s="62">
        <f>IF(AND(A1148="",E1148=""),"",IF(E1148="","Segment ontbreekt",IF(OR(G1148="",H1148=""),"Van/tot ontbreekt",IF(N(J1148)=0,"Duur is nul",IF(N(J1148)&gt;12,"Langer dan 12 uur - controleren",IF(AND(E1148="Werken",D1148=""),"Werken zonder klant - koppelen","OK"))))))</f>
        <v/>
      </c>
    </row>
    <row r="1149" ht="15" customHeight="1" s="42">
      <c r="A1149" s="55" t="n"/>
      <c r="B1149" s="56">
        <f>IF(A1149="","",WEEKNUM(A1149,21))</f>
        <v/>
      </c>
      <c r="C1149" s="57" t="n"/>
      <c r="D1149" s="57" t="n"/>
      <c r="E1149" s="58" t="n"/>
      <c r="F1149" s="57" t="n"/>
      <c r="G1149" s="59" t="n"/>
      <c r="H1149" s="59" t="n"/>
      <c r="I1149" s="60">
        <f>IF(OR(G1149="",H1149=""),"",MOD(H1149-G1149,1))</f>
        <v/>
      </c>
      <c r="J1149" s="61">
        <f>IF(OR(G1149="",H1149=""),"",ROUND(MOD(H1149-G1149,1)*24,2))</f>
        <v/>
      </c>
      <c r="K1149" s="62">
        <f>IF(E1149="","",IF(E1149="Werken","JA","NEE"))</f>
        <v/>
      </c>
      <c r="L1149" s="61">
        <f>IF(K1149="JA",N(J1149),IF(E1149="","",0))</f>
        <v/>
      </c>
      <c r="M1149" s="62">
        <f>IF(AND(A1149="",E1149=""),"",IF(E1149="","Segment ontbreekt",IF(OR(G1149="",H1149=""),"Van/tot ontbreekt",IF(N(J1149)=0,"Duur is nul",IF(N(J1149)&gt;12,"Langer dan 12 uur - controleren",IF(AND(E1149="Werken",D1149=""),"Werken zonder klant - koppelen","OK"))))))</f>
        <v/>
      </c>
    </row>
    <row r="1150" ht="15" customHeight="1" s="42">
      <c r="A1150" s="55" t="n"/>
      <c r="B1150" s="56">
        <f>IF(A1150="","",WEEKNUM(A1150,21))</f>
        <v/>
      </c>
      <c r="C1150" s="57" t="n"/>
      <c r="D1150" s="57" t="n"/>
      <c r="E1150" s="58" t="n"/>
      <c r="F1150" s="57" t="n"/>
      <c r="G1150" s="59" t="n"/>
      <c r="H1150" s="59" t="n"/>
      <c r="I1150" s="60">
        <f>IF(OR(G1150="",H1150=""),"",MOD(H1150-G1150,1))</f>
        <v/>
      </c>
      <c r="J1150" s="61">
        <f>IF(OR(G1150="",H1150=""),"",ROUND(MOD(H1150-G1150,1)*24,2))</f>
        <v/>
      </c>
      <c r="K1150" s="62">
        <f>IF(E1150="","",IF(E1150="Werken","JA","NEE"))</f>
        <v/>
      </c>
      <c r="L1150" s="61">
        <f>IF(K1150="JA",N(J1150),IF(E1150="","",0))</f>
        <v/>
      </c>
      <c r="M1150" s="62">
        <f>IF(AND(A1150="",E1150=""),"",IF(E1150="","Segment ontbreekt",IF(OR(G1150="",H1150=""),"Van/tot ontbreekt",IF(N(J1150)=0,"Duur is nul",IF(N(J1150)&gt;12,"Langer dan 12 uur - controleren",IF(AND(E1150="Werken",D1150=""),"Werken zonder klant - koppelen","OK"))))))</f>
        <v/>
      </c>
    </row>
    <row r="1151" ht="15" customHeight="1" s="42">
      <c r="A1151" s="55" t="n"/>
      <c r="B1151" s="56">
        <f>IF(A1151="","",WEEKNUM(A1151,21))</f>
        <v/>
      </c>
      <c r="C1151" s="57" t="n"/>
      <c r="D1151" s="57" t="n"/>
      <c r="E1151" s="58" t="n"/>
      <c r="F1151" s="57" t="n"/>
      <c r="G1151" s="59" t="n"/>
      <c r="H1151" s="59" t="n"/>
      <c r="I1151" s="60">
        <f>IF(OR(G1151="",H1151=""),"",MOD(H1151-G1151,1))</f>
        <v/>
      </c>
      <c r="J1151" s="61">
        <f>IF(OR(G1151="",H1151=""),"",ROUND(MOD(H1151-G1151,1)*24,2))</f>
        <v/>
      </c>
      <c r="K1151" s="62">
        <f>IF(E1151="","",IF(E1151="Werken","JA","NEE"))</f>
        <v/>
      </c>
      <c r="L1151" s="61">
        <f>IF(K1151="JA",N(J1151),IF(E1151="","",0))</f>
        <v/>
      </c>
      <c r="M1151" s="62">
        <f>IF(AND(A1151="",E1151=""),"",IF(E1151="","Segment ontbreekt",IF(OR(G1151="",H1151=""),"Van/tot ontbreekt",IF(N(J1151)=0,"Duur is nul",IF(N(J1151)&gt;12,"Langer dan 12 uur - controleren",IF(AND(E1151="Werken",D1151=""),"Werken zonder klant - koppelen","OK"))))))</f>
        <v/>
      </c>
    </row>
    <row r="1152" ht="15" customHeight="1" s="42">
      <c r="A1152" s="55" t="n"/>
      <c r="B1152" s="56">
        <f>IF(A1152="","",WEEKNUM(A1152,21))</f>
        <v/>
      </c>
      <c r="C1152" s="57" t="n"/>
      <c r="D1152" s="57" t="n"/>
      <c r="E1152" s="58" t="n"/>
      <c r="F1152" s="57" t="n"/>
      <c r="G1152" s="59" t="n"/>
      <c r="H1152" s="59" t="n"/>
      <c r="I1152" s="60">
        <f>IF(OR(G1152="",H1152=""),"",MOD(H1152-G1152,1))</f>
        <v/>
      </c>
      <c r="J1152" s="61">
        <f>IF(OR(G1152="",H1152=""),"",ROUND(MOD(H1152-G1152,1)*24,2))</f>
        <v/>
      </c>
      <c r="K1152" s="62">
        <f>IF(E1152="","",IF(E1152="Werken","JA","NEE"))</f>
        <v/>
      </c>
      <c r="L1152" s="61">
        <f>IF(K1152="JA",N(J1152),IF(E1152="","",0))</f>
        <v/>
      </c>
      <c r="M1152" s="62">
        <f>IF(AND(A1152="",E1152=""),"",IF(E1152="","Segment ontbreekt",IF(OR(G1152="",H1152=""),"Van/tot ontbreekt",IF(N(J1152)=0,"Duur is nul",IF(N(J1152)&gt;12,"Langer dan 12 uur - controleren",IF(AND(E1152="Werken",D1152=""),"Werken zonder klant - koppelen","OK"))))))</f>
        <v/>
      </c>
    </row>
    <row r="1153" ht="15" customHeight="1" s="42">
      <c r="A1153" s="55" t="n"/>
      <c r="B1153" s="56">
        <f>IF(A1153="","",WEEKNUM(A1153,21))</f>
        <v/>
      </c>
      <c r="C1153" s="57" t="n"/>
      <c r="D1153" s="57" t="n"/>
      <c r="E1153" s="58" t="n"/>
      <c r="F1153" s="57" t="n"/>
      <c r="G1153" s="59" t="n"/>
      <c r="H1153" s="59" t="n"/>
      <c r="I1153" s="60">
        <f>IF(OR(G1153="",H1153=""),"",MOD(H1153-G1153,1))</f>
        <v/>
      </c>
      <c r="J1153" s="61">
        <f>IF(OR(G1153="",H1153=""),"",ROUND(MOD(H1153-G1153,1)*24,2))</f>
        <v/>
      </c>
      <c r="K1153" s="62">
        <f>IF(E1153="","",IF(E1153="Werken","JA","NEE"))</f>
        <v/>
      </c>
      <c r="L1153" s="61">
        <f>IF(K1153="JA",N(J1153),IF(E1153="","",0))</f>
        <v/>
      </c>
      <c r="M1153" s="62">
        <f>IF(AND(A1153="",E1153=""),"",IF(E1153="","Segment ontbreekt",IF(OR(G1153="",H1153=""),"Van/tot ontbreekt",IF(N(J1153)=0,"Duur is nul",IF(N(J1153)&gt;12,"Langer dan 12 uur - controleren",IF(AND(E1153="Werken",D1153=""),"Werken zonder klant - koppelen","OK"))))))</f>
        <v/>
      </c>
    </row>
    <row r="1154" ht="15" customHeight="1" s="42">
      <c r="A1154" s="55" t="n"/>
      <c r="B1154" s="56">
        <f>IF(A1154="","",WEEKNUM(A1154,21))</f>
        <v/>
      </c>
      <c r="C1154" s="57" t="n"/>
      <c r="D1154" s="57" t="n"/>
      <c r="E1154" s="58" t="n"/>
      <c r="F1154" s="57" t="n"/>
      <c r="G1154" s="59" t="n"/>
      <c r="H1154" s="59" t="n"/>
      <c r="I1154" s="60">
        <f>IF(OR(G1154="",H1154=""),"",MOD(H1154-G1154,1))</f>
        <v/>
      </c>
      <c r="J1154" s="61">
        <f>IF(OR(G1154="",H1154=""),"",ROUND(MOD(H1154-G1154,1)*24,2))</f>
        <v/>
      </c>
      <c r="K1154" s="62">
        <f>IF(E1154="","",IF(E1154="Werken","JA","NEE"))</f>
        <v/>
      </c>
      <c r="L1154" s="61">
        <f>IF(K1154="JA",N(J1154),IF(E1154="","",0))</f>
        <v/>
      </c>
      <c r="M1154" s="62">
        <f>IF(AND(A1154="",E1154=""),"",IF(E1154="","Segment ontbreekt",IF(OR(G1154="",H1154=""),"Van/tot ontbreekt",IF(N(J1154)=0,"Duur is nul",IF(N(J1154)&gt;12,"Langer dan 12 uur - controleren",IF(AND(E1154="Werken",D1154=""),"Werken zonder klant - koppelen","OK"))))))</f>
        <v/>
      </c>
    </row>
    <row r="1155" ht="15" customHeight="1" s="42">
      <c r="A1155" s="55" t="n"/>
      <c r="B1155" s="56">
        <f>IF(A1155="","",WEEKNUM(A1155,21))</f>
        <v/>
      </c>
      <c r="C1155" s="57" t="n"/>
      <c r="D1155" s="57" t="n"/>
      <c r="E1155" s="58" t="n"/>
      <c r="F1155" s="57" t="n"/>
      <c r="G1155" s="59" t="n"/>
      <c r="H1155" s="59" t="n"/>
      <c r="I1155" s="60">
        <f>IF(OR(G1155="",H1155=""),"",MOD(H1155-G1155,1))</f>
        <v/>
      </c>
      <c r="J1155" s="61">
        <f>IF(OR(G1155="",H1155=""),"",ROUND(MOD(H1155-G1155,1)*24,2))</f>
        <v/>
      </c>
      <c r="K1155" s="62">
        <f>IF(E1155="","",IF(E1155="Werken","JA","NEE"))</f>
        <v/>
      </c>
      <c r="L1155" s="61">
        <f>IF(K1155="JA",N(J1155),IF(E1155="","",0))</f>
        <v/>
      </c>
      <c r="M1155" s="62">
        <f>IF(AND(A1155="",E1155=""),"",IF(E1155="","Segment ontbreekt",IF(OR(G1155="",H1155=""),"Van/tot ontbreekt",IF(N(J1155)=0,"Duur is nul",IF(N(J1155)&gt;12,"Langer dan 12 uur - controleren",IF(AND(E1155="Werken",D1155=""),"Werken zonder klant - koppelen","OK"))))))</f>
        <v/>
      </c>
    </row>
    <row r="1156" ht="15" customHeight="1" s="42">
      <c r="A1156" s="55" t="n"/>
      <c r="B1156" s="56">
        <f>IF(A1156="","",WEEKNUM(A1156,21))</f>
        <v/>
      </c>
      <c r="C1156" s="57" t="n"/>
      <c r="D1156" s="57" t="n"/>
      <c r="E1156" s="58" t="n"/>
      <c r="F1156" s="57" t="n"/>
      <c r="G1156" s="59" t="n"/>
      <c r="H1156" s="59" t="n"/>
      <c r="I1156" s="60">
        <f>IF(OR(G1156="",H1156=""),"",MOD(H1156-G1156,1))</f>
        <v/>
      </c>
      <c r="J1156" s="61">
        <f>IF(OR(G1156="",H1156=""),"",ROUND(MOD(H1156-G1156,1)*24,2))</f>
        <v/>
      </c>
      <c r="K1156" s="62">
        <f>IF(E1156="","",IF(E1156="Werken","JA","NEE"))</f>
        <v/>
      </c>
      <c r="L1156" s="61">
        <f>IF(K1156="JA",N(J1156),IF(E1156="","",0))</f>
        <v/>
      </c>
      <c r="M1156" s="62">
        <f>IF(AND(A1156="",E1156=""),"",IF(E1156="","Segment ontbreekt",IF(OR(G1156="",H1156=""),"Van/tot ontbreekt",IF(N(J1156)=0,"Duur is nul",IF(N(J1156)&gt;12,"Langer dan 12 uur - controleren",IF(AND(E1156="Werken",D1156=""),"Werken zonder klant - koppelen","OK"))))))</f>
        <v/>
      </c>
    </row>
    <row r="1157" ht="15" customHeight="1" s="42">
      <c r="A1157" s="55" t="n"/>
      <c r="B1157" s="56">
        <f>IF(A1157="","",WEEKNUM(A1157,21))</f>
        <v/>
      </c>
      <c r="C1157" s="57" t="n"/>
      <c r="D1157" s="57" t="n"/>
      <c r="E1157" s="58" t="n"/>
      <c r="F1157" s="57" t="n"/>
      <c r="G1157" s="59" t="n"/>
      <c r="H1157" s="59" t="n"/>
      <c r="I1157" s="60">
        <f>IF(OR(G1157="",H1157=""),"",MOD(H1157-G1157,1))</f>
        <v/>
      </c>
      <c r="J1157" s="61">
        <f>IF(OR(G1157="",H1157=""),"",ROUND(MOD(H1157-G1157,1)*24,2))</f>
        <v/>
      </c>
      <c r="K1157" s="62">
        <f>IF(E1157="","",IF(E1157="Werken","JA","NEE"))</f>
        <v/>
      </c>
      <c r="L1157" s="61">
        <f>IF(K1157="JA",N(J1157),IF(E1157="","",0))</f>
        <v/>
      </c>
      <c r="M1157" s="62">
        <f>IF(AND(A1157="",E1157=""),"",IF(E1157="","Segment ontbreekt",IF(OR(G1157="",H1157=""),"Van/tot ontbreekt",IF(N(J1157)=0,"Duur is nul",IF(N(J1157)&gt;12,"Langer dan 12 uur - controleren",IF(AND(E1157="Werken",D1157=""),"Werken zonder klant - koppelen","OK"))))))</f>
        <v/>
      </c>
    </row>
    <row r="1158" ht="15" customHeight="1" s="42">
      <c r="A1158" s="55" t="n"/>
      <c r="B1158" s="56">
        <f>IF(A1158="","",WEEKNUM(A1158,21))</f>
        <v/>
      </c>
      <c r="C1158" s="57" t="n"/>
      <c r="D1158" s="57" t="n"/>
      <c r="E1158" s="58" t="n"/>
      <c r="F1158" s="57" t="n"/>
      <c r="G1158" s="59" t="n"/>
      <c r="H1158" s="59" t="n"/>
      <c r="I1158" s="60">
        <f>IF(OR(G1158="",H1158=""),"",MOD(H1158-G1158,1))</f>
        <v/>
      </c>
      <c r="J1158" s="61">
        <f>IF(OR(G1158="",H1158=""),"",ROUND(MOD(H1158-G1158,1)*24,2))</f>
        <v/>
      </c>
      <c r="K1158" s="62">
        <f>IF(E1158="","",IF(E1158="Werken","JA","NEE"))</f>
        <v/>
      </c>
      <c r="L1158" s="61">
        <f>IF(K1158="JA",N(J1158),IF(E1158="","",0))</f>
        <v/>
      </c>
      <c r="M1158" s="62">
        <f>IF(AND(A1158="",E1158=""),"",IF(E1158="","Segment ontbreekt",IF(OR(G1158="",H1158=""),"Van/tot ontbreekt",IF(N(J1158)=0,"Duur is nul",IF(N(J1158)&gt;12,"Langer dan 12 uur - controleren",IF(AND(E1158="Werken",D1158=""),"Werken zonder klant - koppelen","OK"))))))</f>
        <v/>
      </c>
    </row>
    <row r="1159" ht="15" customHeight="1" s="42">
      <c r="A1159" s="55" t="n"/>
      <c r="B1159" s="56">
        <f>IF(A1159="","",WEEKNUM(A1159,21))</f>
        <v/>
      </c>
      <c r="C1159" s="57" t="n"/>
      <c r="D1159" s="57" t="n"/>
      <c r="E1159" s="58" t="n"/>
      <c r="F1159" s="57" t="n"/>
      <c r="G1159" s="59" t="n"/>
      <c r="H1159" s="59" t="n"/>
      <c r="I1159" s="60">
        <f>IF(OR(G1159="",H1159=""),"",MOD(H1159-G1159,1))</f>
        <v/>
      </c>
      <c r="J1159" s="61">
        <f>IF(OR(G1159="",H1159=""),"",ROUND(MOD(H1159-G1159,1)*24,2))</f>
        <v/>
      </c>
      <c r="K1159" s="62">
        <f>IF(E1159="","",IF(E1159="Werken","JA","NEE"))</f>
        <v/>
      </c>
      <c r="L1159" s="61">
        <f>IF(K1159="JA",N(J1159),IF(E1159="","",0))</f>
        <v/>
      </c>
      <c r="M1159" s="62">
        <f>IF(AND(A1159="",E1159=""),"",IF(E1159="","Segment ontbreekt",IF(OR(G1159="",H1159=""),"Van/tot ontbreekt",IF(N(J1159)=0,"Duur is nul",IF(N(J1159)&gt;12,"Langer dan 12 uur - controleren",IF(AND(E1159="Werken",D1159=""),"Werken zonder klant - koppelen","OK"))))))</f>
        <v/>
      </c>
    </row>
    <row r="1160" ht="15" customHeight="1" s="42">
      <c r="A1160" s="55" t="n"/>
      <c r="B1160" s="56">
        <f>IF(A1160="","",WEEKNUM(A1160,21))</f>
        <v/>
      </c>
      <c r="C1160" s="57" t="n"/>
      <c r="D1160" s="57" t="n"/>
      <c r="E1160" s="58" t="n"/>
      <c r="F1160" s="57" t="n"/>
      <c r="G1160" s="59" t="n"/>
      <c r="H1160" s="59" t="n"/>
      <c r="I1160" s="60">
        <f>IF(OR(G1160="",H1160=""),"",MOD(H1160-G1160,1))</f>
        <v/>
      </c>
      <c r="J1160" s="61">
        <f>IF(OR(G1160="",H1160=""),"",ROUND(MOD(H1160-G1160,1)*24,2))</f>
        <v/>
      </c>
      <c r="K1160" s="62">
        <f>IF(E1160="","",IF(E1160="Werken","JA","NEE"))</f>
        <v/>
      </c>
      <c r="L1160" s="61">
        <f>IF(K1160="JA",N(J1160),IF(E1160="","",0))</f>
        <v/>
      </c>
      <c r="M1160" s="62">
        <f>IF(AND(A1160="",E1160=""),"",IF(E1160="","Segment ontbreekt",IF(OR(G1160="",H1160=""),"Van/tot ontbreekt",IF(N(J1160)=0,"Duur is nul",IF(N(J1160)&gt;12,"Langer dan 12 uur - controleren",IF(AND(E1160="Werken",D1160=""),"Werken zonder klant - koppelen","OK"))))))</f>
        <v/>
      </c>
    </row>
    <row r="1161" ht="15" customHeight="1" s="42">
      <c r="A1161" s="55" t="n"/>
      <c r="B1161" s="56">
        <f>IF(A1161="","",WEEKNUM(A1161,21))</f>
        <v/>
      </c>
      <c r="C1161" s="57" t="n"/>
      <c r="D1161" s="57" t="n"/>
      <c r="E1161" s="58" t="n"/>
      <c r="F1161" s="57" t="n"/>
      <c r="G1161" s="59" t="n"/>
      <c r="H1161" s="59" t="n"/>
      <c r="I1161" s="60">
        <f>IF(OR(G1161="",H1161=""),"",MOD(H1161-G1161,1))</f>
        <v/>
      </c>
      <c r="J1161" s="61">
        <f>IF(OR(G1161="",H1161=""),"",ROUND(MOD(H1161-G1161,1)*24,2))</f>
        <v/>
      </c>
      <c r="K1161" s="62">
        <f>IF(E1161="","",IF(E1161="Werken","JA","NEE"))</f>
        <v/>
      </c>
      <c r="L1161" s="61">
        <f>IF(K1161="JA",N(J1161),IF(E1161="","",0))</f>
        <v/>
      </c>
      <c r="M1161" s="62">
        <f>IF(AND(A1161="",E1161=""),"",IF(E1161="","Segment ontbreekt",IF(OR(G1161="",H1161=""),"Van/tot ontbreekt",IF(N(J1161)=0,"Duur is nul",IF(N(J1161)&gt;12,"Langer dan 12 uur - controleren",IF(AND(E1161="Werken",D1161=""),"Werken zonder klant - koppelen","OK"))))))</f>
        <v/>
      </c>
    </row>
    <row r="1162" ht="15" customHeight="1" s="42">
      <c r="A1162" s="55" t="n"/>
      <c r="B1162" s="56">
        <f>IF(A1162="","",WEEKNUM(A1162,21))</f>
        <v/>
      </c>
      <c r="C1162" s="57" t="n"/>
      <c r="D1162" s="57" t="n"/>
      <c r="E1162" s="58" t="n"/>
      <c r="F1162" s="57" t="n"/>
      <c r="G1162" s="59" t="n"/>
      <c r="H1162" s="59" t="n"/>
      <c r="I1162" s="60">
        <f>IF(OR(G1162="",H1162=""),"",MOD(H1162-G1162,1))</f>
        <v/>
      </c>
      <c r="J1162" s="61">
        <f>IF(OR(G1162="",H1162=""),"",ROUND(MOD(H1162-G1162,1)*24,2))</f>
        <v/>
      </c>
      <c r="K1162" s="62">
        <f>IF(E1162="","",IF(E1162="Werken","JA","NEE"))</f>
        <v/>
      </c>
      <c r="L1162" s="61">
        <f>IF(K1162="JA",N(J1162),IF(E1162="","",0))</f>
        <v/>
      </c>
      <c r="M1162" s="62">
        <f>IF(AND(A1162="",E1162=""),"",IF(E1162="","Segment ontbreekt",IF(OR(G1162="",H1162=""),"Van/tot ontbreekt",IF(N(J1162)=0,"Duur is nul",IF(N(J1162)&gt;12,"Langer dan 12 uur - controleren",IF(AND(E1162="Werken",D1162=""),"Werken zonder klant - koppelen","OK"))))))</f>
        <v/>
      </c>
    </row>
    <row r="1163" ht="15" customHeight="1" s="42">
      <c r="A1163" s="55" t="n"/>
      <c r="B1163" s="56">
        <f>IF(A1163="","",WEEKNUM(A1163,21))</f>
        <v/>
      </c>
      <c r="C1163" s="57" t="n"/>
      <c r="D1163" s="57" t="n"/>
      <c r="E1163" s="58" t="n"/>
      <c r="F1163" s="57" t="n"/>
      <c r="G1163" s="59" t="n"/>
      <c r="H1163" s="59" t="n"/>
      <c r="I1163" s="60">
        <f>IF(OR(G1163="",H1163=""),"",MOD(H1163-G1163,1))</f>
        <v/>
      </c>
      <c r="J1163" s="61">
        <f>IF(OR(G1163="",H1163=""),"",ROUND(MOD(H1163-G1163,1)*24,2))</f>
        <v/>
      </c>
      <c r="K1163" s="62">
        <f>IF(E1163="","",IF(E1163="Werken","JA","NEE"))</f>
        <v/>
      </c>
      <c r="L1163" s="61">
        <f>IF(K1163="JA",N(J1163),IF(E1163="","",0))</f>
        <v/>
      </c>
      <c r="M1163" s="62">
        <f>IF(AND(A1163="",E1163=""),"",IF(E1163="","Segment ontbreekt",IF(OR(G1163="",H1163=""),"Van/tot ontbreekt",IF(N(J1163)=0,"Duur is nul",IF(N(J1163)&gt;12,"Langer dan 12 uur - controleren",IF(AND(E1163="Werken",D1163=""),"Werken zonder klant - koppelen","OK"))))))</f>
        <v/>
      </c>
    </row>
    <row r="1164" ht="15" customHeight="1" s="42">
      <c r="A1164" s="55" t="n"/>
      <c r="B1164" s="56">
        <f>IF(A1164="","",WEEKNUM(A1164,21))</f>
        <v/>
      </c>
      <c r="C1164" s="57" t="n"/>
      <c r="D1164" s="57" t="n"/>
      <c r="E1164" s="58" t="n"/>
      <c r="F1164" s="57" t="n"/>
      <c r="G1164" s="59" t="n"/>
      <c r="H1164" s="59" t="n"/>
      <c r="I1164" s="60">
        <f>IF(OR(G1164="",H1164=""),"",MOD(H1164-G1164,1))</f>
        <v/>
      </c>
      <c r="J1164" s="61">
        <f>IF(OR(G1164="",H1164=""),"",ROUND(MOD(H1164-G1164,1)*24,2))</f>
        <v/>
      </c>
      <c r="K1164" s="62">
        <f>IF(E1164="","",IF(E1164="Werken","JA","NEE"))</f>
        <v/>
      </c>
      <c r="L1164" s="61">
        <f>IF(K1164="JA",N(J1164),IF(E1164="","",0))</f>
        <v/>
      </c>
      <c r="M1164" s="62">
        <f>IF(AND(A1164="",E1164=""),"",IF(E1164="","Segment ontbreekt",IF(OR(G1164="",H1164=""),"Van/tot ontbreekt",IF(N(J1164)=0,"Duur is nul",IF(N(J1164)&gt;12,"Langer dan 12 uur - controleren",IF(AND(E1164="Werken",D1164=""),"Werken zonder klant - koppelen","OK"))))))</f>
        <v/>
      </c>
    </row>
    <row r="1165" ht="15" customHeight="1" s="42">
      <c r="A1165" s="55" t="n"/>
      <c r="B1165" s="56">
        <f>IF(A1165="","",WEEKNUM(A1165,21))</f>
        <v/>
      </c>
      <c r="C1165" s="57" t="n"/>
      <c r="D1165" s="57" t="n"/>
      <c r="E1165" s="58" t="n"/>
      <c r="F1165" s="57" t="n"/>
      <c r="G1165" s="59" t="n"/>
      <c r="H1165" s="59" t="n"/>
      <c r="I1165" s="60">
        <f>IF(OR(G1165="",H1165=""),"",MOD(H1165-G1165,1))</f>
        <v/>
      </c>
      <c r="J1165" s="61">
        <f>IF(OR(G1165="",H1165=""),"",ROUND(MOD(H1165-G1165,1)*24,2))</f>
        <v/>
      </c>
      <c r="K1165" s="62">
        <f>IF(E1165="","",IF(E1165="Werken","JA","NEE"))</f>
        <v/>
      </c>
      <c r="L1165" s="61">
        <f>IF(K1165="JA",N(J1165),IF(E1165="","",0))</f>
        <v/>
      </c>
      <c r="M1165" s="62">
        <f>IF(AND(A1165="",E1165=""),"",IF(E1165="","Segment ontbreekt",IF(OR(G1165="",H1165=""),"Van/tot ontbreekt",IF(N(J1165)=0,"Duur is nul",IF(N(J1165)&gt;12,"Langer dan 12 uur - controleren",IF(AND(E1165="Werken",D1165=""),"Werken zonder klant - koppelen","OK"))))))</f>
        <v/>
      </c>
    </row>
    <row r="1166" ht="15" customHeight="1" s="42">
      <c r="A1166" s="55" t="n"/>
      <c r="B1166" s="56">
        <f>IF(A1166="","",WEEKNUM(A1166,21))</f>
        <v/>
      </c>
      <c r="C1166" s="57" t="n"/>
      <c r="D1166" s="57" t="n"/>
      <c r="E1166" s="58" t="n"/>
      <c r="F1166" s="57" t="n"/>
      <c r="G1166" s="59" t="n"/>
      <c r="H1166" s="59" t="n"/>
      <c r="I1166" s="60">
        <f>IF(OR(G1166="",H1166=""),"",MOD(H1166-G1166,1))</f>
        <v/>
      </c>
      <c r="J1166" s="61">
        <f>IF(OR(G1166="",H1166=""),"",ROUND(MOD(H1166-G1166,1)*24,2))</f>
        <v/>
      </c>
      <c r="K1166" s="62">
        <f>IF(E1166="","",IF(E1166="Werken","JA","NEE"))</f>
        <v/>
      </c>
      <c r="L1166" s="61">
        <f>IF(K1166="JA",N(J1166),IF(E1166="","",0))</f>
        <v/>
      </c>
      <c r="M1166" s="62">
        <f>IF(AND(A1166="",E1166=""),"",IF(E1166="","Segment ontbreekt",IF(OR(G1166="",H1166=""),"Van/tot ontbreekt",IF(N(J1166)=0,"Duur is nul",IF(N(J1166)&gt;12,"Langer dan 12 uur - controleren",IF(AND(E1166="Werken",D1166=""),"Werken zonder klant - koppelen","OK"))))))</f>
        <v/>
      </c>
    </row>
    <row r="1167" ht="15" customHeight="1" s="42">
      <c r="A1167" s="55" t="n"/>
      <c r="B1167" s="56">
        <f>IF(A1167="","",WEEKNUM(A1167,21))</f>
        <v/>
      </c>
      <c r="C1167" s="57" t="n"/>
      <c r="D1167" s="57" t="n"/>
      <c r="E1167" s="58" t="n"/>
      <c r="F1167" s="57" t="n"/>
      <c r="G1167" s="59" t="n"/>
      <c r="H1167" s="59" t="n"/>
      <c r="I1167" s="60">
        <f>IF(OR(G1167="",H1167=""),"",MOD(H1167-G1167,1))</f>
        <v/>
      </c>
      <c r="J1167" s="61">
        <f>IF(OR(G1167="",H1167=""),"",ROUND(MOD(H1167-G1167,1)*24,2))</f>
        <v/>
      </c>
      <c r="K1167" s="62">
        <f>IF(E1167="","",IF(E1167="Werken","JA","NEE"))</f>
        <v/>
      </c>
      <c r="L1167" s="61">
        <f>IF(K1167="JA",N(J1167),IF(E1167="","",0))</f>
        <v/>
      </c>
      <c r="M1167" s="62">
        <f>IF(AND(A1167="",E1167=""),"",IF(E1167="","Segment ontbreekt",IF(OR(G1167="",H1167=""),"Van/tot ontbreekt",IF(N(J1167)=0,"Duur is nul",IF(N(J1167)&gt;12,"Langer dan 12 uur - controleren",IF(AND(E1167="Werken",D1167=""),"Werken zonder klant - koppelen","OK"))))))</f>
        <v/>
      </c>
    </row>
    <row r="1168" ht="15" customHeight="1" s="42">
      <c r="A1168" s="55" t="n"/>
      <c r="B1168" s="56">
        <f>IF(A1168="","",WEEKNUM(A1168,21))</f>
        <v/>
      </c>
      <c r="C1168" s="57" t="n"/>
      <c r="D1168" s="57" t="n"/>
      <c r="E1168" s="58" t="n"/>
      <c r="F1168" s="57" t="n"/>
      <c r="G1168" s="59" t="n"/>
      <c r="H1168" s="59" t="n"/>
      <c r="I1168" s="60">
        <f>IF(OR(G1168="",H1168=""),"",MOD(H1168-G1168,1))</f>
        <v/>
      </c>
      <c r="J1168" s="61">
        <f>IF(OR(G1168="",H1168=""),"",ROUND(MOD(H1168-G1168,1)*24,2))</f>
        <v/>
      </c>
      <c r="K1168" s="62">
        <f>IF(E1168="","",IF(E1168="Werken","JA","NEE"))</f>
        <v/>
      </c>
      <c r="L1168" s="61">
        <f>IF(K1168="JA",N(J1168),IF(E1168="","",0))</f>
        <v/>
      </c>
      <c r="M1168" s="62">
        <f>IF(AND(A1168="",E1168=""),"",IF(E1168="","Segment ontbreekt",IF(OR(G1168="",H1168=""),"Van/tot ontbreekt",IF(N(J1168)=0,"Duur is nul",IF(N(J1168)&gt;12,"Langer dan 12 uur - controleren",IF(AND(E1168="Werken",D1168=""),"Werken zonder klant - koppelen","OK"))))))</f>
        <v/>
      </c>
    </row>
    <row r="1169" ht="15" customHeight="1" s="42">
      <c r="A1169" s="55" t="n"/>
      <c r="B1169" s="56">
        <f>IF(A1169="","",WEEKNUM(A1169,21))</f>
        <v/>
      </c>
      <c r="C1169" s="57" t="n"/>
      <c r="D1169" s="57" t="n"/>
      <c r="E1169" s="58" t="n"/>
      <c r="F1169" s="57" t="n"/>
      <c r="G1169" s="59" t="n"/>
      <c r="H1169" s="59" t="n"/>
      <c r="I1169" s="60">
        <f>IF(OR(G1169="",H1169=""),"",MOD(H1169-G1169,1))</f>
        <v/>
      </c>
      <c r="J1169" s="61">
        <f>IF(OR(G1169="",H1169=""),"",ROUND(MOD(H1169-G1169,1)*24,2))</f>
        <v/>
      </c>
      <c r="K1169" s="62">
        <f>IF(E1169="","",IF(E1169="Werken","JA","NEE"))</f>
        <v/>
      </c>
      <c r="L1169" s="61">
        <f>IF(K1169="JA",N(J1169),IF(E1169="","",0))</f>
        <v/>
      </c>
      <c r="M1169" s="62">
        <f>IF(AND(A1169="",E1169=""),"",IF(E1169="","Segment ontbreekt",IF(OR(G1169="",H1169=""),"Van/tot ontbreekt",IF(N(J1169)=0,"Duur is nul",IF(N(J1169)&gt;12,"Langer dan 12 uur - controleren",IF(AND(E1169="Werken",D1169=""),"Werken zonder klant - koppelen","OK"))))))</f>
        <v/>
      </c>
    </row>
    <row r="1170" ht="15" customHeight="1" s="42">
      <c r="A1170" s="55" t="n"/>
      <c r="B1170" s="56">
        <f>IF(A1170="","",WEEKNUM(A1170,21))</f>
        <v/>
      </c>
      <c r="C1170" s="57" t="n"/>
      <c r="D1170" s="57" t="n"/>
      <c r="E1170" s="58" t="n"/>
      <c r="F1170" s="57" t="n"/>
      <c r="G1170" s="59" t="n"/>
      <c r="H1170" s="59" t="n"/>
      <c r="I1170" s="60">
        <f>IF(OR(G1170="",H1170=""),"",MOD(H1170-G1170,1))</f>
        <v/>
      </c>
      <c r="J1170" s="61">
        <f>IF(OR(G1170="",H1170=""),"",ROUND(MOD(H1170-G1170,1)*24,2))</f>
        <v/>
      </c>
      <c r="K1170" s="62">
        <f>IF(E1170="","",IF(E1170="Werken","JA","NEE"))</f>
        <v/>
      </c>
      <c r="L1170" s="61">
        <f>IF(K1170="JA",N(J1170),IF(E1170="","",0))</f>
        <v/>
      </c>
      <c r="M1170" s="62">
        <f>IF(AND(A1170="",E1170=""),"",IF(E1170="","Segment ontbreekt",IF(OR(G1170="",H1170=""),"Van/tot ontbreekt",IF(N(J1170)=0,"Duur is nul",IF(N(J1170)&gt;12,"Langer dan 12 uur - controleren",IF(AND(E1170="Werken",D1170=""),"Werken zonder klant - koppelen","OK"))))))</f>
        <v/>
      </c>
    </row>
    <row r="1171" ht="15" customHeight="1" s="42">
      <c r="A1171" s="55" t="n"/>
      <c r="B1171" s="56">
        <f>IF(A1171="","",WEEKNUM(A1171,21))</f>
        <v/>
      </c>
      <c r="C1171" s="57" t="n"/>
      <c r="D1171" s="57" t="n"/>
      <c r="E1171" s="58" t="n"/>
      <c r="F1171" s="57" t="n"/>
      <c r="G1171" s="59" t="n"/>
      <c r="H1171" s="59" t="n"/>
      <c r="I1171" s="60">
        <f>IF(OR(G1171="",H1171=""),"",MOD(H1171-G1171,1))</f>
        <v/>
      </c>
      <c r="J1171" s="61">
        <f>IF(OR(G1171="",H1171=""),"",ROUND(MOD(H1171-G1171,1)*24,2))</f>
        <v/>
      </c>
      <c r="K1171" s="62">
        <f>IF(E1171="","",IF(E1171="Werken","JA","NEE"))</f>
        <v/>
      </c>
      <c r="L1171" s="61">
        <f>IF(K1171="JA",N(J1171),IF(E1171="","",0))</f>
        <v/>
      </c>
      <c r="M1171" s="62">
        <f>IF(AND(A1171="",E1171=""),"",IF(E1171="","Segment ontbreekt",IF(OR(G1171="",H1171=""),"Van/tot ontbreekt",IF(N(J1171)=0,"Duur is nul",IF(N(J1171)&gt;12,"Langer dan 12 uur - controleren",IF(AND(E1171="Werken",D1171=""),"Werken zonder klant - koppelen","OK"))))))</f>
        <v/>
      </c>
    </row>
    <row r="1172" ht="15" customHeight="1" s="42">
      <c r="A1172" s="55" t="n"/>
      <c r="B1172" s="56">
        <f>IF(A1172="","",WEEKNUM(A1172,21))</f>
        <v/>
      </c>
      <c r="C1172" s="57" t="n"/>
      <c r="D1172" s="57" t="n"/>
      <c r="E1172" s="58" t="n"/>
      <c r="F1172" s="57" t="n"/>
      <c r="G1172" s="59" t="n"/>
      <c r="H1172" s="59" t="n"/>
      <c r="I1172" s="60">
        <f>IF(OR(G1172="",H1172=""),"",MOD(H1172-G1172,1))</f>
        <v/>
      </c>
      <c r="J1172" s="61">
        <f>IF(OR(G1172="",H1172=""),"",ROUND(MOD(H1172-G1172,1)*24,2))</f>
        <v/>
      </c>
      <c r="K1172" s="62">
        <f>IF(E1172="","",IF(E1172="Werken","JA","NEE"))</f>
        <v/>
      </c>
      <c r="L1172" s="61">
        <f>IF(K1172="JA",N(J1172),IF(E1172="","",0))</f>
        <v/>
      </c>
      <c r="M1172" s="62">
        <f>IF(AND(A1172="",E1172=""),"",IF(E1172="","Segment ontbreekt",IF(OR(G1172="",H1172=""),"Van/tot ontbreekt",IF(N(J1172)=0,"Duur is nul",IF(N(J1172)&gt;12,"Langer dan 12 uur - controleren",IF(AND(E1172="Werken",D1172=""),"Werken zonder klant - koppelen","OK"))))))</f>
        <v/>
      </c>
    </row>
    <row r="1173" ht="15" customHeight="1" s="42">
      <c r="A1173" s="55" t="n"/>
      <c r="B1173" s="56">
        <f>IF(A1173="","",WEEKNUM(A1173,21))</f>
        <v/>
      </c>
      <c r="C1173" s="57" t="n"/>
      <c r="D1173" s="57" t="n"/>
      <c r="E1173" s="58" t="n"/>
      <c r="F1173" s="57" t="n"/>
      <c r="G1173" s="59" t="n"/>
      <c r="H1173" s="59" t="n"/>
      <c r="I1173" s="60">
        <f>IF(OR(G1173="",H1173=""),"",MOD(H1173-G1173,1))</f>
        <v/>
      </c>
      <c r="J1173" s="61">
        <f>IF(OR(G1173="",H1173=""),"",ROUND(MOD(H1173-G1173,1)*24,2))</f>
        <v/>
      </c>
      <c r="K1173" s="62">
        <f>IF(E1173="","",IF(E1173="Werken","JA","NEE"))</f>
        <v/>
      </c>
      <c r="L1173" s="61">
        <f>IF(K1173="JA",N(J1173),IF(E1173="","",0))</f>
        <v/>
      </c>
      <c r="M1173" s="62">
        <f>IF(AND(A1173="",E1173=""),"",IF(E1173="","Segment ontbreekt",IF(OR(G1173="",H1173=""),"Van/tot ontbreekt",IF(N(J1173)=0,"Duur is nul",IF(N(J1173)&gt;12,"Langer dan 12 uur - controleren",IF(AND(E1173="Werken",D1173=""),"Werken zonder klant - koppelen","OK"))))))</f>
        <v/>
      </c>
    </row>
    <row r="1174" ht="15" customHeight="1" s="42">
      <c r="A1174" s="55" t="n"/>
      <c r="B1174" s="56">
        <f>IF(A1174="","",WEEKNUM(A1174,21))</f>
        <v/>
      </c>
      <c r="C1174" s="57" t="n"/>
      <c r="D1174" s="57" t="n"/>
      <c r="E1174" s="58" t="n"/>
      <c r="F1174" s="57" t="n"/>
      <c r="G1174" s="59" t="n"/>
      <c r="H1174" s="59" t="n"/>
      <c r="I1174" s="60">
        <f>IF(OR(G1174="",H1174=""),"",MOD(H1174-G1174,1))</f>
        <v/>
      </c>
      <c r="J1174" s="61">
        <f>IF(OR(G1174="",H1174=""),"",ROUND(MOD(H1174-G1174,1)*24,2))</f>
        <v/>
      </c>
      <c r="K1174" s="62">
        <f>IF(E1174="","",IF(E1174="Werken","JA","NEE"))</f>
        <v/>
      </c>
      <c r="L1174" s="61">
        <f>IF(K1174="JA",N(J1174),IF(E1174="","",0))</f>
        <v/>
      </c>
      <c r="M1174" s="62">
        <f>IF(AND(A1174="",E1174=""),"",IF(E1174="","Segment ontbreekt",IF(OR(G1174="",H1174=""),"Van/tot ontbreekt",IF(N(J1174)=0,"Duur is nul",IF(N(J1174)&gt;12,"Langer dan 12 uur - controleren",IF(AND(E1174="Werken",D1174=""),"Werken zonder klant - koppelen","OK"))))))</f>
        <v/>
      </c>
    </row>
    <row r="1175" ht="15" customHeight="1" s="42">
      <c r="A1175" s="55" t="n"/>
      <c r="B1175" s="56">
        <f>IF(A1175="","",WEEKNUM(A1175,21))</f>
        <v/>
      </c>
      <c r="C1175" s="57" t="n"/>
      <c r="D1175" s="57" t="n"/>
      <c r="E1175" s="58" t="n"/>
      <c r="F1175" s="57" t="n"/>
      <c r="G1175" s="59" t="n"/>
      <c r="H1175" s="59" t="n"/>
      <c r="I1175" s="60">
        <f>IF(OR(G1175="",H1175=""),"",MOD(H1175-G1175,1))</f>
        <v/>
      </c>
      <c r="J1175" s="61">
        <f>IF(OR(G1175="",H1175=""),"",ROUND(MOD(H1175-G1175,1)*24,2))</f>
        <v/>
      </c>
      <c r="K1175" s="62">
        <f>IF(E1175="","",IF(E1175="Werken","JA","NEE"))</f>
        <v/>
      </c>
      <c r="L1175" s="61">
        <f>IF(K1175="JA",N(J1175),IF(E1175="","",0))</f>
        <v/>
      </c>
      <c r="M1175" s="62">
        <f>IF(AND(A1175="",E1175=""),"",IF(E1175="","Segment ontbreekt",IF(OR(G1175="",H1175=""),"Van/tot ontbreekt",IF(N(J1175)=0,"Duur is nul",IF(N(J1175)&gt;12,"Langer dan 12 uur - controleren",IF(AND(E1175="Werken",D1175=""),"Werken zonder klant - koppelen","OK"))))))</f>
        <v/>
      </c>
    </row>
    <row r="1176" ht="15" customHeight="1" s="42">
      <c r="A1176" s="55" t="n"/>
      <c r="B1176" s="56">
        <f>IF(A1176="","",WEEKNUM(A1176,21))</f>
        <v/>
      </c>
      <c r="C1176" s="57" t="n"/>
      <c r="D1176" s="57" t="n"/>
      <c r="E1176" s="58" t="n"/>
      <c r="F1176" s="57" t="n"/>
      <c r="G1176" s="59" t="n"/>
      <c r="H1176" s="59" t="n"/>
      <c r="I1176" s="60">
        <f>IF(OR(G1176="",H1176=""),"",MOD(H1176-G1176,1))</f>
        <v/>
      </c>
      <c r="J1176" s="61">
        <f>IF(OR(G1176="",H1176=""),"",ROUND(MOD(H1176-G1176,1)*24,2))</f>
        <v/>
      </c>
      <c r="K1176" s="62">
        <f>IF(E1176="","",IF(E1176="Werken","JA","NEE"))</f>
        <v/>
      </c>
      <c r="L1176" s="61">
        <f>IF(K1176="JA",N(J1176),IF(E1176="","",0))</f>
        <v/>
      </c>
      <c r="M1176" s="62">
        <f>IF(AND(A1176="",E1176=""),"",IF(E1176="","Segment ontbreekt",IF(OR(G1176="",H1176=""),"Van/tot ontbreekt",IF(N(J1176)=0,"Duur is nul",IF(N(J1176)&gt;12,"Langer dan 12 uur - controleren",IF(AND(E1176="Werken",D1176=""),"Werken zonder klant - koppelen","OK"))))))</f>
        <v/>
      </c>
    </row>
    <row r="1177" ht="15" customHeight="1" s="42">
      <c r="A1177" s="55" t="n"/>
      <c r="B1177" s="56">
        <f>IF(A1177="","",WEEKNUM(A1177,21))</f>
        <v/>
      </c>
      <c r="C1177" s="57" t="n"/>
      <c r="D1177" s="57" t="n"/>
      <c r="E1177" s="58" t="n"/>
      <c r="F1177" s="57" t="n"/>
      <c r="G1177" s="59" t="n"/>
      <c r="H1177" s="59" t="n"/>
      <c r="I1177" s="60">
        <f>IF(OR(G1177="",H1177=""),"",MOD(H1177-G1177,1))</f>
        <v/>
      </c>
      <c r="J1177" s="61">
        <f>IF(OR(G1177="",H1177=""),"",ROUND(MOD(H1177-G1177,1)*24,2))</f>
        <v/>
      </c>
      <c r="K1177" s="62">
        <f>IF(E1177="","",IF(E1177="Werken","JA","NEE"))</f>
        <v/>
      </c>
      <c r="L1177" s="61">
        <f>IF(K1177="JA",N(J1177),IF(E1177="","",0))</f>
        <v/>
      </c>
      <c r="M1177" s="62">
        <f>IF(AND(A1177="",E1177=""),"",IF(E1177="","Segment ontbreekt",IF(OR(G1177="",H1177=""),"Van/tot ontbreekt",IF(N(J1177)=0,"Duur is nul",IF(N(J1177)&gt;12,"Langer dan 12 uur - controleren",IF(AND(E1177="Werken",D1177=""),"Werken zonder klant - koppelen","OK"))))))</f>
        <v/>
      </c>
    </row>
    <row r="1178" ht="15" customHeight="1" s="42">
      <c r="A1178" s="55" t="n"/>
      <c r="B1178" s="56">
        <f>IF(A1178="","",WEEKNUM(A1178,21))</f>
        <v/>
      </c>
      <c r="C1178" s="57" t="n"/>
      <c r="D1178" s="57" t="n"/>
      <c r="E1178" s="58" t="n"/>
      <c r="F1178" s="57" t="n"/>
      <c r="G1178" s="59" t="n"/>
      <c r="H1178" s="59" t="n"/>
      <c r="I1178" s="60">
        <f>IF(OR(G1178="",H1178=""),"",MOD(H1178-G1178,1))</f>
        <v/>
      </c>
      <c r="J1178" s="61">
        <f>IF(OR(G1178="",H1178=""),"",ROUND(MOD(H1178-G1178,1)*24,2))</f>
        <v/>
      </c>
      <c r="K1178" s="62">
        <f>IF(E1178="","",IF(E1178="Werken","JA","NEE"))</f>
        <v/>
      </c>
      <c r="L1178" s="61">
        <f>IF(K1178="JA",N(J1178),IF(E1178="","",0))</f>
        <v/>
      </c>
      <c r="M1178" s="62">
        <f>IF(AND(A1178="",E1178=""),"",IF(E1178="","Segment ontbreekt",IF(OR(G1178="",H1178=""),"Van/tot ontbreekt",IF(N(J1178)=0,"Duur is nul",IF(N(J1178)&gt;12,"Langer dan 12 uur - controleren",IF(AND(E1178="Werken",D1178=""),"Werken zonder klant - koppelen","OK"))))))</f>
        <v/>
      </c>
    </row>
    <row r="1179" ht="15" customHeight="1" s="42">
      <c r="A1179" s="55" t="n"/>
      <c r="B1179" s="56">
        <f>IF(A1179="","",WEEKNUM(A1179,21))</f>
        <v/>
      </c>
      <c r="C1179" s="57" t="n"/>
      <c r="D1179" s="57" t="n"/>
      <c r="E1179" s="58" t="n"/>
      <c r="F1179" s="57" t="n"/>
      <c r="G1179" s="59" t="n"/>
      <c r="H1179" s="59" t="n"/>
      <c r="I1179" s="60">
        <f>IF(OR(G1179="",H1179=""),"",MOD(H1179-G1179,1))</f>
        <v/>
      </c>
      <c r="J1179" s="61">
        <f>IF(OR(G1179="",H1179=""),"",ROUND(MOD(H1179-G1179,1)*24,2))</f>
        <v/>
      </c>
      <c r="K1179" s="62">
        <f>IF(E1179="","",IF(E1179="Werken","JA","NEE"))</f>
        <v/>
      </c>
      <c r="L1179" s="61">
        <f>IF(K1179="JA",N(J1179),IF(E1179="","",0))</f>
        <v/>
      </c>
      <c r="M1179" s="62">
        <f>IF(AND(A1179="",E1179=""),"",IF(E1179="","Segment ontbreekt",IF(OR(G1179="",H1179=""),"Van/tot ontbreekt",IF(N(J1179)=0,"Duur is nul",IF(N(J1179)&gt;12,"Langer dan 12 uur - controleren",IF(AND(E1179="Werken",D1179=""),"Werken zonder klant - koppelen","OK"))))))</f>
        <v/>
      </c>
    </row>
    <row r="1180" ht="15" customHeight="1" s="42">
      <c r="A1180" s="55" t="n"/>
      <c r="B1180" s="56">
        <f>IF(A1180="","",WEEKNUM(A1180,21))</f>
        <v/>
      </c>
      <c r="C1180" s="57" t="n"/>
      <c r="D1180" s="57" t="n"/>
      <c r="E1180" s="58" t="n"/>
      <c r="F1180" s="57" t="n"/>
      <c r="G1180" s="59" t="n"/>
      <c r="H1180" s="59" t="n"/>
      <c r="I1180" s="60">
        <f>IF(OR(G1180="",H1180=""),"",MOD(H1180-G1180,1))</f>
        <v/>
      </c>
      <c r="J1180" s="61">
        <f>IF(OR(G1180="",H1180=""),"",ROUND(MOD(H1180-G1180,1)*24,2))</f>
        <v/>
      </c>
      <c r="K1180" s="62">
        <f>IF(E1180="","",IF(E1180="Werken","JA","NEE"))</f>
        <v/>
      </c>
      <c r="L1180" s="61">
        <f>IF(K1180="JA",N(J1180),IF(E1180="","",0))</f>
        <v/>
      </c>
      <c r="M1180" s="62">
        <f>IF(AND(A1180="",E1180=""),"",IF(E1180="","Segment ontbreekt",IF(OR(G1180="",H1180=""),"Van/tot ontbreekt",IF(N(J1180)=0,"Duur is nul",IF(N(J1180)&gt;12,"Langer dan 12 uur - controleren",IF(AND(E1180="Werken",D1180=""),"Werken zonder klant - koppelen","OK"))))))</f>
        <v/>
      </c>
    </row>
    <row r="1181" ht="15" customHeight="1" s="42">
      <c r="A1181" s="55" t="n"/>
      <c r="B1181" s="56">
        <f>IF(A1181="","",WEEKNUM(A1181,21))</f>
        <v/>
      </c>
      <c r="C1181" s="57" t="n"/>
      <c r="D1181" s="57" t="n"/>
      <c r="E1181" s="58" t="n"/>
      <c r="F1181" s="57" t="n"/>
      <c r="G1181" s="59" t="n"/>
      <c r="H1181" s="59" t="n"/>
      <c r="I1181" s="60">
        <f>IF(OR(G1181="",H1181=""),"",MOD(H1181-G1181,1))</f>
        <v/>
      </c>
      <c r="J1181" s="61">
        <f>IF(OR(G1181="",H1181=""),"",ROUND(MOD(H1181-G1181,1)*24,2))</f>
        <v/>
      </c>
      <c r="K1181" s="62">
        <f>IF(E1181="","",IF(E1181="Werken","JA","NEE"))</f>
        <v/>
      </c>
      <c r="L1181" s="61">
        <f>IF(K1181="JA",N(J1181),IF(E1181="","",0))</f>
        <v/>
      </c>
      <c r="M1181" s="62">
        <f>IF(AND(A1181="",E1181=""),"",IF(E1181="","Segment ontbreekt",IF(OR(G1181="",H1181=""),"Van/tot ontbreekt",IF(N(J1181)=0,"Duur is nul",IF(N(J1181)&gt;12,"Langer dan 12 uur - controleren",IF(AND(E1181="Werken",D1181=""),"Werken zonder klant - koppelen","OK"))))))</f>
        <v/>
      </c>
    </row>
    <row r="1182" ht="15" customHeight="1" s="42">
      <c r="A1182" s="55" t="n"/>
      <c r="B1182" s="56">
        <f>IF(A1182="","",WEEKNUM(A1182,21))</f>
        <v/>
      </c>
      <c r="C1182" s="57" t="n"/>
      <c r="D1182" s="57" t="n"/>
      <c r="E1182" s="58" t="n"/>
      <c r="F1182" s="57" t="n"/>
      <c r="G1182" s="59" t="n"/>
      <c r="H1182" s="59" t="n"/>
      <c r="I1182" s="60">
        <f>IF(OR(G1182="",H1182=""),"",MOD(H1182-G1182,1))</f>
        <v/>
      </c>
      <c r="J1182" s="61">
        <f>IF(OR(G1182="",H1182=""),"",ROUND(MOD(H1182-G1182,1)*24,2))</f>
        <v/>
      </c>
      <c r="K1182" s="62">
        <f>IF(E1182="","",IF(E1182="Werken","JA","NEE"))</f>
        <v/>
      </c>
      <c r="L1182" s="61">
        <f>IF(K1182="JA",N(J1182),IF(E1182="","",0))</f>
        <v/>
      </c>
      <c r="M1182" s="62">
        <f>IF(AND(A1182="",E1182=""),"",IF(E1182="","Segment ontbreekt",IF(OR(G1182="",H1182=""),"Van/tot ontbreekt",IF(N(J1182)=0,"Duur is nul",IF(N(J1182)&gt;12,"Langer dan 12 uur - controleren",IF(AND(E1182="Werken",D1182=""),"Werken zonder klant - koppelen","OK"))))))</f>
        <v/>
      </c>
    </row>
    <row r="1183" ht="15" customHeight="1" s="42">
      <c r="A1183" s="55" t="n"/>
      <c r="B1183" s="56">
        <f>IF(A1183="","",WEEKNUM(A1183,21))</f>
        <v/>
      </c>
      <c r="C1183" s="57" t="n"/>
      <c r="D1183" s="57" t="n"/>
      <c r="E1183" s="58" t="n"/>
      <c r="F1183" s="57" t="n"/>
      <c r="G1183" s="59" t="n"/>
      <c r="H1183" s="59" t="n"/>
      <c r="I1183" s="60">
        <f>IF(OR(G1183="",H1183=""),"",MOD(H1183-G1183,1))</f>
        <v/>
      </c>
      <c r="J1183" s="61">
        <f>IF(OR(G1183="",H1183=""),"",ROUND(MOD(H1183-G1183,1)*24,2))</f>
        <v/>
      </c>
      <c r="K1183" s="62">
        <f>IF(E1183="","",IF(E1183="Werken","JA","NEE"))</f>
        <v/>
      </c>
      <c r="L1183" s="61">
        <f>IF(K1183="JA",N(J1183),IF(E1183="","",0))</f>
        <v/>
      </c>
      <c r="M1183" s="62">
        <f>IF(AND(A1183="",E1183=""),"",IF(E1183="","Segment ontbreekt",IF(OR(G1183="",H1183=""),"Van/tot ontbreekt",IF(N(J1183)=0,"Duur is nul",IF(N(J1183)&gt;12,"Langer dan 12 uur - controleren",IF(AND(E1183="Werken",D1183=""),"Werken zonder klant - koppelen","OK"))))))</f>
        <v/>
      </c>
    </row>
    <row r="1184" ht="15" customHeight="1" s="42">
      <c r="A1184" s="55" t="n"/>
      <c r="B1184" s="56">
        <f>IF(A1184="","",WEEKNUM(A1184,21))</f>
        <v/>
      </c>
      <c r="C1184" s="57" t="n"/>
      <c r="D1184" s="57" t="n"/>
      <c r="E1184" s="58" t="n"/>
      <c r="F1184" s="57" t="n"/>
      <c r="G1184" s="59" t="n"/>
      <c r="H1184" s="59" t="n"/>
      <c r="I1184" s="60">
        <f>IF(OR(G1184="",H1184=""),"",MOD(H1184-G1184,1))</f>
        <v/>
      </c>
      <c r="J1184" s="61">
        <f>IF(OR(G1184="",H1184=""),"",ROUND(MOD(H1184-G1184,1)*24,2))</f>
        <v/>
      </c>
      <c r="K1184" s="62">
        <f>IF(E1184="","",IF(E1184="Werken","JA","NEE"))</f>
        <v/>
      </c>
      <c r="L1184" s="61">
        <f>IF(K1184="JA",N(J1184),IF(E1184="","",0))</f>
        <v/>
      </c>
      <c r="M1184" s="62">
        <f>IF(AND(A1184="",E1184=""),"",IF(E1184="","Segment ontbreekt",IF(OR(G1184="",H1184=""),"Van/tot ontbreekt",IF(N(J1184)=0,"Duur is nul",IF(N(J1184)&gt;12,"Langer dan 12 uur - controleren",IF(AND(E1184="Werken",D1184=""),"Werken zonder klant - koppelen","OK"))))))</f>
        <v/>
      </c>
    </row>
    <row r="1185" ht="15" customHeight="1" s="42">
      <c r="A1185" s="55" t="n"/>
      <c r="B1185" s="56">
        <f>IF(A1185="","",WEEKNUM(A1185,21))</f>
        <v/>
      </c>
      <c r="C1185" s="57" t="n"/>
      <c r="D1185" s="57" t="n"/>
      <c r="E1185" s="58" t="n"/>
      <c r="F1185" s="57" t="n"/>
      <c r="G1185" s="59" t="n"/>
      <c r="H1185" s="59" t="n"/>
      <c r="I1185" s="60">
        <f>IF(OR(G1185="",H1185=""),"",MOD(H1185-G1185,1))</f>
        <v/>
      </c>
      <c r="J1185" s="61">
        <f>IF(OR(G1185="",H1185=""),"",ROUND(MOD(H1185-G1185,1)*24,2))</f>
        <v/>
      </c>
      <c r="K1185" s="62">
        <f>IF(E1185="","",IF(E1185="Werken","JA","NEE"))</f>
        <v/>
      </c>
      <c r="L1185" s="61">
        <f>IF(K1185="JA",N(J1185),IF(E1185="","",0))</f>
        <v/>
      </c>
      <c r="M1185" s="62">
        <f>IF(AND(A1185="",E1185=""),"",IF(E1185="","Segment ontbreekt",IF(OR(G1185="",H1185=""),"Van/tot ontbreekt",IF(N(J1185)=0,"Duur is nul",IF(N(J1185)&gt;12,"Langer dan 12 uur - controleren",IF(AND(E1185="Werken",D1185=""),"Werken zonder klant - koppelen","OK"))))))</f>
        <v/>
      </c>
    </row>
    <row r="1186" ht="15" customHeight="1" s="42">
      <c r="A1186" s="55" t="n"/>
      <c r="B1186" s="56">
        <f>IF(A1186="","",WEEKNUM(A1186,21))</f>
        <v/>
      </c>
      <c r="C1186" s="57" t="n"/>
      <c r="D1186" s="57" t="n"/>
      <c r="E1186" s="58" t="n"/>
      <c r="F1186" s="57" t="n"/>
      <c r="G1186" s="59" t="n"/>
      <c r="H1186" s="59" t="n"/>
      <c r="I1186" s="60">
        <f>IF(OR(G1186="",H1186=""),"",MOD(H1186-G1186,1))</f>
        <v/>
      </c>
      <c r="J1186" s="61">
        <f>IF(OR(G1186="",H1186=""),"",ROUND(MOD(H1186-G1186,1)*24,2))</f>
        <v/>
      </c>
      <c r="K1186" s="62">
        <f>IF(E1186="","",IF(E1186="Werken","JA","NEE"))</f>
        <v/>
      </c>
      <c r="L1186" s="61">
        <f>IF(K1186="JA",N(J1186),IF(E1186="","",0))</f>
        <v/>
      </c>
      <c r="M1186" s="62">
        <f>IF(AND(A1186="",E1186=""),"",IF(E1186="","Segment ontbreekt",IF(OR(G1186="",H1186=""),"Van/tot ontbreekt",IF(N(J1186)=0,"Duur is nul",IF(N(J1186)&gt;12,"Langer dan 12 uur - controleren",IF(AND(E1186="Werken",D1186=""),"Werken zonder klant - koppelen","OK"))))))</f>
        <v/>
      </c>
    </row>
    <row r="1187" ht="15" customHeight="1" s="42">
      <c r="A1187" s="55" t="n"/>
      <c r="B1187" s="56">
        <f>IF(A1187="","",WEEKNUM(A1187,21))</f>
        <v/>
      </c>
      <c r="C1187" s="57" t="n"/>
      <c r="D1187" s="57" t="n"/>
      <c r="E1187" s="58" t="n"/>
      <c r="F1187" s="57" t="n"/>
      <c r="G1187" s="59" t="n"/>
      <c r="H1187" s="59" t="n"/>
      <c r="I1187" s="60">
        <f>IF(OR(G1187="",H1187=""),"",MOD(H1187-G1187,1))</f>
        <v/>
      </c>
      <c r="J1187" s="61">
        <f>IF(OR(G1187="",H1187=""),"",ROUND(MOD(H1187-G1187,1)*24,2))</f>
        <v/>
      </c>
      <c r="K1187" s="62">
        <f>IF(E1187="","",IF(E1187="Werken","JA","NEE"))</f>
        <v/>
      </c>
      <c r="L1187" s="61">
        <f>IF(K1187="JA",N(J1187),IF(E1187="","",0))</f>
        <v/>
      </c>
      <c r="M1187" s="62">
        <f>IF(AND(A1187="",E1187=""),"",IF(E1187="","Segment ontbreekt",IF(OR(G1187="",H1187=""),"Van/tot ontbreekt",IF(N(J1187)=0,"Duur is nul",IF(N(J1187)&gt;12,"Langer dan 12 uur - controleren",IF(AND(E1187="Werken",D1187=""),"Werken zonder klant - koppelen","OK"))))))</f>
        <v/>
      </c>
    </row>
    <row r="1188" ht="15" customHeight="1" s="42">
      <c r="A1188" s="55" t="n"/>
      <c r="B1188" s="56">
        <f>IF(A1188="","",WEEKNUM(A1188,21))</f>
        <v/>
      </c>
      <c r="C1188" s="57" t="n"/>
      <c r="D1188" s="57" t="n"/>
      <c r="E1188" s="58" t="n"/>
      <c r="F1188" s="57" t="n"/>
      <c r="G1188" s="59" t="n"/>
      <c r="H1188" s="59" t="n"/>
      <c r="I1188" s="60">
        <f>IF(OR(G1188="",H1188=""),"",MOD(H1188-G1188,1))</f>
        <v/>
      </c>
      <c r="J1188" s="61">
        <f>IF(OR(G1188="",H1188=""),"",ROUND(MOD(H1188-G1188,1)*24,2))</f>
        <v/>
      </c>
      <c r="K1188" s="62">
        <f>IF(E1188="","",IF(E1188="Werken","JA","NEE"))</f>
        <v/>
      </c>
      <c r="L1188" s="61">
        <f>IF(K1188="JA",N(J1188),IF(E1188="","",0))</f>
        <v/>
      </c>
      <c r="M1188" s="62">
        <f>IF(AND(A1188="",E1188=""),"",IF(E1188="","Segment ontbreekt",IF(OR(G1188="",H1188=""),"Van/tot ontbreekt",IF(N(J1188)=0,"Duur is nul",IF(N(J1188)&gt;12,"Langer dan 12 uur - controleren",IF(AND(E1188="Werken",D1188=""),"Werken zonder klant - koppelen","OK"))))))</f>
        <v/>
      </c>
    </row>
    <row r="1189" ht="15" customHeight="1" s="42">
      <c r="A1189" s="55" t="n"/>
      <c r="B1189" s="56">
        <f>IF(A1189="","",WEEKNUM(A1189,21))</f>
        <v/>
      </c>
      <c r="C1189" s="57" t="n"/>
      <c r="D1189" s="57" t="n"/>
      <c r="E1189" s="58" t="n"/>
      <c r="F1189" s="57" t="n"/>
      <c r="G1189" s="59" t="n"/>
      <c r="H1189" s="59" t="n"/>
      <c r="I1189" s="60">
        <f>IF(OR(G1189="",H1189=""),"",MOD(H1189-G1189,1))</f>
        <v/>
      </c>
      <c r="J1189" s="61">
        <f>IF(OR(G1189="",H1189=""),"",ROUND(MOD(H1189-G1189,1)*24,2))</f>
        <v/>
      </c>
      <c r="K1189" s="62">
        <f>IF(E1189="","",IF(E1189="Werken","JA","NEE"))</f>
        <v/>
      </c>
      <c r="L1189" s="61">
        <f>IF(K1189="JA",N(J1189),IF(E1189="","",0))</f>
        <v/>
      </c>
      <c r="M1189" s="62">
        <f>IF(AND(A1189="",E1189=""),"",IF(E1189="","Segment ontbreekt",IF(OR(G1189="",H1189=""),"Van/tot ontbreekt",IF(N(J1189)=0,"Duur is nul",IF(N(J1189)&gt;12,"Langer dan 12 uur - controleren",IF(AND(E1189="Werken",D1189=""),"Werken zonder klant - koppelen","OK"))))))</f>
        <v/>
      </c>
    </row>
    <row r="1190" ht="15" customHeight="1" s="42">
      <c r="A1190" s="55" t="n"/>
      <c r="B1190" s="56">
        <f>IF(A1190="","",WEEKNUM(A1190,21))</f>
        <v/>
      </c>
      <c r="C1190" s="57" t="n"/>
      <c r="D1190" s="57" t="n"/>
      <c r="E1190" s="58" t="n"/>
      <c r="F1190" s="57" t="n"/>
      <c r="G1190" s="59" t="n"/>
      <c r="H1190" s="59" t="n"/>
      <c r="I1190" s="60">
        <f>IF(OR(G1190="",H1190=""),"",MOD(H1190-G1190,1))</f>
        <v/>
      </c>
      <c r="J1190" s="61">
        <f>IF(OR(G1190="",H1190=""),"",ROUND(MOD(H1190-G1190,1)*24,2))</f>
        <v/>
      </c>
      <c r="K1190" s="62">
        <f>IF(E1190="","",IF(E1190="Werken","JA","NEE"))</f>
        <v/>
      </c>
      <c r="L1190" s="61">
        <f>IF(K1190="JA",N(J1190),IF(E1190="","",0))</f>
        <v/>
      </c>
      <c r="M1190" s="62">
        <f>IF(AND(A1190="",E1190=""),"",IF(E1190="","Segment ontbreekt",IF(OR(G1190="",H1190=""),"Van/tot ontbreekt",IF(N(J1190)=0,"Duur is nul",IF(N(J1190)&gt;12,"Langer dan 12 uur - controleren",IF(AND(E1190="Werken",D1190=""),"Werken zonder klant - koppelen","OK"))))))</f>
        <v/>
      </c>
    </row>
    <row r="1191" ht="15" customHeight="1" s="42">
      <c r="A1191" s="55" t="n"/>
      <c r="B1191" s="56">
        <f>IF(A1191="","",WEEKNUM(A1191,21))</f>
        <v/>
      </c>
      <c r="C1191" s="57" t="n"/>
      <c r="D1191" s="57" t="n"/>
      <c r="E1191" s="58" t="n"/>
      <c r="F1191" s="57" t="n"/>
      <c r="G1191" s="59" t="n"/>
      <c r="H1191" s="59" t="n"/>
      <c r="I1191" s="60">
        <f>IF(OR(G1191="",H1191=""),"",MOD(H1191-G1191,1))</f>
        <v/>
      </c>
      <c r="J1191" s="61">
        <f>IF(OR(G1191="",H1191=""),"",ROUND(MOD(H1191-G1191,1)*24,2))</f>
        <v/>
      </c>
      <c r="K1191" s="62">
        <f>IF(E1191="","",IF(E1191="Werken","JA","NEE"))</f>
        <v/>
      </c>
      <c r="L1191" s="61">
        <f>IF(K1191="JA",N(J1191),IF(E1191="","",0))</f>
        <v/>
      </c>
      <c r="M1191" s="62">
        <f>IF(AND(A1191="",E1191=""),"",IF(E1191="","Segment ontbreekt",IF(OR(G1191="",H1191=""),"Van/tot ontbreekt",IF(N(J1191)=0,"Duur is nul",IF(N(J1191)&gt;12,"Langer dan 12 uur - controleren",IF(AND(E1191="Werken",D1191=""),"Werken zonder klant - koppelen","OK"))))))</f>
        <v/>
      </c>
    </row>
    <row r="1192" ht="15" customHeight="1" s="42">
      <c r="A1192" s="55" t="n"/>
      <c r="B1192" s="56">
        <f>IF(A1192="","",WEEKNUM(A1192,21))</f>
        <v/>
      </c>
      <c r="C1192" s="57" t="n"/>
      <c r="D1192" s="57" t="n"/>
      <c r="E1192" s="58" t="n"/>
      <c r="F1192" s="57" t="n"/>
      <c r="G1192" s="59" t="n"/>
      <c r="H1192" s="59" t="n"/>
      <c r="I1192" s="60">
        <f>IF(OR(G1192="",H1192=""),"",MOD(H1192-G1192,1))</f>
        <v/>
      </c>
      <c r="J1192" s="61">
        <f>IF(OR(G1192="",H1192=""),"",ROUND(MOD(H1192-G1192,1)*24,2))</f>
        <v/>
      </c>
      <c r="K1192" s="62">
        <f>IF(E1192="","",IF(E1192="Werken","JA","NEE"))</f>
        <v/>
      </c>
      <c r="L1192" s="61">
        <f>IF(K1192="JA",N(J1192),IF(E1192="","",0))</f>
        <v/>
      </c>
      <c r="M1192" s="62">
        <f>IF(AND(A1192="",E1192=""),"",IF(E1192="","Segment ontbreekt",IF(OR(G1192="",H1192=""),"Van/tot ontbreekt",IF(N(J1192)=0,"Duur is nul",IF(N(J1192)&gt;12,"Langer dan 12 uur - controleren",IF(AND(E1192="Werken",D1192=""),"Werken zonder klant - koppelen","OK"))))))</f>
        <v/>
      </c>
    </row>
    <row r="1193" ht="15" customHeight="1" s="42">
      <c r="A1193" s="55" t="n"/>
      <c r="B1193" s="56">
        <f>IF(A1193="","",WEEKNUM(A1193,21))</f>
        <v/>
      </c>
      <c r="C1193" s="57" t="n"/>
      <c r="D1193" s="57" t="n"/>
      <c r="E1193" s="58" t="n"/>
      <c r="F1193" s="57" t="n"/>
      <c r="G1193" s="59" t="n"/>
      <c r="H1193" s="59" t="n"/>
      <c r="I1193" s="60">
        <f>IF(OR(G1193="",H1193=""),"",MOD(H1193-G1193,1))</f>
        <v/>
      </c>
      <c r="J1193" s="61">
        <f>IF(OR(G1193="",H1193=""),"",ROUND(MOD(H1193-G1193,1)*24,2))</f>
        <v/>
      </c>
      <c r="K1193" s="62">
        <f>IF(E1193="","",IF(E1193="Werken","JA","NEE"))</f>
        <v/>
      </c>
      <c r="L1193" s="61">
        <f>IF(K1193="JA",N(J1193),IF(E1193="","",0))</f>
        <v/>
      </c>
      <c r="M1193" s="62">
        <f>IF(AND(A1193="",E1193=""),"",IF(E1193="","Segment ontbreekt",IF(OR(G1193="",H1193=""),"Van/tot ontbreekt",IF(N(J1193)=0,"Duur is nul",IF(N(J1193)&gt;12,"Langer dan 12 uur - controleren",IF(AND(E1193="Werken",D1193=""),"Werken zonder klant - koppelen","OK"))))))</f>
        <v/>
      </c>
    </row>
    <row r="1194" ht="15" customHeight="1" s="42">
      <c r="A1194" s="55" t="n"/>
      <c r="B1194" s="56">
        <f>IF(A1194="","",WEEKNUM(A1194,21))</f>
        <v/>
      </c>
      <c r="C1194" s="57" t="n"/>
      <c r="D1194" s="57" t="n"/>
      <c r="E1194" s="58" t="n"/>
      <c r="F1194" s="57" t="n"/>
      <c r="G1194" s="59" t="n"/>
      <c r="H1194" s="59" t="n"/>
      <c r="I1194" s="60">
        <f>IF(OR(G1194="",H1194=""),"",MOD(H1194-G1194,1))</f>
        <v/>
      </c>
      <c r="J1194" s="61">
        <f>IF(OR(G1194="",H1194=""),"",ROUND(MOD(H1194-G1194,1)*24,2))</f>
        <v/>
      </c>
      <c r="K1194" s="62">
        <f>IF(E1194="","",IF(E1194="Werken","JA","NEE"))</f>
        <v/>
      </c>
      <c r="L1194" s="61">
        <f>IF(K1194="JA",N(J1194),IF(E1194="","",0))</f>
        <v/>
      </c>
      <c r="M1194" s="62">
        <f>IF(AND(A1194="",E1194=""),"",IF(E1194="","Segment ontbreekt",IF(OR(G1194="",H1194=""),"Van/tot ontbreekt",IF(N(J1194)=0,"Duur is nul",IF(N(J1194)&gt;12,"Langer dan 12 uur - controleren",IF(AND(E1194="Werken",D1194=""),"Werken zonder klant - koppelen","OK"))))))</f>
        <v/>
      </c>
    </row>
    <row r="1195" ht="15" customHeight="1" s="42">
      <c r="A1195" s="55" t="n"/>
      <c r="B1195" s="56">
        <f>IF(A1195="","",WEEKNUM(A1195,21))</f>
        <v/>
      </c>
      <c r="C1195" s="57" t="n"/>
      <c r="D1195" s="57" t="n"/>
      <c r="E1195" s="58" t="n"/>
      <c r="F1195" s="57" t="n"/>
      <c r="G1195" s="59" t="n"/>
      <c r="H1195" s="59" t="n"/>
      <c r="I1195" s="60">
        <f>IF(OR(G1195="",H1195=""),"",MOD(H1195-G1195,1))</f>
        <v/>
      </c>
      <c r="J1195" s="61">
        <f>IF(OR(G1195="",H1195=""),"",ROUND(MOD(H1195-G1195,1)*24,2))</f>
        <v/>
      </c>
      <c r="K1195" s="62">
        <f>IF(E1195="","",IF(E1195="Werken","JA","NEE"))</f>
        <v/>
      </c>
      <c r="L1195" s="61">
        <f>IF(K1195="JA",N(J1195),IF(E1195="","",0))</f>
        <v/>
      </c>
      <c r="M1195" s="62">
        <f>IF(AND(A1195="",E1195=""),"",IF(E1195="","Segment ontbreekt",IF(OR(G1195="",H1195=""),"Van/tot ontbreekt",IF(N(J1195)=0,"Duur is nul",IF(N(J1195)&gt;12,"Langer dan 12 uur - controleren",IF(AND(E1195="Werken",D1195=""),"Werken zonder klant - koppelen","OK"))))))</f>
        <v/>
      </c>
    </row>
    <row r="1196" ht="15" customHeight="1" s="42">
      <c r="A1196" s="55" t="n"/>
      <c r="B1196" s="56">
        <f>IF(A1196="","",WEEKNUM(A1196,21))</f>
        <v/>
      </c>
      <c r="C1196" s="57" t="n"/>
      <c r="D1196" s="57" t="n"/>
      <c r="E1196" s="58" t="n"/>
      <c r="F1196" s="57" t="n"/>
      <c r="G1196" s="59" t="n"/>
      <c r="H1196" s="59" t="n"/>
      <c r="I1196" s="60">
        <f>IF(OR(G1196="",H1196=""),"",MOD(H1196-G1196,1))</f>
        <v/>
      </c>
      <c r="J1196" s="61">
        <f>IF(OR(G1196="",H1196=""),"",ROUND(MOD(H1196-G1196,1)*24,2))</f>
        <v/>
      </c>
      <c r="K1196" s="62">
        <f>IF(E1196="","",IF(E1196="Werken","JA","NEE"))</f>
        <v/>
      </c>
      <c r="L1196" s="61">
        <f>IF(K1196="JA",N(J1196),IF(E1196="","",0))</f>
        <v/>
      </c>
      <c r="M1196" s="62">
        <f>IF(AND(A1196="",E1196=""),"",IF(E1196="","Segment ontbreekt",IF(OR(G1196="",H1196=""),"Van/tot ontbreekt",IF(N(J1196)=0,"Duur is nul",IF(N(J1196)&gt;12,"Langer dan 12 uur - controleren",IF(AND(E1196="Werken",D1196=""),"Werken zonder klant - koppelen","OK"))))))</f>
        <v/>
      </c>
    </row>
    <row r="1197" ht="15" customHeight="1" s="42">
      <c r="A1197" s="55" t="n"/>
      <c r="B1197" s="56">
        <f>IF(A1197="","",WEEKNUM(A1197,21))</f>
        <v/>
      </c>
      <c r="C1197" s="57" t="n"/>
      <c r="D1197" s="57" t="n"/>
      <c r="E1197" s="58" t="n"/>
      <c r="F1197" s="57" t="n"/>
      <c r="G1197" s="59" t="n"/>
      <c r="H1197" s="59" t="n"/>
      <c r="I1197" s="60">
        <f>IF(OR(G1197="",H1197=""),"",MOD(H1197-G1197,1))</f>
        <v/>
      </c>
      <c r="J1197" s="61">
        <f>IF(OR(G1197="",H1197=""),"",ROUND(MOD(H1197-G1197,1)*24,2))</f>
        <v/>
      </c>
      <c r="K1197" s="62">
        <f>IF(E1197="","",IF(E1197="Werken","JA","NEE"))</f>
        <v/>
      </c>
      <c r="L1197" s="61">
        <f>IF(K1197="JA",N(J1197),IF(E1197="","",0))</f>
        <v/>
      </c>
      <c r="M1197" s="62">
        <f>IF(AND(A1197="",E1197=""),"",IF(E1197="","Segment ontbreekt",IF(OR(G1197="",H1197=""),"Van/tot ontbreekt",IF(N(J1197)=0,"Duur is nul",IF(N(J1197)&gt;12,"Langer dan 12 uur - controleren",IF(AND(E1197="Werken",D1197=""),"Werken zonder klant - koppelen","OK"))))))</f>
        <v/>
      </c>
    </row>
    <row r="1198" ht="15" customHeight="1" s="42">
      <c r="A1198" s="55" t="n"/>
      <c r="B1198" s="56">
        <f>IF(A1198="","",WEEKNUM(A1198,21))</f>
        <v/>
      </c>
      <c r="C1198" s="57" t="n"/>
      <c r="D1198" s="57" t="n"/>
      <c r="E1198" s="58" t="n"/>
      <c r="F1198" s="57" t="n"/>
      <c r="G1198" s="59" t="n"/>
      <c r="H1198" s="59" t="n"/>
      <c r="I1198" s="60">
        <f>IF(OR(G1198="",H1198=""),"",MOD(H1198-G1198,1))</f>
        <v/>
      </c>
      <c r="J1198" s="61">
        <f>IF(OR(G1198="",H1198=""),"",ROUND(MOD(H1198-G1198,1)*24,2))</f>
        <v/>
      </c>
      <c r="K1198" s="62">
        <f>IF(E1198="","",IF(E1198="Werken","JA","NEE"))</f>
        <v/>
      </c>
      <c r="L1198" s="61">
        <f>IF(K1198="JA",N(J1198),IF(E1198="","",0))</f>
        <v/>
      </c>
      <c r="M1198" s="62">
        <f>IF(AND(A1198="",E1198=""),"",IF(E1198="","Segment ontbreekt",IF(OR(G1198="",H1198=""),"Van/tot ontbreekt",IF(N(J1198)=0,"Duur is nul",IF(N(J1198)&gt;12,"Langer dan 12 uur - controleren",IF(AND(E1198="Werken",D1198=""),"Werken zonder klant - koppelen","OK"))))))</f>
        <v/>
      </c>
    </row>
    <row r="1199" ht="15" customHeight="1" s="42">
      <c r="A1199" s="55" t="n"/>
      <c r="B1199" s="56">
        <f>IF(A1199="","",WEEKNUM(A1199,21))</f>
        <v/>
      </c>
      <c r="C1199" s="57" t="n"/>
      <c r="D1199" s="57" t="n"/>
      <c r="E1199" s="58" t="n"/>
      <c r="F1199" s="57" t="n"/>
      <c r="G1199" s="59" t="n"/>
      <c r="H1199" s="59" t="n"/>
      <c r="I1199" s="60">
        <f>IF(OR(G1199="",H1199=""),"",MOD(H1199-G1199,1))</f>
        <v/>
      </c>
      <c r="J1199" s="61">
        <f>IF(OR(G1199="",H1199=""),"",ROUND(MOD(H1199-G1199,1)*24,2))</f>
        <v/>
      </c>
      <c r="K1199" s="62">
        <f>IF(E1199="","",IF(E1199="Werken","JA","NEE"))</f>
        <v/>
      </c>
      <c r="L1199" s="61">
        <f>IF(K1199="JA",N(J1199),IF(E1199="","",0))</f>
        <v/>
      </c>
      <c r="M1199" s="62">
        <f>IF(AND(A1199="",E1199=""),"",IF(E1199="","Segment ontbreekt",IF(OR(G1199="",H1199=""),"Van/tot ontbreekt",IF(N(J1199)=0,"Duur is nul",IF(N(J1199)&gt;12,"Langer dan 12 uur - controleren",IF(AND(E1199="Werken",D1199=""),"Werken zonder klant - koppelen","OK"))))))</f>
        <v/>
      </c>
    </row>
    <row r="1200" ht="15" customHeight="1" s="42">
      <c r="A1200" s="55" t="n"/>
      <c r="B1200" s="56">
        <f>IF(A1200="","",WEEKNUM(A1200,21))</f>
        <v/>
      </c>
      <c r="C1200" s="57" t="n"/>
      <c r="D1200" s="57" t="n"/>
      <c r="E1200" s="58" t="n"/>
      <c r="F1200" s="57" t="n"/>
      <c r="G1200" s="59" t="n"/>
      <c r="H1200" s="59" t="n"/>
      <c r="I1200" s="60">
        <f>IF(OR(G1200="",H1200=""),"",MOD(H1200-G1200,1))</f>
        <v/>
      </c>
      <c r="J1200" s="61">
        <f>IF(OR(G1200="",H1200=""),"",ROUND(MOD(H1200-G1200,1)*24,2))</f>
        <v/>
      </c>
      <c r="K1200" s="62">
        <f>IF(E1200="","",IF(E1200="Werken","JA","NEE"))</f>
        <v/>
      </c>
      <c r="L1200" s="61">
        <f>IF(K1200="JA",N(J1200),IF(E1200="","",0))</f>
        <v/>
      </c>
      <c r="M1200" s="62">
        <f>IF(AND(A1200="",E1200=""),"",IF(E1200="","Segment ontbreekt",IF(OR(G1200="",H1200=""),"Van/tot ontbreekt",IF(N(J1200)=0,"Duur is nul",IF(N(J1200)&gt;12,"Langer dan 12 uur - controleren",IF(AND(E1200="Werken",D1200=""),"Werken zonder klant - koppelen","OK"))))))</f>
        <v/>
      </c>
    </row>
    <row r="1201" ht="15" customHeight="1" s="42">
      <c r="A1201" s="55" t="n"/>
      <c r="B1201" s="56">
        <f>IF(A1201="","",WEEKNUM(A1201,21))</f>
        <v/>
      </c>
      <c r="C1201" s="57" t="n"/>
      <c r="D1201" s="57" t="n"/>
      <c r="E1201" s="58" t="n"/>
      <c r="F1201" s="57" t="n"/>
      <c r="G1201" s="59" t="n"/>
      <c r="H1201" s="59" t="n"/>
      <c r="I1201" s="60">
        <f>IF(OR(G1201="",H1201=""),"",MOD(H1201-G1201,1))</f>
        <v/>
      </c>
      <c r="J1201" s="61">
        <f>IF(OR(G1201="",H1201=""),"",ROUND(MOD(H1201-G1201,1)*24,2))</f>
        <v/>
      </c>
      <c r="K1201" s="62">
        <f>IF(E1201="","",IF(E1201="Werken","JA","NEE"))</f>
        <v/>
      </c>
      <c r="L1201" s="61">
        <f>IF(K1201="JA",N(J1201),IF(E1201="","",0))</f>
        <v/>
      </c>
      <c r="M1201" s="62">
        <f>IF(AND(A1201="",E1201=""),"",IF(E1201="","Segment ontbreekt",IF(OR(G1201="",H1201=""),"Van/tot ontbreekt",IF(N(J1201)=0,"Duur is nul",IF(N(J1201)&gt;12,"Langer dan 12 uur - controleren",IF(AND(E1201="Werken",D1201=""),"Werken zonder klant - koppelen","OK"))))))</f>
        <v/>
      </c>
    </row>
    <row r="1202" ht="15" customHeight="1" s="42">
      <c r="A1202" s="55" t="n"/>
      <c r="B1202" s="56">
        <f>IF(A1202="","",WEEKNUM(A1202,21))</f>
        <v/>
      </c>
      <c r="C1202" s="57" t="n"/>
      <c r="D1202" s="57" t="n"/>
      <c r="E1202" s="58" t="n"/>
      <c r="F1202" s="57" t="n"/>
      <c r="G1202" s="59" t="n"/>
      <c r="H1202" s="59" t="n"/>
      <c r="I1202" s="60">
        <f>IF(OR(G1202="",H1202=""),"",MOD(H1202-G1202,1))</f>
        <v/>
      </c>
      <c r="J1202" s="61">
        <f>IF(OR(G1202="",H1202=""),"",ROUND(MOD(H1202-G1202,1)*24,2))</f>
        <v/>
      </c>
      <c r="K1202" s="62">
        <f>IF(E1202="","",IF(E1202="Werken","JA","NEE"))</f>
        <v/>
      </c>
      <c r="L1202" s="61">
        <f>IF(K1202="JA",N(J1202),IF(E1202="","",0))</f>
        <v/>
      </c>
      <c r="M1202" s="62">
        <f>IF(AND(A1202="",E1202=""),"",IF(E1202="","Segment ontbreekt",IF(OR(G1202="",H1202=""),"Van/tot ontbreekt",IF(N(J1202)=0,"Duur is nul",IF(N(J1202)&gt;12,"Langer dan 12 uur - controleren",IF(AND(E1202="Werken",D1202=""),"Werken zonder klant - koppelen","OK"))))))</f>
        <v/>
      </c>
    </row>
    <row r="1203" ht="15" customHeight="1" s="42">
      <c r="A1203" s="55" t="n"/>
      <c r="B1203" s="56">
        <f>IF(A1203="","",WEEKNUM(A1203,21))</f>
        <v/>
      </c>
      <c r="C1203" s="57" t="n"/>
      <c r="D1203" s="57" t="n"/>
      <c r="E1203" s="58" t="n"/>
      <c r="F1203" s="57" t="n"/>
      <c r="G1203" s="59" t="n"/>
      <c r="H1203" s="59" t="n"/>
      <c r="I1203" s="60">
        <f>IF(OR(G1203="",H1203=""),"",MOD(H1203-G1203,1))</f>
        <v/>
      </c>
      <c r="J1203" s="61">
        <f>IF(OR(G1203="",H1203=""),"",ROUND(MOD(H1203-G1203,1)*24,2))</f>
        <v/>
      </c>
      <c r="K1203" s="62">
        <f>IF(E1203="","",IF(E1203="Werken","JA","NEE"))</f>
        <v/>
      </c>
      <c r="L1203" s="61">
        <f>IF(K1203="JA",N(J1203),IF(E1203="","",0))</f>
        <v/>
      </c>
      <c r="M1203" s="62">
        <f>IF(AND(A1203="",E1203=""),"",IF(E1203="","Segment ontbreekt",IF(OR(G1203="",H1203=""),"Van/tot ontbreekt",IF(N(J1203)=0,"Duur is nul",IF(N(J1203)&gt;12,"Langer dan 12 uur - controleren",IF(AND(E1203="Werken",D1203=""),"Werken zonder klant - koppelen","OK"))))))</f>
        <v/>
      </c>
    </row>
    <row r="1204" ht="15" customHeight="1" s="42">
      <c r="A1204" s="55" t="n"/>
      <c r="B1204" s="56">
        <f>IF(A1204="","",WEEKNUM(A1204,21))</f>
        <v/>
      </c>
      <c r="C1204" s="57" t="n"/>
      <c r="D1204" s="57" t="n"/>
      <c r="E1204" s="58" t="n"/>
      <c r="F1204" s="57" t="n"/>
      <c r="G1204" s="59" t="n"/>
      <c r="H1204" s="59" t="n"/>
      <c r="I1204" s="60">
        <f>IF(OR(G1204="",H1204=""),"",MOD(H1204-G1204,1))</f>
        <v/>
      </c>
      <c r="J1204" s="61">
        <f>IF(OR(G1204="",H1204=""),"",ROUND(MOD(H1204-G1204,1)*24,2))</f>
        <v/>
      </c>
      <c r="K1204" s="62">
        <f>IF(E1204="","",IF(E1204="Werken","JA","NEE"))</f>
        <v/>
      </c>
      <c r="L1204" s="61">
        <f>IF(K1204="JA",N(J1204),IF(E1204="","",0))</f>
        <v/>
      </c>
      <c r="M1204" s="62">
        <f>IF(AND(A1204="",E1204=""),"",IF(E1204="","Segment ontbreekt",IF(OR(G1204="",H1204=""),"Van/tot ontbreekt",IF(N(J1204)=0,"Duur is nul",IF(N(J1204)&gt;12,"Langer dan 12 uur - controleren",IF(AND(E1204="Werken",D1204=""),"Werken zonder klant - koppelen","OK"))))))</f>
        <v/>
      </c>
    </row>
    <row r="1205" ht="15" customHeight="1" s="42">
      <c r="A1205" s="55" t="n"/>
      <c r="B1205" s="56">
        <f>IF(A1205="","",WEEKNUM(A1205,21))</f>
        <v/>
      </c>
      <c r="C1205" s="57" t="n"/>
      <c r="D1205" s="57" t="n"/>
      <c r="E1205" s="58" t="n"/>
      <c r="F1205" s="57" t="n"/>
      <c r="G1205" s="59" t="n"/>
      <c r="H1205" s="59" t="n"/>
      <c r="I1205" s="60">
        <f>IF(OR(G1205="",H1205=""),"",MOD(H1205-G1205,1))</f>
        <v/>
      </c>
      <c r="J1205" s="61">
        <f>IF(OR(G1205="",H1205=""),"",ROUND(MOD(H1205-G1205,1)*24,2))</f>
        <v/>
      </c>
      <c r="K1205" s="62">
        <f>IF(E1205="","",IF(E1205="Werken","JA","NEE"))</f>
        <v/>
      </c>
      <c r="L1205" s="61">
        <f>IF(K1205="JA",N(J1205),IF(E1205="","",0))</f>
        <v/>
      </c>
      <c r="M1205" s="62">
        <f>IF(AND(A1205="",E1205=""),"",IF(E1205="","Segment ontbreekt",IF(OR(G1205="",H1205=""),"Van/tot ontbreekt",IF(N(J1205)=0,"Duur is nul",IF(N(J1205)&gt;12,"Langer dan 12 uur - controleren",IF(AND(E1205="Werken",D1205=""),"Werken zonder klant - koppelen","OK"))))))</f>
        <v/>
      </c>
    </row>
    <row r="1206" ht="15" customHeight="1" s="42">
      <c r="A1206" s="55" t="n"/>
      <c r="B1206" s="56">
        <f>IF(A1206="","",WEEKNUM(A1206,21))</f>
        <v/>
      </c>
      <c r="C1206" s="57" t="n"/>
      <c r="D1206" s="57" t="n"/>
      <c r="E1206" s="58" t="n"/>
      <c r="F1206" s="57" t="n"/>
      <c r="G1206" s="59" t="n"/>
      <c r="H1206" s="59" t="n"/>
      <c r="I1206" s="60">
        <f>IF(OR(G1206="",H1206=""),"",MOD(H1206-G1206,1))</f>
        <v/>
      </c>
      <c r="J1206" s="61">
        <f>IF(OR(G1206="",H1206=""),"",ROUND(MOD(H1206-G1206,1)*24,2))</f>
        <v/>
      </c>
      <c r="K1206" s="62">
        <f>IF(E1206="","",IF(E1206="Werken","JA","NEE"))</f>
        <v/>
      </c>
      <c r="L1206" s="61">
        <f>IF(K1206="JA",N(J1206),IF(E1206="","",0))</f>
        <v/>
      </c>
      <c r="M1206" s="62">
        <f>IF(AND(A1206="",E1206=""),"",IF(E1206="","Segment ontbreekt",IF(OR(G1206="",H1206=""),"Van/tot ontbreekt",IF(N(J1206)=0,"Duur is nul",IF(N(J1206)&gt;12,"Langer dan 12 uur - controleren",IF(AND(E1206="Werken",D1206=""),"Werken zonder klant - koppelen","OK"))))))</f>
        <v/>
      </c>
    </row>
    <row r="1207" ht="15" customHeight="1" s="42">
      <c r="A1207" s="55" t="n"/>
      <c r="B1207" s="56">
        <f>IF(A1207="","",WEEKNUM(A1207,21))</f>
        <v/>
      </c>
      <c r="C1207" s="57" t="n"/>
      <c r="D1207" s="57" t="n"/>
      <c r="E1207" s="58" t="n"/>
      <c r="F1207" s="57" t="n"/>
      <c r="G1207" s="59" t="n"/>
      <c r="H1207" s="59" t="n"/>
      <c r="I1207" s="60">
        <f>IF(OR(G1207="",H1207=""),"",MOD(H1207-G1207,1))</f>
        <v/>
      </c>
      <c r="J1207" s="61">
        <f>IF(OR(G1207="",H1207=""),"",ROUND(MOD(H1207-G1207,1)*24,2))</f>
        <v/>
      </c>
      <c r="K1207" s="62">
        <f>IF(E1207="","",IF(E1207="Werken","JA","NEE"))</f>
        <v/>
      </c>
      <c r="L1207" s="61">
        <f>IF(K1207="JA",N(J1207),IF(E1207="","",0))</f>
        <v/>
      </c>
      <c r="M1207" s="62">
        <f>IF(AND(A1207="",E1207=""),"",IF(E1207="","Segment ontbreekt",IF(OR(G1207="",H1207=""),"Van/tot ontbreekt",IF(N(J1207)=0,"Duur is nul",IF(N(J1207)&gt;12,"Langer dan 12 uur - controleren",IF(AND(E1207="Werken",D1207=""),"Werken zonder klant - koppelen","OK"))))))</f>
        <v/>
      </c>
    </row>
    <row r="1208" ht="15" customHeight="1" s="42">
      <c r="A1208" s="55" t="n"/>
      <c r="B1208" s="56">
        <f>IF(A1208="","",WEEKNUM(A1208,21))</f>
        <v/>
      </c>
      <c r="C1208" s="57" t="n"/>
      <c r="D1208" s="57" t="n"/>
      <c r="E1208" s="58" t="n"/>
      <c r="F1208" s="57" t="n"/>
      <c r="G1208" s="59" t="n"/>
      <c r="H1208" s="59" t="n"/>
      <c r="I1208" s="60">
        <f>IF(OR(G1208="",H1208=""),"",MOD(H1208-G1208,1))</f>
        <v/>
      </c>
      <c r="J1208" s="61">
        <f>IF(OR(G1208="",H1208=""),"",ROUND(MOD(H1208-G1208,1)*24,2))</f>
        <v/>
      </c>
      <c r="K1208" s="62">
        <f>IF(E1208="","",IF(E1208="Werken","JA","NEE"))</f>
        <v/>
      </c>
      <c r="L1208" s="61">
        <f>IF(K1208="JA",N(J1208),IF(E1208="","",0))</f>
        <v/>
      </c>
      <c r="M1208" s="62">
        <f>IF(AND(A1208="",E1208=""),"",IF(E1208="","Segment ontbreekt",IF(OR(G1208="",H1208=""),"Van/tot ontbreekt",IF(N(J1208)=0,"Duur is nul",IF(N(J1208)&gt;12,"Langer dan 12 uur - controleren",IF(AND(E1208="Werken",D1208=""),"Werken zonder klant - koppelen","OK"))))))</f>
        <v/>
      </c>
    </row>
    <row r="1209" ht="15" customHeight="1" s="42">
      <c r="A1209" s="55" t="n"/>
      <c r="B1209" s="56">
        <f>IF(A1209="","",WEEKNUM(A1209,21))</f>
        <v/>
      </c>
      <c r="C1209" s="57" t="n"/>
      <c r="D1209" s="57" t="n"/>
      <c r="E1209" s="58" t="n"/>
      <c r="F1209" s="57" t="n"/>
      <c r="G1209" s="59" t="n"/>
      <c r="H1209" s="59" t="n"/>
      <c r="I1209" s="60">
        <f>IF(OR(G1209="",H1209=""),"",MOD(H1209-G1209,1))</f>
        <v/>
      </c>
      <c r="J1209" s="61">
        <f>IF(OR(G1209="",H1209=""),"",ROUND(MOD(H1209-G1209,1)*24,2))</f>
        <v/>
      </c>
      <c r="K1209" s="62">
        <f>IF(E1209="","",IF(E1209="Werken","JA","NEE"))</f>
        <v/>
      </c>
      <c r="L1209" s="61">
        <f>IF(K1209="JA",N(J1209),IF(E1209="","",0))</f>
        <v/>
      </c>
      <c r="M1209" s="62">
        <f>IF(AND(A1209="",E1209=""),"",IF(E1209="","Segment ontbreekt",IF(OR(G1209="",H1209=""),"Van/tot ontbreekt",IF(N(J1209)=0,"Duur is nul",IF(N(J1209)&gt;12,"Langer dan 12 uur - controleren",IF(AND(E1209="Werken",D1209=""),"Werken zonder klant - koppelen","OK"))))))</f>
        <v/>
      </c>
    </row>
    <row r="1210" ht="15" customHeight="1" s="42">
      <c r="A1210" s="55" t="n"/>
      <c r="B1210" s="56">
        <f>IF(A1210="","",WEEKNUM(A1210,21))</f>
        <v/>
      </c>
      <c r="C1210" s="57" t="n"/>
      <c r="D1210" s="57" t="n"/>
      <c r="E1210" s="58" t="n"/>
      <c r="F1210" s="57" t="n"/>
      <c r="G1210" s="59" t="n"/>
      <c r="H1210" s="59" t="n"/>
      <c r="I1210" s="60">
        <f>IF(OR(G1210="",H1210=""),"",MOD(H1210-G1210,1))</f>
        <v/>
      </c>
      <c r="J1210" s="61">
        <f>IF(OR(G1210="",H1210=""),"",ROUND(MOD(H1210-G1210,1)*24,2))</f>
        <v/>
      </c>
      <c r="K1210" s="62">
        <f>IF(E1210="","",IF(E1210="Werken","JA","NEE"))</f>
        <v/>
      </c>
      <c r="L1210" s="61">
        <f>IF(K1210="JA",N(J1210),IF(E1210="","",0))</f>
        <v/>
      </c>
      <c r="M1210" s="62">
        <f>IF(AND(A1210="",E1210=""),"",IF(E1210="","Segment ontbreekt",IF(OR(G1210="",H1210=""),"Van/tot ontbreekt",IF(N(J1210)=0,"Duur is nul",IF(N(J1210)&gt;12,"Langer dan 12 uur - controleren",IF(AND(E1210="Werken",D1210=""),"Werken zonder klant - koppelen","OK"))))))</f>
        <v/>
      </c>
    </row>
    <row r="1211" ht="15" customHeight="1" s="42">
      <c r="A1211" s="55" t="n"/>
      <c r="B1211" s="56">
        <f>IF(A1211="","",WEEKNUM(A1211,21))</f>
        <v/>
      </c>
      <c r="C1211" s="57" t="n"/>
      <c r="D1211" s="57" t="n"/>
      <c r="E1211" s="58" t="n"/>
      <c r="F1211" s="57" t="n"/>
      <c r="G1211" s="59" t="n"/>
      <c r="H1211" s="59" t="n"/>
      <c r="I1211" s="60">
        <f>IF(OR(G1211="",H1211=""),"",MOD(H1211-G1211,1))</f>
        <v/>
      </c>
      <c r="J1211" s="61">
        <f>IF(OR(G1211="",H1211=""),"",ROUND(MOD(H1211-G1211,1)*24,2))</f>
        <v/>
      </c>
      <c r="K1211" s="62">
        <f>IF(E1211="","",IF(E1211="Werken","JA","NEE"))</f>
        <v/>
      </c>
      <c r="L1211" s="61">
        <f>IF(K1211="JA",N(J1211),IF(E1211="","",0))</f>
        <v/>
      </c>
      <c r="M1211" s="62">
        <f>IF(AND(A1211="",E1211=""),"",IF(E1211="","Segment ontbreekt",IF(OR(G1211="",H1211=""),"Van/tot ontbreekt",IF(N(J1211)=0,"Duur is nul",IF(N(J1211)&gt;12,"Langer dan 12 uur - controleren",IF(AND(E1211="Werken",D1211=""),"Werken zonder klant - koppelen","OK"))))))</f>
        <v/>
      </c>
    </row>
    <row r="1212" ht="15" customHeight="1" s="42">
      <c r="A1212" s="55" t="n"/>
      <c r="B1212" s="56">
        <f>IF(A1212="","",WEEKNUM(A1212,21))</f>
        <v/>
      </c>
      <c r="C1212" s="57" t="n"/>
      <c r="D1212" s="57" t="n"/>
      <c r="E1212" s="58" t="n"/>
      <c r="F1212" s="57" t="n"/>
      <c r="G1212" s="59" t="n"/>
      <c r="H1212" s="59" t="n"/>
      <c r="I1212" s="60">
        <f>IF(OR(G1212="",H1212=""),"",MOD(H1212-G1212,1))</f>
        <v/>
      </c>
      <c r="J1212" s="61">
        <f>IF(OR(G1212="",H1212=""),"",ROUND(MOD(H1212-G1212,1)*24,2))</f>
        <v/>
      </c>
      <c r="K1212" s="62">
        <f>IF(E1212="","",IF(E1212="Werken","JA","NEE"))</f>
        <v/>
      </c>
      <c r="L1212" s="61">
        <f>IF(K1212="JA",N(J1212),IF(E1212="","",0))</f>
        <v/>
      </c>
      <c r="M1212" s="62">
        <f>IF(AND(A1212="",E1212=""),"",IF(E1212="","Segment ontbreekt",IF(OR(G1212="",H1212=""),"Van/tot ontbreekt",IF(N(J1212)=0,"Duur is nul",IF(N(J1212)&gt;12,"Langer dan 12 uur - controleren",IF(AND(E1212="Werken",D1212=""),"Werken zonder klant - koppelen","OK"))))))</f>
        <v/>
      </c>
    </row>
    <row r="1213" ht="15" customHeight="1" s="42">
      <c r="A1213" s="55" t="n"/>
      <c r="B1213" s="56">
        <f>IF(A1213="","",WEEKNUM(A1213,21))</f>
        <v/>
      </c>
      <c r="C1213" s="57" t="n"/>
      <c r="D1213" s="57" t="n"/>
      <c r="E1213" s="58" t="n"/>
      <c r="F1213" s="57" t="n"/>
      <c r="G1213" s="59" t="n"/>
      <c r="H1213" s="59" t="n"/>
      <c r="I1213" s="60">
        <f>IF(OR(G1213="",H1213=""),"",MOD(H1213-G1213,1))</f>
        <v/>
      </c>
      <c r="J1213" s="61">
        <f>IF(OR(G1213="",H1213=""),"",ROUND(MOD(H1213-G1213,1)*24,2))</f>
        <v/>
      </c>
      <c r="K1213" s="62">
        <f>IF(E1213="","",IF(E1213="Werken","JA","NEE"))</f>
        <v/>
      </c>
      <c r="L1213" s="61">
        <f>IF(K1213="JA",N(J1213),IF(E1213="","",0))</f>
        <v/>
      </c>
      <c r="M1213" s="62">
        <f>IF(AND(A1213="",E1213=""),"",IF(E1213="","Segment ontbreekt",IF(OR(G1213="",H1213=""),"Van/tot ontbreekt",IF(N(J1213)=0,"Duur is nul",IF(N(J1213)&gt;12,"Langer dan 12 uur - controleren",IF(AND(E1213="Werken",D1213=""),"Werken zonder klant - koppelen","OK"))))))</f>
        <v/>
      </c>
    </row>
    <row r="1214" ht="15" customHeight="1" s="42">
      <c r="A1214" s="55" t="n"/>
      <c r="B1214" s="56">
        <f>IF(A1214="","",WEEKNUM(A1214,21))</f>
        <v/>
      </c>
      <c r="C1214" s="57" t="n"/>
      <c r="D1214" s="57" t="n"/>
      <c r="E1214" s="58" t="n"/>
      <c r="F1214" s="57" t="n"/>
      <c r="G1214" s="59" t="n"/>
      <c r="H1214" s="59" t="n"/>
      <c r="I1214" s="60">
        <f>IF(OR(G1214="",H1214=""),"",MOD(H1214-G1214,1))</f>
        <v/>
      </c>
      <c r="J1214" s="61">
        <f>IF(OR(G1214="",H1214=""),"",ROUND(MOD(H1214-G1214,1)*24,2))</f>
        <v/>
      </c>
      <c r="K1214" s="62">
        <f>IF(E1214="","",IF(E1214="Werken","JA","NEE"))</f>
        <v/>
      </c>
      <c r="L1214" s="61">
        <f>IF(K1214="JA",N(J1214),IF(E1214="","",0))</f>
        <v/>
      </c>
      <c r="M1214" s="62">
        <f>IF(AND(A1214="",E1214=""),"",IF(E1214="","Segment ontbreekt",IF(OR(G1214="",H1214=""),"Van/tot ontbreekt",IF(N(J1214)=0,"Duur is nul",IF(N(J1214)&gt;12,"Langer dan 12 uur - controleren",IF(AND(E1214="Werken",D1214=""),"Werken zonder klant - koppelen","OK"))))))</f>
        <v/>
      </c>
    </row>
    <row r="1215" ht="15" customHeight="1" s="42">
      <c r="A1215" s="55" t="n"/>
      <c r="B1215" s="56">
        <f>IF(A1215="","",WEEKNUM(A1215,21))</f>
        <v/>
      </c>
      <c r="C1215" s="57" t="n"/>
      <c r="D1215" s="57" t="n"/>
      <c r="E1215" s="58" t="n"/>
      <c r="F1215" s="57" t="n"/>
      <c r="G1215" s="59" t="n"/>
      <c r="H1215" s="59" t="n"/>
      <c r="I1215" s="60">
        <f>IF(OR(G1215="",H1215=""),"",MOD(H1215-G1215,1))</f>
        <v/>
      </c>
      <c r="J1215" s="61">
        <f>IF(OR(G1215="",H1215=""),"",ROUND(MOD(H1215-G1215,1)*24,2))</f>
        <v/>
      </c>
      <c r="K1215" s="62">
        <f>IF(E1215="","",IF(E1215="Werken","JA","NEE"))</f>
        <v/>
      </c>
      <c r="L1215" s="61">
        <f>IF(K1215="JA",N(J1215),IF(E1215="","",0))</f>
        <v/>
      </c>
      <c r="M1215" s="62">
        <f>IF(AND(A1215="",E1215=""),"",IF(E1215="","Segment ontbreekt",IF(OR(G1215="",H1215=""),"Van/tot ontbreekt",IF(N(J1215)=0,"Duur is nul",IF(N(J1215)&gt;12,"Langer dan 12 uur - controleren",IF(AND(E1215="Werken",D1215=""),"Werken zonder klant - koppelen","OK"))))))</f>
        <v/>
      </c>
    </row>
    <row r="1216" ht="15" customHeight="1" s="42">
      <c r="A1216" s="55" t="n"/>
      <c r="B1216" s="56">
        <f>IF(A1216="","",WEEKNUM(A1216,21))</f>
        <v/>
      </c>
      <c r="C1216" s="57" t="n"/>
      <c r="D1216" s="57" t="n"/>
      <c r="E1216" s="58" t="n"/>
      <c r="F1216" s="57" t="n"/>
      <c r="G1216" s="59" t="n"/>
      <c r="H1216" s="59" t="n"/>
      <c r="I1216" s="60">
        <f>IF(OR(G1216="",H1216=""),"",MOD(H1216-G1216,1))</f>
        <v/>
      </c>
      <c r="J1216" s="61">
        <f>IF(OR(G1216="",H1216=""),"",ROUND(MOD(H1216-G1216,1)*24,2))</f>
        <v/>
      </c>
      <c r="K1216" s="62">
        <f>IF(E1216="","",IF(E1216="Werken","JA","NEE"))</f>
        <v/>
      </c>
      <c r="L1216" s="61">
        <f>IF(K1216="JA",N(J1216),IF(E1216="","",0))</f>
        <v/>
      </c>
      <c r="M1216" s="62">
        <f>IF(AND(A1216="",E1216=""),"",IF(E1216="","Segment ontbreekt",IF(OR(G1216="",H1216=""),"Van/tot ontbreekt",IF(N(J1216)=0,"Duur is nul",IF(N(J1216)&gt;12,"Langer dan 12 uur - controleren",IF(AND(E1216="Werken",D1216=""),"Werken zonder klant - koppelen","OK"))))))</f>
        <v/>
      </c>
    </row>
    <row r="1217" ht="15" customHeight="1" s="42">
      <c r="A1217" s="55" t="n"/>
      <c r="B1217" s="56">
        <f>IF(A1217="","",WEEKNUM(A1217,21))</f>
        <v/>
      </c>
      <c r="C1217" s="57" t="n"/>
      <c r="D1217" s="57" t="n"/>
      <c r="E1217" s="58" t="n"/>
      <c r="F1217" s="57" t="n"/>
      <c r="G1217" s="59" t="n"/>
      <c r="H1217" s="59" t="n"/>
      <c r="I1217" s="60">
        <f>IF(OR(G1217="",H1217=""),"",MOD(H1217-G1217,1))</f>
        <v/>
      </c>
      <c r="J1217" s="61">
        <f>IF(OR(G1217="",H1217=""),"",ROUND(MOD(H1217-G1217,1)*24,2))</f>
        <v/>
      </c>
      <c r="K1217" s="62">
        <f>IF(E1217="","",IF(E1217="Werken","JA","NEE"))</f>
        <v/>
      </c>
      <c r="L1217" s="61">
        <f>IF(K1217="JA",N(J1217),IF(E1217="","",0))</f>
        <v/>
      </c>
      <c r="M1217" s="62">
        <f>IF(AND(A1217="",E1217=""),"",IF(E1217="","Segment ontbreekt",IF(OR(G1217="",H1217=""),"Van/tot ontbreekt",IF(N(J1217)=0,"Duur is nul",IF(N(J1217)&gt;12,"Langer dan 12 uur - controleren",IF(AND(E1217="Werken",D1217=""),"Werken zonder klant - koppelen","OK"))))))</f>
        <v/>
      </c>
    </row>
    <row r="1218" ht="15" customHeight="1" s="42">
      <c r="A1218" s="55" t="n"/>
      <c r="B1218" s="56">
        <f>IF(A1218="","",WEEKNUM(A1218,21))</f>
        <v/>
      </c>
      <c r="C1218" s="57" t="n"/>
      <c r="D1218" s="57" t="n"/>
      <c r="E1218" s="58" t="n"/>
      <c r="F1218" s="57" t="n"/>
      <c r="G1218" s="59" t="n"/>
      <c r="H1218" s="59" t="n"/>
      <c r="I1218" s="60">
        <f>IF(OR(G1218="",H1218=""),"",MOD(H1218-G1218,1))</f>
        <v/>
      </c>
      <c r="J1218" s="61">
        <f>IF(OR(G1218="",H1218=""),"",ROUND(MOD(H1218-G1218,1)*24,2))</f>
        <v/>
      </c>
      <c r="K1218" s="62">
        <f>IF(E1218="","",IF(E1218="Werken","JA","NEE"))</f>
        <v/>
      </c>
      <c r="L1218" s="61">
        <f>IF(K1218="JA",N(J1218),IF(E1218="","",0))</f>
        <v/>
      </c>
      <c r="M1218" s="62">
        <f>IF(AND(A1218="",E1218=""),"",IF(E1218="","Segment ontbreekt",IF(OR(G1218="",H1218=""),"Van/tot ontbreekt",IF(N(J1218)=0,"Duur is nul",IF(N(J1218)&gt;12,"Langer dan 12 uur - controleren",IF(AND(E1218="Werken",D1218=""),"Werken zonder klant - koppelen","OK"))))))</f>
        <v/>
      </c>
    </row>
    <row r="1219" ht="15" customHeight="1" s="42">
      <c r="A1219" s="55" t="n"/>
      <c r="B1219" s="56">
        <f>IF(A1219="","",WEEKNUM(A1219,21))</f>
        <v/>
      </c>
      <c r="C1219" s="57" t="n"/>
      <c r="D1219" s="57" t="n"/>
      <c r="E1219" s="58" t="n"/>
      <c r="F1219" s="57" t="n"/>
      <c r="G1219" s="59" t="n"/>
      <c r="H1219" s="59" t="n"/>
      <c r="I1219" s="60">
        <f>IF(OR(G1219="",H1219=""),"",MOD(H1219-G1219,1))</f>
        <v/>
      </c>
      <c r="J1219" s="61">
        <f>IF(OR(G1219="",H1219=""),"",ROUND(MOD(H1219-G1219,1)*24,2))</f>
        <v/>
      </c>
      <c r="K1219" s="62">
        <f>IF(E1219="","",IF(E1219="Werken","JA","NEE"))</f>
        <v/>
      </c>
      <c r="L1219" s="61">
        <f>IF(K1219="JA",N(J1219),IF(E1219="","",0))</f>
        <v/>
      </c>
      <c r="M1219" s="62">
        <f>IF(AND(A1219="",E1219=""),"",IF(E1219="","Segment ontbreekt",IF(OR(G1219="",H1219=""),"Van/tot ontbreekt",IF(N(J1219)=0,"Duur is nul",IF(N(J1219)&gt;12,"Langer dan 12 uur - controleren",IF(AND(E1219="Werken",D1219=""),"Werken zonder klant - koppelen","OK"))))))</f>
        <v/>
      </c>
    </row>
    <row r="1220" ht="15" customHeight="1" s="42">
      <c r="A1220" s="55" t="n"/>
      <c r="B1220" s="56">
        <f>IF(A1220="","",WEEKNUM(A1220,21))</f>
        <v/>
      </c>
      <c r="C1220" s="57" t="n"/>
      <c r="D1220" s="57" t="n"/>
      <c r="E1220" s="58" t="n"/>
      <c r="F1220" s="57" t="n"/>
      <c r="G1220" s="59" t="n"/>
      <c r="H1220" s="59" t="n"/>
      <c r="I1220" s="60">
        <f>IF(OR(G1220="",H1220=""),"",MOD(H1220-G1220,1))</f>
        <v/>
      </c>
      <c r="J1220" s="61">
        <f>IF(OR(G1220="",H1220=""),"",ROUND(MOD(H1220-G1220,1)*24,2))</f>
        <v/>
      </c>
      <c r="K1220" s="62">
        <f>IF(E1220="","",IF(E1220="Werken","JA","NEE"))</f>
        <v/>
      </c>
      <c r="L1220" s="61">
        <f>IF(K1220="JA",N(J1220),IF(E1220="","",0))</f>
        <v/>
      </c>
      <c r="M1220" s="62">
        <f>IF(AND(A1220="",E1220=""),"",IF(E1220="","Segment ontbreekt",IF(OR(G1220="",H1220=""),"Van/tot ontbreekt",IF(N(J1220)=0,"Duur is nul",IF(N(J1220)&gt;12,"Langer dan 12 uur - controleren",IF(AND(E1220="Werken",D1220=""),"Werken zonder klant - koppelen","OK"))))))</f>
        <v/>
      </c>
    </row>
    <row r="1221" ht="15" customHeight="1" s="42">
      <c r="A1221" s="55" t="n"/>
      <c r="B1221" s="56">
        <f>IF(A1221="","",WEEKNUM(A1221,21))</f>
        <v/>
      </c>
      <c r="C1221" s="57" t="n"/>
      <c r="D1221" s="57" t="n"/>
      <c r="E1221" s="58" t="n"/>
      <c r="F1221" s="57" t="n"/>
      <c r="G1221" s="59" t="n"/>
      <c r="H1221" s="59" t="n"/>
      <c r="I1221" s="60">
        <f>IF(OR(G1221="",H1221=""),"",MOD(H1221-G1221,1))</f>
        <v/>
      </c>
      <c r="J1221" s="61">
        <f>IF(OR(G1221="",H1221=""),"",ROUND(MOD(H1221-G1221,1)*24,2))</f>
        <v/>
      </c>
      <c r="K1221" s="62">
        <f>IF(E1221="","",IF(E1221="Werken","JA","NEE"))</f>
        <v/>
      </c>
      <c r="L1221" s="61">
        <f>IF(K1221="JA",N(J1221),IF(E1221="","",0))</f>
        <v/>
      </c>
      <c r="M1221" s="62">
        <f>IF(AND(A1221="",E1221=""),"",IF(E1221="","Segment ontbreekt",IF(OR(G1221="",H1221=""),"Van/tot ontbreekt",IF(N(J1221)=0,"Duur is nul",IF(N(J1221)&gt;12,"Langer dan 12 uur - controleren",IF(AND(E1221="Werken",D1221=""),"Werken zonder klant - koppelen","OK"))))))</f>
        <v/>
      </c>
    </row>
    <row r="1222" ht="15" customHeight="1" s="42">
      <c r="A1222" s="55" t="n"/>
      <c r="B1222" s="56">
        <f>IF(A1222="","",WEEKNUM(A1222,21))</f>
        <v/>
      </c>
      <c r="C1222" s="57" t="n"/>
      <c r="D1222" s="57" t="n"/>
      <c r="E1222" s="58" t="n"/>
      <c r="F1222" s="57" t="n"/>
      <c r="G1222" s="59" t="n"/>
      <c r="H1222" s="59" t="n"/>
      <c r="I1222" s="60">
        <f>IF(OR(G1222="",H1222=""),"",MOD(H1222-G1222,1))</f>
        <v/>
      </c>
      <c r="J1222" s="61">
        <f>IF(OR(G1222="",H1222=""),"",ROUND(MOD(H1222-G1222,1)*24,2))</f>
        <v/>
      </c>
      <c r="K1222" s="62">
        <f>IF(E1222="","",IF(E1222="Werken","JA","NEE"))</f>
        <v/>
      </c>
      <c r="L1222" s="61">
        <f>IF(K1222="JA",N(J1222),IF(E1222="","",0))</f>
        <v/>
      </c>
      <c r="M1222" s="62">
        <f>IF(AND(A1222="",E1222=""),"",IF(E1222="","Segment ontbreekt",IF(OR(G1222="",H1222=""),"Van/tot ontbreekt",IF(N(J1222)=0,"Duur is nul",IF(N(J1222)&gt;12,"Langer dan 12 uur - controleren",IF(AND(E1222="Werken",D1222=""),"Werken zonder klant - koppelen","OK"))))))</f>
        <v/>
      </c>
    </row>
    <row r="1223" ht="15" customHeight="1" s="42">
      <c r="A1223" s="55" t="n"/>
      <c r="B1223" s="56">
        <f>IF(A1223="","",WEEKNUM(A1223,21))</f>
        <v/>
      </c>
      <c r="C1223" s="57" t="n"/>
      <c r="D1223" s="57" t="n"/>
      <c r="E1223" s="58" t="n"/>
      <c r="F1223" s="57" t="n"/>
      <c r="G1223" s="59" t="n"/>
      <c r="H1223" s="59" t="n"/>
      <c r="I1223" s="60">
        <f>IF(OR(G1223="",H1223=""),"",MOD(H1223-G1223,1))</f>
        <v/>
      </c>
      <c r="J1223" s="61">
        <f>IF(OR(G1223="",H1223=""),"",ROUND(MOD(H1223-G1223,1)*24,2))</f>
        <v/>
      </c>
      <c r="K1223" s="62">
        <f>IF(E1223="","",IF(E1223="Werken","JA","NEE"))</f>
        <v/>
      </c>
      <c r="L1223" s="61">
        <f>IF(K1223="JA",N(J1223),IF(E1223="","",0))</f>
        <v/>
      </c>
      <c r="M1223" s="62">
        <f>IF(AND(A1223="",E1223=""),"",IF(E1223="","Segment ontbreekt",IF(OR(G1223="",H1223=""),"Van/tot ontbreekt",IF(N(J1223)=0,"Duur is nul",IF(N(J1223)&gt;12,"Langer dan 12 uur - controleren",IF(AND(E1223="Werken",D1223=""),"Werken zonder klant - koppelen","OK"))))))</f>
        <v/>
      </c>
    </row>
    <row r="1224" ht="15" customHeight="1" s="42">
      <c r="A1224" s="55" t="n"/>
      <c r="B1224" s="56">
        <f>IF(A1224="","",WEEKNUM(A1224,21))</f>
        <v/>
      </c>
      <c r="C1224" s="57" t="n"/>
      <c r="D1224" s="57" t="n"/>
      <c r="E1224" s="58" t="n"/>
      <c r="F1224" s="57" t="n"/>
      <c r="G1224" s="59" t="n"/>
      <c r="H1224" s="59" t="n"/>
      <c r="I1224" s="60">
        <f>IF(OR(G1224="",H1224=""),"",MOD(H1224-G1224,1))</f>
        <v/>
      </c>
      <c r="J1224" s="61">
        <f>IF(OR(G1224="",H1224=""),"",ROUND(MOD(H1224-G1224,1)*24,2))</f>
        <v/>
      </c>
      <c r="K1224" s="62">
        <f>IF(E1224="","",IF(E1224="Werken","JA","NEE"))</f>
        <v/>
      </c>
      <c r="L1224" s="61">
        <f>IF(K1224="JA",N(J1224),IF(E1224="","",0))</f>
        <v/>
      </c>
      <c r="M1224" s="62">
        <f>IF(AND(A1224="",E1224=""),"",IF(E1224="","Segment ontbreekt",IF(OR(G1224="",H1224=""),"Van/tot ontbreekt",IF(N(J1224)=0,"Duur is nul",IF(N(J1224)&gt;12,"Langer dan 12 uur - controleren",IF(AND(E1224="Werken",D1224=""),"Werken zonder klant - koppelen","OK"))))))</f>
        <v/>
      </c>
    </row>
    <row r="1225" ht="15" customHeight="1" s="42">
      <c r="A1225" s="55" t="n"/>
      <c r="B1225" s="56">
        <f>IF(A1225="","",WEEKNUM(A1225,21))</f>
        <v/>
      </c>
      <c r="C1225" s="57" t="n"/>
      <c r="D1225" s="57" t="n"/>
      <c r="E1225" s="58" t="n"/>
      <c r="F1225" s="57" t="n"/>
      <c r="G1225" s="59" t="n"/>
      <c r="H1225" s="59" t="n"/>
      <c r="I1225" s="60">
        <f>IF(OR(G1225="",H1225=""),"",MOD(H1225-G1225,1))</f>
        <v/>
      </c>
      <c r="J1225" s="61">
        <f>IF(OR(G1225="",H1225=""),"",ROUND(MOD(H1225-G1225,1)*24,2))</f>
        <v/>
      </c>
      <c r="K1225" s="62">
        <f>IF(E1225="","",IF(E1225="Werken","JA","NEE"))</f>
        <v/>
      </c>
      <c r="L1225" s="61">
        <f>IF(K1225="JA",N(J1225),IF(E1225="","",0))</f>
        <v/>
      </c>
      <c r="M1225" s="62">
        <f>IF(AND(A1225="",E1225=""),"",IF(E1225="","Segment ontbreekt",IF(OR(G1225="",H1225=""),"Van/tot ontbreekt",IF(N(J1225)=0,"Duur is nul",IF(N(J1225)&gt;12,"Langer dan 12 uur - controleren",IF(AND(E1225="Werken",D1225=""),"Werken zonder klant - koppelen","OK"))))))</f>
        <v/>
      </c>
    </row>
    <row r="1226" ht="15" customHeight="1" s="42">
      <c r="A1226" s="55" t="n"/>
      <c r="B1226" s="56">
        <f>IF(A1226="","",WEEKNUM(A1226,21))</f>
        <v/>
      </c>
      <c r="C1226" s="57" t="n"/>
      <c r="D1226" s="57" t="n"/>
      <c r="E1226" s="58" t="n"/>
      <c r="F1226" s="57" t="n"/>
      <c r="G1226" s="59" t="n"/>
      <c r="H1226" s="59" t="n"/>
      <c r="I1226" s="60">
        <f>IF(OR(G1226="",H1226=""),"",MOD(H1226-G1226,1))</f>
        <v/>
      </c>
      <c r="J1226" s="61">
        <f>IF(OR(G1226="",H1226=""),"",ROUND(MOD(H1226-G1226,1)*24,2))</f>
        <v/>
      </c>
      <c r="K1226" s="62">
        <f>IF(E1226="","",IF(E1226="Werken","JA","NEE"))</f>
        <v/>
      </c>
      <c r="L1226" s="61">
        <f>IF(K1226="JA",N(J1226),IF(E1226="","",0))</f>
        <v/>
      </c>
      <c r="M1226" s="62">
        <f>IF(AND(A1226="",E1226=""),"",IF(E1226="","Segment ontbreekt",IF(OR(G1226="",H1226=""),"Van/tot ontbreekt",IF(N(J1226)=0,"Duur is nul",IF(N(J1226)&gt;12,"Langer dan 12 uur - controleren",IF(AND(E1226="Werken",D1226=""),"Werken zonder klant - koppelen","OK"))))))</f>
        <v/>
      </c>
    </row>
    <row r="1227" ht="15" customHeight="1" s="42">
      <c r="A1227" s="55" t="n"/>
      <c r="B1227" s="56">
        <f>IF(A1227="","",WEEKNUM(A1227,21))</f>
        <v/>
      </c>
      <c r="C1227" s="57" t="n"/>
      <c r="D1227" s="57" t="n"/>
      <c r="E1227" s="58" t="n"/>
      <c r="F1227" s="57" t="n"/>
      <c r="G1227" s="59" t="n"/>
      <c r="H1227" s="59" t="n"/>
      <c r="I1227" s="60">
        <f>IF(OR(G1227="",H1227=""),"",MOD(H1227-G1227,1))</f>
        <v/>
      </c>
      <c r="J1227" s="61">
        <f>IF(OR(G1227="",H1227=""),"",ROUND(MOD(H1227-G1227,1)*24,2))</f>
        <v/>
      </c>
      <c r="K1227" s="62">
        <f>IF(E1227="","",IF(E1227="Werken","JA","NEE"))</f>
        <v/>
      </c>
      <c r="L1227" s="61">
        <f>IF(K1227="JA",N(J1227),IF(E1227="","",0))</f>
        <v/>
      </c>
      <c r="M1227" s="62">
        <f>IF(AND(A1227="",E1227=""),"",IF(E1227="","Segment ontbreekt",IF(OR(G1227="",H1227=""),"Van/tot ontbreekt",IF(N(J1227)=0,"Duur is nul",IF(N(J1227)&gt;12,"Langer dan 12 uur - controleren",IF(AND(E1227="Werken",D1227=""),"Werken zonder klant - koppelen","OK"))))))</f>
        <v/>
      </c>
    </row>
    <row r="1228" ht="15" customHeight="1" s="42">
      <c r="A1228" s="55" t="n"/>
      <c r="B1228" s="56">
        <f>IF(A1228="","",WEEKNUM(A1228,21))</f>
        <v/>
      </c>
      <c r="C1228" s="57" t="n"/>
      <c r="D1228" s="57" t="n"/>
      <c r="E1228" s="58" t="n"/>
      <c r="F1228" s="57" t="n"/>
      <c r="G1228" s="59" t="n"/>
      <c r="H1228" s="59" t="n"/>
      <c r="I1228" s="60">
        <f>IF(OR(G1228="",H1228=""),"",MOD(H1228-G1228,1))</f>
        <v/>
      </c>
      <c r="J1228" s="61">
        <f>IF(OR(G1228="",H1228=""),"",ROUND(MOD(H1228-G1228,1)*24,2))</f>
        <v/>
      </c>
      <c r="K1228" s="62">
        <f>IF(E1228="","",IF(E1228="Werken","JA","NEE"))</f>
        <v/>
      </c>
      <c r="L1228" s="61">
        <f>IF(K1228="JA",N(J1228),IF(E1228="","",0))</f>
        <v/>
      </c>
      <c r="M1228" s="62">
        <f>IF(AND(A1228="",E1228=""),"",IF(E1228="","Segment ontbreekt",IF(OR(G1228="",H1228=""),"Van/tot ontbreekt",IF(N(J1228)=0,"Duur is nul",IF(N(J1228)&gt;12,"Langer dan 12 uur - controleren",IF(AND(E1228="Werken",D1228=""),"Werken zonder klant - koppelen","OK"))))))</f>
        <v/>
      </c>
    </row>
    <row r="1229" ht="15" customHeight="1" s="42">
      <c r="A1229" s="55" t="n"/>
      <c r="B1229" s="56">
        <f>IF(A1229="","",WEEKNUM(A1229,21))</f>
        <v/>
      </c>
      <c r="C1229" s="57" t="n"/>
      <c r="D1229" s="57" t="n"/>
      <c r="E1229" s="58" t="n"/>
      <c r="F1229" s="57" t="n"/>
      <c r="G1229" s="59" t="n"/>
      <c r="H1229" s="59" t="n"/>
      <c r="I1229" s="60">
        <f>IF(OR(G1229="",H1229=""),"",MOD(H1229-G1229,1))</f>
        <v/>
      </c>
      <c r="J1229" s="61">
        <f>IF(OR(G1229="",H1229=""),"",ROUND(MOD(H1229-G1229,1)*24,2))</f>
        <v/>
      </c>
      <c r="K1229" s="62">
        <f>IF(E1229="","",IF(E1229="Werken","JA","NEE"))</f>
        <v/>
      </c>
      <c r="L1229" s="61">
        <f>IF(K1229="JA",N(J1229),IF(E1229="","",0))</f>
        <v/>
      </c>
      <c r="M1229" s="62">
        <f>IF(AND(A1229="",E1229=""),"",IF(E1229="","Segment ontbreekt",IF(OR(G1229="",H1229=""),"Van/tot ontbreekt",IF(N(J1229)=0,"Duur is nul",IF(N(J1229)&gt;12,"Langer dan 12 uur - controleren",IF(AND(E1229="Werken",D1229=""),"Werken zonder klant - koppelen","OK"))))))</f>
        <v/>
      </c>
    </row>
    <row r="1230" ht="15" customHeight="1" s="42">
      <c r="A1230" s="55" t="n"/>
      <c r="B1230" s="56">
        <f>IF(A1230="","",WEEKNUM(A1230,21))</f>
        <v/>
      </c>
      <c r="C1230" s="57" t="n"/>
      <c r="D1230" s="57" t="n"/>
      <c r="E1230" s="58" t="n"/>
      <c r="F1230" s="57" t="n"/>
      <c r="G1230" s="59" t="n"/>
      <c r="H1230" s="59" t="n"/>
      <c r="I1230" s="60">
        <f>IF(OR(G1230="",H1230=""),"",MOD(H1230-G1230,1))</f>
        <v/>
      </c>
      <c r="J1230" s="61">
        <f>IF(OR(G1230="",H1230=""),"",ROUND(MOD(H1230-G1230,1)*24,2))</f>
        <v/>
      </c>
      <c r="K1230" s="62">
        <f>IF(E1230="","",IF(E1230="Werken","JA","NEE"))</f>
        <v/>
      </c>
      <c r="L1230" s="61">
        <f>IF(K1230="JA",N(J1230),IF(E1230="","",0))</f>
        <v/>
      </c>
      <c r="M1230" s="62">
        <f>IF(AND(A1230="",E1230=""),"",IF(E1230="","Segment ontbreekt",IF(OR(G1230="",H1230=""),"Van/tot ontbreekt",IF(N(J1230)=0,"Duur is nul",IF(N(J1230)&gt;12,"Langer dan 12 uur - controleren",IF(AND(E1230="Werken",D1230=""),"Werken zonder klant - koppelen","OK"))))))</f>
        <v/>
      </c>
    </row>
    <row r="1231" ht="15" customHeight="1" s="42">
      <c r="A1231" s="55" t="n"/>
      <c r="B1231" s="56">
        <f>IF(A1231="","",WEEKNUM(A1231,21))</f>
        <v/>
      </c>
      <c r="C1231" s="57" t="n"/>
      <c r="D1231" s="57" t="n"/>
      <c r="E1231" s="58" t="n"/>
      <c r="F1231" s="57" t="n"/>
      <c r="G1231" s="59" t="n"/>
      <c r="H1231" s="59" t="n"/>
      <c r="I1231" s="60">
        <f>IF(OR(G1231="",H1231=""),"",MOD(H1231-G1231,1))</f>
        <v/>
      </c>
      <c r="J1231" s="61">
        <f>IF(OR(G1231="",H1231=""),"",ROUND(MOD(H1231-G1231,1)*24,2))</f>
        <v/>
      </c>
      <c r="K1231" s="62">
        <f>IF(E1231="","",IF(E1231="Werken","JA","NEE"))</f>
        <v/>
      </c>
      <c r="L1231" s="61">
        <f>IF(K1231="JA",N(J1231),IF(E1231="","",0))</f>
        <v/>
      </c>
      <c r="M1231" s="62">
        <f>IF(AND(A1231="",E1231=""),"",IF(E1231="","Segment ontbreekt",IF(OR(G1231="",H1231=""),"Van/tot ontbreekt",IF(N(J1231)=0,"Duur is nul",IF(N(J1231)&gt;12,"Langer dan 12 uur - controleren",IF(AND(E1231="Werken",D1231=""),"Werken zonder klant - koppelen","OK"))))))</f>
        <v/>
      </c>
    </row>
    <row r="1232" ht="15" customHeight="1" s="42">
      <c r="A1232" s="55" t="n"/>
      <c r="B1232" s="56">
        <f>IF(A1232="","",WEEKNUM(A1232,21))</f>
        <v/>
      </c>
      <c r="C1232" s="57" t="n"/>
      <c r="D1232" s="57" t="n"/>
      <c r="E1232" s="58" t="n"/>
      <c r="F1232" s="57" t="n"/>
      <c r="G1232" s="59" t="n"/>
      <c r="H1232" s="59" t="n"/>
      <c r="I1232" s="60">
        <f>IF(OR(G1232="",H1232=""),"",MOD(H1232-G1232,1))</f>
        <v/>
      </c>
      <c r="J1232" s="61">
        <f>IF(OR(G1232="",H1232=""),"",ROUND(MOD(H1232-G1232,1)*24,2))</f>
        <v/>
      </c>
      <c r="K1232" s="62">
        <f>IF(E1232="","",IF(E1232="Werken","JA","NEE"))</f>
        <v/>
      </c>
      <c r="L1232" s="61">
        <f>IF(K1232="JA",N(J1232),IF(E1232="","",0))</f>
        <v/>
      </c>
      <c r="M1232" s="62">
        <f>IF(AND(A1232="",E1232=""),"",IF(E1232="","Segment ontbreekt",IF(OR(G1232="",H1232=""),"Van/tot ontbreekt",IF(N(J1232)=0,"Duur is nul",IF(N(J1232)&gt;12,"Langer dan 12 uur - controleren",IF(AND(E1232="Werken",D1232=""),"Werken zonder klant - koppelen","OK"))))))</f>
        <v/>
      </c>
    </row>
    <row r="1233" ht="15" customHeight="1" s="42">
      <c r="A1233" s="55" t="n"/>
      <c r="B1233" s="56">
        <f>IF(A1233="","",WEEKNUM(A1233,21))</f>
        <v/>
      </c>
      <c r="C1233" s="57" t="n"/>
      <c r="D1233" s="57" t="n"/>
      <c r="E1233" s="58" t="n"/>
      <c r="F1233" s="57" t="n"/>
      <c r="G1233" s="59" t="n"/>
      <c r="H1233" s="59" t="n"/>
      <c r="I1233" s="60">
        <f>IF(OR(G1233="",H1233=""),"",MOD(H1233-G1233,1))</f>
        <v/>
      </c>
      <c r="J1233" s="61">
        <f>IF(OR(G1233="",H1233=""),"",ROUND(MOD(H1233-G1233,1)*24,2))</f>
        <v/>
      </c>
      <c r="K1233" s="62">
        <f>IF(E1233="","",IF(E1233="Werken","JA","NEE"))</f>
        <v/>
      </c>
      <c r="L1233" s="61">
        <f>IF(K1233="JA",N(J1233),IF(E1233="","",0))</f>
        <v/>
      </c>
      <c r="M1233" s="62">
        <f>IF(AND(A1233="",E1233=""),"",IF(E1233="","Segment ontbreekt",IF(OR(G1233="",H1233=""),"Van/tot ontbreekt",IF(N(J1233)=0,"Duur is nul",IF(N(J1233)&gt;12,"Langer dan 12 uur - controleren",IF(AND(E1233="Werken",D1233=""),"Werken zonder klant - koppelen","OK"))))))</f>
        <v/>
      </c>
    </row>
    <row r="1234" ht="15" customHeight="1" s="42">
      <c r="A1234" s="55" t="n"/>
      <c r="B1234" s="56">
        <f>IF(A1234="","",WEEKNUM(A1234,21))</f>
        <v/>
      </c>
      <c r="C1234" s="57" t="n"/>
      <c r="D1234" s="57" t="n"/>
      <c r="E1234" s="58" t="n"/>
      <c r="F1234" s="57" t="n"/>
      <c r="G1234" s="59" t="n"/>
      <c r="H1234" s="59" t="n"/>
      <c r="I1234" s="60">
        <f>IF(OR(G1234="",H1234=""),"",MOD(H1234-G1234,1))</f>
        <v/>
      </c>
      <c r="J1234" s="61">
        <f>IF(OR(G1234="",H1234=""),"",ROUND(MOD(H1234-G1234,1)*24,2))</f>
        <v/>
      </c>
      <c r="K1234" s="62">
        <f>IF(E1234="","",IF(E1234="Werken","JA","NEE"))</f>
        <v/>
      </c>
      <c r="L1234" s="61">
        <f>IF(K1234="JA",N(J1234),IF(E1234="","",0))</f>
        <v/>
      </c>
      <c r="M1234" s="62">
        <f>IF(AND(A1234="",E1234=""),"",IF(E1234="","Segment ontbreekt",IF(OR(G1234="",H1234=""),"Van/tot ontbreekt",IF(N(J1234)=0,"Duur is nul",IF(N(J1234)&gt;12,"Langer dan 12 uur - controleren",IF(AND(E1234="Werken",D1234=""),"Werken zonder klant - koppelen","OK"))))))</f>
        <v/>
      </c>
    </row>
    <row r="1235" ht="15" customHeight="1" s="42">
      <c r="A1235" s="55" t="n"/>
      <c r="B1235" s="56">
        <f>IF(A1235="","",WEEKNUM(A1235,21))</f>
        <v/>
      </c>
      <c r="C1235" s="57" t="n"/>
      <c r="D1235" s="57" t="n"/>
      <c r="E1235" s="58" t="n"/>
      <c r="F1235" s="57" t="n"/>
      <c r="G1235" s="59" t="n"/>
      <c r="H1235" s="59" t="n"/>
      <c r="I1235" s="60">
        <f>IF(OR(G1235="",H1235=""),"",MOD(H1235-G1235,1))</f>
        <v/>
      </c>
      <c r="J1235" s="61">
        <f>IF(OR(G1235="",H1235=""),"",ROUND(MOD(H1235-G1235,1)*24,2))</f>
        <v/>
      </c>
      <c r="K1235" s="62">
        <f>IF(E1235="","",IF(E1235="Werken","JA","NEE"))</f>
        <v/>
      </c>
      <c r="L1235" s="61">
        <f>IF(K1235="JA",N(J1235),IF(E1235="","",0))</f>
        <v/>
      </c>
      <c r="M1235" s="62">
        <f>IF(AND(A1235="",E1235=""),"",IF(E1235="","Segment ontbreekt",IF(OR(G1235="",H1235=""),"Van/tot ontbreekt",IF(N(J1235)=0,"Duur is nul",IF(N(J1235)&gt;12,"Langer dan 12 uur - controleren",IF(AND(E1235="Werken",D1235=""),"Werken zonder klant - koppelen","OK"))))))</f>
        <v/>
      </c>
    </row>
    <row r="1236" ht="15" customHeight="1" s="42">
      <c r="A1236" s="55" t="n"/>
      <c r="B1236" s="56">
        <f>IF(A1236="","",WEEKNUM(A1236,21))</f>
        <v/>
      </c>
      <c r="C1236" s="57" t="n"/>
      <c r="D1236" s="57" t="n"/>
      <c r="E1236" s="58" t="n"/>
      <c r="F1236" s="57" t="n"/>
      <c r="G1236" s="59" t="n"/>
      <c r="H1236" s="59" t="n"/>
      <c r="I1236" s="60">
        <f>IF(OR(G1236="",H1236=""),"",MOD(H1236-G1236,1))</f>
        <v/>
      </c>
      <c r="J1236" s="61">
        <f>IF(OR(G1236="",H1236=""),"",ROUND(MOD(H1236-G1236,1)*24,2))</f>
        <v/>
      </c>
      <c r="K1236" s="62">
        <f>IF(E1236="","",IF(E1236="Werken","JA","NEE"))</f>
        <v/>
      </c>
      <c r="L1236" s="61">
        <f>IF(K1236="JA",N(J1236),IF(E1236="","",0))</f>
        <v/>
      </c>
      <c r="M1236" s="62">
        <f>IF(AND(A1236="",E1236=""),"",IF(E1236="","Segment ontbreekt",IF(OR(G1236="",H1236=""),"Van/tot ontbreekt",IF(N(J1236)=0,"Duur is nul",IF(N(J1236)&gt;12,"Langer dan 12 uur - controleren",IF(AND(E1236="Werken",D1236=""),"Werken zonder klant - koppelen","OK"))))))</f>
        <v/>
      </c>
    </row>
    <row r="1237" ht="15" customHeight="1" s="42">
      <c r="A1237" s="55" t="n"/>
      <c r="B1237" s="56">
        <f>IF(A1237="","",WEEKNUM(A1237,21))</f>
        <v/>
      </c>
      <c r="C1237" s="57" t="n"/>
      <c r="D1237" s="57" t="n"/>
      <c r="E1237" s="58" t="n"/>
      <c r="F1237" s="57" t="n"/>
      <c r="G1237" s="59" t="n"/>
      <c r="H1237" s="59" t="n"/>
      <c r="I1237" s="60">
        <f>IF(OR(G1237="",H1237=""),"",MOD(H1237-G1237,1))</f>
        <v/>
      </c>
      <c r="J1237" s="61">
        <f>IF(OR(G1237="",H1237=""),"",ROUND(MOD(H1237-G1237,1)*24,2))</f>
        <v/>
      </c>
      <c r="K1237" s="62">
        <f>IF(E1237="","",IF(E1237="Werken","JA","NEE"))</f>
        <v/>
      </c>
      <c r="L1237" s="61">
        <f>IF(K1237="JA",N(J1237),IF(E1237="","",0))</f>
        <v/>
      </c>
      <c r="M1237" s="62">
        <f>IF(AND(A1237="",E1237=""),"",IF(E1237="","Segment ontbreekt",IF(OR(G1237="",H1237=""),"Van/tot ontbreekt",IF(N(J1237)=0,"Duur is nul",IF(N(J1237)&gt;12,"Langer dan 12 uur - controleren",IF(AND(E1237="Werken",D1237=""),"Werken zonder klant - koppelen","OK"))))))</f>
        <v/>
      </c>
    </row>
    <row r="1238" ht="15" customHeight="1" s="42">
      <c r="A1238" s="55" t="n"/>
      <c r="B1238" s="56">
        <f>IF(A1238="","",WEEKNUM(A1238,21))</f>
        <v/>
      </c>
      <c r="C1238" s="57" t="n"/>
      <c r="D1238" s="57" t="n"/>
      <c r="E1238" s="58" t="n"/>
      <c r="F1238" s="57" t="n"/>
      <c r="G1238" s="59" t="n"/>
      <c r="H1238" s="59" t="n"/>
      <c r="I1238" s="60">
        <f>IF(OR(G1238="",H1238=""),"",MOD(H1238-G1238,1))</f>
        <v/>
      </c>
      <c r="J1238" s="61">
        <f>IF(OR(G1238="",H1238=""),"",ROUND(MOD(H1238-G1238,1)*24,2))</f>
        <v/>
      </c>
      <c r="K1238" s="62">
        <f>IF(E1238="","",IF(E1238="Werken","JA","NEE"))</f>
        <v/>
      </c>
      <c r="L1238" s="61">
        <f>IF(K1238="JA",N(J1238),IF(E1238="","",0))</f>
        <v/>
      </c>
      <c r="M1238" s="62">
        <f>IF(AND(A1238="",E1238=""),"",IF(E1238="","Segment ontbreekt",IF(OR(G1238="",H1238=""),"Van/tot ontbreekt",IF(N(J1238)=0,"Duur is nul",IF(N(J1238)&gt;12,"Langer dan 12 uur - controleren",IF(AND(E1238="Werken",D1238=""),"Werken zonder klant - koppelen","OK"))))))</f>
        <v/>
      </c>
    </row>
    <row r="1239" ht="15" customHeight="1" s="42">
      <c r="A1239" s="55" t="n"/>
      <c r="B1239" s="56">
        <f>IF(A1239="","",WEEKNUM(A1239,21))</f>
        <v/>
      </c>
      <c r="C1239" s="57" t="n"/>
      <c r="D1239" s="57" t="n"/>
      <c r="E1239" s="58" t="n"/>
      <c r="F1239" s="57" t="n"/>
      <c r="G1239" s="59" t="n"/>
      <c r="H1239" s="59" t="n"/>
      <c r="I1239" s="60">
        <f>IF(OR(G1239="",H1239=""),"",MOD(H1239-G1239,1))</f>
        <v/>
      </c>
      <c r="J1239" s="61">
        <f>IF(OR(G1239="",H1239=""),"",ROUND(MOD(H1239-G1239,1)*24,2))</f>
        <v/>
      </c>
      <c r="K1239" s="62">
        <f>IF(E1239="","",IF(E1239="Werken","JA","NEE"))</f>
        <v/>
      </c>
      <c r="L1239" s="61">
        <f>IF(K1239="JA",N(J1239),IF(E1239="","",0))</f>
        <v/>
      </c>
      <c r="M1239" s="62">
        <f>IF(AND(A1239="",E1239=""),"",IF(E1239="","Segment ontbreekt",IF(OR(G1239="",H1239=""),"Van/tot ontbreekt",IF(N(J1239)=0,"Duur is nul",IF(N(J1239)&gt;12,"Langer dan 12 uur - controleren",IF(AND(E1239="Werken",D1239=""),"Werken zonder klant - koppelen","OK"))))))</f>
        <v/>
      </c>
    </row>
    <row r="1240" ht="15" customHeight="1" s="42">
      <c r="A1240" s="55" t="n"/>
      <c r="B1240" s="56">
        <f>IF(A1240="","",WEEKNUM(A1240,21))</f>
        <v/>
      </c>
      <c r="C1240" s="57" t="n"/>
      <c r="D1240" s="57" t="n"/>
      <c r="E1240" s="58" t="n"/>
      <c r="F1240" s="57" t="n"/>
      <c r="G1240" s="59" t="n"/>
      <c r="H1240" s="59" t="n"/>
      <c r="I1240" s="60">
        <f>IF(OR(G1240="",H1240=""),"",MOD(H1240-G1240,1))</f>
        <v/>
      </c>
      <c r="J1240" s="61">
        <f>IF(OR(G1240="",H1240=""),"",ROUND(MOD(H1240-G1240,1)*24,2))</f>
        <v/>
      </c>
      <c r="K1240" s="62">
        <f>IF(E1240="","",IF(E1240="Werken","JA","NEE"))</f>
        <v/>
      </c>
      <c r="L1240" s="61">
        <f>IF(K1240="JA",N(J1240),IF(E1240="","",0))</f>
        <v/>
      </c>
      <c r="M1240" s="62">
        <f>IF(AND(A1240="",E1240=""),"",IF(E1240="","Segment ontbreekt",IF(OR(G1240="",H1240=""),"Van/tot ontbreekt",IF(N(J1240)=0,"Duur is nul",IF(N(J1240)&gt;12,"Langer dan 12 uur - controleren",IF(AND(E1240="Werken",D1240=""),"Werken zonder klant - koppelen","OK"))))))</f>
        <v/>
      </c>
    </row>
    <row r="1241" ht="15" customHeight="1" s="42">
      <c r="A1241" s="55" t="n"/>
      <c r="B1241" s="56">
        <f>IF(A1241="","",WEEKNUM(A1241,21))</f>
        <v/>
      </c>
      <c r="C1241" s="57" t="n"/>
      <c r="D1241" s="57" t="n"/>
      <c r="E1241" s="58" t="n"/>
      <c r="F1241" s="57" t="n"/>
      <c r="G1241" s="59" t="n"/>
      <c r="H1241" s="59" t="n"/>
      <c r="I1241" s="60">
        <f>IF(OR(G1241="",H1241=""),"",MOD(H1241-G1241,1))</f>
        <v/>
      </c>
      <c r="J1241" s="61">
        <f>IF(OR(G1241="",H1241=""),"",ROUND(MOD(H1241-G1241,1)*24,2))</f>
        <v/>
      </c>
      <c r="K1241" s="62">
        <f>IF(E1241="","",IF(E1241="Werken","JA","NEE"))</f>
        <v/>
      </c>
      <c r="L1241" s="61">
        <f>IF(K1241="JA",N(J1241),IF(E1241="","",0))</f>
        <v/>
      </c>
      <c r="M1241" s="62">
        <f>IF(AND(A1241="",E1241=""),"",IF(E1241="","Segment ontbreekt",IF(OR(G1241="",H1241=""),"Van/tot ontbreekt",IF(N(J1241)=0,"Duur is nul",IF(N(J1241)&gt;12,"Langer dan 12 uur - controleren",IF(AND(E1241="Werken",D1241=""),"Werken zonder klant - koppelen","OK"))))))</f>
        <v/>
      </c>
    </row>
    <row r="1242" ht="15" customHeight="1" s="42">
      <c r="A1242" s="55" t="n"/>
      <c r="B1242" s="56">
        <f>IF(A1242="","",WEEKNUM(A1242,21))</f>
        <v/>
      </c>
      <c r="C1242" s="57" t="n"/>
      <c r="D1242" s="57" t="n"/>
      <c r="E1242" s="58" t="n"/>
      <c r="F1242" s="57" t="n"/>
      <c r="G1242" s="59" t="n"/>
      <c r="H1242" s="59" t="n"/>
      <c r="I1242" s="60">
        <f>IF(OR(G1242="",H1242=""),"",MOD(H1242-G1242,1))</f>
        <v/>
      </c>
      <c r="J1242" s="61">
        <f>IF(OR(G1242="",H1242=""),"",ROUND(MOD(H1242-G1242,1)*24,2))</f>
        <v/>
      </c>
      <c r="K1242" s="62">
        <f>IF(E1242="","",IF(E1242="Werken","JA","NEE"))</f>
        <v/>
      </c>
      <c r="L1242" s="61">
        <f>IF(K1242="JA",N(J1242),IF(E1242="","",0))</f>
        <v/>
      </c>
      <c r="M1242" s="62">
        <f>IF(AND(A1242="",E1242=""),"",IF(E1242="","Segment ontbreekt",IF(OR(G1242="",H1242=""),"Van/tot ontbreekt",IF(N(J1242)=0,"Duur is nul",IF(N(J1242)&gt;12,"Langer dan 12 uur - controleren",IF(AND(E1242="Werken",D1242=""),"Werken zonder klant - koppelen","OK"))))))</f>
        <v/>
      </c>
    </row>
    <row r="1243" ht="15" customHeight="1" s="42">
      <c r="A1243" s="55" t="n"/>
      <c r="B1243" s="56">
        <f>IF(A1243="","",WEEKNUM(A1243,21))</f>
        <v/>
      </c>
      <c r="C1243" s="57" t="n"/>
      <c r="D1243" s="57" t="n"/>
      <c r="E1243" s="58" t="n"/>
      <c r="F1243" s="57" t="n"/>
      <c r="G1243" s="59" t="n"/>
      <c r="H1243" s="59" t="n"/>
      <c r="I1243" s="60">
        <f>IF(OR(G1243="",H1243=""),"",MOD(H1243-G1243,1))</f>
        <v/>
      </c>
      <c r="J1243" s="61">
        <f>IF(OR(G1243="",H1243=""),"",ROUND(MOD(H1243-G1243,1)*24,2))</f>
        <v/>
      </c>
      <c r="K1243" s="62">
        <f>IF(E1243="","",IF(E1243="Werken","JA","NEE"))</f>
        <v/>
      </c>
      <c r="L1243" s="61">
        <f>IF(K1243="JA",N(J1243),IF(E1243="","",0))</f>
        <v/>
      </c>
      <c r="M1243" s="62">
        <f>IF(AND(A1243="",E1243=""),"",IF(E1243="","Segment ontbreekt",IF(OR(G1243="",H1243=""),"Van/tot ontbreekt",IF(N(J1243)=0,"Duur is nul",IF(N(J1243)&gt;12,"Langer dan 12 uur - controleren",IF(AND(E1243="Werken",D1243=""),"Werken zonder klant - koppelen","OK"))))))</f>
        <v/>
      </c>
    </row>
    <row r="1244" ht="15" customHeight="1" s="42">
      <c r="A1244" s="55" t="n"/>
      <c r="B1244" s="56">
        <f>IF(A1244="","",WEEKNUM(A1244,21))</f>
        <v/>
      </c>
      <c r="C1244" s="57" t="n"/>
      <c r="D1244" s="57" t="n"/>
      <c r="E1244" s="58" t="n"/>
      <c r="F1244" s="57" t="n"/>
      <c r="G1244" s="59" t="n"/>
      <c r="H1244" s="59" t="n"/>
      <c r="I1244" s="60">
        <f>IF(OR(G1244="",H1244=""),"",MOD(H1244-G1244,1))</f>
        <v/>
      </c>
      <c r="J1244" s="61">
        <f>IF(OR(G1244="",H1244=""),"",ROUND(MOD(H1244-G1244,1)*24,2))</f>
        <v/>
      </c>
      <c r="K1244" s="62">
        <f>IF(E1244="","",IF(E1244="Werken","JA","NEE"))</f>
        <v/>
      </c>
      <c r="L1244" s="61">
        <f>IF(K1244="JA",N(J1244),IF(E1244="","",0))</f>
        <v/>
      </c>
      <c r="M1244" s="62">
        <f>IF(AND(A1244="",E1244=""),"",IF(E1244="","Segment ontbreekt",IF(OR(G1244="",H1244=""),"Van/tot ontbreekt",IF(N(J1244)=0,"Duur is nul",IF(N(J1244)&gt;12,"Langer dan 12 uur - controleren",IF(AND(E1244="Werken",D1244=""),"Werken zonder klant - koppelen","OK"))))))</f>
        <v/>
      </c>
    </row>
    <row r="1245" ht="15" customHeight="1" s="42">
      <c r="A1245" s="55" t="n"/>
      <c r="B1245" s="56">
        <f>IF(A1245="","",WEEKNUM(A1245,21))</f>
        <v/>
      </c>
      <c r="C1245" s="57" t="n"/>
      <c r="D1245" s="57" t="n"/>
      <c r="E1245" s="58" t="n"/>
      <c r="F1245" s="57" t="n"/>
      <c r="G1245" s="59" t="n"/>
      <c r="H1245" s="59" t="n"/>
      <c r="I1245" s="60">
        <f>IF(OR(G1245="",H1245=""),"",MOD(H1245-G1245,1))</f>
        <v/>
      </c>
      <c r="J1245" s="61">
        <f>IF(OR(G1245="",H1245=""),"",ROUND(MOD(H1245-G1245,1)*24,2))</f>
        <v/>
      </c>
      <c r="K1245" s="62">
        <f>IF(E1245="","",IF(E1245="Werken","JA","NEE"))</f>
        <v/>
      </c>
      <c r="L1245" s="61">
        <f>IF(K1245="JA",N(J1245),IF(E1245="","",0))</f>
        <v/>
      </c>
      <c r="M1245" s="62">
        <f>IF(AND(A1245="",E1245=""),"",IF(E1245="","Segment ontbreekt",IF(OR(G1245="",H1245=""),"Van/tot ontbreekt",IF(N(J1245)=0,"Duur is nul",IF(N(J1245)&gt;12,"Langer dan 12 uur - controleren",IF(AND(E1245="Werken",D1245=""),"Werken zonder klant - koppelen","OK"))))))</f>
        <v/>
      </c>
    </row>
    <row r="1246" ht="15" customHeight="1" s="42">
      <c r="A1246" s="55" t="n"/>
      <c r="B1246" s="56">
        <f>IF(A1246="","",WEEKNUM(A1246,21))</f>
        <v/>
      </c>
      <c r="C1246" s="57" t="n"/>
      <c r="D1246" s="57" t="n"/>
      <c r="E1246" s="58" t="n"/>
      <c r="F1246" s="57" t="n"/>
      <c r="G1246" s="59" t="n"/>
      <c r="H1246" s="59" t="n"/>
      <c r="I1246" s="60">
        <f>IF(OR(G1246="",H1246=""),"",MOD(H1246-G1246,1))</f>
        <v/>
      </c>
      <c r="J1246" s="61">
        <f>IF(OR(G1246="",H1246=""),"",ROUND(MOD(H1246-G1246,1)*24,2))</f>
        <v/>
      </c>
      <c r="K1246" s="62">
        <f>IF(E1246="","",IF(E1246="Werken","JA","NEE"))</f>
        <v/>
      </c>
      <c r="L1246" s="61">
        <f>IF(K1246="JA",N(J1246),IF(E1246="","",0))</f>
        <v/>
      </c>
      <c r="M1246" s="62">
        <f>IF(AND(A1246="",E1246=""),"",IF(E1246="","Segment ontbreekt",IF(OR(G1246="",H1246=""),"Van/tot ontbreekt",IF(N(J1246)=0,"Duur is nul",IF(N(J1246)&gt;12,"Langer dan 12 uur - controleren",IF(AND(E1246="Werken",D1246=""),"Werken zonder klant - koppelen","OK"))))))</f>
        <v/>
      </c>
    </row>
    <row r="1247" ht="15" customHeight="1" s="42">
      <c r="A1247" s="55" t="n"/>
      <c r="B1247" s="56">
        <f>IF(A1247="","",WEEKNUM(A1247,21))</f>
        <v/>
      </c>
      <c r="C1247" s="57" t="n"/>
      <c r="D1247" s="57" t="n"/>
      <c r="E1247" s="58" t="n"/>
      <c r="F1247" s="57" t="n"/>
      <c r="G1247" s="59" t="n"/>
      <c r="H1247" s="59" t="n"/>
      <c r="I1247" s="60">
        <f>IF(OR(G1247="",H1247=""),"",MOD(H1247-G1247,1))</f>
        <v/>
      </c>
      <c r="J1247" s="61">
        <f>IF(OR(G1247="",H1247=""),"",ROUND(MOD(H1247-G1247,1)*24,2))</f>
        <v/>
      </c>
      <c r="K1247" s="62">
        <f>IF(E1247="","",IF(E1247="Werken","JA","NEE"))</f>
        <v/>
      </c>
      <c r="L1247" s="61">
        <f>IF(K1247="JA",N(J1247),IF(E1247="","",0))</f>
        <v/>
      </c>
      <c r="M1247" s="62">
        <f>IF(AND(A1247="",E1247=""),"",IF(E1247="","Segment ontbreekt",IF(OR(G1247="",H1247=""),"Van/tot ontbreekt",IF(N(J1247)=0,"Duur is nul",IF(N(J1247)&gt;12,"Langer dan 12 uur - controleren",IF(AND(E1247="Werken",D1247=""),"Werken zonder klant - koppelen","OK"))))))</f>
        <v/>
      </c>
    </row>
    <row r="1248" ht="15" customHeight="1" s="42">
      <c r="A1248" s="55" t="n"/>
      <c r="B1248" s="56">
        <f>IF(A1248="","",WEEKNUM(A1248,21))</f>
        <v/>
      </c>
      <c r="C1248" s="57" t="n"/>
      <c r="D1248" s="57" t="n"/>
      <c r="E1248" s="58" t="n"/>
      <c r="F1248" s="57" t="n"/>
      <c r="G1248" s="59" t="n"/>
      <c r="H1248" s="59" t="n"/>
      <c r="I1248" s="60">
        <f>IF(OR(G1248="",H1248=""),"",MOD(H1248-G1248,1))</f>
        <v/>
      </c>
      <c r="J1248" s="61">
        <f>IF(OR(G1248="",H1248=""),"",ROUND(MOD(H1248-G1248,1)*24,2))</f>
        <v/>
      </c>
      <c r="K1248" s="62">
        <f>IF(E1248="","",IF(E1248="Werken","JA","NEE"))</f>
        <v/>
      </c>
      <c r="L1248" s="61">
        <f>IF(K1248="JA",N(J1248),IF(E1248="","",0))</f>
        <v/>
      </c>
      <c r="M1248" s="62">
        <f>IF(AND(A1248="",E1248=""),"",IF(E1248="","Segment ontbreekt",IF(OR(G1248="",H1248=""),"Van/tot ontbreekt",IF(N(J1248)=0,"Duur is nul",IF(N(J1248)&gt;12,"Langer dan 12 uur - controleren",IF(AND(E1248="Werken",D1248=""),"Werken zonder klant - koppelen","OK"))))))</f>
        <v/>
      </c>
    </row>
    <row r="1249" ht="15" customHeight="1" s="42">
      <c r="A1249" s="55" t="n"/>
      <c r="B1249" s="56">
        <f>IF(A1249="","",WEEKNUM(A1249,21))</f>
        <v/>
      </c>
      <c r="C1249" s="57" t="n"/>
      <c r="D1249" s="57" t="n"/>
      <c r="E1249" s="58" t="n"/>
      <c r="F1249" s="57" t="n"/>
      <c r="G1249" s="59" t="n"/>
      <c r="H1249" s="59" t="n"/>
      <c r="I1249" s="60">
        <f>IF(OR(G1249="",H1249=""),"",MOD(H1249-G1249,1))</f>
        <v/>
      </c>
      <c r="J1249" s="61">
        <f>IF(OR(G1249="",H1249=""),"",ROUND(MOD(H1249-G1249,1)*24,2))</f>
        <v/>
      </c>
      <c r="K1249" s="62">
        <f>IF(E1249="","",IF(E1249="Werken","JA","NEE"))</f>
        <v/>
      </c>
      <c r="L1249" s="61">
        <f>IF(K1249="JA",N(J1249),IF(E1249="","",0))</f>
        <v/>
      </c>
      <c r="M1249" s="62">
        <f>IF(AND(A1249="",E1249=""),"",IF(E1249="","Segment ontbreekt",IF(OR(G1249="",H1249=""),"Van/tot ontbreekt",IF(N(J1249)=0,"Duur is nul",IF(N(J1249)&gt;12,"Langer dan 12 uur - controleren",IF(AND(E1249="Werken",D1249=""),"Werken zonder klant - koppelen","OK"))))))</f>
        <v/>
      </c>
    </row>
    <row r="1250" ht="15" customHeight="1" s="42">
      <c r="A1250" s="55" t="n"/>
      <c r="B1250" s="56">
        <f>IF(A1250="","",WEEKNUM(A1250,21))</f>
        <v/>
      </c>
      <c r="C1250" s="57" t="n"/>
      <c r="D1250" s="57" t="n"/>
      <c r="E1250" s="58" t="n"/>
      <c r="F1250" s="57" t="n"/>
      <c r="G1250" s="59" t="n"/>
      <c r="H1250" s="59" t="n"/>
      <c r="I1250" s="60">
        <f>IF(OR(G1250="",H1250=""),"",MOD(H1250-G1250,1))</f>
        <v/>
      </c>
      <c r="J1250" s="61">
        <f>IF(OR(G1250="",H1250=""),"",ROUND(MOD(H1250-G1250,1)*24,2))</f>
        <v/>
      </c>
      <c r="K1250" s="62">
        <f>IF(E1250="","",IF(E1250="Werken","JA","NEE"))</f>
        <v/>
      </c>
      <c r="L1250" s="61">
        <f>IF(K1250="JA",N(J1250),IF(E1250="","",0))</f>
        <v/>
      </c>
      <c r="M1250" s="62">
        <f>IF(AND(A1250="",E1250=""),"",IF(E1250="","Segment ontbreekt",IF(OR(G1250="",H1250=""),"Van/tot ontbreekt",IF(N(J1250)=0,"Duur is nul",IF(N(J1250)&gt;12,"Langer dan 12 uur - controleren",IF(AND(E1250="Werken",D1250=""),"Werken zonder klant - koppelen","OK"))))))</f>
        <v/>
      </c>
    </row>
    <row r="1251" ht="15" customHeight="1" s="42">
      <c r="A1251" s="55" t="n"/>
      <c r="B1251" s="56">
        <f>IF(A1251="","",WEEKNUM(A1251,21))</f>
        <v/>
      </c>
      <c r="C1251" s="57" t="n"/>
      <c r="D1251" s="57" t="n"/>
      <c r="E1251" s="58" t="n"/>
      <c r="F1251" s="57" t="n"/>
      <c r="G1251" s="59" t="n"/>
      <c r="H1251" s="59" t="n"/>
      <c r="I1251" s="60">
        <f>IF(OR(G1251="",H1251=""),"",MOD(H1251-G1251,1))</f>
        <v/>
      </c>
      <c r="J1251" s="61">
        <f>IF(OR(G1251="",H1251=""),"",ROUND(MOD(H1251-G1251,1)*24,2))</f>
        <v/>
      </c>
      <c r="K1251" s="62">
        <f>IF(E1251="","",IF(E1251="Werken","JA","NEE"))</f>
        <v/>
      </c>
      <c r="L1251" s="61">
        <f>IF(K1251="JA",N(J1251),IF(E1251="","",0))</f>
        <v/>
      </c>
      <c r="M1251" s="62">
        <f>IF(AND(A1251="",E1251=""),"",IF(E1251="","Segment ontbreekt",IF(OR(G1251="",H1251=""),"Van/tot ontbreekt",IF(N(J1251)=0,"Duur is nul",IF(N(J1251)&gt;12,"Langer dan 12 uur - controleren",IF(AND(E1251="Werken",D1251=""),"Werken zonder klant - koppelen","OK"))))))</f>
        <v/>
      </c>
    </row>
    <row r="1252" ht="15" customHeight="1" s="42">
      <c r="A1252" s="55" t="n"/>
      <c r="B1252" s="56">
        <f>IF(A1252="","",WEEKNUM(A1252,21))</f>
        <v/>
      </c>
      <c r="C1252" s="57" t="n"/>
      <c r="D1252" s="57" t="n"/>
      <c r="E1252" s="58" t="n"/>
      <c r="F1252" s="57" t="n"/>
      <c r="G1252" s="59" t="n"/>
      <c r="H1252" s="59" t="n"/>
      <c r="I1252" s="60">
        <f>IF(OR(G1252="",H1252=""),"",MOD(H1252-G1252,1))</f>
        <v/>
      </c>
      <c r="J1252" s="61">
        <f>IF(OR(G1252="",H1252=""),"",ROUND(MOD(H1252-G1252,1)*24,2))</f>
        <v/>
      </c>
      <c r="K1252" s="62">
        <f>IF(E1252="","",IF(E1252="Werken","JA","NEE"))</f>
        <v/>
      </c>
      <c r="L1252" s="61">
        <f>IF(K1252="JA",N(J1252),IF(E1252="","",0))</f>
        <v/>
      </c>
      <c r="M1252" s="62">
        <f>IF(AND(A1252="",E1252=""),"",IF(E1252="","Segment ontbreekt",IF(OR(G1252="",H1252=""),"Van/tot ontbreekt",IF(N(J1252)=0,"Duur is nul",IF(N(J1252)&gt;12,"Langer dan 12 uur - controleren",IF(AND(E1252="Werken",D1252=""),"Werken zonder klant - koppelen","OK"))))))</f>
        <v/>
      </c>
    </row>
    <row r="1253" ht="15" customHeight="1" s="42">
      <c r="A1253" s="55" t="n"/>
      <c r="B1253" s="56">
        <f>IF(A1253="","",WEEKNUM(A1253,21))</f>
        <v/>
      </c>
      <c r="C1253" s="57" t="n"/>
      <c r="D1253" s="57" t="n"/>
      <c r="E1253" s="58" t="n"/>
      <c r="F1253" s="57" t="n"/>
      <c r="G1253" s="59" t="n"/>
      <c r="H1253" s="59" t="n"/>
      <c r="I1253" s="60">
        <f>IF(OR(G1253="",H1253=""),"",MOD(H1253-G1253,1))</f>
        <v/>
      </c>
      <c r="J1253" s="61">
        <f>IF(OR(G1253="",H1253=""),"",ROUND(MOD(H1253-G1253,1)*24,2))</f>
        <v/>
      </c>
      <c r="K1253" s="62">
        <f>IF(E1253="","",IF(E1253="Werken","JA","NEE"))</f>
        <v/>
      </c>
      <c r="L1253" s="61">
        <f>IF(K1253="JA",N(J1253),IF(E1253="","",0))</f>
        <v/>
      </c>
      <c r="M1253" s="62">
        <f>IF(AND(A1253="",E1253=""),"",IF(E1253="","Segment ontbreekt",IF(OR(G1253="",H1253=""),"Van/tot ontbreekt",IF(N(J1253)=0,"Duur is nul",IF(N(J1253)&gt;12,"Langer dan 12 uur - controleren",IF(AND(E1253="Werken",D1253=""),"Werken zonder klant - koppelen","OK"))))))</f>
        <v/>
      </c>
    </row>
    <row r="1254" ht="15" customHeight="1" s="42">
      <c r="A1254" s="55" t="n"/>
      <c r="B1254" s="56">
        <f>IF(A1254="","",WEEKNUM(A1254,21))</f>
        <v/>
      </c>
      <c r="C1254" s="57" t="n"/>
      <c r="D1254" s="57" t="n"/>
      <c r="E1254" s="58" t="n"/>
      <c r="F1254" s="57" t="n"/>
      <c r="G1254" s="59" t="n"/>
      <c r="H1254" s="59" t="n"/>
      <c r="I1254" s="60">
        <f>IF(OR(G1254="",H1254=""),"",MOD(H1254-G1254,1))</f>
        <v/>
      </c>
      <c r="J1254" s="61">
        <f>IF(OR(G1254="",H1254=""),"",ROUND(MOD(H1254-G1254,1)*24,2))</f>
        <v/>
      </c>
      <c r="K1254" s="62">
        <f>IF(E1254="","",IF(E1254="Werken","JA","NEE"))</f>
        <v/>
      </c>
      <c r="L1254" s="61">
        <f>IF(K1254="JA",N(J1254),IF(E1254="","",0))</f>
        <v/>
      </c>
      <c r="M1254" s="62">
        <f>IF(AND(A1254="",E1254=""),"",IF(E1254="","Segment ontbreekt",IF(OR(G1254="",H1254=""),"Van/tot ontbreekt",IF(N(J1254)=0,"Duur is nul",IF(N(J1254)&gt;12,"Langer dan 12 uur - controleren",IF(AND(E1254="Werken",D1254=""),"Werken zonder klant - koppelen","OK"))))))</f>
        <v/>
      </c>
    </row>
    <row r="1255" ht="15" customHeight="1" s="42">
      <c r="A1255" s="55" t="n"/>
      <c r="B1255" s="56">
        <f>IF(A1255="","",WEEKNUM(A1255,21))</f>
        <v/>
      </c>
      <c r="C1255" s="57" t="n"/>
      <c r="D1255" s="57" t="n"/>
      <c r="E1255" s="58" t="n"/>
      <c r="F1255" s="57" t="n"/>
      <c r="G1255" s="59" t="n"/>
      <c r="H1255" s="59" t="n"/>
      <c r="I1255" s="60">
        <f>IF(OR(G1255="",H1255=""),"",MOD(H1255-G1255,1))</f>
        <v/>
      </c>
      <c r="J1255" s="61">
        <f>IF(OR(G1255="",H1255=""),"",ROUND(MOD(H1255-G1255,1)*24,2))</f>
        <v/>
      </c>
      <c r="K1255" s="62">
        <f>IF(E1255="","",IF(E1255="Werken","JA","NEE"))</f>
        <v/>
      </c>
      <c r="L1255" s="61">
        <f>IF(K1255="JA",N(J1255),IF(E1255="","",0))</f>
        <v/>
      </c>
      <c r="M1255" s="62">
        <f>IF(AND(A1255="",E1255=""),"",IF(E1255="","Segment ontbreekt",IF(OR(G1255="",H1255=""),"Van/tot ontbreekt",IF(N(J1255)=0,"Duur is nul",IF(N(J1255)&gt;12,"Langer dan 12 uur - controleren",IF(AND(E1255="Werken",D1255=""),"Werken zonder klant - koppelen","OK"))))))</f>
        <v/>
      </c>
    </row>
    <row r="1256" ht="15" customHeight="1" s="42">
      <c r="A1256" s="55" t="n"/>
      <c r="B1256" s="56">
        <f>IF(A1256="","",WEEKNUM(A1256,21))</f>
        <v/>
      </c>
      <c r="C1256" s="57" t="n"/>
      <c r="D1256" s="57" t="n"/>
      <c r="E1256" s="58" t="n"/>
      <c r="F1256" s="57" t="n"/>
      <c r="G1256" s="59" t="n"/>
      <c r="H1256" s="59" t="n"/>
      <c r="I1256" s="60">
        <f>IF(OR(G1256="",H1256=""),"",MOD(H1256-G1256,1))</f>
        <v/>
      </c>
      <c r="J1256" s="61">
        <f>IF(OR(G1256="",H1256=""),"",ROUND(MOD(H1256-G1256,1)*24,2))</f>
        <v/>
      </c>
      <c r="K1256" s="62">
        <f>IF(E1256="","",IF(E1256="Werken","JA","NEE"))</f>
        <v/>
      </c>
      <c r="L1256" s="61">
        <f>IF(K1256="JA",N(J1256),IF(E1256="","",0))</f>
        <v/>
      </c>
      <c r="M1256" s="62">
        <f>IF(AND(A1256="",E1256=""),"",IF(E1256="","Segment ontbreekt",IF(OR(G1256="",H1256=""),"Van/tot ontbreekt",IF(N(J1256)=0,"Duur is nul",IF(N(J1256)&gt;12,"Langer dan 12 uur - controleren",IF(AND(E1256="Werken",D1256=""),"Werken zonder klant - koppelen","OK"))))))</f>
        <v/>
      </c>
    </row>
    <row r="1257" ht="15" customHeight="1" s="42">
      <c r="A1257" s="55" t="n"/>
      <c r="B1257" s="56">
        <f>IF(A1257="","",WEEKNUM(A1257,21))</f>
        <v/>
      </c>
      <c r="C1257" s="57" t="n"/>
      <c r="D1257" s="57" t="n"/>
      <c r="E1257" s="58" t="n"/>
      <c r="F1257" s="57" t="n"/>
      <c r="G1257" s="59" t="n"/>
      <c r="H1257" s="59" t="n"/>
      <c r="I1257" s="60">
        <f>IF(OR(G1257="",H1257=""),"",MOD(H1257-G1257,1))</f>
        <v/>
      </c>
      <c r="J1257" s="61">
        <f>IF(OR(G1257="",H1257=""),"",ROUND(MOD(H1257-G1257,1)*24,2))</f>
        <v/>
      </c>
      <c r="K1257" s="62">
        <f>IF(E1257="","",IF(E1257="Werken","JA","NEE"))</f>
        <v/>
      </c>
      <c r="L1257" s="61">
        <f>IF(K1257="JA",N(J1257),IF(E1257="","",0))</f>
        <v/>
      </c>
      <c r="M1257" s="62">
        <f>IF(AND(A1257="",E1257=""),"",IF(E1257="","Segment ontbreekt",IF(OR(G1257="",H1257=""),"Van/tot ontbreekt",IF(N(J1257)=0,"Duur is nul",IF(N(J1257)&gt;12,"Langer dan 12 uur - controleren",IF(AND(E1257="Werken",D1257=""),"Werken zonder klant - koppelen","OK"))))))</f>
        <v/>
      </c>
    </row>
    <row r="1258" ht="15" customHeight="1" s="42">
      <c r="A1258" s="55" t="n"/>
      <c r="B1258" s="56">
        <f>IF(A1258="","",WEEKNUM(A1258,21))</f>
        <v/>
      </c>
      <c r="C1258" s="57" t="n"/>
      <c r="D1258" s="57" t="n"/>
      <c r="E1258" s="58" t="n"/>
      <c r="F1258" s="57" t="n"/>
      <c r="G1258" s="59" t="n"/>
      <c r="H1258" s="59" t="n"/>
      <c r="I1258" s="60">
        <f>IF(OR(G1258="",H1258=""),"",MOD(H1258-G1258,1))</f>
        <v/>
      </c>
      <c r="J1258" s="61">
        <f>IF(OR(G1258="",H1258=""),"",ROUND(MOD(H1258-G1258,1)*24,2))</f>
        <v/>
      </c>
      <c r="K1258" s="62">
        <f>IF(E1258="","",IF(E1258="Werken","JA","NEE"))</f>
        <v/>
      </c>
      <c r="L1258" s="61">
        <f>IF(K1258="JA",N(J1258),IF(E1258="","",0))</f>
        <v/>
      </c>
      <c r="M1258" s="62">
        <f>IF(AND(A1258="",E1258=""),"",IF(E1258="","Segment ontbreekt",IF(OR(G1258="",H1258=""),"Van/tot ontbreekt",IF(N(J1258)=0,"Duur is nul",IF(N(J1258)&gt;12,"Langer dan 12 uur - controleren",IF(AND(E1258="Werken",D1258=""),"Werken zonder klant - koppelen","OK"))))))</f>
        <v/>
      </c>
    </row>
    <row r="1259" ht="15" customHeight="1" s="42">
      <c r="A1259" s="55" t="n"/>
      <c r="B1259" s="56">
        <f>IF(A1259="","",WEEKNUM(A1259,21))</f>
        <v/>
      </c>
      <c r="C1259" s="57" t="n"/>
      <c r="D1259" s="57" t="n"/>
      <c r="E1259" s="58" t="n"/>
      <c r="F1259" s="57" t="n"/>
      <c r="G1259" s="59" t="n"/>
      <c r="H1259" s="59" t="n"/>
      <c r="I1259" s="60">
        <f>IF(OR(G1259="",H1259=""),"",MOD(H1259-G1259,1))</f>
        <v/>
      </c>
      <c r="J1259" s="61">
        <f>IF(OR(G1259="",H1259=""),"",ROUND(MOD(H1259-G1259,1)*24,2))</f>
        <v/>
      </c>
      <c r="K1259" s="62">
        <f>IF(E1259="","",IF(E1259="Werken","JA","NEE"))</f>
        <v/>
      </c>
      <c r="L1259" s="61">
        <f>IF(K1259="JA",N(J1259),IF(E1259="","",0))</f>
        <v/>
      </c>
      <c r="M1259" s="62">
        <f>IF(AND(A1259="",E1259=""),"",IF(E1259="","Segment ontbreekt",IF(OR(G1259="",H1259=""),"Van/tot ontbreekt",IF(N(J1259)=0,"Duur is nul",IF(N(J1259)&gt;12,"Langer dan 12 uur - controleren",IF(AND(E1259="Werken",D1259=""),"Werken zonder klant - koppelen","OK"))))))</f>
        <v/>
      </c>
    </row>
    <row r="1260" ht="15" customHeight="1" s="42">
      <c r="A1260" s="55" t="n"/>
      <c r="B1260" s="56">
        <f>IF(A1260="","",WEEKNUM(A1260,21))</f>
        <v/>
      </c>
      <c r="C1260" s="57" t="n"/>
      <c r="D1260" s="57" t="n"/>
      <c r="E1260" s="58" t="n"/>
      <c r="F1260" s="57" t="n"/>
      <c r="G1260" s="59" t="n"/>
      <c r="H1260" s="59" t="n"/>
      <c r="I1260" s="60">
        <f>IF(OR(G1260="",H1260=""),"",MOD(H1260-G1260,1))</f>
        <v/>
      </c>
      <c r="J1260" s="61">
        <f>IF(OR(G1260="",H1260=""),"",ROUND(MOD(H1260-G1260,1)*24,2))</f>
        <v/>
      </c>
      <c r="K1260" s="62">
        <f>IF(E1260="","",IF(E1260="Werken","JA","NEE"))</f>
        <v/>
      </c>
      <c r="L1260" s="61">
        <f>IF(K1260="JA",N(J1260),IF(E1260="","",0))</f>
        <v/>
      </c>
      <c r="M1260" s="62">
        <f>IF(AND(A1260="",E1260=""),"",IF(E1260="","Segment ontbreekt",IF(OR(G1260="",H1260=""),"Van/tot ontbreekt",IF(N(J1260)=0,"Duur is nul",IF(N(J1260)&gt;12,"Langer dan 12 uur - controleren",IF(AND(E1260="Werken",D1260=""),"Werken zonder klant - koppelen","OK"))))))</f>
        <v/>
      </c>
    </row>
    <row r="1261" ht="15" customHeight="1" s="42">
      <c r="A1261" s="55" t="n"/>
      <c r="B1261" s="56">
        <f>IF(A1261="","",WEEKNUM(A1261,21))</f>
        <v/>
      </c>
      <c r="C1261" s="57" t="n"/>
      <c r="D1261" s="57" t="n"/>
      <c r="E1261" s="58" t="n"/>
      <c r="F1261" s="57" t="n"/>
      <c r="G1261" s="59" t="n"/>
      <c r="H1261" s="59" t="n"/>
      <c r="I1261" s="60">
        <f>IF(OR(G1261="",H1261=""),"",MOD(H1261-G1261,1))</f>
        <v/>
      </c>
      <c r="J1261" s="61">
        <f>IF(OR(G1261="",H1261=""),"",ROUND(MOD(H1261-G1261,1)*24,2))</f>
        <v/>
      </c>
      <c r="K1261" s="62">
        <f>IF(E1261="","",IF(E1261="Werken","JA","NEE"))</f>
        <v/>
      </c>
      <c r="L1261" s="61">
        <f>IF(K1261="JA",N(J1261),IF(E1261="","",0))</f>
        <v/>
      </c>
      <c r="M1261" s="62">
        <f>IF(AND(A1261="",E1261=""),"",IF(E1261="","Segment ontbreekt",IF(OR(G1261="",H1261=""),"Van/tot ontbreekt",IF(N(J1261)=0,"Duur is nul",IF(N(J1261)&gt;12,"Langer dan 12 uur - controleren",IF(AND(E1261="Werken",D1261=""),"Werken zonder klant - koppelen","OK"))))))</f>
        <v/>
      </c>
    </row>
    <row r="1262" ht="15" customHeight="1" s="42">
      <c r="A1262" s="55" t="n"/>
      <c r="B1262" s="56">
        <f>IF(A1262="","",WEEKNUM(A1262,21))</f>
        <v/>
      </c>
      <c r="C1262" s="57" t="n"/>
      <c r="D1262" s="57" t="n"/>
      <c r="E1262" s="58" t="n"/>
      <c r="F1262" s="57" t="n"/>
      <c r="G1262" s="59" t="n"/>
      <c r="H1262" s="59" t="n"/>
      <c r="I1262" s="60">
        <f>IF(OR(G1262="",H1262=""),"",MOD(H1262-G1262,1))</f>
        <v/>
      </c>
      <c r="J1262" s="61">
        <f>IF(OR(G1262="",H1262=""),"",ROUND(MOD(H1262-G1262,1)*24,2))</f>
        <v/>
      </c>
      <c r="K1262" s="62">
        <f>IF(E1262="","",IF(E1262="Werken","JA","NEE"))</f>
        <v/>
      </c>
      <c r="L1262" s="61">
        <f>IF(K1262="JA",N(J1262),IF(E1262="","",0))</f>
        <v/>
      </c>
      <c r="M1262" s="62">
        <f>IF(AND(A1262="",E1262=""),"",IF(E1262="","Segment ontbreekt",IF(OR(G1262="",H1262=""),"Van/tot ontbreekt",IF(N(J1262)=0,"Duur is nul",IF(N(J1262)&gt;12,"Langer dan 12 uur - controleren",IF(AND(E1262="Werken",D1262=""),"Werken zonder klant - koppelen","OK"))))))</f>
        <v/>
      </c>
    </row>
    <row r="1263" ht="15" customHeight="1" s="42">
      <c r="A1263" s="55" t="n"/>
      <c r="B1263" s="56">
        <f>IF(A1263="","",WEEKNUM(A1263,21))</f>
        <v/>
      </c>
      <c r="C1263" s="57" t="n"/>
      <c r="D1263" s="57" t="n"/>
      <c r="E1263" s="58" t="n"/>
      <c r="F1263" s="57" t="n"/>
      <c r="G1263" s="59" t="n"/>
      <c r="H1263" s="59" t="n"/>
      <c r="I1263" s="60">
        <f>IF(OR(G1263="",H1263=""),"",MOD(H1263-G1263,1))</f>
        <v/>
      </c>
      <c r="J1263" s="61">
        <f>IF(OR(G1263="",H1263=""),"",ROUND(MOD(H1263-G1263,1)*24,2))</f>
        <v/>
      </c>
      <c r="K1263" s="62">
        <f>IF(E1263="","",IF(E1263="Werken","JA","NEE"))</f>
        <v/>
      </c>
      <c r="L1263" s="61">
        <f>IF(K1263="JA",N(J1263),IF(E1263="","",0))</f>
        <v/>
      </c>
      <c r="M1263" s="62">
        <f>IF(AND(A1263="",E1263=""),"",IF(E1263="","Segment ontbreekt",IF(OR(G1263="",H1263=""),"Van/tot ontbreekt",IF(N(J1263)=0,"Duur is nul",IF(N(J1263)&gt;12,"Langer dan 12 uur - controleren",IF(AND(E1263="Werken",D1263=""),"Werken zonder klant - koppelen","OK"))))))</f>
        <v/>
      </c>
    </row>
    <row r="1264" ht="15" customHeight="1" s="42">
      <c r="A1264" s="55" t="n"/>
      <c r="B1264" s="56">
        <f>IF(A1264="","",WEEKNUM(A1264,21))</f>
        <v/>
      </c>
      <c r="C1264" s="57" t="n"/>
      <c r="D1264" s="57" t="n"/>
      <c r="E1264" s="58" t="n"/>
      <c r="F1264" s="57" t="n"/>
      <c r="G1264" s="59" t="n"/>
      <c r="H1264" s="59" t="n"/>
      <c r="I1264" s="60">
        <f>IF(OR(G1264="",H1264=""),"",MOD(H1264-G1264,1))</f>
        <v/>
      </c>
      <c r="J1264" s="61">
        <f>IF(OR(G1264="",H1264=""),"",ROUND(MOD(H1264-G1264,1)*24,2))</f>
        <v/>
      </c>
      <c r="K1264" s="62">
        <f>IF(E1264="","",IF(E1264="Werken","JA","NEE"))</f>
        <v/>
      </c>
      <c r="L1264" s="61">
        <f>IF(K1264="JA",N(J1264),IF(E1264="","",0))</f>
        <v/>
      </c>
      <c r="M1264" s="62">
        <f>IF(AND(A1264="",E1264=""),"",IF(E1264="","Segment ontbreekt",IF(OR(G1264="",H1264=""),"Van/tot ontbreekt",IF(N(J1264)=0,"Duur is nul",IF(N(J1264)&gt;12,"Langer dan 12 uur - controleren",IF(AND(E1264="Werken",D1264=""),"Werken zonder klant - koppelen","OK"))))))</f>
        <v/>
      </c>
    </row>
    <row r="1265" ht="15" customHeight="1" s="42">
      <c r="A1265" s="55" t="n"/>
      <c r="B1265" s="56">
        <f>IF(A1265="","",WEEKNUM(A1265,21))</f>
        <v/>
      </c>
      <c r="C1265" s="57" t="n"/>
      <c r="D1265" s="57" t="n"/>
      <c r="E1265" s="58" t="n"/>
      <c r="F1265" s="57" t="n"/>
      <c r="G1265" s="59" t="n"/>
      <c r="H1265" s="59" t="n"/>
      <c r="I1265" s="60">
        <f>IF(OR(G1265="",H1265=""),"",MOD(H1265-G1265,1))</f>
        <v/>
      </c>
      <c r="J1265" s="61">
        <f>IF(OR(G1265="",H1265=""),"",ROUND(MOD(H1265-G1265,1)*24,2))</f>
        <v/>
      </c>
      <c r="K1265" s="62">
        <f>IF(E1265="","",IF(E1265="Werken","JA","NEE"))</f>
        <v/>
      </c>
      <c r="L1265" s="61">
        <f>IF(K1265="JA",N(J1265),IF(E1265="","",0))</f>
        <v/>
      </c>
      <c r="M1265" s="62">
        <f>IF(AND(A1265="",E1265=""),"",IF(E1265="","Segment ontbreekt",IF(OR(G1265="",H1265=""),"Van/tot ontbreekt",IF(N(J1265)=0,"Duur is nul",IF(N(J1265)&gt;12,"Langer dan 12 uur - controleren",IF(AND(E1265="Werken",D1265=""),"Werken zonder klant - koppelen","OK"))))))</f>
        <v/>
      </c>
    </row>
    <row r="1266" ht="15" customHeight="1" s="42">
      <c r="A1266" s="55" t="n"/>
      <c r="B1266" s="56">
        <f>IF(A1266="","",WEEKNUM(A1266,21))</f>
        <v/>
      </c>
      <c r="C1266" s="57" t="n"/>
      <c r="D1266" s="57" t="n"/>
      <c r="E1266" s="58" t="n"/>
      <c r="F1266" s="57" t="n"/>
      <c r="G1266" s="59" t="n"/>
      <c r="H1266" s="59" t="n"/>
      <c r="I1266" s="60">
        <f>IF(OR(G1266="",H1266=""),"",MOD(H1266-G1266,1))</f>
        <v/>
      </c>
      <c r="J1266" s="61">
        <f>IF(OR(G1266="",H1266=""),"",ROUND(MOD(H1266-G1266,1)*24,2))</f>
        <v/>
      </c>
      <c r="K1266" s="62">
        <f>IF(E1266="","",IF(E1266="Werken","JA","NEE"))</f>
        <v/>
      </c>
      <c r="L1266" s="61">
        <f>IF(K1266="JA",N(J1266),IF(E1266="","",0))</f>
        <v/>
      </c>
      <c r="M1266" s="62">
        <f>IF(AND(A1266="",E1266=""),"",IF(E1266="","Segment ontbreekt",IF(OR(G1266="",H1266=""),"Van/tot ontbreekt",IF(N(J1266)=0,"Duur is nul",IF(N(J1266)&gt;12,"Langer dan 12 uur - controleren",IF(AND(E1266="Werken",D1266=""),"Werken zonder klant - koppelen","OK"))))))</f>
        <v/>
      </c>
    </row>
    <row r="1267" ht="15" customHeight="1" s="42">
      <c r="A1267" s="55" t="n"/>
      <c r="B1267" s="56">
        <f>IF(A1267="","",WEEKNUM(A1267,21))</f>
        <v/>
      </c>
      <c r="C1267" s="57" t="n"/>
      <c r="D1267" s="57" t="n"/>
      <c r="E1267" s="58" t="n"/>
      <c r="F1267" s="57" t="n"/>
      <c r="G1267" s="59" t="n"/>
      <c r="H1267" s="59" t="n"/>
      <c r="I1267" s="60">
        <f>IF(OR(G1267="",H1267=""),"",MOD(H1267-G1267,1))</f>
        <v/>
      </c>
      <c r="J1267" s="61">
        <f>IF(OR(G1267="",H1267=""),"",ROUND(MOD(H1267-G1267,1)*24,2))</f>
        <v/>
      </c>
      <c r="K1267" s="62">
        <f>IF(E1267="","",IF(E1267="Werken","JA","NEE"))</f>
        <v/>
      </c>
      <c r="L1267" s="61">
        <f>IF(K1267="JA",N(J1267),IF(E1267="","",0))</f>
        <v/>
      </c>
      <c r="M1267" s="62">
        <f>IF(AND(A1267="",E1267=""),"",IF(E1267="","Segment ontbreekt",IF(OR(G1267="",H1267=""),"Van/tot ontbreekt",IF(N(J1267)=0,"Duur is nul",IF(N(J1267)&gt;12,"Langer dan 12 uur - controleren",IF(AND(E1267="Werken",D1267=""),"Werken zonder klant - koppelen","OK"))))))</f>
        <v/>
      </c>
    </row>
    <row r="1268" ht="15" customHeight="1" s="42">
      <c r="A1268" s="55" t="n"/>
      <c r="B1268" s="56">
        <f>IF(A1268="","",WEEKNUM(A1268,21))</f>
        <v/>
      </c>
      <c r="C1268" s="57" t="n"/>
      <c r="D1268" s="57" t="n"/>
      <c r="E1268" s="58" t="n"/>
      <c r="F1268" s="57" t="n"/>
      <c r="G1268" s="59" t="n"/>
      <c r="H1268" s="59" t="n"/>
      <c r="I1268" s="60">
        <f>IF(OR(G1268="",H1268=""),"",MOD(H1268-G1268,1))</f>
        <v/>
      </c>
      <c r="J1268" s="61">
        <f>IF(OR(G1268="",H1268=""),"",ROUND(MOD(H1268-G1268,1)*24,2))</f>
        <v/>
      </c>
      <c r="K1268" s="62">
        <f>IF(E1268="","",IF(E1268="Werken","JA","NEE"))</f>
        <v/>
      </c>
      <c r="L1268" s="61">
        <f>IF(K1268="JA",N(J1268),IF(E1268="","",0))</f>
        <v/>
      </c>
      <c r="M1268" s="62">
        <f>IF(AND(A1268="",E1268=""),"",IF(E1268="","Segment ontbreekt",IF(OR(G1268="",H1268=""),"Van/tot ontbreekt",IF(N(J1268)=0,"Duur is nul",IF(N(J1268)&gt;12,"Langer dan 12 uur - controleren",IF(AND(E1268="Werken",D1268=""),"Werken zonder klant - koppelen","OK"))))))</f>
        <v/>
      </c>
    </row>
    <row r="1269" ht="15" customHeight="1" s="42">
      <c r="A1269" s="55" t="n"/>
      <c r="B1269" s="56">
        <f>IF(A1269="","",WEEKNUM(A1269,21))</f>
        <v/>
      </c>
      <c r="C1269" s="57" t="n"/>
      <c r="D1269" s="57" t="n"/>
      <c r="E1269" s="58" t="n"/>
      <c r="F1269" s="57" t="n"/>
      <c r="G1269" s="59" t="n"/>
      <c r="H1269" s="59" t="n"/>
      <c r="I1269" s="60">
        <f>IF(OR(G1269="",H1269=""),"",MOD(H1269-G1269,1))</f>
        <v/>
      </c>
      <c r="J1269" s="61">
        <f>IF(OR(G1269="",H1269=""),"",ROUND(MOD(H1269-G1269,1)*24,2))</f>
        <v/>
      </c>
      <c r="K1269" s="62">
        <f>IF(E1269="","",IF(E1269="Werken","JA","NEE"))</f>
        <v/>
      </c>
      <c r="L1269" s="61">
        <f>IF(K1269="JA",N(J1269),IF(E1269="","",0))</f>
        <v/>
      </c>
      <c r="M1269" s="62">
        <f>IF(AND(A1269="",E1269=""),"",IF(E1269="","Segment ontbreekt",IF(OR(G1269="",H1269=""),"Van/tot ontbreekt",IF(N(J1269)=0,"Duur is nul",IF(N(J1269)&gt;12,"Langer dan 12 uur - controleren",IF(AND(E1269="Werken",D1269=""),"Werken zonder klant - koppelen","OK"))))))</f>
        <v/>
      </c>
    </row>
    <row r="1270" ht="15" customHeight="1" s="42">
      <c r="A1270" s="55" t="n"/>
      <c r="B1270" s="56">
        <f>IF(A1270="","",WEEKNUM(A1270,21))</f>
        <v/>
      </c>
      <c r="C1270" s="57" t="n"/>
      <c r="D1270" s="57" t="n"/>
      <c r="E1270" s="58" t="n"/>
      <c r="F1270" s="57" t="n"/>
      <c r="G1270" s="59" t="n"/>
      <c r="H1270" s="59" t="n"/>
      <c r="I1270" s="60">
        <f>IF(OR(G1270="",H1270=""),"",MOD(H1270-G1270,1))</f>
        <v/>
      </c>
      <c r="J1270" s="61">
        <f>IF(OR(G1270="",H1270=""),"",ROUND(MOD(H1270-G1270,1)*24,2))</f>
        <v/>
      </c>
      <c r="K1270" s="62">
        <f>IF(E1270="","",IF(E1270="Werken","JA","NEE"))</f>
        <v/>
      </c>
      <c r="L1270" s="61">
        <f>IF(K1270="JA",N(J1270),IF(E1270="","",0))</f>
        <v/>
      </c>
      <c r="M1270" s="62">
        <f>IF(AND(A1270="",E1270=""),"",IF(E1270="","Segment ontbreekt",IF(OR(G1270="",H1270=""),"Van/tot ontbreekt",IF(N(J1270)=0,"Duur is nul",IF(N(J1270)&gt;12,"Langer dan 12 uur - controleren",IF(AND(E1270="Werken",D1270=""),"Werken zonder klant - koppelen","OK"))))))</f>
        <v/>
      </c>
    </row>
    <row r="1271" ht="15" customHeight="1" s="42">
      <c r="A1271" s="55" t="n"/>
      <c r="B1271" s="56">
        <f>IF(A1271="","",WEEKNUM(A1271,21))</f>
        <v/>
      </c>
      <c r="C1271" s="57" t="n"/>
      <c r="D1271" s="57" t="n"/>
      <c r="E1271" s="58" t="n"/>
      <c r="F1271" s="57" t="n"/>
      <c r="G1271" s="59" t="n"/>
      <c r="H1271" s="59" t="n"/>
      <c r="I1271" s="60">
        <f>IF(OR(G1271="",H1271=""),"",MOD(H1271-G1271,1))</f>
        <v/>
      </c>
      <c r="J1271" s="61">
        <f>IF(OR(G1271="",H1271=""),"",ROUND(MOD(H1271-G1271,1)*24,2))</f>
        <v/>
      </c>
      <c r="K1271" s="62">
        <f>IF(E1271="","",IF(E1271="Werken","JA","NEE"))</f>
        <v/>
      </c>
      <c r="L1271" s="61">
        <f>IF(K1271="JA",N(J1271),IF(E1271="","",0))</f>
        <v/>
      </c>
      <c r="M1271" s="62">
        <f>IF(AND(A1271="",E1271=""),"",IF(E1271="","Segment ontbreekt",IF(OR(G1271="",H1271=""),"Van/tot ontbreekt",IF(N(J1271)=0,"Duur is nul",IF(N(J1271)&gt;12,"Langer dan 12 uur - controleren",IF(AND(E1271="Werken",D1271=""),"Werken zonder klant - koppelen","OK"))))))</f>
        <v/>
      </c>
    </row>
    <row r="1272" ht="15" customHeight="1" s="42">
      <c r="A1272" s="55" t="n"/>
      <c r="B1272" s="56">
        <f>IF(A1272="","",WEEKNUM(A1272,21))</f>
        <v/>
      </c>
      <c r="C1272" s="57" t="n"/>
      <c r="D1272" s="57" t="n"/>
      <c r="E1272" s="58" t="n"/>
      <c r="F1272" s="57" t="n"/>
      <c r="G1272" s="59" t="n"/>
      <c r="H1272" s="59" t="n"/>
      <c r="I1272" s="60">
        <f>IF(OR(G1272="",H1272=""),"",MOD(H1272-G1272,1))</f>
        <v/>
      </c>
      <c r="J1272" s="61">
        <f>IF(OR(G1272="",H1272=""),"",ROUND(MOD(H1272-G1272,1)*24,2))</f>
        <v/>
      </c>
      <c r="K1272" s="62">
        <f>IF(E1272="","",IF(E1272="Werken","JA","NEE"))</f>
        <v/>
      </c>
      <c r="L1272" s="61">
        <f>IF(K1272="JA",N(J1272),IF(E1272="","",0))</f>
        <v/>
      </c>
      <c r="M1272" s="62">
        <f>IF(AND(A1272="",E1272=""),"",IF(E1272="","Segment ontbreekt",IF(OR(G1272="",H1272=""),"Van/tot ontbreekt",IF(N(J1272)=0,"Duur is nul",IF(N(J1272)&gt;12,"Langer dan 12 uur - controleren",IF(AND(E1272="Werken",D1272=""),"Werken zonder klant - koppelen","OK"))))))</f>
        <v/>
      </c>
    </row>
    <row r="1273" ht="15" customHeight="1" s="42">
      <c r="A1273" s="55" t="n"/>
      <c r="B1273" s="56">
        <f>IF(A1273="","",WEEKNUM(A1273,21))</f>
        <v/>
      </c>
      <c r="C1273" s="57" t="n"/>
      <c r="D1273" s="57" t="n"/>
      <c r="E1273" s="58" t="n"/>
      <c r="F1273" s="57" t="n"/>
      <c r="G1273" s="59" t="n"/>
      <c r="H1273" s="59" t="n"/>
      <c r="I1273" s="60">
        <f>IF(OR(G1273="",H1273=""),"",MOD(H1273-G1273,1))</f>
        <v/>
      </c>
      <c r="J1273" s="61">
        <f>IF(OR(G1273="",H1273=""),"",ROUND(MOD(H1273-G1273,1)*24,2))</f>
        <v/>
      </c>
      <c r="K1273" s="62">
        <f>IF(E1273="","",IF(E1273="Werken","JA","NEE"))</f>
        <v/>
      </c>
      <c r="L1273" s="61">
        <f>IF(K1273="JA",N(J1273),IF(E1273="","",0))</f>
        <v/>
      </c>
      <c r="M1273" s="62">
        <f>IF(AND(A1273="",E1273=""),"",IF(E1273="","Segment ontbreekt",IF(OR(G1273="",H1273=""),"Van/tot ontbreekt",IF(N(J1273)=0,"Duur is nul",IF(N(J1273)&gt;12,"Langer dan 12 uur - controleren",IF(AND(E1273="Werken",D1273=""),"Werken zonder klant - koppelen","OK"))))))</f>
        <v/>
      </c>
    </row>
    <row r="1274" ht="15" customHeight="1" s="42">
      <c r="A1274" s="55" t="n"/>
      <c r="B1274" s="56">
        <f>IF(A1274="","",WEEKNUM(A1274,21))</f>
        <v/>
      </c>
      <c r="C1274" s="57" t="n"/>
      <c r="D1274" s="57" t="n"/>
      <c r="E1274" s="58" t="n"/>
      <c r="F1274" s="57" t="n"/>
      <c r="G1274" s="59" t="n"/>
      <c r="H1274" s="59" t="n"/>
      <c r="I1274" s="60">
        <f>IF(OR(G1274="",H1274=""),"",MOD(H1274-G1274,1))</f>
        <v/>
      </c>
      <c r="J1274" s="61">
        <f>IF(OR(G1274="",H1274=""),"",ROUND(MOD(H1274-G1274,1)*24,2))</f>
        <v/>
      </c>
      <c r="K1274" s="62">
        <f>IF(E1274="","",IF(E1274="Werken","JA","NEE"))</f>
        <v/>
      </c>
      <c r="L1274" s="61">
        <f>IF(K1274="JA",N(J1274),IF(E1274="","",0))</f>
        <v/>
      </c>
      <c r="M1274" s="62">
        <f>IF(AND(A1274="",E1274=""),"",IF(E1274="","Segment ontbreekt",IF(OR(G1274="",H1274=""),"Van/tot ontbreekt",IF(N(J1274)=0,"Duur is nul",IF(N(J1274)&gt;12,"Langer dan 12 uur - controleren",IF(AND(E1274="Werken",D1274=""),"Werken zonder klant - koppelen","OK"))))))</f>
        <v/>
      </c>
    </row>
    <row r="1275" ht="15" customHeight="1" s="42">
      <c r="A1275" s="55" t="n"/>
      <c r="B1275" s="56">
        <f>IF(A1275="","",WEEKNUM(A1275,21))</f>
        <v/>
      </c>
      <c r="C1275" s="57" t="n"/>
      <c r="D1275" s="57" t="n"/>
      <c r="E1275" s="58" t="n"/>
      <c r="F1275" s="57" t="n"/>
      <c r="G1275" s="59" t="n"/>
      <c r="H1275" s="59" t="n"/>
      <c r="I1275" s="60">
        <f>IF(OR(G1275="",H1275=""),"",MOD(H1275-G1275,1))</f>
        <v/>
      </c>
      <c r="J1275" s="61">
        <f>IF(OR(G1275="",H1275=""),"",ROUND(MOD(H1275-G1275,1)*24,2))</f>
        <v/>
      </c>
      <c r="K1275" s="62">
        <f>IF(E1275="","",IF(E1275="Werken","JA","NEE"))</f>
        <v/>
      </c>
      <c r="L1275" s="61">
        <f>IF(K1275="JA",N(J1275),IF(E1275="","",0))</f>
        <v/>
      </c>
      <c r="M1275" s="62">
        <f>IF(AND(A1275="",E1275=""),"",IF(E1275="","Segment ontbreekt",IF(OR(G1275="",H1275=""),"Van/tot ontbreekt",IF(N(J1275)=0,"Duur is nul",IF(N(J1275)&gt;12,"Langer dan 12 uur - controleren",IF(AND(E1275="Werken",D1275=""),"Werken zonder klant - koppelen","OK"))))))</f>
        <v/>
      </c>
    </row>
    <row r="1276" ht="15" customHeight="1" s="42">
      <c r="A1276" s="55" t="n"/>
      <c r="B1276" s="56">
        <f>IF(A1276="","",WEEKNUM(A1276,21))</f>
        <v/>
      </c>
      <c r="C1276" s="57" t="n"/>
      <c r="D1276" s="57" t="n"/>
      <c r="E1276" s="58" t="n"/>
      <c r="F1276" s="57" t="n"/>
      <c r="G1276" s="59" t="n"/>
      <c r="H1276" s="59" t="n"/>
      <c r="I1276" s="60">
        <f>IF(OR(G1276="",H1276=""),"",MOD(H1276-G1276,1))</f>
        <v/>
      </c>
      <c r="J1276" s="61">
        <f>IF(OR(G1276="",H1276=""),"",ROUND(MOD(H1276-G1276,1)*24,2))</f>
        <v/>
      </c>
      <c r="K1276" s="62">
        <f>IF(E1276="","",IF(E1276="Werken","JA","NEE"))</f>
        <v/>
      </c>
      <c r="L1276" s="61">
        <f>IF(K1276="JA",N(J1276),IF(E1276="","",0))</f>
        <v/>
      </c>
      <c r="M1276" s="62">
        <f>IF(AND(A1276="",E1276=""),"",IF(E1276="","Segment ontbreekt",IF(OR(G1276="",H1276=""),"Van/tot ontbreekt",IF(N(J1276)=0,"Duur is nul",IF(N(J1276)&gt;12,"Langer dan 12 uur - controleren",IF(AND(E1276="Werken",D1276=""),"Werken zonder klant - koppelen","OK"))))))</f>
        <v/>
      </c>
    </row>
    <row r="1277" ht="15" customHeight="1" s="42">
      <c r="A1277" s="55" t="n"/>
      <c r="B1277" s="56">
        <f>IF(A1277="","",WEEKNUM(A1277,21))</f>
        <v/>
      </c>
      <c r="C1277" s="57" t="n"/>
      <c r="D1277" s="57" t="n"/>
      <c r="E1277" s="58" t="n"/>
      <c r="F1277" s="57" t="n"/>
      <c r="G1277" s="59" t="n"/>
      <c r="H1277" s="59" t="n"/>
      <c r="I1277" s="60">
        <f>IF(OR(G1277="",H1277=""),"",MOD(H1277-G1277,1))</f>
        <v/>
      </c>
      <c r="J1277" s="61">
        <f>IF(OR(G1277="",H1277=""),"",ROUND(MOD(H1277-G1277,1)*24,2))</f>
        <v/>
      </c>
      <c r="K1277" s="62">
        <f>IF(E1277="","",IF(E1277="Werken","JA","NEE"))</f>
        <v/>
      </c>
      <c r="L1277" s="61">
        <f>IF(K1277="JA",N(J1277),IF(E1277="","",0))</f>
        <v/>
      </c>
      <c r="M1277" s="62">
        <f>IF(AND(A1277="",E1277=""),"",IF(E1277="","Segment ontbreekt",IF(OR(G1277="",H1277=""),"Van/tot ontbreekt",IF(N(J1277)=0,"Duur is nul",IF(N(J1277)&gt;12,"Langer dan 12 uur - controleren",IF(AND(E1277="Werken",D1277=""),"Werken zonder klant - koppelen","OK"))))))</f>
        <v/>
      </c>
    </row>
    <row r="1278" ht="15" customHeight="1" s="42">
      <c r="A1278" s="55" t="n"/>
      <c r="B1278" s="56">
        <f>IF(A1278="","",WEEKNUM(A1278,21))</f>
        <v/>
      </c>
      <c r="C1278" s="57" t="n"/>
      <c r="D1278" s="57" t="n"/>
      <c r="E1278" s="58" t="n"/>
      <c r="F1278" s="57" t="n"/>
      <c r="G1278" s="59" t="n"/>
      <c r="H1278" s="59" t="n"/>
      <c r="I1278" s="60">
        <f>IF(OR(G1278="",H1278=""),"",MOD(H1278-G1278,1))</f>
        <v/>
      </c>
      <c r="J1278" s="61">
        <f>IF(OR(G1278="",H1278=""),"",ROUND(MOD(H1278-G1278,1)*24,2))</f>
        <v/>
      </c>
      <c r="K1278" s="62">
        <f>IF(E1278="","",IF(E1278="Werken","JA","NEE"))</f>
        <v/>
      </c>
      <c r="L1278" s="61">
        <f>IF(K1278="JA",N(J1278),IF(E1278="","",0))</f>
        <v/>
      </c>
      <c r="M1278" s="62">
        <f>IF(AND(A1278="",E1278=""),"",IF(E1278="","Segment ontbreekt",IF(OR(G1278="",H1278=""),"Van/tot ontbreekt",IF(N(J1278)=0,"Duur is nul",IF(N(J1278)&gt;12,"Langer dan 12 uur - controleren",IF(AND(E1278="Werken",D1278=""),"Werken zonder klant - koppelen","OK"))))))</f>
        <v/>
      </c>
    </row>
    <row r="1279" ht="15" customHeight="1" s="42">
      <c r="A1279" s="55" t="n"/>
      <c r="B1279" s="56">
        <f>IF(A1279="","",WEEKNUM(A1279,21))</f>
        <v/>
      </c>
      <c r="C1279" s="57" t="n"/>
      <c r="D1279" s="57" t="n"/>
      <c r="E1279" s="58" t="n"/>
      <c r="F1279" s="57" t="n"/>
      <c r="G1279" s="59" t="n"/>
      <c r="H1279" s="59" t="n"/>
      <c r="I1279" s="60">
        <f>IF(OR(G1279="",H1279=""),"",MOD(H1279-G1279,1))</f>
        <v/>
      </c>
      <c r="J1279" s="61">
        <f>IF(OR(G1279="",H1279=""),"",ROUND(MOD(H1279-G1279,1)*24,2))</f>
        <v/>
      </c>
      <c r="K1279" s="62">
        <f>IF(E1279="","",IF(E1279="Werken","JA","NEE"))</f>
        <v/>
      </c>
      <c r="L1279" s="61">
        <f>IF(K1279="JA",N(J1279),IF(E1279="","",0))</f>
        <v/>
      </c>
      <c r="M1279" s="62">
        <f>IF(AND(A1279="",E1279=""),"",IF(E1279="","Segment ontbreekt",IF(OR(G1279="",H1279=""),"Van/tot ontbreekt",IF(N(J1279)=0,"Duur is nul",IF(N(J1279)&gt;12,"Langer dan 12 uur - controleren",IF(AND(E1279="Werken",D1279=""),"Werken zonder klant - koppelen","OK"))))))</f>
        <v/>
      </c>
    </row>
    <row r="1280" ht="15" customHeight="1" s="42">
      <c r="A1280" s="55" t="n"/>
      <c r="B1280" s="56">
        <f>IF(A1280="","",WEEKNUM(A1280,21))</f>
        <v/>
      </c>
      <c r="C1280" s="57" t="n"/>
      <c r="D1280" s="57" t="n"/>
      <c r="E1280" s="58" t="n"/>
      <c r="F1280" s="57" t="n"/>
      <c r="G1280" s="59" t="n"/>
      <c r="H1280" s="59" t="n"/>
      <c r="I1280" s="60">
        <f>IF(OR(G1280="",H1280=""),"",MOD(H1280-G1280,1))</f>
        <v/>
      </c>
      <c r="J1280" s="61">
        <f>IF(OR(G1280="",H1280=""),"",ROUND(MOD(H1280-G1280,1)*24,2))</f>
        <v/>
      </c>
      <c r="K1280" s="62">
        <f>IF(E1280="","",IF(E1280="Werken","JA","NEE"))</f>
        <v/>
      </c>
      <c r="L1280" s="61">
        <f>IF(K1280="JA",N(J1280),IF(E1280="","",0))</f>
        <v/>
      </c>
      <c r="M1280" s="62">
        <f>IF(AND(A1280="",E1280=""),"",IF(E1280="","Segment ontbreekt",IF(OR(G1280="",H1280=""),"Van/tot ontbreekt",IF(N(J1280)=0,"Duur is nul",IF(N(J1280)&gt;12,"Langer dan 12 uur - controleren",IF(AND(E1280="Werken",D1280=""),"Werken zonder klant - koppelen","OK"))))))</f>
        <v/>
      </c>
    </row>
    <row r="1281" ht="15" customHeight="1" s="42">
      <c r="A1281" s="55" t="n"/>
      <c r="B1281" s="56">
        <f>IF(A1281="","",WEEKNUM(A1281,21))</f>
        <v/>
      </c>
      <c r="C1281" s="57" t="n"/>
      <c r="D1281" s="57" t="n"/>
      <c r="E1281" s="58" t="n"/>
      <c r="F1281" s="57" t="n"/>
      <c r="G1281" s="59" t="n"/>
      <c r="H1281" s="59" t="n"/>
      <c r="I1281" s="60">
        <f>IF(OR(G1281="",H1281=""),"",MOD(H1281-G1281,1))</f>
        <v/>
      </c>
      <c r="J1281" s="61">
        <f>IF(OR(G1281="",H1281=""),"",ROUND(MOD(H1281-G1281,1)*24,2))</f>
        <v/>
      </c>
      <c r="K1281" s="62">
        <f>IF(E1281="","",IF(E1281="Werken","JA","NEE"))</f>
        <v/>
      </c>
      <c r="L1281" s="61">
        <f>IF(K1281="JA",N(J1281),IF(E1281="","",0))</f>
        <v/>
      </c>
      <c r="M1281" s="62">
        <f>IF(AND(A1281="",E1281=""),"",IF(E1281="","Segment ontbreekt",IF(OR(G1281="",H1281=""),"Van/tot ontbreekt",IF(N(J1281)=0,"Duur is nul",IF(N(J1281)&gt;12,"Langer dan 12 uur - controleren",IF(AND(E1281="Werken",D1281=""),"Werken zonder klant - koppelen","OK"))))))</f>
        <v/>
      </c>
    </row>
    <row r="1282" ht="15" customHeight="1" s="42">
      <c r="A1282" s="55" t="n"/>
      <c r="B1282" s="56">
        <f>IF(A1282="","",WEEKNUM(A1282,21))</f>
        <v/>
      </c>
      <c r="C1282" s="57" t="n"/>
      <c r="D1282" s="57" t="n"/>
      <c r="E1282" s="58" t="n"/>
      <c r="F1282" s="57" t="n"/>
      <c r="G1282" s="59" t="n"/>
      <c r="H1282" s="59" t="n"/>
      <c r="I1282" s="60">
        <f>IF(OR(G1282="",H1282=""),"",MOD(H1282-G1282,1))</f>
        <v/>
      </c>
      <c r="J1282" s="61">
        <f>IF(OR(G1282="",H1282=""),"",ROUND(MOD(H1282-G1282,1)*24,2))</f>
        <v/>
      </c>
      <c r="K1282" s="62">
        <f>IF(E1282="","",IF(E1282="Werken","JA","NEE"))</f>
        <v/>
      </c>
      <c r="L1282" s="61">
        <f>IF(K1282="JA",N(J1282),IF(E1282="","",0))</f>
        <v/>
      </c>
      <c r="M1282" s="62">
        <f>IF(AND(A1282="",E1282=""),"",IF(E1282="","Segment ontbreekt",IF(OR(G1282="",H1282=""),"Van/tot ontbreekt",IF(N(J1282)=0,"Duur is nul",IF(N(J1282)&gt;12,"Langer dan 12 uur - controleren",IF(AND(E1282="Werken",D1282=""),"Werken zonder klant - koppelen","OK"))))))</f>
        <v/>
      </c>
    </row>
    <row r="1283" ht="15" customHeight="1" s="42">
      <c r="A1283" s="55" t="n"/>
      <c r="B1283" s="56">
        <f>IF(A1283="","",WEEKNUM(A1283,21))</f>
        <v/>
      </c>
      <c r="C1283" s="57" t="n"/>
      <c r="D1283" s="57" t="n"/>
      <c r="E1283" s="58" t="n"/>
      <c r="F1283" s="57" t="n"/>
      <c r="G1283" s="59" t="n"/>
      <c r="H1283" s="59" t="n"/>
      <c r="I1283" s="60">
        <f>IF(OR(G1283="",H1283=""),"",MOD(H1283-G1283,1))</f>
        <v/>
      </c>
      <c r="J1283" s="61">
        <f>IF(OR(G1283="",H1283=""),"",ROUND(MOD(H1283-G1283,1)*24,2))</f>
        <v/>
      </c>
      <c r="K1283" s="62">
        <f>IF(E1283="","",IF(E1283="Werken","JA","NEE"))</f>
        <v/>
      </c>
      <c r="L1283" s="61">
        <f>IF(K1283="JA",N(J1283),IF(E1283="","",0))</f>
        <v/>
      </c>
      <c r="M1283" s="62">
        <f>IF(AND(A1283="",E1283=""),"",IF(E1283="","Segment ontbreekt",IF(OR(G1283="",H1283=""),"Van/tot ontbreekt",IF(N(J1283)=0,"Duur is nul",IF(N(J1283)&gt;12,"Langer dan 12 uur - controleren",IF(AND(E1283="Werken",D1283=""),"Werken zonder klant - koppelen","OK"))))))</f>
        <v/>
      </c>
    </row>
    <row r="1284" ht="15" customHeight="1" s="42">
      <c r="A1284" s="55" t="n"/>
      <c r="B1284" s="56">
        <f>IF(A1284="","",WEEKNUM(A1284,21))</f>
        <v/>
      </c>
      <c r="C1284" s="57" t="n"/>
      <c r="D1284" s="57" t="n"/>
      <c r="E1284" s="58" t="n"/>
      <c r="F1284" s="57" t="n"/>
      <c r="G1284" s="59" t="n"/>
      <c r="H1284" s="59" t="n"/>
      <c r="I1284" s="60">
        <f>IF(OR(G1284="",H1284=""),"",MOD(H1284-G1284,1))</f>
        <v/>
      </c>
      <c r="J1284" s="61">
        <f>IF(OR(G1284="",H1284=""),"",ROUND(MOD(H1284-G1284,1)*24,2))</f>
        <v/>
      </c>
      <c r="K1284" s="62">
        <f>IF(E1284="","",IF(E1284="Werken","JA","NEE"))</f>
        <v/>
      </c>
      <c r="L1284" s="61">
        <f>IF(K1284="JA",N(J1284),IF(E1284="","",0))</f>
        <v/>
      </c>
      <c r="M1284" s="62">
        <f>IF(AND(A1284="",E1284=""),"",IF(E1284="","Segment ontbreekt",IF(OR(G1284="",H1284=""),"Van/tot ontbreekt",IF(N(J1284)=0,"Duur is nul",IF(N(J1284)&gt;12,"Langer dan 12 uur - controleren",IF(AND(E1284="Werken",D1284=""),"Werken zonder klant - koppelen","OK"))))))</f>
        <v/>
      </c>
    </row>
    <row r="1285" ht="15" customHeight="1" s="42">
      <c r="A1285" s="55" t="n"/>
      <c r="B1285" s="56">
        <f>IF(A1285="","",WEEKNUM(A1285,21))</f>
        <v/>
      </c>
      <c r="C1285" s="57" t="n"/>
      <c r="D1285" s="57" t="n"/>
      <c r="E1285" s="58" t="n"/>
      <c r="F1285" s="57" t="n"/>
      <c r="G1285" s="59" t="n"/>
      <c r="H1285" s="59" t="n"/>
      <c r="I1285" s="60">
        <f>IF(OR(G1285="",H1285=""),"",MOD(H1285-G1285,1))</f>
        <v/>
      </c>
      <c r="J1285" s="61">
        <f>IF(OR(G1285="",H1285=""),"",ROUND(MOD(H1285-G1285,1)*24,2))</f>
        <v/>
      </c>
      <c r="K1285" s="62">
        <f>IF(E1285="","",IF(E1285="Werken","JA","NEE"))</f>
        <v/>
      </c>
      <c r="L1285" s="61">
        <f>IF(K1285="JA",N(J1285),IF(E1285="","",0))</f>
        <v/>
      </c>
      <c r="M1285" s="62">
        <f>IF(AND(A1285="",E1285=""),"",IF(E1285="","Segment ontbreekt",IF(OR(G1285="",H1285=""),"Van/tot ontbreekt",IF(N(J1285)=0,"Duur is nul",IF(N(J1285)&gt;12,"Langer dan 12 uur - controleren",IF(AND(E1285="Werken",D1285=""),"Werken zonder klant - koppelen","OK"))))))</f>
        <v/>
      </c>
    </row>
    <row r="1286" ht="15" customHeight="1" s="42">
      <c r="A1286" s="55" t="n"/>
      <c r="B1286" s="56">
        <f>IF(A1286="","",WEEKNUM(A1286,21))</f>
        <v/>
      </c>
      <c r="C1286" s="57" t="n"/>
      <c r="D1286" s="57" t="n"/>
      <c r="E1286" s="58" t="n"/>
      <c r="F1286" s="57" t="n"/>
      <c r="G1286" s="59" t="n"/>
      <c r="H1286" s="59" t="n"/>
      <c r="I1286" s="60">
        <f>IF(OR(G1286="",H1286=""),"",MOD(H1286-G1286,1))</f>
        <v/>
      </c>
      <c r="J1286" s="61">
        <f>IF(OR(G1286="",H1286=""),"",ROUND(MOD(H1286-G1286,1)*24,2))</f>
        <v/>
      </c>
      <c r="K1286" s="62">
        <f>IF(E1286="","",IF(E1286="Werken","JA","NEE"))</f>
        <v/>
      </c>
      <c r="L1286" s="61">
        <f>IF(K1286="JA",N(J1286),IF(E1286="","",0))</f>
        <v/>
      </c>
      <c r="M1286" s="62">
        <f>IF(AND(A1286="",E1286=""),"",IF(E1286="","Segment ontbreekt",IF(OR(G1286="",H1286=""),"Van/tot ontbreekt",IF(N(J1286)=0,"Duur is nul",IF(N(J1286)&gt;12,"Langer dan 12 uur - controleren",IF(AND(E1286="Werken",D1286=""),"Werken zonder klant - koppelen","OK"))))))</f>
        <v/>
      </c>
    </row>
    <row r="1287" ht="15" customHeight="1" s="42">
      <c r="A1287" s="55" t="n"/>
      <c r="B1287" s="56">
        <f>IF(A1287="","",WEEKNUM(A1287,21))</f>
        <v/>
      </c>
      <c r="C1287" s="57" t="n"/>
      <c r="D1287" s="57" t="n"/>
      <c r="E1287" s="58" t="n"/>
      <c r="F1287" s="57" t="n"/>
      <c r="G1287" s="59" t="n"/>
      <c r="H1287" s="59" t="n"/>
      <c r="I1287" s="60">
        <f>IF(OR(G1287="",H1287=""),"",MOD(H1287-G1287,1))</f>
        <v/>
      </c>
      <c r="J1287" s="61">
        <f>IF(OR(G1287="",H1287=""),"",ROUND(MOD(H1287-G1287,1)*24,2))</f>
        <v/>
      </c>
      <c r="K1287" s="62">
        <f>IF(E1287="","",IF(E1287="Werken","JA","NEE"))</f>
        <v/>
      </c>
      <c r="L1287" s="61">
        <f>IF(K1287="JA",N(J1287),IF(E1287="","",0))</f>
        <v/>
      </c>
      <c r="M1287" s="62">
        <f>IF(AND(A1287="",E1287=""),"",IF(E1287="","Segment ontbreekt",IF(OR(G1287="",H1287=""),"Van/tot ontbreekt",IF(N(J1287)=0,"Duur is nul",IF(N(J1287)&gt;12,"Langer dan 12 uur - controleren",IF(AND(E1287="Werken",D1287=""),"Werken zonder klant - koppelen","OK"))))))</f>
        <v/>
      </c>
    </row>
    <row r="1288" ht="15" customHeight="1" s="42">
      <c r="A1288" s="55" t="n"/>
      <c r="B1288" s="56">
        <f>IF(A1288="","",WEEKNUM(A1288,21))</f>
        <v/>
      </c>
      <c r="C1288" s="57" t="n"/>
      <c r="D1288" s="57" t="n"/>
      <c r="E1288" s="58" t="n"/>
      <c r="F1288" s="57" t="n"/>
      <c r="G1288" s="59" t="n"/>
      <c r="H1288" s="59" t="n"/>
      <c r="I1288" s="60">
        <f>IF(OR(G1288="",H1288=""),"",MOD(H1288-G1288,1))</f>
        <v/>
      </c>
      <c r="J1288" s="61">
        <f>IF(OR(G1288="",H1288=""),"",ROUND(MOD(H1288-G1288,1)*24,2))</f>
        <v/>
      </c>
      <c r="K1288" s="62">
        <f>IF(E1288="","",IF(E1288="Werken","JA","NEE"))</f>
        <v/>
      </c>
      <c r="L1288" s="61">
        <f>IF(K1288="JA",N(J1288),IF(E1288="","",0))</f>
        <v/>
      </c>
      <c r="M1288" s="62">
        <f>IF(AND(A1288="",E1288=""),"",IF(E1288="","Segment ontbreekt",IF(OR(G1288="",H1288=""),"Van/tot ontbreekt",IF(N(J1288)=0,"Duur is nul",IF(N(J1288)&gt;12,"Langer dan 12 uur - controleren",IF(AND(E1288="Werken",D1288=""),"Werken zonder klant - koppelen","OK"))))))</f>
        <v/>
      </c>
    </row>
    <row r="1289" ht="15" customHeight="1" s="42">
      <c r="A1289" s="55" t="n"/>
      <c r="B1289" s="56">
        <f>IF(A1289="","",WEEKNUM(A1289,21))</f>
        <v/>
      </c>
      <c r="C1289" s="57" t="n"/>
      <c r="D1289" s="57" t="n"/>
      <c r="E1289" s="58" t="n"/>
      <c r="F1289" s="57" t="n"/>
      <c r="G1289" s="59" t="n"/>
      <c r="H1289" s="59" t="n"/>
      <c r="I1289" s="60">
        <f>IF(OR(G1289="",H1289=""),"",MOD(H1289-G1289,1))</f>
        <v/>
      </c>
      <c r="J1289" s="61">
        <f>IF(OR(G1289="",H1289=""),"",ROUND(MOD(H1289-G1289,1)*24,2))</f>
        <v/>
      </c>
      <c r="K1289" s="62">
        <f>IF(E1289="","",IF(E1289="Werken","JA","NEE"))</f>
        <v/>
      </c>
      <c r="L1289" s="61">
        <f>IF(K1289="JA",N(J1289),IF(E1289="","",0))</f>
        <v/>
      </c>
      <c r="M1289" s="62">
        <f>IF(AND(A1289="",E1289=""),"",IF(E1289="","Segment ontbreekt",IF(OR(G1289="",H1289=""),"Van/tot ontbreekt",IF(N(J1289)=0,"Duur is nul",IF(N(J1289)&gt;12,"Langer dan 12 uur - controleren",IF(AND(E1289="Werken",D1289=""),"Werken zonder klant - koppelen","OK"))))))</f>
        <v/>
      </c>
    </row>
    <row r="1290" ht="15" customHeight="1" s="42">
      <c r="A1290" s="55" t="n"/>
      <c r="B1290" s="56">
        <f>IF(A1290="","",WEEKNUM(A1290,21))</f>
        <v/>
      </c>
      <c r="C1290" s="57" t="n"/>
      <c r="D1290" s="57" t="n"/>
      <c r="E1290" s="58" t="n"/>
      <c r="F1290" s="57" t="n"/>
      <c r="G1290" s="59" t="n"/>
      <c r="H1290" s="59" t="n"/>
      <c r="I1290" s="60">
        <f>IF(OR(G1290="",H1290=""),"",MOD(H1290-G1290,1))</f>
        <v/>
      </c>
      <c r="J1290" s="61">
        <f>IF(OR(G1290="",H1290=""),"",ROUND(MOD(H1290-G1290,1)*24,2))</f>
        <v/>
      </c>
      <c r="K1290" s="62">
        <f>IF(E1290="","",IF(E1290="Werken","JA","NEE"))</f>
        <v/>
      </c>
      <c r="L1290" s="61">
        <f>IF(K1290="JA",N(J1290),IF(E1290="","",0))</f>
        <v/>
      </c>
      <c r="M1290" s="62">
        <f>IF(AND(A1290="",E1290=""),"",IF(E1290="","Segment ontbreekt",IF(OR(G1290="",H1290=""),"Van/tot ontbreekt",IF(N(J1290)=0,"Duur is nul",IF(N(J1290)&gt;12,"Langer dan 12 uur - controleren",IF(AND(E1290="Werken",D1290=""),"Werken zonder klant - koppelen","OK"))))))</f>
        <v/>
      </c>
    </row>
    <row r="1291" ht="15" customHeight="1" s="42">
      <c r="A1291" s="55" t="n"/>
      <c r="B1291" s="56">
        <f>IF(A1291="","",WEEKNUM(A1291,21))</f>
        <v/>
      </c>
      <c r="C1291" s="57" t="n"/>
      <c r="D1291" s="57" t="n"/>
      <c r="E1291" s="58" t="n"/>
      <c r="F1291" s="57" t="n"/>
      <c r="G1291" s="59" t="n"/>
      <c r="H1291" s="59" t="n"/>
      <c r="I1291" s="60">
        <f>IF(OR(G1291="",H1291=""),"",MOD(H1291-G1291,1))</f>
        <v/>
      </c>
      <c r="J1291" s="61">
        <f>IF(OR(G1291="",H1291=""),"",ROUND(MOD(H1291-G1291,1)*24,2))</f>
        <v/>
      </c>
      <c r="K1291" s="62">
        <f>IF(E1291="","",IF(E1291="Werken","JA","NEE"))</f>
        <v/>
      </c>
      <c r="L1291" s="61">
        <f>IF(K1291="JA",N(J1291),IF(E1291="","",0))</f>
        <v/>
      </c>
      <c r="M1291" s="62">
        <f>IF(AND(A1291="",E1291=""),"",IF(E1291="","Segment ontbreekt",IF(OR(G1291="",H1291=""),"Van/tot ontbreekt",IF(N(J1291)=0,"Duur is nul",IF(N(J1291)&gt;12,"Langer dan 12 uur - controleren",IF(AND(E1291="Werken",D1291=""),"Werken zonder klant - koppelen","OK"))))))</f>
        <v/>
      </c>
    </row>
    <row r="1292" ht="15" customHeight="1" s="42">
      <c r="A1292" s="55" t="n"/>
      <c r="B1292" s="56">
        <f>IF(A1292="","",WEEKNUM(A1292,21))</f>
        <v/>
      </c>
      <c r="C1292" s="57" t="n"/>
      <c r="D1292" s="57" t="n"/>
      <c r="E1292" s="58" t="n"/>
      <c r="F1292" s="57" t="n"/>
      <c r="G1292" s="59" t="n"/>
      <c r="H1292" s="59" t="n"/>
      <c r="I1292" s="60">
        <f>IF(OR(G1292="",H1292=""),"",MOD(H1292-G1292,1))</f>
        <v/>
      </c>
      <c r="J1292" s="61">
        <f>IF(OR(G1292="",H1292=""),"",ROUND(MOD(H1292-G1292,1)*24,2))</f>
        <v/>
      </c>
      <c r="K1292" s="62">
        <f>IF(E1292="","",IF(E1292="Werken","JA","NEE"))</f>
        <v/>
      </c>
      <c r="L1292" s="61">
        <f>IF(K1292="JA",N(J1292),IF(E1292="","",0))</f>
        <v/>
      </c>
      <c r="M1292" s="62">
        <f>IF(AND(A1292="",E1292=""),"",IF(E1292="","Segment ontbreekt",IF(OR(G1292="",H1292=""),"Van/tot ontbreekt",IF(N(J1292)=0,"Duur is nul",IF(N(J1292)&gt;12,"Langer dan 12 uur - controleren",IF(AND(E1292="Werken",D1292=""),"Werken zonder klant - koppelen","OK"))))))</f>
        <v/>
      </c>
    </row>
    <row r="1293" ht="15" customHeight="1" s="42">
      <c r="A1293" s="55" t="n"/>
      <c r="B1293" s="56">
        <f>IF(A1293="","",WEEKNUM(A1293,21))</f>
        <v/>
      </c>
      <c r="C1293" s="57" t="n"/>
      <c r="D1293" s="57" t="n"/>
      <c r="E1293" s="58" t="n"/>
      <c r="F1293" s="57" t="n"/>
      <c r="G1293" s="59" t="n"/>
      <c r="H1293" s="59" t="n"/>
      <c r="I1293" s="60">
        <f>IF(OR(G1293="",H1293=""),"",MOD(H1293-G1293,1))</f>
        <v/>
      </c>
      <c r="J1293" s="61">
        <f>IF(OR(G1293="",H1293=""),"",ROUND(MOD(H1293-G1293,1)*24,2))</f>
        <v/>
      </c>
      <c r="K1293" s="62">
        <f>IF(E1293="","",IF(E1293="Werken","JA","NEE"))</f>
        <v/>
      </c>
      <c r="L1293" s="61">
        <f>IF(K1293="JA",N(J1293),IF(E1293="","",0))</f>
        <v/>
      </c>
      <c r="M1293" s="62">
        <f>IF(AND(A1293="",E1293=""),"",IF(E1293="","Segment ontbreekt",IF(OR(G1293="",H1293=""),"Van/tot ontbreekt",IF(N(J1293)=0,"Duur is nul",IF(N(J1293)&gt;12,"Langer dan 12 uur - controleren",IF(AND(E1293="Werken",D1293=""),"Werken zonder klant - koppelen","OK"))))))</f>
        <v/>
      </c>
    </row>
    <row r="1294" ht="15" customHeight="1" s="42">
      <c r="A1294" s="55" t="n"/>
      <c r="B1294" s="56">
        <f>IF(A1294="","",WEEKNUM(A1294,21))</f>
        <v/>
      </c>
      <c r="C1294" s="57" t="n"/>
      <c r="D1294" s="57" t="n"/>
      <c r="E1294" s="58" t="n"/>
      <c r="F1294" s="57" t="n"/>
      <c r="G1294" s="59" t="n"/>
      <c r="H1294" s="59" t="n"/>
      <c r="I1294" s="60">
        <f>IF(OR(G1294="",H1294=""),"",MOD(H1294-G1294,1))</f>
        <v/>
      </c>
      <c r="J1294" s="61">
        <f>IF(OR(G1294="",H1294=""),"",ROUND(MOD(H1294-G1294,1)*24,2))</f>
        <v/>
      </c>
      <c r="K1294" s="62">
        <f>IF(E1294="","",IF(E1294="Werken","JA","NEE"))</f>
        <v/>
      </c>
      <c r="L1294" s="61">
        <f>IF(K1294="JA",N(J1294),IF(E1294="","",0))</f>
        <v/>
      </c>
      <c r="M1294" s="62">
        <f>IF(AND(A1294="",E1294=""),"",IF(E1294="","Segment ontbreekt",IF(OR(G1294="",H1294=""),"Van/tot ontbreekt",IF(N(J1294)=0,"Duur is nul",IF(N(J1294)&gt;12,"Langer dan 12 uur - controleren",IF(AND(E1294="Werken",D1294=""),"Werken zonder klant - koppelen","OK"))))))</f>
        <v/>
      </c>
    </row>
    <row r="1295" ht="15" customHeight="1" s="42">
      <c r="A1295" s="55" t="n"/>
      <c r="B1295" s="56">
        <f>IF(A1295="","",WEEKNUM(A1295,21))</f>
        <v/>
      </c>
      <c r="C1295" s="57" t="n"/>
      <c r="D1295" s="57" t="n"/>
      <c r="E1295" s="58" t="n"/>
      <c r="F1295" s="57" t="n"/>
      <c r="G1295" s="59" t="n"/>
      <c r="H1295" s="59" t="n"/>
      <c r="I1295" s="60">
        <f>IF(OR(G1295="",H1295=""),"",MOD(H1295-G1295,1))</f>
        <v/>
      </c>
      <c r="J1295" s="61">
        <f>IF(OR(G1295="",H1295=""),"",ROUND(MOD(H1295-G1295,1)*24,2))</f>
        <v/>
      </c>
      <c r="K1295" s="62">
        <f>IF(E1295="","",IF(E1295="Werken","JA","NEE"))</f>
        <v/>
      </c>
      <c r="L1295" s="61">
        <f>IF(K1295="JA",N(J1295),IF(E1295="","",0))</f>
        <v/>
      </c>
      <c r="M1295" s="62">
        <f>IF(AND(A1295="",E1295=""),"",IF(E1295="","Segment ontbreekt",IF(OR(G1295="",H1295=""),"Van/tot ontbreekt",IF(N(J1295)=0,"Duur is nul",IF(N(J1295)&gt;12,"Langer dan 12 uur - controleren",IF(AND(E1295="Werken",D1295=""),"Werken zonder klant - koppelen","OK"))))))</f>
        <v/>
      </c>
    </row>
    <row r="1296" ht="15" customHeight="1" s="42">
      <c r="A1296" s="55" t="n"/>
      <c r="B1296" s="56">
        <f>IF(A1296="","",WEEKNUM(A1296,21))</f>
        <v/>
      </c>
      <c r="C1296" s="57" t="n"/>
      <c r="D1296" s="57" t="n"/>
      <c r="E1296" s="58" t="n"/>
      <c r="F1296" s="57" t="n"/>
      <c r="G1296" s="59" t="n"/>
      <c r="H1296" s="59" t="n"/>
      <c r="I1296" s="60">
        <f>IF(OR(G1296="",H1296=""),"",MOD(H1296-G1296,1))</f>
        <v/>
      </c>
      <c r="J1296" s="61">
        <f>IF(OR(G1296="",H1296=""),"",ROUND(MOD(H1296-G1296,1)*24,2))</f>
        <v/>
      </c>
      <c r="K1296" s="62">
        <f>IF(E1296="","",IF(E1296="Werken","JA","NEE"))</f>
        <v/>
      </c>
      <c r="L1296" s="61">
        <f>IF(K1296="JA",N(J1296),IF(E1296="","",0))</f>
        <v/>
      </c>
      <c r="M1296" s="62">
        <f>IF(AND(A1296="",E1296=""),"",IF(E1296="","Segment ontbreekt",IF(OR(G1296="",H1296=""),"Van/tot ontbreekt",IF(N(J1296)=0,"Duur is nul",IF(N(J1296)&gt;12,"Langer dan 12 uur - controleren",IF(AND(E1296="Werken",D1296=""),"Werken zonder klant - koppelen","OK"))))))</f>
        <v/>
      </c>
    </row>
    <row r="1297" ht="15" customHeight="1" s="42">
      <c r="A1297" s="55" t="n"/>
      <c r="B1297" s="56">
        <f>IF(A1297="","",WEEKNUM(A1297,21))</f>
        <v/>
      </c>
      <c r="C1297" s="57" t="n"/>
      <c r="D1297" s="57" t="n"/>
      <c r="E1297" s="58" t="n"/>
      <c r="F1297" s="57" t="n"/>
      <c r="G1297" s="59" t="n"/>
      <c r="H1297" s="59" t="n"/>
      <c r="I1297" s="60">
        <f>IF(OR(G1297="",H1297=""),"",MOD(H1297-G1297,1))</f>
        <v/>
      </c>
      <c r="J1297" s="61">
        <f>IF(OR(G1297="",H1297=""),"",ROUND(MOD(H1297-G1297,1)*24,2))</f>
        <v/>
      </c>
      <c r="K1297" s="62">
        <f>IF(E1297="","",IF(E1297="Werken","JA","NEE"))</f>
        <v/>
      </c>
      <c r="L1297" s="61">
        <f>IF(K1297="JA",N(J1297),IF(E1297="","",0))</f>
        <v/>
      </c>
      <c r="M1297" s="62">
        <f>IF(AND(A1297="",E1297=""),"",IF(E1297="","Segment ontbreekt",IF(OR(G1297="",H1297=""),"Van/tot ontbreekt",IF(N(J1297)=0,"Duur is nul",IF(N(J1297)&gt;12,"Langer dan 12 uur - controleren",IF(AND(E1297="Werken",D1297=""),"Werken zonder klant - koppelen","OK"))))))</f>
        <v/>
      </c>
    </row>
    <row r="1298" ht="15" customHeight="1" s="42">
      <c r="A1298" s="55" t="n"/>
      <c r="B1298" s="56">
        <f>IF(A1298="","",WEEKNUM(A1298,21))</f>
        <v/>
      </c>
      <c r="C1298" s="57" t="n"/>
      <c r="D1298" s="57" t="n"/>
      <c r="E1298" s="58" t="n"/>
      <c r="F1298" s="57" t="n"/>
      <c r="G1298" s="59" t="n"/>
      <c r="H1298" s="59" t="n"/>
      <c r="I1298" s="60">
        <f>IF(OR(G1298="",H1298=""),"",MOD(H1298-G1298,1))</f>
        <v/>
      </c>
      <c r="J1298" s="61">
        <f>IF(OR(G1298="",H1298=""),"",ROUND(MOD(H1298-G1298,1)*24,2))</f>
        <v/>
      </c>
      <c r="K1298" s="62">
        <f>IF(E1298="","",IF(E1298="Werken","JA","NEE"))</f>
        <v/>
      </c>
      <c r="L1298" s="61">
        <f>IF(K1298="JA",N(J1298),IF(E1298="","",0))</f>
        <v/>
      </c>
      <c r="M1298" s="62">
        <f>IF(AND(A1298="",E1298=""),"",IF(E1298="","Segment ontbreekt",IF(OR(G1298="",H1298=""),"Van/tot ontbreekt",IF(N(J1298)=0,"Duur is nul",IF(N(J1298)&gt;12,"Langer dan 12 uur - controleren",IF(AND(E1298="Werken",D1298=""),"Werken zonder klant - koppelen","OK"))))))</f>
        <v/>
      </c>
    </row>
    <row r="1299" ht="15" customHeight="1" s="42">
      <c r="A1299" s="55" t="n"/>
      <c r="B1299" s="56">
        <f>IF(A1299="","",WEEKNUM(A1299,21))</f>
        <v/>
      </c>
      <c r="C1299" s="57" t="n"/>
      <c r="D1299" s="57" t="n"/>
      <c r="E1299" s="58" t="n"/>
      <c r="F1299" s="57" t="n"/>
      <c r="G1299" s="59" t="n"/>
      <c r="H1299" s="59" t="n"/>
      <c r="I1299" s="60">
        <f>IF(OR(G1299="",H1299=""),"",MOD(H1299-G1299,1))</f>
        <v/>
      </c>
      <c r="J1299" s="61">
        <f>IF(OR(G1299="",H1299=""),"",ROUND(MOD(H1299-G1299,1)*24,2))</f>
        <v/>
      </c>
      <c r="K1299" s="62">
        <f>IF(E1299="","",IF(E1299="Werken","JA","NEE"))</f>
        <v/>
      </c>
      <c r="L1299" s="61">
        <f>IF(K1299="JA",N(J1299),IF(E1299="","",0))</f>
        <v/>
      </c>
      <c r="M1299" s="62">
        <f>IF(AND(A1299="",E1299=""),"",IF(E1299="","Segment ontbreekt",IF(OR(G1299="",H1299=""),"Van/tot ontbreekt",IF(N(J1299)=0,"Duur is nul",IF(N(J1299)&gt;12,"Langer dan 12 uur - controleren",IF(AND(E1299="Werken",D1299=""),"Werken zonder klant - koppelen","OK"))))))</f>
        <v/>
      </c>
    </row>
    <row r="1300" ht="15" customHeight="1" s="42">
      <c r="A1300" s="55" t="n"/>
      <c r="B1300" s="56">
        <f>IF(A1300="","",WEEKNUM(A1300,21))</f>
        <v/>
      </c>
      <c r="C1300" s="57" t="n"/>
      <c r="D1300" s="57" t="n"/>
      <c r="E1300" s="58" t="n"/>
      <c r="F1300" s="57" t="n"/>
      <c r="G1300" s="59" t="n"/>
      <c r="H1300" s="59" t="n"/>
      <c r="I1300" s="60">
        <f>IF(OR(G1300="",H1300=""),"",MOD(H1300-G1300,1))</f>
        <v/>
      </c>
      <c r="J1300" s="61">
        <f>IF(OR(G1300="",H1300=""),"",ROUND(MOD(H1300-G1300,1)*24,2))</f>
        <v/>
      </c>
      <c r="K1300" s="62">
        <f>IF(E1300="","",IF(E1300="Werken","JA","NEE"))</f>
        <v/>
      </c>
      <c r="L1300" s="61">
        <f>IF(K1300="JA",N(J1300),IF(E1300="","",0))</f>
        <v/>
      </c>
      <c r="M1300" s="62">
        <f>IF(AND(A1300="",E1300=""),"",IF(E1300="","Segment ontbreekt",IF(OR(G1300="",H1300=""),"Van/tot ontbreekt",IF(N(J1300)=0,"Duur is nul",IF(N(J1300)&gt;12,"Langer dan 12 uur - controleren",IF(AND(E1300="Werken",D1300=""),"Werken zonder klant - koppelen","OK"))))))</f>
        <v/>
      </c>
    </row>
    <row r="1301" ht="15" customHeight="1" s="42">
      <c r="A1301" s="55" t="n"/>
      <c r="B1301" s="56">
        <f>IF(A1301="","",WEEKNUM(A1301,21))</f>
        <v/>
      </c>
      <c r="C1301" s="57" t="n"/>
      <c r="D1301" s="57" t="n"/>
      <c r="E1301" s="58" t="n"/>
      <c r="F1301" s="57" t="n"/>
      <c r="G1301" s="59" t="n"/>
      <c r="H1301" s="59" t="n"/>
      <c r="I1301" s="60">
        <f>IF(OR(G1301="",H1301=""),"",MOD(H1301-G1301,1))</f>
        <v/>
      </c>
      <c r="J1301" s="61">
        <f>IF(OR(G1301="",H1301=""),"",ROUND(MOD(H1301-G1301,1)*24,2))</f>
        <v/>
      </c>
      <c r="K1301" s="62">
        <f>IF(E1301="","",IF(E1301="Werken","JA","NEE"))</f>
        <v/>
      </c>
      <c r="L1301" s="61">
        <f>IF(K1301="JA",N(J1301),IF(E1301="","",0))</f>
        <v/>
      </c>
      <c r="M1301" s="62">
        <f>IF(AND(A1301="",E1301=""),"",IF(E1301="","Segment ontbreekt",IF(OR(G1301="",H1301=""),"Van/tot ontbreekt",IF(N(J1301)=0,"Duur is nul",IF(N(J1301)&gt;12,"Langer dan 12 uur - controleren",IF(AND(E1301="Werken",D1301=""),"Werken zonder klant - koppelen","OK"))))))</f>
        <v/>
      </c>
    </row>
    <row r="1302" ht="15" customHeight="1" s="42">
      <c r="A1302" s="55" t="n"/>
      <c r="B1302" s="56">
        <f>IF(A1302="","",WEEKNUM(A1302,21))</f>
        <v/>
      </c>
      <c r="C1302" s="57" t="n"/>
      <c r="D1302" s="57" t="n"/>
      <c r="E1302" s="58" t="n"/>
      <c r="F1302" s="57" t="n"/>
      <c r="G1302" s="59" t="n"/>
      <c r="H1302" s="59" t="n"/>
      <c r="I1302" s="60">
        <f>IF(OR(G1302="",H1302=""),"",MOD(H1302-G1302,1))</f>
        <v/>
      </c>
      <c r="J1302" s="61">
        <f>IF(OR(G1302="",H1302=""),"",ROUND(MOD(H1302-G1302,1)*24,2))</f>
        <v/>
      </c>
      <c r="K1302" s="62">
        <f>IF(E1302="","",IF(E1302="Werken","JA","NEE"))</f>
        <v/>
      </c>
      <c r="L1302" s="61">
        <f>IF(K1302="JA",N(J1302),IF(E1302="","",0))</f>
        <v/>
      </c>
      <c r="M1302" s="62">
        <f>IF(AND(A1302="",E1302=""),"",IF(E1302="","Segment ontbreekt",IF(OR(G1302="",H1302=""),"Van/tot ontbreekt",IF(N(J1302)=0,"Duur is nul",IF(N(J1302)&gt;12,"Langer dan 12 uur - controleren",IF(AND(E1302="Werken",D1302=""),"Werken zonder klant - koppelen","OK"))))))</f>
        <v/>
      </c>
    </row>
    <row r="1303" ht="15" customHeight="1" s="42">
      <c r="A1303" s="55" t="n"/>
      <c r="B1303" s="56">
        <f>IF(A1303="","",WEEKNUM(A1303,21))</f>
        <v/>
      </c>
      <c r="C1303" s="57" t="n"/>
      <c r="D1303" s="57" t="n"/>
      <c r="E1303" s="58" t="n"/>
      <c r="F1303" s="57" t="n"/>
      <c r="G1303" s="59" t="n"/>
      <c r="H1303" s="59" t="n"/>
      <c r="I1303" s="60">
        <f>IF(OR(G1303="",H1303=""),"",MOD(H1303-G1303,1))</f>
        <v/>
      </c>
      <c r="J1303" s="61">
        <f>IF(OR(G1303="",H1303=""),"",ROUND(MOD(H1303-G1303,1)*24,2))</f>
        <v/>
      </c>
      <c r="K1303" s="62">
        <f>IF(E1303="","",IF(E1303="Werken","JA","NEE"))</f>
        <v/>
      </c>
      <c r="L1303" s="61">
        <f>IF(K1303="JA",N(J1303),IF(E1303="","",0))</f>
        <v/>
      </c>
      <c r="M1303" s="62">
        <f>IF(AND(A1303="",E1303=""),"",IF(E1303="","Segment ontbreekt",IF(OR(G1303="",H1303=""),"Van/tot ontbreekt",IF(N(J1303)=0,"Duur is nul",IF(N(J1303)&gt;12,"Langer dan 12 uur - controleren",IF(AND(E1303="Werken",D1303=""),"Werken zonder klant - koppelen","OK"))))))</f>
        <v/>
      </c>
    </row>
    <row r="1304" ht="15" customHeight="1" s="42">
      <c r="A1304" s="55" t="n"/>
      <c r="B1304" s="56">
        <f>IF(A1304="","",WEEKNUM(A1304,21))</f>
        <v/>
      </c>
      <c r="C1304" s="57" t="n"/>
      <c r="D1304" s="57" t="n"/>
      <c r="E1304" s="58" t="n"/>
      <c r="F1304" s="57" t="n"/>
      <c r="G1304" s="59" t="n"/>
      <c r="H1304" s="59" t="n"/>
      <c r="I1304" s="60">
        <f>IF(OR(G1304="",H1304=""),"",MOD(H1304-G1304,1))</f>
        <v/>
      </c>
      <c r="J1304" s="61">
        <f>IF(OR(G1304="",H1304=""),"",ROUND(MOD(H1304-G1304,1)*24,2))</f>
        <v/>
      </c>
      <c r="K1304" s="62">
        <f>IF(E1304="","",IF(E1304="Werken","JA","NEE"))</f>
        <v/>
      </c>
      <c r="L1304" s="61">
        <f>IF(K1304="JA",N(J1304),IF(E1304="","",0))</f>
        <v/>
      </c>
      <c r="M1304" s="62">
        <f>IF(AND(A1304="",E1304=""),"",IF(E1304="","Segment ontbreekt",IF(OR(G1304="",H1304=""),"Van/tot ontbreekt",IF(N(J1304)=0,"Duur is nul",IF(N(J1304)&gt;12,"Langer dan 12 uur - controleren",IF(AND(E1304="Werken",D1304=""),"Werken zonder klant - koppelen","OK"))))))</f>
        <v/>
      </c>
    </row>
    <row r="1305" ht="15" customHeight="1" s="42">
      <c r="A1305" s="55" t="n"/>
      <c r="B1305" s="56">
        <f>IF(A1305="","",WEEKNUM(A1305,21))</f>
        <v/>
      </c>
      <c r="C1305" s="57" t="n"/>
      <c r="D1305" s="57" t="n"/>
      <c r="E1305" s="58" t="n"/>
      <c r="F1305" s="57" t="n"/>
      <c r="G1305" s="59" t="n"/>
      <c r="H1305" s="59" t="n"/>
      <c r="I1305" s="60">
        <f>IF(OR(G1305="",H1305=""),"",MOD(H1305-G1305,1))</f>
        <v/>
      </c>
      <c r="J1305" s="61">
        <f>IF(OR(G1305="",H1305=""),"",ROUND(MOD(H1305-G1305,1)*24,2))</f>
        <v/>
      </c>
      <c r="K1305" s="62">
        <f>IF(E1305="","",IF(E1305="Werken","JA","NEE"))</f>
        <v/>
      </c>
      <c r="L1305" s="61">
        <f>IF(K1305="JA",N(J1305),IF(E1305="","",0))</f>
        <v/>
      </c>
      <c r="M1305" s="62">
        <f>IF(AND(A1305="",E1305=""),"",IF(E1305="","Segment ontbreekt",IF(OR(G1305="",H1305=""),"Van/tot ontbreekt",IF(N(J1305)=0,"Duur is nul",IF(N(J1305)&gt;12,"Langer dan 12 uur - controleren",IF(AND(E1305="Werken",D1305=""),"Werken zonder klant - koppelen","OK"))))))</f>
        <v/>
      </c>
    </row>
    <row r="1306" ht="15" customHeight="1" s="42">
      <c r="A1306" s="55" t="n"/>
      <c r="B1306" s="56">
        <f>IF(A1306="","",WEEKNUM(A1306,21))</f>
        <v/>
      </c>
      <c r="C1306" s="57" t="n"/>
      <c r="D1306" s="57" t="n"/>
      <c r="E1306" s="58" t="n"/>
      <c r="F1306" s="57" t="n"/>
      <c r="G1306" s="59" t="n"/>
      <c r="H1306" s="59" t="n"/>
      <c r="I1306" s="60">
        <f>IF(OR(G1306="",H1306=""),"",MOD(H1306-G1306,1))</f>
        <v/>
      </c>
      <c r="J1306" s="61">
        <f>IF(OR(G1306="",H1306=""),"",ROUND(MOD(H1306-G1306,1)*24,2))</f>
        <v/>
      </c>
      <c r="K1306" s="62">
        <f>IF(E1306="","",IF(E1306="Werken","JA","NEE"))</f>
        <v/>
      </c>
      <c r="L1306" s="61">
        <f>IF(K1306="JA",N(J1306),IF(E1306="","",0))</f>
        <v/>
      </c>
      <c r="M1306" s="62">
        <f>IF(AND(A1306="",E1306=""),"",IF(E1306="","Segment ontbreekt",IF(OR(G1306="",H1306=""),"Van/tot ontbreekt",IF(N(J1306)=0,"Duur is nul",IF(N(J1306)&gt;12,"Langer dan 12 uur - controleren",IF(AND(E1306="Werken",D1306=""),"Werken zonder klant - koppelen","OK"))))))</f>
        <v/>
      </c>
    </row>
    <row r="1307" ht="15" customHeight="1" s="42">
      <c r="A1307" s="55" t="n"/>
      <c r="B1307" s="56">
        <f>IF(A1307="","",WEEKNUM(A1307,21))</f>
        <v/>
      </c>
      <c r="C1307" s="57" t="n"/>
      <c r="D1307" s="57" t="n"/>
      <c r="E1307" s="58" t="n"/>
      <c r="F1307" s="57" t="n"/>
      <c r="G1307" s="59" t="n"/>
      <c r="H1307" s="59" t="n"/>
      <c r="I1307" s="60">
        <f>IF(OR(G1307="",H1307=""),"",MOD(H1307-G1307,1))</f>
        <v/>
      </c>
      <c r="J1307" s="61">
        <f>IF(OR(G1307="",H1307=""),"",ROUND(MOD(H1307-G1307,1)*24,2))</f>
        <v/>
      </c>
      <c r="K1307" s="62">
        <f>IF(E1307="","",IF(E1307="Werken","JA","NEE"))</f>
        <v/>
      </c>
      <c r="L1307" s="61">
        <f>IF(K1307="JA",N(J1307),IF(E1307="","",0))</f>
        <v/>
      </c>
      <c r="M1307" s="62">
        <f>IF(AND(A1307="",E1307=""),"",IF(E1307="","Segment ontbreekt",IF(OR(G1307="",H1307=""),"Van/tot ontbreekt",IF(N(J1307)=0,"Duur is nul",IF(N(J1307)&gt;12,"Langer dan 12 uur - controleren",IF(AND(E1307="Werken",D1307=""),"Werken zonder klant - koppelen","OK"))))))</f>
        <v/>
      </c>
    </row>
    <row r="1308" ht="15" customHeight="1" s="42">
      <c r="A1308" s="55" t="n"/>
      <c r="B1308" s="56">
        <f>IF(A1308="","",WEEKNUM(A1308,21))</f>
        <v/>
      </c>
      <c r="C1308" s="57" t="n"/>
      <c r="D1308" s="57" t="n"/>
      <c r="E1308" s="58" t="n"/>
      <c r="F1308" s="57" t="n"/>
      <c r="G1308" s="59" t="n"/>
      <c r="H1308" s="59" t="n"/>
      <c r="I1308" s="60">
        <f>IF(OR(G1308="",H1308=""),"",MOD(H1308-G1308,1))</f>
        <v/>
      </c>
      <c r="J1308" s="61">
        <f>IF(OR(G1308="",H1308=""),"",ROUND(MOD(H1308-G1308,1)*24,2))</f>
        <v/>
      </c>
      <c r="K1308" s="62">
        <f>IF(E1308="","",IF(E1308="Werken","JA","NEE"))</f>
        <v/>
      </c>
      <c r="L1308" s="61">
        <f>IF(K1308="JA",N(J1308),IF(E1308="","",0))</f>
        <v/>
      </c>
      <c r="M1308" s="62">
        <f>IF(AND(A1308="",E1308=""),"",IF(E1308="","Segment ontbreekt",IF(OR(G1308="",H1308=""),"Van/tot ontbreekt",IF(N(J1308)=0,"Duur is nul",IF(N(J1308)&gt;12,"Langer dan 12 uur - controleren",IF(AND(E1308="Werken",D1308=""),"Werken zonder klant - koppelen","OK"))))))</f>
        <v/>
      </c>
    </row>
    <row r="1309" ht="15" customHeight="1" s="42">
      <c r="A1309" s="55" t="n"/>
      <c r="B1309" s="56">
        <f>IF(A1309="","",WEEKNUM(A1309,21))</f>
        <v/>
      </c>
      <c r="C1309" s="57" t="n"/>
      <c r="D1309" s="57" t="n"/>
      <c r="E1309" s="58" t="n"/>
      <c r="F1309" s="57" t="n"/>
      <c r="G1309" s="59" t="n"/>
      <c r="H1309" s="59" t="n"/>
      <c r="I1309" s="60">
        <f>IF(OR(G1309="",H1309=""),"",MOD(H1309-G1309,1))</f>
        <v/>
      </c>
      <c r="J1309" s="61">
        <f>IF(OR(G1309="",H1309=""),"",ROUND(MOD(H1309-G1309,1)*24,2))</f>
        <v/>
      </c>
      <c r="K1309" s="62">
        <f>IF(E1309="","",IF(E1309="Werken","JA","NEE"))</f>
        <v/>
      </c>
      <c r="L1309" s="61">
        <f>IF(K1309="JA",N(J1309),IF(E1309="","",0))</f>
        <v/>
      </c>
      <c r="M1309" s="62">
        <f>IF(AND(A1309="",E1309=""),"",IF(E1309="","Segment ontbreekt",IF(OR(G1309="",H1309=""),"Van/tot ontbreekt",IF(N(J1309)=0,"Duur is nul",IF(N(J1309)&gt;12,"Langer dan 12 uur - controleren",IF(AND(E1309="Werken",D1309=""),"Werken zonder klant - koppelen","OK"))))))</f>
        <v/>
      </c>
    </row>
    <row r="1310" ht="15" customHeight="1" s="42">
      <c r="A1310" s="55" t="n"/>
      <c r="B1310" s="56">
        <f>IF(A1310="","",WEEKNUM(A1310,21))</f>
        <v/>
      </c>
      <c r="C1310" s="57" t="n"/>
      <c r="D1310" s="57" t="n"/>
      <c r="E1310" s="58" t="n"/>
      <c r="F1310" s="57" t="n"/>
      <c r="G1310" s="59" t="n"/>
      <c r="H1310" s="59" t="n"/>
      <c r="I1310" s="60">
        <f>IF(OR(G1310="",H1310=""),"",MOD(H1310-G1310,1))</f>
        <v/>
      </c>
      <c r="J1310" s="61">
        <f>IF(OR(G1310="",H1310=""),"",ROUND(MOD(H1310-G1310,1)*24,2))</f>
        <v/>
      </c>
      <c r="K1310" s="62">
        <f>IF(E1310="","",IF(E1310="Werken","JA","NEE"))</f>
        <v/>
      </c>
      <c r="L1310" s="61">
        <f>IF(K1310="JA",N(J1310),IF(E1310="","",0))</f>
        <v/>
      </c>
      <c r="M1310" s="62">
        <f>IF(AND(A1310="",E1310=""),"",IF(E1310="","Segment ontbreekt",IF(OR(G1310="",H1310=""),"Van/tot ontbreekt",IF(N(J1310)=0,"Duur is nul",IF(N(J1310)&gt;12,"Langer dan 12 uur - controleren",IF(AND(E1310="Werken",D1310=""),"Werken zonder klant - koppelen","OK"))))))</f>
        <v/>
      </c>
    </row>
    <row r="1311" ht="15" customHeight="1" s="42">
      <c r="A1311" s="55" t="n"/>
      <c r="B1311" s="56">
        <f>IF(A1311="","",WEEKNUM(A1311,21))</f>
        <v/>
      </c>
      <c r="C1311" s="57" t="n"/>
      <c r="D1311" s="57" t="n"/>
      <c r="E1311" s="58" t="n"/>
      <c r="F1311" s="57" t="n"/>
      <c r="G1311" s="59" t="n"/>
      <c r="H1311" s="59" t="n"/>
      <c r="I1311" s="60">
        <f>IF(OR(G1311="",H1311=""),"",MOD(H1311-G1311,1))</f>
        <v/>
      </c>
      <c r="J1311" s="61">
        <f>IF(OR(G1311="",H1311=""),"",ROUND(MOD(H1311-G1311,1)*24,2))</f>
        <v/>
      </c>
      <c r="K1311" s="62">
        <f>IF(E1311="","",IF(E1311="Werken","JA","NEE"))</f>
        <v/>
      </c>
      <c r="L1311" s="61">
        <f>IF(K1311="JA",N(J1311),IF(E1311="","",0))</f>
        <v/>
      </c>
      <c r="M1311" s="62">
        <f>IF(AND(A1311="",E1311=""),"",IF(E1311="","Segment ontbreekt",IF(OR(G1311="",H1311=""),"Van/tot ontbreekt",IF(N(J1311)=0,"Duur is nul",IF(N(J1311)&gt;12,"Langer dan 12 uur - controleren",IF(AND(E1311="Werken",D1311=""),"Werken zonder klant - koppelen","OK"))))))</f>
        <v/>
      </c>
    </row>
    <row r="1312" ht="15" customHeight="1" s="42">
      <c r="A1312" s="55" t="n"/>
      <c r="B1312" s="56">
        <f>IF(A1312="","",WEEKNUM(A1312,21))</f>
        <v/>
      </c>
      <c r="C1312" s="57" t="n"/>
      <c r="D1312" s="57" t="n"/>
      <c r="E1312" s="58" t="n"/>
      <c r="F1312" s="57" t="n"/>
      <c r="G1312" s="59" t="n"/>
      <c r="H1312" s="59" t="n"/>
      <c r="I1312" s="60">
        <f>IF(OR(G1312="",H1312=""),"",MOD(H1312-G1312,1))</f>
        <v/>
      </c>
      <c r="J1312" s="61">
        <f>IF(OR(G1312="",H1312=""),"",ROUND(MOD(H1312-G1312,1)*24,2))</f>
        <v/>
      </c>
      <c r="K1312" s="62">
        <f>IF(E1312="","",IF(E1312="Werken","JA","NEE"))</f>
        <v/>
      </c>
      <c r="L1312" s="61">
        <f>IF(K1312="JA",N(J1312),IF(E1312="","",0))</f>
        <v/>
      </c>
      <c r="M1312" s="62">
        <f>IF(AND(A1312="",E1312=""),"",IF(E1312="","Segment ontbreekt",IF(OR(G1312="",H1312=""),"Van/tot ontbreekt",IF(N(J1312)=0,"Duur is nul",IF(N(J1312)&gt;12,"Langer dan 12 uur - controleren",IF(AND(E1312="Werken",D1312=""),"Werken zonder klant - koppelen","OK"))))))</f>
        <v/>
      </c>
    </row>
    <row r="1313" ht="15" customHeight="1" s="42">
      <c r="A1313" s="55" t="n"/>
      <c r="B1313" s="56">
        <f>IF(A1313="","",WEEKNUM(A1313,21))</f>
        <v/>
      </c>
      <c r="C1313" s="57" t="n"/>
      <c r="D1313" s="57" t="n"/>
      <c r="E1313" s="58" t="n"/>
      <c r="F1313" s="57" t="n"/>
      <c r="G1313" s="59" t="n"/>
      <c r="H1313" s="59" t="n"/>
      <c r="I1313" s="60">
        <f>IF(OR(G1313="",H1313=""),"",MOD(H1313-G1313,1))</f>
        <v/>
      </c>
      <c r="J1313" s="61">
        <f>IF(OR(G1313="",H1313=""),"",ROUND(MOD(H1313-G1313,1)*24,2))</f>
        <v/>
      </c>
      <c r="K1313" s="62">
        <f>IF(E1313="","",IF(E1313="Werken","JA","NEE"))</f>
        <v/>
      </c>
      <c r="L1313" s="61">
        <f>IF(K1313="JA",N(J1313),IF(E1313="","",0))</f>
        <v/>
      </c>
      <c r="M1313" s="62">
        <f>IF(AND(A1313="",E1313=""),"",IF(E1313="","Segment ontbreekt",IF(OR(G1313="",H1313=""),"Van/tot ontbreekt",IF(N(J1313)=0,"Duur is nul",IF(N(J1313)&gt;12,"Langer dan 12 uur - controleren",IF(AND(E1313="Werken",D1313=""),"Werken zonder klant - koppelen","OK"))))))</f>
        <v/>
      </c>
    </row>
    <row r="1314" ht="15" customHeight="1" s="42">
      <c r="A1314" s="55" t="n"/>
      <c r="B1314" s="56">
        <f>IF(A1314="","",WEEKNUM(A1314,21))</f>
        <v/>
      </c>
      <c r="C1314" s="57" t="n"/>
      <c r="D1314" s="57" t="n"/>
      <c r="E1314" s="58" t="n"/>
      <c r="F1314" s="57" t="n"/>
      <c r="G1314" s="59" t="n"/>
      <c r="H1314" s="59" t="n"/>
      <c r="I1314" s="60">
        <f>IF(OR(G1314="",H1314=""),"",MOD(H1314-G1314,1))</f>
        <v/>
      </c>
      <c r="J1314" s="61">
        <f>IF(OR(G1314="",H1314=""),"",ROUND(MOD(H1314-G1314,1)*24,2))</f>
        <v/>
      </c>
      <c r="K1314" s="62">
        <f>IF(E1314="","",IF(E1314="Werken","JA","NEE"))</f>
        <v/>
      </c>
      <c r="L1314" s="61">
        <f>IF(K1314="JA",N(J1314),IF(E1314="","",0))</f>
        <v/>
      </c>
      <c r="M1314" s="62">
        <f>IF(AND(A1314="",E1314=""),"",IF(E1314="","Segment ontbreekt",IF(OR(G1314="",H1314=""),"Van/tot ontbreekt",IF(N(J1314)=0,"Duur is nul",IF(N(J1314)&gt;12,"Langer dan 12 uur - controleren",IF(AND(E1314="Werken",D1314=""),"Werken zonder klant - koppelen","OK"))))))</f>
        <v/>
      </c>
    </row>
    <row r="1315" ht="15" customHeight="1" s="42">
      <c r="A1315" s="55" t="n"/>
      <c r="B1315" s="56">
        <f>IF(A1315="","",WEEKNUM(A1315,21))</f>
        <v/>
      </c>
      <c r="C1315" s="57" t="n"/>
      <c r="D1315" s="57" t="n"/>
      <c r="E1315" s="58" t="n"/>
      <c r="F1315" s="57" t="n"/>
      <c r="G1315" s="59" t="n"/>
      <c r="H1315" s="59" t="n"/>
      <c r="I1315" s="60">
        <f>IF(OR(G1315="",H1315=""),"",MOD(H1315-G1315,1))</f>
        <v/>
      </c>
      <c r="J1315" s="61">
        <f>IF(OR(G1315="",H1315=""),"",ROUND(MOD(H1315-G1315,1)*24,2))</f>
        <v/>
      </c>
      <c r="K1315" s="62">
        <f>IF(E1315="","",IF(E1315="Werken","JA","NEE"))</f>
        <v/>
      </c>
      <c r="L1315" s="61">
        <f>IF(K1315="JA",N(J1315),IF(E1315="","",0))</f>
        <v/>
      </c>
      <c r="M1315" s="62">
        <f>IF(AND(A1315="",E1315=""),"",IF(E1315="","Segment ontbreekt",IF(OR(G1315="",H1315=""),"Van/tot ontbreekt",IF(N(J1315)=0,"Duur is nul",IF(N(J1315)&gt;12,"Langer dan 12 uur - controleren",IF(AND(E1315="Werken",D1315=""),"Werken zonder klant - koppelen","OK"))))))</f>
        <v/>
      </c>
    </row>
    <row r="1316" ht="15" customHeight="1" s="42">
      <c r="A1316" s="55" t="n"/>
      <c r="B1316" s="56">
        <f>IF(A1316="","",WEEKNUM(A1316,21))</f>
        <v/>
      </c>
      <c r="C1316" s="57" t="n"/>
      <c r="D1316" s="57" t="n"/>
      <c r="E1316" s="58" t="n"/>
      <c r="F1316" s="57" t="n"/>
      <c r="G1316" s="59" t="n"/>
      <c r="H1316" s="59" t="n"/>
      <c r="I1316" s="60">
        <f>IF(OR(G1316="",H1316=""),"",MOD(H1316-G1316,1))</f>
        <v/>
      </c>
      <c r="J1316" s="61">
        <f>IF(OR(G1316="",H1316=""),"",ROUND(MOD(H1316-G1316,1)*24,2))</f>
        <v/>
      </c>
      <c r="K1316" s="62">
        <f>IF(E1316="","",IF(E1316="Werken","JA","NEE"))</f>
        <v/>
      </c>
      <c r="L1316" s="61">
        <f>IF(K1316="JA",N(J1316),IF(E1316="","",0))</f>
        <v/>
      </c>
      <c r="M1316" s="62">
        <f>IF(AND(A1316="",E1316=""),"",IF(E1316="","Segment ontbreekt",IF(OR(G1316="",H1316=""),"Van/tot ontbreekt",IF(N(J1316)=0,"Duur is nul",IF(N(J1316)&gt;12,"Langer dan 12 uur - controleren",IF(AND(E1316="Werken",D1316=""),"Werken zonder klant - koppelen","OK"))))))</f>
        <v/>
      </c>
    </row>
    <row r="1317" ht="15" customHeight="1" s="42">
      <c r="A1317" s="55" t="n"/>
      <c r="B1317" s="56">
        <f>IF(A1317="","",WEEKNUM(A1317,21))</f>
        <v/>
      </c>
      <c r="C1317" s="57" t="n"/>
      <c r="D1317" s="57" t="n"/>
      <c r="E1317" s="58" t="n"/>
      <c r="F1317" s="57" t="n"/>
      <c r="G1317" s="59" t="n"/>
      <c r="H1317" s="59" t="n"/>
      <c r="I1317" s="60">
        <f>IF(OR(G1317="",H1317=""),"",MOD(H1317-G1317,1))</f>
        <v/>
      </c>
      <c r="J1317" s="61">
        <f>IF(OR(G1317="",H1317=""),"",ROUND(MOD(H1317-G1317,1)*24,2))</f>
        <v/>
      </c>
      <c r="K1317" s="62">
        <f>IF(E1317="","",IF(E1317="Werken","JA","NEE"))</f>
        <v/>
      </c>
      <c r="L1317" s="61">
        <f>IF(K1317="JA",N(J1317),IF(E1317="","",0))</f>
        <v/>
      </c>
      <c r="M1317" s="62">
        <f>IF(AND(A1317="",E1317=""),"",IF(E1317="","Segment ontbreekt",IF(OR(G1317="",H1317=""),"Van/tot ontbreekt",IF(N(J1317)=0,"Duur is nul",IF(N(J1317)&gt;12,"Langer dan 12 uur - controleren",IF(AND(E1317="Werken",D1317=""),"Werken zonder klant - koppelen","OK"))))))</f>
        <v/>
      </c>
    </row>
    <row r="1318" ht="15" customHeight="1" s="42">
      <c r="A1318" s="55" t="n"/>
      <c r="B1318" s="56">
        <f>IF(A1318="","",WEEKNUM(A1318,21))</f>
        <v/>
      </c>
      <c r="C1318" s="57" t="n"/>
      <c r="D1318" s="57" t="n"/>
      <c r="E1318" s="58" t="n"/>
      <c r="F1318" s="57" t="n"/>
      <c r="G1318" s="59" t="n"/>
      <c r="H1318" s="59" t="n"/>
      <c r="I1318" s="60">
        <f>IF(OR(G1318="",H1318=""),"",MOD(H1318-G1318,1))</f>
        <v/>
      </c>
      <c r="J1318" s="61">
        <f>IF(OR(G1318="",H1318=""),"",ROUND(MOD(H1318-G1318,1)*24,2))</f>
        <v/>
      </c>
      <c r="K1318" s="62">
        <f>IF(E1318="","",IF(E1318="Werken","JA","NEE"))</f>
        <v/>
      </c>
      <c r="L1318" s="61">
        <f>IF(K1318="JA",N(J1318),IF(E1318="","",0))</f>
        <v/>
      </c>
      <c r="M1318" s="62">
        <f>IF(AND(A1318="",E1318=""),"",IF(E1318="","Segment ontbreekt",IF(OR(G1318="",H1318=""),"Van/tot ontbreekt",IF(N(J1318)=0,"Duur is nul",IF(N(J1318)&gt;12,"Langer dan 12 uur - controleren",IF(AND(E1318="Werken",D1318=""),"Werken zonder klant - koppelen","OK"))))))</f>
        <v/>
      </c>
    </row>
    <row r="1319" ht="15" customHeight="1" s="42">
      <c r="A1319" s="55" t="n"/>
      <c r="B1319" s="56">
        <f>IF(A1319="","",WEEKNUM(A1319,21))</f>
        <v/>
      </c>
      <c r="C1319" s="57" t="n"/>
      <c r="D1319" s="57" t="n"/>
      <c r="E1319" s="58" t="n"/>
      <c r="F1319" s="57" t="n"/>
      <c r="G1319" s="59" t="n"/>
      <c r="H1319" s="59" t="n"/>
      <c r="I1319" s="60">
        <f>IF(OR(G1319="",H1319=""),"",MOD(H1319-G1319,1))</f>
        <v/>
      </c>
      <c r="J1319" s="61">
        <f>IF(OR(G1319="",H1319=""),"",ROUND(MOD(H1319-G1319,1)*24,2))</f>
        <v/>
      </c>
      <c r="K1319" s="62">
        <f>IF(E1319="","",IF(E1319="Werken","JA","NEE"))</f>
        <v/>
      </c>
      <c r="L1319" s="61">
        <f>IF(K1319="JA",N(J1319),IF(E1319="","",0))</f>
        <v/>
      </c>
      <c r="M1319" s="62">
        <f>IF(AND(A1319="",E1319=""),"",IF(E1319="","Segment ontbreekt",IF(OR(G1319="",H1319=""),"Van/tot ontbreekt",IF(N(J1319)=0,"Duur is nul",IF(N(J1319)&gt;12,"Langer dan 12 uur - controleren",IF(AND(E1319="Werken",D1319=""),"Werken zonder klant - koppelen","OK"))))))</f>
        <v/>
      </c>
    </row>
    <row r="1320" ht="15" customHeight="1" s="42">
      <c r="A1320" s="55" t="n"/>
      <c r="B1320" s="56">
        <f>IF(A1320="","",WEEKNUM(A1320,21))</f>
        <v/>
      </c>
      <c r="C1320" s="57" t="n"/>
      <c r="D1320" s="57" t="n"/>
      <c r="E1320" s="58" t="n"/>
      <c r="F1320" s="57" t="n"/>
      <c r="G1320" s="59" t="n"/>
      <c r="H1320" s="59" t="n"/>
      <c r="I1320" s="60">
        <f>IF(OR(G1320="",H1320=""),"",MOD(H1320-G1320,1))</f>
        <v/>
      </c>
      <c r="J1320" s="61">
        <f>IF(OR(G1320="",H1320=""),"",ROUND(MOD(H1320-G1320,1)*24,2))</f>
        <v/>
      </c>
      <c r="K1320" s="62">
        <f>IF(E1320="","",IF(E1320="Werken","JA","NEE"))</f>
        <v/>
      </c>
      <c r="L1320" s="61">
        <f>IF(K1320="JA",N(J1320),IF(E1320="","",0))</f>
        <v/>
      </c>
      <c r="M1320" s="62">
        <f>IF(AND(A1320="",E1320=""),"",IF(E1320="","Segment ontbreekt",IF(OR(G1320="",H1320=""),"Van/tot ontbreekt",IF(N(J1320)=0,"Duur is nul",IF(N(J1320)&gt;12,"Langer dan 12 uur - controleren",IF(AND(E1320="Werken",D1320=""),"Werken zonder klant - koppelen","OK"))))))</f>
        <v/>
      </c>
    </row>
    <row r="1321" ht="15" customHeight="1" s="42">
      <c r="A1321" s="55" t="n"/>
      <c r="B1321" s="56">
        <f>IF(A1321="","",WEEKNUM(A1321,21))</f>
        <v/>
      </c>
      <c r="C1321" s="57" t="n"/>
      <c r="D1321" s="57" t="n"/>
      <c r="E1321" s="58" t="n"/>
      <c r="F1321" s="57" t="n"/>
      <c r="G1321" s="59" t="n"/>
      <c r="H1321" s="59" t="n"/>
      <c r="I1321" s="60">
        <f>IF(OR(G1321="",H1321=""),"",MOD(H1321-G1321,1))</f>
        <v/>
      </c>
      <c r="J1321" s="61">
        <f>IF(OR(G1321="",H1321=""),"",ROUND(MOD(H1321-G1321,1)*24,2))</f>
        <v/>
      </c>
      <c r="K1321" s="62">
        <f>IF(E1321="","",IF(E1321="Werken","JA","NEE"))</f>
        <v/>
      </c>
      <c r="L1321" s="61">
        <f>IF(K1321="JA",N(J1321),IF(E1321="","",0))</f>
        <v/>
      </c>
      <c r="M1321" s="62">
        <f>IF(AND(A1321="",E1321=""),"",IF(E1321="","Segment ontbreekt",IF(OR(G1321="",H1321=""),"Van/tot ontbreekt",IF(N(J1321)=0,"Duur is nul",IF(N(J1321)&gt;12,"Langer dan 12 uur - controleren",IF(AND(E1321="Werken",D1321=""),"Werken zonder klant - koppelen","OK"))))))</f>
        <v/>
      </c>
    </row>
    <row r="1322" ht="15" customHeight="1" s="42">
      <c r="A1322" s="55" t="n"/>
      <c r="B1322" s="56">
        <f>IF(A1322="","",WEEKNUM(A1322,21))</f>
        <v/>
      </c>
      <c r="C1322" s="57" t="n"/>
      <c r="D1322" s="57" t="n"/>
      <c r="E1322" s="58" t="n"/>
      <c r="F1322" s="57" t="n"/>
      <c r="G1322" s="59" t="n"/>
      <c r="H1322" s="59" t="n"/>
      <c r="I1322" s="60">
        <f>IF(OR(G1322="",H1322=""),"",MOD(H1322-G1322,1))</f>
        <v/>
      </c>
      <c r="J1322" s="61">
        <f>IF(OR(G1322="",H1322=""),"",ROUND(MOD(H1322-G1322,1)*24,2))</f>
        <v/>
      </c>
      <c r="K1322" s="62">
        <f>IF(E1322="","",IF(E1322="Werken","JA","NEE"))</f>
        <v/>
      </c>
      <c r="L1322" s="61">
        <f>IF(K1322="JA",N(J1322),IF(E1322="","",0))</f>
        <v/>
      </c>
      <c r="M1322" s="62">
        <f>IF(AND(A1322="",E1322=""),"",IF(E1322="","Segment ontbreekt",IF(OR(G1322="",H1322=""),"Van/tot ontbreekt",IF(N(J1322)=0,"Duur is nul",IF(N(J1322)&gt;12,"Langer dan 12 uur - controleren",IF(AND(E1322="Werken",D1322=""),"Werken zonder klant - koppelen","OK"))))))</f>
        <v/>
      </c>
    </row>
    <row r="1323" ht="15" customHeight="1" s="42">
      <c r="A1323" s="55" t="n"/>
      <c r="B1323" s="56">
        <f>IF(A1323="","",WEEKNUM(A1323,21))</f>
        <v/>
      </c>
      <c r="C1323" s="57" t="n"/>
      <c r="D1323" s="57" t="n"/>
      <c r="E1323" s="58" t="n"/>
      <c r="F1323" s="57" t="n"/>
      <c r="G1323" s="59" t="n"/>
      <c r="H1323" s="59" t="n"/>
      <c r="I1323" s="60">
        <f>IF(OR(G1323="",H1323=""),"",MOD(H1323-G1323,1))</f>
        <v/>
      </c>
      <c r="J1323" s="61">
        <f>IF(OR(G1323="",H1323=""),"",ROUND(MOD(H1323-G1323,1)*24,2))</f>
        <v/>
      </c>
      <c r="K1323" s="62">
        <f>IF(E1323="","",IF(E1323="Werken","JA","NEE"))</f>
        <v/>
      </c>
      <c r="L1323" s="61">
        <f>IF(K1323="JA",N(J1323),IF(E1323="","",0))</f>
        <v/>
      </c>
      <c r="M1323" s="62">
        <f>IF(AND(A1323="",E1323=""),"",IF(E1323="","Segment ontbreekt",IF(OR(G1323="",H1323=""),"Van/tot ontbreekt",IF(N(J1323)=0,"Duur is nul",IF(N(J1323)&gt;12,"Langer dan 12 uur - controleren",IF(AND(E1323="Werken",D1323=""),"Werken zonder klant - koppelen","OK"))))))</f>
        <v/>
      </c>
    </row>
    <row r="1324" ht="15" customHeight="1" s="42">
      <c r="A1324" s="55" t="n"/>
      <c r="B1324" s="56">
        <f>IF(A1324="","",WEEKNUM(A1324,21))</f>
        <v/>
      </c>
      <c r="C1324" s="57" t="n"/>
      <c r="D1324" s="57" t="n"/>
      <c r="E1324" s="58" t="n"/>
      <c r="F1324" s="57" t="n"/>
      <c r="G1324" s="59" t="n"/>
      <c r="H1324" s="59" t="n"/>
      <c r="I1324" s="60">
        <f>IF(OR(G1324="",H1324=""),"",MOD(H1324-G1324,1))</f>
        <v/>
      </c>
      <c r="J1324" s="61">
        <f>IF(OR(G1324="",H1324=""),"",ROUND(MOD(H1324-G1324,1)*24,2))</f>
        <v/>
      </c>
      <c r="K1324" s="62">
        <f>IF(E1324="","",IF(E1324="Werken","JA","NEE"))</f>
        <v/>
      </c>
      <c r="L1324" s="61">
        <f>IF(K1324="JA",N(J1324),IF(E1324="","",0))</f>
        <v/>
      </c>
      <c r="M1324" s="62">
        <f>IF(AND(A1324="",E1324=""),"",IF(E1324="","Segment ontbreekt",IF(OR(G1324="",H1324=""),"Van/tot ontbreekt",IF(N(J1324)=0,"Duur is nul",IF(N(J1324)&gt;12,"Langer dan 12 uur - controleren",IF(AND(E1324="Werken",D1324=""),"Werken zonder klant - koppelen","OK"))))))</f>
        <v/>
      </c>
    </row>
    <row r="1325" ht="15" customHeight="1" s="42">
      <c r="A1325" s="55" t="n"/>
      <c r="B1325" s="56">
        <f>IF(A1325="","",WEEKNUM(A1325,21))</f>
        <v/>
      </c>
      <c r="C1325" s="57" t="n"/>
      <c r="D1325" s="57" t="n"/>
      <c r="E1325" s="58" t="n"/>
      <c r="F1325" s="57" t="n"/>
      <c r="G1325" s="59" t="n"/>
      <c r="H1325" s="59" t="n"/>
      <c r="I1325" s="60">
        <f>IF(OR(G1325="",H1325=""),"",MOD(H1325-G1325,1))</f>
        <v/>
      </c>
      <c r="J1325" s="61">
        <f>IF(OR(G1325="",H1325=""),"",ROUND(MOD(H1325-G1325,1)*24,2))</f>
        <v/>
      </c>
      <c r="K1325" s="62">
        <f>IF(E1325="","",IF(E1325="Werken","JA","NEE"))</f>
        <v/>
      </c>
      <c r="L1325" s="61">
        <f>IF(K1325="JA",N(J1325),IF(E1325="","",0))</f>
        <v/>
      </c>
      <c r="M1325" s="62">
        <f>IF(AND(A1325="",E1325=""),"",IF(E1325="","Segment ontbreekt",IF(OR(G1325="",H1325=""),"Van/tot ontbreekt",IF(N(J1325)=0,"Duur is nul",IF(N(J1325)&gt;12,"Langer dan 12 uur - controleren",IF(AND(E1325="Werken",D1325=""),"Werken zonder klant - koppelen","OK"))))))</f>
        <v/>
      </c>
    </row>
    <row r="1326" ht="15" customHeight="1" s="42">
      <c r="A1326" s="55" t="n"/>
      <c r="B1326" s="56">
        <f>IF(A1326="","",WEEKNUM(A1326,21))</f>
        <v/>
      </c>
      <c r="C1326" s="57" t="n"/>
      <c r="D1326" s="57" t="n"/>
      <c r="E1326" s="58" t="n"/>
      <c r="F1326" s="57" t="n"/>
      <c r="G1326" s="59" t="n"/>
      <c r="H1326" s="59" t="n"/>
      <c r="I1326" s="60">
        <f>IF(OR(G1326="",H1326=""),"",MOD(H1326-G1326,1))</f>
        <v/>
      </c>
      <c r="J1326" s="61">
        <f>IF(OR(G1326="",H1326=""),"",ROUND(MOD(H1326-G1326,1)*24,2))</f>
        <v/>
      </c>
      <c r="K1326" s="62">
        <f>IF(E1326="","",IF(E1326="Werken","JA","NEE"))</f>
        <v/>
      </c>
      <c r="L1326" s="61">
        <f>IF(K1326="JA",N(J1326),IF(E1326="","",0))</f>
        <v/>
      </c>
      <c r="M1326" s="62">
        <f>IF(AND(A1326="",E1326=""),"",IF(E1326="","Segment ontbreekt",IF(OR(G1326="",H1326=""),"Van/tot ontbreekt",IF(N(J1326)=0,"Duur is nul",IF(N(J1326)&gt;12,"Langer dan 12 uur - controleren",IF(AND(E1326="Werken",D1326=""),"Werken zonder klant - koppelen","OK"))))))</f>
        <v/>
      </c>
    </row>
    <row r="1327" ht="15" customHeight="1" s="42">
      <c r="A1327" s="55" t="n"/>
      <c r="B1327" s="56">
        <f>IF(A1327="","",WEEKNUM(A1327,21))</f>
        <v/>
      </c>
      <c r="C1327" s="57" t="n"/>
      <c r="D1327" s="57" t="n"/>
      <c r="E1327" s="58" t="n"/>
      <c r="F1327" s="57" t="n"/>
      <c r="G1327" s="59" t="n"/>
      <c r="H1327" s="59" t="n"/>
      <c r="I1327" s="60">
        <f>IF(OR(G1327="",H1327=""),"",MOD(H1327-G1327,1))</f>
        <v/>
      </c>
      <c r="J1327" s="61">
        <f>IF(OR(G1327="",H1327=""),"",ROUND(MOD(H1327-G1327,1)*24,2))</f>
        <v/>
      </c>
      <c r="K1327" s="62">
        <f>IF(E1327="","",IF(E1327="Werken","JA","NEE"))</f>
        <v/>
      </c>
      <c r="L1327" s="61">
        <f>IF(K1327="JA",N(J1327),IF(E1327="","",0))</f>
        <v/>
      </c>
      <c r="M1327" s="62">
        <f>IF(AND(A1327="",E1327=""),"",IF(E1327="","Segment ontbreekt",IF(OR(G1327="",H1327=""),"Van/tot ontbreekt",IF(N(J1327)=0,"Duur is nul",IF(N(J1327)&gt;12,"Langer dan 12 uur - controleren",IF(AND(E1327="Werken",D1327=""),"Werken zonder klant - koppelen","OK"))))))</f>
        <v/>
      </c>
    </row>
    <row r="1328" ht="15" customHeight="1" s="42">
      <c r="A1328" s="55" t="n"/>
      <c r="B1328" s="56">
        <f>IF(A1328="","",WEEKNUM(A1328,21))</f>
        <v/>
      </c>
      <c r="C1328" s="57" t="n"/>
      <c r="D1328" s="57" t="n"/>
      <c r="E1328" s="58" t="n"/>
      <c r="F1328" s="57" t="n"/>
      <c r="G1328" s="59" t="n"/>
      <c r="H1328" s="59" t="n"/>
      <c r="I1328" s="60">
        <f>IF(OR(G1328="",H1328=""),"",MOD(H1328-G1328,1))</f>
        <v/>
      </c>
      <c r="J1328" s="61">
        <f>IF(OR(G1328="",H1328=""),"",ROUND(MOD(H1328-G1328,1)*24,2))</f>
        <v/>
      </c>
      <c r="K1328" s="62">
        <f>IF(E1328="","",IF(E1328="Werken","JA","NEE"))</f>
        <v/>
      </c>
      <c r="L1328" s="61">
        <f>IF(K1328="JA",N(J1328),IF(E1328="","",0))</f>
        <v/>
      </c>
      <c r="M1328" s="62">
        <f>IF(AND(A1328="",E1328=""),"",IF(E1328="","Segment ontbreekt",IF(OR(G1328="",H1328=""),"Van/tot ontbreekt",IF(N(J1328)=0,"Duur is nul",IF(N(J1328)&gt;12,"Langer dan 12 uur - controleren",IF(AND(E1328="Werken",D1328=""),"Werken zonder klant - koppelen","OK"))))))</f>
        <v/>
      </c>
    </row>
    <row r="1329" ht="15" customHeight="1" s="42">
      <c r="A1329" s="55" t="n"/>
      <c r="B1329" s="56">
        <f>IF(A1329="","",WEEKNUM(A1329,21))</f>
        <v/>
      </c>
      <c r="C1329" s="57" t="n"/>
      <c r="D1329" s="57" t="n"/>
      <c r="E1329" s="58" t="n"/>
      <c r="F1329" s="57" t="n"/>
      <c r="G1329" s="59" t="n"/>
      <c r="H1329" s="59" t="n"/>
      <c r="I1329" s="60">
        <f>IF(OR(G1329="",H1329=""),"",MOD(H1329-G1329,1))</f>
        <v/>
      </c>
      <c r="J1329" s="61">
        <f>IF(OR(G1329="",H1329=""),"",ROUND(MOD(H1329-G1329,1)*24,2))</f>
        <v/>
      </c>
      <c r="K1329" s="62">
        <f>IF(E1329="","",IF(E1329="Werken","JA","NEE"))</f>
        <v/>
      </c>
      <c r="L1329" s="61">
        <f>IF(K1329="JA",N(J1329),IF(E1329="","",0))</f>
        <v/>
      </c>
      <c r="M1329" s="62">
        <f>IF(AND(A1329="",E1329=""),"",IF(E1329="","Segment ontbreekt",IF(OR(G1329="",H1329=""),"Van/tot ontbreekt",IF(N(J1329)=0,"Duur is nul",IF(N(J1329)&gt;12,"Langer dan 12 uur - controleren",IF(AND(E1329="Werken",D1329=""),"Werken zonder klant - koppelen","OK"))))))</f>
        <v/>
      </c>
    </row>
    <row r="1330" ht="15" customHeight="1" s="42">
      <c r="A1330" s="55" t="n"/>
      <c r="B1330" s="56">
        <f>IF(A1330="","",WEEKNUM(A1330,21))</f>
        <v/>
      </c>
      <c r="C1330" s="57" t="n"/>
      <c r="D1330" s="57" t="n"/>
      <c r="E1330" s="58" t="n"/>
      <c r="F1330" s="57" t="n"/>
      <c r="G1330" s="59" t="n"/>
      <c r="H1330" s="59" t="n"/>
      <c r="I1330" s="60">
        <f>IF(OR(G1330="",H1330=""),"",MOD(H1330-G1330,1))</f>
        <v/>
      </c>
      <c r="J1330" s="61">
        <f>IF(OR(G1330="",H1330=""),"",ROUND(MOD(H1330-G1330,1)*24,2))</f>
        <v/>
      </c>
      <c r="K1330" s="62">
        <f>IF(E1330="","",IF(E1330="Werken","JA","NEE"))</f>
        <v/>
      </c>
      <c r="L1330" s="61">
        <f>IF(K1330="JA",N(J1330),IF(E1330="","",0))</f>
        <v/>
      </c>
      <c r="M1330" s="62">
        <f>IF(AND(A1330="",E1330=""),"",IF(E1330="","Segment ontbreekt",IF(OR(G1330="",H1330=""),"Van/tot ontbreekt",IF(N(J1330)=0,"Duur is nul",IF(N(J1330)&gt;12,"Langer dan 12 uur - controleren",IF(AND(E1330="Werken",D1330=""),"Werken zonder klant - koppelen","OK"))))))</f>
        <v/>
      </c>
    </row>
    <row r="1331" ht="15" customHeight="1" s="42">
      <c r="A1331" s="55" t="n"/>
      <c r="B1331" s="56">
        <f>IF(A1331="","",WEEKNUM(A1331,21))</f>
        <v/>
      </c>
      <c r="C1331" s="57" t="n"/>
      <c r="D1331" s="57" t="n"/>
      <c r="E1331" s="58" t="n"/>
      <c r="F1331" s="57" t="n"/>
      <c r="G1331" s="59" t="n"/>
      <c r="H1331" s="59" t="n"/>
      <c r="I1331" s="60">
        <f>IF(OR(G1331="",H1331=""),"",MOD(H1331-G1331,1))</f>
        <v/>
      </c>
      <c r="J1331" s="61">
        <f>IF(OR(G1331="",H1331=""),"",ROUND(MOD(H1331-G1331,1)*24,2))</f>
        <v/>
      </c>
      <c r="K1331" s="62">
        <f>IF(E1331="","",IF(E1331="Werken","JA","NEE"))</f>
        <v/>
      </c>
      <c r="L1331" s="61">
        <f>IF(K1331="JA",N(J1331),IF(E1331="","",0))</f>
        <v/>
      </c>
      <c r="M1331" s="62">
        <f>IF(AND(A1331="",E1331=""),"",IF(E1331="","Segment ontbreekt",IF(OR(G1331="",H1331=""),"Van/tot ontbreekt",IF(N(J1331)=0,"Duur is nul",IF(N(J1331)&gt;12,"Langer dan 12 uur - controleren",IF(AND(E1331="Werken",D1331=""),"Werken zonder klant - koppelen","OK"))))))</f>
        <v/>
      </c>
    </row>
    <row r="1332" ht="15" customHeight="1" s="42">
      <c r="A1332" s="55" t="n"/>
      <c r="B1332" s="56">
        <f>IF(A1332="","",WEEKNUM(A1332,21))</f>
        <v/>
      </c>
      <c r="C1332" s="57" t="n"/>
      <c r="D1332" s="57" t="n"/>
      <c r="E1332" s="58" t="n"/>
      <c r="F1332" s="57" t="n"/>
      <c r="G1332" s="59" t="n"/>
      <c r="H1332" s="59" t="n"/>
      <c r="I1332" s="60">
        <f>IF(OR(G1332="",H1332=""),"",MOD(H1332-G1332,1))</f>
        <v/>
      </c>
      <c r="J1332" s="61">
        <f>IF(OR(G1332="",H1332=""),"",ROUND(MOD(H1332-G1332,1)*24,2))</f>
        <v/>
      </c>
      <c r="K1332" s="62">
        <f>IF(E1332="","",IF(E1332="Werken","JA","NEE"))</f>
        <v/>
      </c>
      <c r="L1332" s="61">
        <f>IF(K1332="JA",N(J1332),IF(E1332="","",0))</f>
        <v/>
      </c>
      <c r="M1332" s="62">
        <f>IF(AND(A1332="",E1332=""),"",IF(E1332="","Segment ontbreekt",IF(OR(G1332="",H1332=""),"Van/tot ontbreekt",IF(N(J1332)=0,"Duur is nul",IF(N(J1332)&gt;12,"Langer dan 12 uur - controleren",IF(AND(E1332="Werken",D1332=""),"Werken zonder klant - koppelen","OK"))))))</f>
        <v/>
      </c>
    </row>
    <row r="1333" ht="15" customHeight="1" s="42">
      <c r="A1333" s="55" t="n"/>
      <c r="B1333" s="56">
        <f>IF(A1333="","",WEEKNUM(A1333,21))</f>
        <v/>
      </c>
      <c r="C1333" s="57" t="n"/>
      <c r="D1333" s="57" t="n"/>
      <c r="E1333" s="58" t="n"/>
      <c r="F1333" s="57" t="n"/>
      <c r="G1333" s="59" t="n"/>
      <c r="H1333" s="59" t="n"/>
      <c r="I1333" s="60">
        <f>IF(OR(G1333="",H1333=""),"",MOD(H1333-G1333,1))</f>
        <v/>
      </c>
      <c r="J1333" s="61">
        <f>IF(OR(G1333="",H1333=""),"",ROUND(MOD(H1333-G1333,1)*24,2))</f>
        <v/>
      </c>
      <c r="K1333" s="62">
        <f>IF(E1333="","",IF(E1333="Werken","JA","NEE"))</f>
        <v/>
      </c>
      <c r="L1333" s="61">
        <f>IF(K1333="JA",N(J1333),IF(E1333="","",0))</f>
        <v/>
      </c>
      <c r="M1333" s="62">
        <f>IF(AND(A1333="",E1333=""),"",IF(E1333="","Segment ontbreekt",IF(OR(G1333="",H1333=""),"Van/tot ontbreekt",IF(N(J1333)=0,"Duur is nul",IF(N(J1333)&gt;12,"Langer dan 12 uur - controleren",IF(AND(E1333="Werken",D1333=""),"Werken zonder klant - koppelen","OK"))))))</f>
        <v/>
      </c>
    </row>
    <row r="1334" ht="15" customHeight="1" s="42">
      <c r="A1334" s="55" t="n"/>
      <c r="B1334" s="56">
        <f>IF(A1334="","",WEEKNUM(A1334,21))</f>
        <v/>
      </c>
      <c r="C1334" s="57" t="n"/>
      <c r="D1334" s="57" t="n"/>
      <c r="E1334" s="58" t="n"/>
      <c r="F1334" s="57" t="n"/>
      <c r="G1334" s="59" t="n"/>
      <c r="H1334" s="59" t="n"/>
      <c r="I1334" s="60">
        <f>IF(OR(G1334="",H1334=""),"",MOD(H1334-G1334,1))</f>
        <v/>
      </c>
      <c r="J1334" s="61">
        <f>IF(OR(G1334="",H1334=""),"",ROUND(MOD(H1334-G1334,1)*24,2))</f>
        <v/>
      </c>
      <c r="K1334" s="62">
        <f>IF(E1334="","",IF(E1334="Werken","JA","NEE"))</f>
        <v/>
      </c>
      <c r="L1334" s="61">
        <f>IF(K1334="JA",N(J1334),IF(E1334="","",0))</f>
        <v/>
      </c>
      <c r="M1334" s="62">
        <f>IF(AND(A1334="",E1334=""),"",IF(E1334="","Segment ontbreekt",IF(OR(G1334="",H1334=""),"Van/tot ontbreekt",IF(N(J1334)=0,"Duur is nul",IF(N(J1334)&gt;12,"Langer dan 12 uur - controleren",IF(AND(E1334="Werken",D1334=""),"Werken zonder klant - koppelen","OK"))))))</f>
        <v/>
      </c>
    </row>
    <row r="1335" ht="15" customHeight="1" s="42">
      <c r="A1335" s="55" t="n"/>
      <c r="B1335" s="56">
        <f>IF(A1335="","",WEEKNUM(A1335,21))</f>
        <v/>
      </c>
      <c r="C1335" s="57" t="n"/>
      <c r="D1335" s="57" t="n"/>
      <c r="E1335" s="58" t="n"/>
      <c r="F1335" s="57" t="n"/>
      <c r="G1335" s="59" t="n"/>
      <c r="H1335" s="59" t="n"/>
      <c r="I1335" s="60">
        <f>IF(OR(G1335="",H1335=""),"",MOD(H1335-G1335,1))</f>
        <v/>
      </c>
      <c r="J1335" s="61">
        <f>IF(OR(G1335="",H1335=""),"",ROUND(MOD(H1335-G1335,1)*24,2))</f>
        <v/>
      </c>
      <c r="K1335" s="62">
        <f>IF(E1335="","",IF(E1335="Werken","JA","NEE"))</f>
        <v/>
      </c>
      <c r="L1335" s="61">
        <f>IF(K1335="JA",N(J1335),IF(E1335="","",0))</f>
        <v/>
      </c>
      <c r="M1335" s="62">
        <f>IF(AND(A1335="",E1335=""),"",IF(E1335="","Segment ontbreekt",IF(OR(G1335="",H1335=""),"Van/tot ontbreekt",IF(N(J1335)=0,"Duur is nul",IF(N(J1335)&gt;12,"Langer dan 12 uur - controleren",IF(AND(E1335="Werken",D1335=""),"Werken zonder klant - koppelen","OK"))))))</f>
        <v/>
      </c>
    </row>
    <row r="1336" ht="15" customHeight="1" s="42">
      <c r="A1336" s="55" t="n"/>
      <c r="B1336" s="56">
        <f>IF(A1336="","",WEEKNUM(A1336,21))</f>
        <v/>
      </c>
      <c r="C1336" s="57" t="n"/>
      <c r="D1336" s="57" t="n"/>
      <c r="E1336" s="58" t="n"/>
      <c r="F1336" s="57" t="n"/>
      <c r="G1336" s="59" t="n"/>
      <c r="H1336" s="59" t="n"/>
      <c r="I1336" s="60">
        <f>IF(OR(G1336="",H1336=""),"",MOD(H1336-G1336,1))</f>
        <v/>
      </c>
      <c r="J1336" s="61">
        <f>IF(OR(G1336="",H1336=""),"",ROUND(MOD(H1336-G1336,1)*24,2))</f>
        <v/>
      </c>
      <c r="K1336" s="62">
        <f>IF(E1336="","",IF(E1336="Werken","JA","NEE"))</f>
        <v/>
      </c>
      <c r="L1336" s="61">
        <f>IF(K1336="JA",N(J1336),IF(E1336="","",0))</f>
        <v/>
      </c>
      <c r="M1336" s="62">
        <f>IF(AND(A1336="",E1336=""),"",IF(E1336="","Segment ontbreekt",IF(OR(G1336="",H1336=""),"Van/tot ontbreekt",IF(N(J1336)=0,"Duur is nul",IF(N(J1336)&gt;12,"Langer dan 12 uur - controleren",IF(AND(E1336="Werken",D1336=""),"Werken zonder klant - koppelen","OK"))))))</f>
        <v/>
      </c>
    </row>
    <row r="1337" ht="15" customHeight="1" s="42">
      <c r="A1337" s="55" t="n"/>
      <c r="B1337" s="56">
        <f>IF(A1337="","",WEEKNUM(A1337,21))</f>
        <v/>
      </c>
      <c r="C1337" s="57" t="n"/>
      <c r="D1337" s="57" t="n"/>
      <c r="E1337" s="58" t="n"/>
      <c r="F1337" s="57" t="n"/>
      <c r="G1337" s="59" t="n"/>
      <c r="H1337" s="59" t="n"/>
      <c r="I1337" s="60">
        <f>IF(OR(G1337="",H1337=""),"",MOD(H1337-G1337,1))</f>
        <v/>
      </c>
      <c r="J1337" s="61">
        <f>IF(OR(G1337="",H1337=""),"",ROUND(MOD(H1337-G1337,1)*24,2))</f>
        <v/>
      </c>
      <c r="K1337" s="62">
        <f>IF(E1337="","",IF(E1337="Werken","JA","NEE"))</f>
        <v/>
      </c>
      <c r="L1337" s="61">
        <f>IF(K1337="JA",N(J1337),IF(E1337="","",0))</f>
        <v/>
      </c>
      <c r="M1337" s="62">
        <f>IF(AND(A1337="",E1337=""),"",IF(E1337="","Segment ontbreekt",IF(OR(G1337="",H1337=""),"Van/tot ontbreekt",IF(N(J1337)=0,"Duur is nul",IF(N(J1337)&gt;12,"Langer dan 12 uur - controleren",IF(AND(E1337="Werken",D1337=""),"Werken zonder klant - koppelen","OK"))))))</f>
        <v/>
      </c>
    </row>
    <row r="1338" ht="15" customHeight="1" s="42">
      <c r="A1338" s="55" t="n"/>
      <c r="B1338" s="56">
        <f>IF(A1338="","",WEEKNUM(A1338,21))</f>
        <v/>
      </c>
      <c r="C1338" s="57" t="n"/>
      <c r="D1338" s="57" t="n"/>
      <c r="E1338" s="58" t="n"/>
      <c r="F1338" s="57" t="n"/>
      <c r="G1338" s="59" t="n"/>
      <c r="H1338" s="59" t="n"/>
      <c r="I1338" s="60">
        <f>IF(OR(G1338="",H1338=""),"",MOD(H1338-G1338,1))</f>
        <v/>
      </c>
      <c r="J1338" s="61">
        <f>IF(OR(G1338="",H1338=""),"",ROUND(MOD(H1338-G1338,1)*24,2))</f>
        <v/>
      </c>
      <c r="K1338" s="62">
        <f>IF(E1338="","",IF(E1338="Werken","JA","NEE"))</f>
        <v/>
      </c>
      <c r="L1338" s="61">
        <f>IF(K1338="JA",N(J1338),IF(E1338="","",0))</f>
        <v/>
      </c>
      <c r="M1338" s="62">
        <f>IF(AND(A1338="",E1338=""),"",IF(E1338="","Segment ontbreekt",IF(OR(G1338="",H1338=""),"Van/tot ontbreekt",IF(N(J1338)=0,"Duur is nul",IF(N(J1338)&gt;12,"Langer dan 12 uur - controleren",IF(AND(E1338="Werken",D1338=""),"Werken zonder klant - koppelen","OK"))))))</f>
        <v/>
      </c>
    </row>
    <row r="1339" ht="15" customHeight="1" s="42">
      <c r="A1339" s="55" t="n"/>
      <c r="B1339" s="56">
        <f>IF(A1339="","",WEEKNUM(A1339,21))</f>
        <v/>
      </c>
      <c r="C1339" s="57" t="n"/>
      <c r="D1339" s="57" t="n"/>
      <c r="E1339" s="58" t="n"/>
      <c r="F1339" s="57" t="n"/>
      <c r="G1339" s="59" t="n"/>
      <c r="H1339" s="59" t="n"/>
      <c r="I1339" s="60">
        <f>IF(OR(G1339="",H1339=""),"",MOD(H1339-G1339,1))</f>
        <v/>
      </c>
      <c r="J1339" s="61">
        <f>IF(OR(G1339="",H1339=""),"",ROUND(MOD(H1339-G1339,1)*24,2))</f>
        <v/>
      </c>
      <c r="K1339" s="62">
        <f>IF(E1339="","",IF(E1339="Werken","JA","NEE"))</f>
        <v/>
      </c>
      <c r="L1339" s="61">
        <f>IF(K1339="JA",N(J1339),IF(E1339="","",0))</f>
        <v/>
      </c>
      <c r="M1339" s="62">
        <f>IF(AND(A1339="",E1339=""),"",IF(E1339="","Segment ontbreekt",IF(OR(G1339="",H1339=""),"Van/tot ontbreekt",IF(N(J1339)=0,"Duur is nul",IF(N(J1339)&gt;12,"Langer dan 12 uur - controleren",IF(AND(E1339="Werken",D1339=""),"Werken zonder klant - koppelen","OK"))))))</f>
        <v/>
      </c>
    </row>
    <row r="1340" ht="15" customHeight="1" s="42">
      <c r="A1340" s="55" t="n"/>
      <c r="B1340" s="56">
        <f>IF(A1340="","",WEEKNUM(A1340,21))</f>
        <v/>
      </c>
      <c r="C1340" s="57" t="n"/>
      <c r="D1340" s="57" t="n"/>
      <c r="E1340" s="58" t="n"/>
      <c r="F1340" s="57" t="n"/>
      <c r="G1340" s="59" t="n"/>
      <c r="H1340" s="59" t="n"/>
      <c r="I1340" s="60">
        <f>IF(OR(G1340="",H1340=""),"",MOD(H1340-G1340,1))</f>
        <v/>
      </c>
      <c r="J1340" s="61">
        <f>IF(OR(G1340="",H1340=""),"",ROUND(MOD(H1340-G1340,1)*24,2))</f>
        <v/>
      </c>
      <c r="K1340" s="62">
        <f>IF(E1340="","",IF(E1340="Werken","JA","NEE"))</f>
        <v/>
      </c>
      <c r="L1340" s="61">
        <f>IF(K1340="JA",N(J1340),IF(E1340="","",0))</f>
        <v/>
      </c>
      <c r="M1340" s="62">
        <f>IF(AND(A1340="",E1340=""),"",IF(E1340="","Segment ontbreekt",IF(OR(G1340="",H1340=""),"Van/tot ontbreekt",IF(N(J1340)=0,"Duur is nul",IF(N(J1340)&gt;12,"Langer dan 12 uur - controleren",IF(AND(E1340="Werken",D1340=""),"Werken zonder klant - koppelen","OK"))))))</f>
        <v/>
      </c>
    </row>
    <row r="1341" ht="15" customHeight="1" s="42">
      <c r="A1341" s="55" t="n"/>
      <c r="B1341" s="56">
        <f>IF(A1341="","",WEEKNUM(A1341,21))</f>
        <v/>
      </c>
      <c r="C1341" s="57" t="n"/>
      <c r="D1341" s="57" t="n"/>
      <c r="E1341" s="58" t="n"/>
      <c r="F1341" s="57" t="n"/>
      <c r="G1341" s="59" t="n"/>
      <c r="H1341" s="59" t="n"/>
      <c r="I1341" s="60">
        <f>IF(OR(G1341="",H1341=""),"",MOD(H1341-G1341,1))</f>
        <v/>
      </c>
      <c r="J1341" s="61">
        <f>IF(OR(G1341="",H1341=""),"",ROUND(MOD(H1341-G1341,1)*24,2))</f>
        <v/>
      </c>
      <c r="K1341" s="62">
        <f>IF(E1341="","",IF(E1341="Werken","JA","NEE"))</f>
        <v/>
      </c>
      <c r="L1341" s="61">
        <f>IF(K1341="JA",N(J1341),IF(E1341="","",0))</f>
        <v/>
      </c>
      <c r="M1341" s="62">
        <f>IF(AND(A1341="",E1341=""),"",IF(E1341="","Segment ontbreekt",IF(OR(G1341="",H1341=""),"Van/tot ontbreekt",IF(N(J1341)=0,"Duur is nul",IF(N(J1341)&gt;12,"Langer dan 12 uur - controleren",IF(AND(E1341="Werken",D1341=""),"Werken zonder klant - koppelen","OK"))))))</f>
        <v/>
      </c>
    </row>
    <row r="1342" ht="15" customHeight="1" s="42">
      <c r="A1342" s="55" t="n"/>
      <c r="B1342" s="56">
        <f>IF(A1342="","",WEEKNUM(A1342,21))</f>
        <v/>
      </c>
      <c r="C1342" s="57" t="n"/>
      <c r="D1342" s="57" t="n"/>
      <c r="E1342" s="58" t="n"/>
      <c r="F1342" s="57" t="n"/>
      <c r="G1342" s="59" t="n"/>
      <c r="H1342" s="59" t="n"/>
      <c r="I1342" s="60">
        <f>IF(OR(G1342="",H1342=""),"",MOD(H1342-G1342,1))</f>
        <v/>
      </c>
      <c r="J1342" s="61">
        <f>IF(OR(G1342="",H1342=""),"",ROUND(MOD(H1342-G1342,1)*24,2))</f>
        <v/>
      </c>
      <c r="K1342" s="62">
        <f>IF(E1342="","",IF(E1342="Werken","JA","NEE"))</f>
        <v/>
      </c>
      <c r="L1342" s="61">
        <f>IF(K1342="JA",N(J1342),IF(E1342="","",0))</f>
        <v/>
      </c>
      <c r="M1342" s="62">
        <f>IF(AND(A1342="",E1342=""),"",IF(E1342="","Segment ontbreekt",IF(OR(G1342="",H1342=""),"Van/tot ontbreekt",IF(N(J1342)=0,"Duur is nul",IF(N(J1342)&gt;12,"Langer dan 12 uur - controleren",IF(AND(E1342="Werken",D1342=""),"Werken zonder klant - koppelen","OK"))))))</f>
        <v/>
      </c>
    </row>
    <row r="1343" ht="15" customHeight="1" s="42">
      <c r="A1343" s="55" t="n"/>
      <c r="B1343" s="56">
        <f>IF(A1343="","",WEEKNUM(A1343,21))</f>
        <v/>
      </c>
      <c r="C1343" s="57" t="n"/>
      <c r="D1343" s="57" t="n"/>
      <c r="E1343" s="58" t="n"/>
      <c r="F1343" s="57" t="n"/>
      <c r="G1343" s="59" t="n"/>
      <c r="H1343" s="59" t="n"/>
      <c r="I1343" s="60">
        <f>IF(OR(G1343="",H1343=""),"",MOD(H1343-G1343,1))</f>
        <v/>
      </c>
      <c r="J1343" s="61">
        <f>IF(OR(G1343="",H1343=""),"",ROUND(MOD(H1343-G1343,1)*24,2))</f>
        <v/>
      </c>
      <c r="K1343" s="62">
        <f>IF(E1343="","",IF(E1343="Werken","JA","NEE"))</f>
        <v/>
      </c>
      <c r="L1343" s="61">
        <f>IF(K1343="JA",N(J1343),IF(E1343="","",0))</f>
        <v/>
      </c>
      <c r="M1343" s="62">
        <f>IF(AND(A1343="",E1343=""),"",IF(E1343="","Segment ontbreekt",IF(OR(G1343="",H1343=""),"Van/tot ontbreekt",IF(N(J1343)=0,"Duur is nul",IF(N(J1343)&gt;12,"Langer dan 12 uur - controleren",IF(AND(E1343="Werken",D1343=""),"Werken zonder klant - koppelen","OK"))))))</f>
        <v/>
      </c>
    </row>
    <row r="1344" ht="15" customHeight="1" s="42">
      <c r="A1344" s="55" t="n"/>
      <c r="B1344" s="56">
        <f>IF(A1344="","",WEEKNUM(A1344,21))</f>
        <v/>
      </c>
      <c r="C1344" s="57" t="n"/>
      <c r="D1344" s="57" t="n"/>
      <c r="E1344" s="58" t="n"/>
      <c r="F1344" s="57" t="n"/>
      <c r="G1344" s="59" t="n"/>
      <c r="H1344" s="59" t="n"/>
      <c r="I1344" s="60">
        <f>IF(OR(G1344="",H1344=""),"",MOD(H1344-G1344,1))</f>
        <v/>
      </c>
      <c r="J1344" s="61">
        <f>IF(OR(G1344="",H1344=""),"",ROUND(MOD(H1344-G1344,1)*24,2))</f>
        <v/>
      </c>
      <c r="K1344" s="62">
        <f>IF(E1344="","",IF(E1344="Werken","JA","NEE"))</f>
        <v/>
      </c>
      <c r="L1344" s="61">
        <f>IF(K1344="JA",N(J1344),IF(E1344="","",0))</f>
        <v/>
      </c>
      <c r="M1344" s="62">
        <f>IF(AND(A1344="",E1344=""),"",IF(E1344="","Segment ontbreekt",IF(OR(G1344="",H1344=""),"Van/tot ontbreekt",IF(N(J1344)=0,"Duur is nul",IF(N(J1344)&gt;12,"Langer dan 12 uur - controleren",IF(AND(E1344="Werken",D1344=""),"Werken zonder klant - koppelen","OK"))))))</f>
        <v/>
      </c>
    </row>
    <row r="1345" ht="15" customHeight="1" s="42">
      <c r="A1345" s="55" t="n"/>
      <c r="B1345" s="56">
        <f>IF(A1345="","",WEEKNUM(A1345,21))</f>
        <v/>
      </c>
      <c r="C1345" s="57" t="n"/>
      <c r="D1345" s="57" t="n"/>
      <c r="E1345" s="58" t="n"/>
      <c r="F1345" s="57" t="n"/>
      <c r="G1345" s="59" t="n"/>
      <c r="H1345" s="59" t="n"/>
      <c r="I1345" s="60">
        <f>IF(OR(G1345="",H1345=""),"",MOD(H1345-G1345,1))</f>
        <v/>
      </c>
      <c r="J1345" s="61">
        <f>IF(OR(G1345="",H1345=""),"",ROUND(MOD(H1345-G1345,1)*24,2))</f>
        <v/>
      </c>
      <c r="K1345" s="62">
        <f>IF(E1345="","",IF(E1345="Werken","JA","NEE"))</f>
        <v/>
      </c>
      <c r="L1345" s="61">
        <f>IF(K1345="JA",N(J1345),IF(E1345="","",0))</f>
        <v/>
      </c>
      <c r="M1345" s="62">
        <f>IF(AND(A1345="",E1345=""),"",IF(E1345="","Segment ontbreekt",IF(OR(G1345="",H1345=""),"Van/tot ontbreekt",IF(N(J1345)=0,"Duur is nul",IF(N(J1345)&gt;12,"Langer dan 12 uur - controleren",IF(AND(E1345="Werken",D1345=""),"Werken zonder klant - koppelen","OK"))))))</f>
        <v/>
      </c>
    </row>
    <row r="1346" ht="15" customHeight="1" s="42">
      <c r="A1346" s="55" t="n"/>
      <c r="B1346" s="56">
        <f>IF(A1346="","",WEEKNUM(A1346,21))</f>
        <v/>
      </c>
      <c r="C1346" s="57" t="n"/>
      <c r="D1346" s="57" t="n"/>
      <c r="E1346" s="58" t="n"/>
      <c r="F1346" s="57" t="n"/>
      <c r="G1346" s="59" t="n"/>
      <c r="H1346" s="59" t="n"/>
      <c r="I1346" s="60">
        <f>IF(OR(G1346="",H1346=""),"",MOD(H1346-G1346,1))</f>
        <v/>
      </c>
      <c r="J1346" s="61">
        <f>IF(OR(G1346="",H1346=""),"",ROUND(MOD(H1346-G1346,1)*24,2))</f>
        <v/>
      </c>
      <c r="K1346" s="62">
        <f>IF(E1346="","",IF(E1346="Werken","JA","NEE"))</f>
        <v/>
      </c>
      <c r="L1346" s="61">
        <f>IF(K1346="JA",N(J1346),IF(E1346="","",0))</f>
        <v/>
      </c>
      <c r="M1346" s="62">
        <f>IF(AND(A1346="",E1346=""),"",IF(E1346="","Segment ontbreekt",IF(OR(G1346="",H1346=""),"Van/tot ontbreekt",IF(N(J1346)=0,"Duur is nul",IF(N(J1346)&gt;12,"Langer dan 12 uur - controleren",IF(AND(E1346="Werken",D1346=""),"Werken zonder klant - koppelen","OK"))))))</f>
        <v/>
      </c>
    </row>
    <row r="1347" ht="15" customHeight="1" s="42">
      <c r="A1347" s="55" t="n"/>
      <c r="B1347" s="56">
        <f>IF(A1347="","",WEEKNUM(A1347,21))</f>
        <v/>
      </c>
      <c r="C1347" s="57" t="n"/>
      <c r="D1347" s="57" t="n"/>
      <c r="E1347" s="58" t="n"/>
      <c r="F1347" s="57" t="n"/>
      <c r="G1347" s="59" t="n"/>
      <c r="H1347" s="59" t="n"/>
      <c r="I1347" s="60">
        <f>IF(OR(G1347="",H1347=""),"",MOD(H1347-G1347,1))</f>
        <v/>
      </c>
      <c r="J1347" s="61">
        <f>IF(OR(G1347="",H1347=""),"",ROUND(MOD(H1347-G1347,1)*24,2))</f>
        <v/>
      </c>
      <c r="K1347" s="62">
        <f>IF(E1347="","",IF(E1347="Werken","JA","NEE"))</f>
        <v/>
      </c>
      <c r="L1347" s="61">
        <f>IF(K1347="JA",N(J1347),IF(E1347="","",0))</f>
        <v/>
      </c>
      <c r="M1347" s="62">
        <f>IF(AND(A1347="",E1347=""),"",IF(E1347="","Segment ontbreekt",IF(OR(G1347="",H1347=""),"Van/tot ontbreekt",IF(N(J1347)=0,"Duur is nul",IF(N(J1347)&gt;12,"Langer dan 12 uur - controleren",IF(AND(E1347="Werken",D1347=""),"Werken zonder klant - koppelen","OK"))))))</f>
        <v/>
      </c>
    </row>
    <row r="1348" ht="15" customHeight="1" s="42">
      <c r="A1348" s="55" t="n"/>
      <c r="B1348" s="56">
        <f>IF(A1348="","",WEEKNUM(A1348,21))</f>
        <v/>
      </c>
      <c r="C1348" s="57" t="n"/>
      <c r="D1348" s="57" t="n"/>
      <c r="E1348" s="58" t="n"/>
      <c r="F1348" s="57" t="n"/>
      <c r="G1348" s="59" t="n"/>
      <c r="H1348" s="59" t="n"/>
      <c r="I1348" s="60">
        <f>IF(OR(G1348="",H1348=""),"",MOD(H1348-G1348,1))</f>
        <v/>
      </c>
      <c r="J1348" s="61">
        <f>IF(OR(G1348="",H1348=""),"",ROUND(MOD(H1348-G1348,1)*24,2))</f>
        <v/>
      </c>
      <c r="K1348" s="62">
        <f>IF(E1348="","",IF(E1348="Werken","JA","NEE"))</f>
        <v/>
      </c>
      <c r="L1348" s="61">
        <f>IF(K1348="JA",N(J1348),IF(E1348="","",0))</f>
        <v/>
      </c>
      <c r="M1348" s="62">
        <f>IF(AND(A1348="",E1348=""),"",IF(E1348="","Segment ontbreekt",IF(OR(G1348="",H1348=""),"Van/tot ontbreekt",IF(N(J1348)=0,"Duur is nul",IF(N(J1348)&gt;12,"Langer dan 12 uur - controleren",IF(AND(E1348="Werken",D1348=""),"Werken zonder klant - koppelen","OK"))))))</f>
        <v/>
      </c>
    </row>
    <row r="1349" ht="15" customHeight="1" s="42">
      <c r="A1349" s="55" t="n"/>
      <c r="B1349" s="56">
        <f>IF(A1349="","",WEEKNUM(A1349,21))</f>
        <v/>
      </c>
      <c r="C1349" s="57" t="n"/>
      <c r="D1349" s="57" t="n"/>
      <c r="E1349" s="58" t="n"/>
      <c r="F1349" s="57" t="n"/>
      <c r="G1349" s="59" t="n"/>
      <c r="H1349" s="59" t="n"/>
      <c r="I1349" s="60">
        <f>IF(OR(G1349="",H1349=""),"",MOD(H1349-G1349,1))</f>
        <v/>
      </c>
      <c r="J1349" s="61">
        <f>IF(OR(G1349="",H1349=""),"",ROUND(MOD(H1349-G1349,1)*24,2))</f>
        <v/>
      </c>
      <c r="K1349" s="62">
        <f>IF(E1349="","",IF(E1349="Werken","JA","NEE"))</f>
        <v/>
      </c>
      <c r="L1349" s="61">
        <f>IF(K1349="JA",N(J1349),IF(E1349="","",0))</f>
        <v/>
      </c>
      <c r="M1349" s="62">
        <f>IF(AND(A1349="",E1349=""),"",IF(E1349="","Segment ontbreekt",IF(OR(G1349="",H1349=""),"Van/tot ontbreekt",IF(N(J1349)=0,"Duur is nul",IF(N(J1349)&gt;12,"Langer dan 12 uur - controleren",IF(AND(E1349="Werken",D1349=""),"Werken zonder klant - koppelen","OK"))))))</f>
        <v/>
      </c>
    </row>
    <row r="1350" ht="15" customHeight="1" s="42">
      <c r="A1350" s="55" t="n"/>
      <c r="B1350" s="56">
        <f>IF(A1350="","",WEEKNUM(A1350,21))</f>
        <v/>
      </c>
      <c r="C1350" s="57" t="n"/>
      <c r="D1350" s="57" t="n"/>
      <c r="E1350" s="58" t="n"/>
      <c r="F1350" s="57" t="n"/>
      <c r="G1350" s="59" t="n"/>
      <c r="H1350" s="59" t="n"/>
      <c r="I1350" s="60">
        <f>IF(OR(G1350="",H1350=""),"",MOD(H1350-G1350,1))</f>
        <v/>
      </c>
      <c r="J1350" s="61">
        <f>IF(OR(G1350="",H1350=""),"",ROUND(MOD(H1350-G1350,1)*24,2))</f>
        <v/>
      </c>
      <c r="K1350" s="62">
        <f>IF(E1350="","",IF(E1350="Werken","JA","NEE"))</f>
        <v/>
      </c>
      <c r="L1350" s="61">
        <f>IF(K1350="JA",N(J1350),IF(E1350="","",0))</f>
        <v/>
      </c>
      <c r="M1350" s="62">
        <f>IF(AND(A1350="",E1350=""),"",IF(E1350="","Segment ontbreekt",IF(OR(G1350="",H1350=""),"Van/tot ontbreekt",IF(N(J1350)=0,"Duur is nul",IF(N(J1350)&gt;12,"Langer dan 12 uur - controleren",IF(AND(E1350="Werken",D1350=""),"Werken zonder klant - koppelen","OK"))))))</f>
        <v/>
      </c>
    </row>
    <row r="1351" ht="15" customHeight="1" s="42">
      <c r="A1351" s="55" t="n"/>
      <c r="B1351" s="56">
        <f>IF(A1351="","",WEEKNUM(A1351,21))</f>
        <v/>
      </c>
      <c r="C1351" s="57" t="n"/>
      <c r="D1351" s="57" t="n"/>
      <c r="E1351" s="58" t="n"/>
      <c r="F1351" s="57" t="n"/>
      <c r="G1351" s="59" t="n"/>
      <c r="H1351" s="59" t="n"/>
      <c r="I1351" s="60">
        <f>IF(OR(G1351="",H1351=""),"",MOD(H1351-G1351,1))</f>
        <v/>
      </c>
      <c r="J1351" s="61">
        <f>IF(OR(G1351="",H1351=""),"",ROUND(MOD(H1351-G1351,1)*24,2))</f>
        <v/>
      </c>
      <c r="K1351" s="62">
        <f>IF(E1351="","",IF(E1351="Werken","JA","NEE"))</f>
        <v/>
      </c>
      <c r="L1351" s="61">
        <f>IF(K1351="JA",N(J1351),IF(E1351="","",0))</f>
        <v/>
      </c>
      <c r="M1351" s="62">
        <f>IF(AND(A1351="",E1351=""),"",IF(E1351="","Segment ontbreekt",IF(OR(G1351="",H1351=""),"Van/tot ontbreekt",IF(N(J1351)=0,"Duur is nul",IF(N(J1351)&gt;12,"Langer dan 12 uur - controleren",IF(AND(E1351="Werken",D1351=""),"Werken zonder klant - koppelen","OK"))))))</f>
        <v/>
      </c>
    </row>
    <row r="1352" ht="15" customHeight="1" s="42">
      <c r="A1352" s="55" t="n"/>
      <c r="B1352" s="56">
        <f>IF(A1352="","",WEEKNUM(A1352,21))</f>
        <v/>
      </c>
      <c r="C1352" s="57" t="n"/>
      <c r="D1352" s="57" t="n"/>
      <c r="E1352" s="58" t="n"/>
      <c r="F1352" s="57" t="n"/>
      <c r="G1352" s="59" t="n"/>
      <c r="H1352" s="59" t="n"/>
      <c r="I1352" s="60">
        <f>IF(OR(G1352="",H1352=""),"",MOD(H1352-G1352,1))</f>
        <v/>
      </c>
      <c r="J1352" s="61">
        <f>IF(OR(G1352="",H1352=""),"",ROUND(MOD(H1352-G1352,1)*24,2))</f>
        <v/>
      </c>
      <c r="K1352" s="62">
        <f>IF(E1352="","",IF(E1352="Werken","JA","NEE"))</f>
        <v/>
      </c>
      <c r="L1352" s="61">
        <f>IF(K1352="JA",N(J1352),IF(E1352="","",0))</f>
        <v/>
      </c>
      <c r="M1352" s="62">
        <f>IF(AND(A1352="",E1352=""),"",IF(E1352="","Segment ontbreekt",IF(OR(G1352="",H1352=""),"Van/tot ontbreekt",IF(N(J1352)=0,"Duur is nul",IF(N(J1352)&gt;12,"Langer dan 12 uur - controleren",IF(AND(E1352="Werken",D1352=""),"Werken zonder klant - koppelen","OK"))))))</f>
        <v/>
      </c>
    </row>
    <row r="1353" ht="15" customHeight="1" s="42">
      <c r="A1353" s="55" t="n"/>
      <c r="B1353" s="56">
        <f>IF(A1353="","",WEEKNUM(A1353,21))</f>
        <v/>
      </c>
      <c r="C1353" s="57" t="n"/>
      <c r="D1353" s="57" t="n"/>
      <c r="E1353" s="58" t="n"/>
      <c r="F1353" s="57" t="n"/>
      <c r="G1353" s="59" t="n"/>
      <c r="H1353" s="59" t="n"/>
      <c r="I1353" s="60">
        <f>IF(OR(G1353="",H1353=""),"",MOD(H1353-G1353,1))</f>
        <v/>
      </c>
      <c r="J1353" s="61">
        <f>IF(OR(G1353="",H1353=""),"",ROUND(MOD(H1353-G1353,1)*24,2))</f>
        <v/>
      </c>
      <c r="K1353" s="62">
        <f>IF(E1353="","",IF(E1353="Werken","JA","NEE"))</f>
        <v/>
      </c>
      <c r="L1353" s="61">
        <f>IF(K1353="JA",N(J1353),IF(E1353="","",0))</f>
        <v/>
      </c>
      <c r="M1353" s="62">
        <f>IF(AND(A1353="",E1353=""),"",IF(E1353="","Segment ontbreekt",IF(OR(G1353="",H1353=""),"Van/tot ontbreekt",IF(N(J1353)=0,"Duur is nul",IF(N(J1353)&gt;12,"Langer dan 12 uur - controleren",IF(AND(E1353="Werken",D1353=""),"Werken zonder klant - koppelen","OK"))))))</f>
        <v/>
      </c>
    </row>
    <row r="1354" ht="15" customHeight="1" s="42">
      <c r="A1354" s="55" t="n"/>
      <c r="B1354" s="56">
        <f>IF(A1354="","",WEEKNUM(A1354,21))</f>
        <v/>
      </c>
      <c r="C1354" s="57" t="n"/>
      <c r="D1354" s="57" t="n"/>
      <c r="E1354" s="58" t="n"/>
      <c r="F1354" s="57" t="n"/>
      <c r="G1354" s="59" t="n"/>
      <c r="H1354" s="59" t="n"/>
      <c r="I1354" s="60">
        <f>IF(OR(G1354="",H1354=""),"",MOD(H1354-G1354,1))</f>
        <v/>
      </c>
      <c r="J1354" s="61">
        <f>IF(OR(G1354="",H1354=""),"",ROUND(MOD(H1354-G1354,1)*24,2))</f>
        <v/>
      </c>
      <c r="K1354" s="62">
        <f>IF(E1354="","",IF(E1354="Werken","JA","NEE"))</f>
        <v/>
      </c>
      <c r="L1354" s="61">
        <f>IF(K1354="JA",N(J1354),IF(E1354="","",0))</f>
        <v/>
      </c>
      <c r="M1354" s="62">
        <f>IF(AND(A1354="",E1354=""),"",IF(E1354="","Segment ontbreekt",IF(OR(G1354="",H1354=""),"Van/tot ontbreekt",IF(N(J1354)=0,"Duur is nul",IF(N(J1354)&gt;12,"Langer dan 12 uur - controleren",IF(AND(E1354="Werken",D1354=""),"Werken zonder klant - koppelen","OK"))))))</f>
        <v/>
      </c>
    </row>
    <row r="1355" ht="15" customHeight="1" s="42">
      <c r="A1355" s="55" t="n"/>
      <c r="B1355" s="56">
        <f>IF(A1355="","",WEEKNUM(A1355,21))</f>
        <v/>
      </c>
      <c r="C1355" s="57" t="n"/>
      <c r="D1355" s="57" t="n"/>
      <c r="E1355" s="58" t="n"/>
      <c r="F1355" s="57" t="n"/>
      <c r="G1355" s="59" t="n"/>
      <c r="H1355" s="59" t="n"/>
      <c r="I1355" s="60">
        <f>IF(OR(G1355="",H1355=""),"",MOD(H1355-G1355,1))</f>
        <v/>
      </c>
      <c r="J1355" s="61">
        <f>IF(OR(G1355="",H1355=""),"",ROUND(MOD(H1355-G1355,1)*24,2))</f>
        <v/>
      </c>
      <c r="K1355" s="62">
        <f>IF(E1355="","",IF(E1355="Werken","JA","NEE"))</f>
        <v/>
      </c>
      <c r="L1355" s="61">
        <f>IF(K1355="JA",N(J1355),IF(E1355="","",0))</f>
        <v/>
      </c>
      <c r="M1355" s="62">
        <f>IF(AND(A1355="",E1355=""),"",IF(E1355="","Segment ontbreekt",IF(OR(G1355="",H1355=""),"Van/tot ontbreekt",IF(N(J1355)=0,"Duur is nul",IF(N(J1355)&gt;12,"Langer dan 12 uur - controleren",IF(AND(E1355="Werken",D1355=""),"Werken zonder klant - koppelen","OK"))))))</f>
        <v/>
      </c>
    </row>
    <row r="1356" ht="15" customHeight="1" s="42">
      <c r="A1356" s="55" t="n"/>
      <c r="B1356" s="56">
        <f>IF(A1356="","",WEEKNUM(A1356,21))</f>
        <v/>
      </c>
      <c r="C1356" s="57" t="n"/>
      <c r="D1356" s="57" t="n"/>
      <c r="E1356" s="58" t="n"/>
      <c r="F1356" s="57" t="n"/>
      <c r="G1356" s="59" t="n"/>
      <c r="H1356" s="59" t="n"/>
      <c r="I1356" s="60">
        <f>IF(OR(G1356="",H1356=""),"",MOD(H1356-G1356,1))</f>
        <v/>
      </c>
      <c r="J1356" s="61">
        <f>IF(OR(G1356="",H1356=""),"",ROUND(MOD(H1356-G1356,1)*24,2))</f>
        <v/>
      </c>
      <c r="K1356" s="62">
        <f>IF(E1356="","",IF(E1356="Werken","JA","NEE"))</f>
        <v/>
      </c>
      <c r="L1356" s="61">
        <f>IF(K1356="JA",N(J1356),IF(E1356="","",0))</f>
        <v/>
      </c>
      <c r="M1356" s="62">
        <f>IF(AND(A1356="",E1356=""),"",IF(E1356="","Segment ontbreekt",IF(OR(G1356="",H1356=""),"Van/tot ontbreekt",IF(N(J1356)=0,"Duur is nul",IF(N(J1356)&gt;12,"Langer dan 12 uur - controleren",IF(AND(E1356="Werken",D1356=""),"Werken zonder klant - koppelen","OK"))))))</f>
        <v/>
      </c>
    </row>
    <row r="1357" ht="15" customHeight="1" s="42">
      <c r="A1357" s="55" t="n"/>
      <c r="B1357" s="56">
        <f>IF(A1357="","",WEEKNUM(A1357,21))</f>
        <v/>
      </c>
      <c r="C1357" s="57" t="n"/>
      <c r="D1357" s="57" t="n"/>
      <c r="E1357" s="58" t="n"/>
      <c r="F1357" s="57" t="n"/>
      <c r="G1357" s="59" t="n"/>
      <c r="H1357" s="59" t="n"/>
      <c r="I1357" s="60">
        <f>IF(OR(G1357="",H1357=""),"",MOD(H1357-G1357,1))</f>
        <v/>
      </c>
      <c r="J1357" s="61">
        <f>IF(OR(G1357="",H1357=""),"",ROUND(MOD(H1357-G1357,1)*24,2))</f>
        <v/>
      </c>
      <c r="K1357" s="62">
        <f>IF(E1357="","",IF(E1357="Werken","JA","NEE"))</f>
        <v/>
      </c>
      <c r="L1357" s="61">
        <f>IF(K1357="JA",N(J1357),IF(E1357="","",0))</f>
        <v/>
      </c>
      <c r="M1357" s="62">
        <f>IF(AND(A1357="",E1357=""),"",IF(E1357="","Segment ontbreekt",IF(OR(G1357="",H1357=""),"Van/tot ontbreekt",IF(N(J1357)=0,"Duur is nul",IF(N(J1357)&gt;12,"Langer dan 12 uur - controleren",IF(AND(E1357="Werken",D1357=""),"Werken zonder klant - koppelen","OK"))))))</f>
        <v/>
      </c>
    </row>
    <row r="1358" ht="15" customHeight="1" s="42">
      <c r="A1358" s="55" t="n"/>
      <c r="B1358" s="56">
        <f>IF(A1358="","",WEEKNUM(A1358,21))</f>
        <v/>
      </c>
      <c r="C1358" s="57" t="n"/>
      <c r="D1358" s="57" t="n"/>
      <c r="E1358" s="58" t="n"/>
      <c r="F1358" s="57" t="n"/>
      <c r="G1358" s="59" t="n"/>
      <c r="H1358" s="59" t="n"/>
      <c r="I1358" s="60">
        <f>IF(OR(G1358="",H1358=""),"",MOD(H1358-G1358,1))</f>
        <v/>
      </c>
      <c r="J1358" s="61">
        <f>IF(OR(G1358="",H1358=""),"",ROUND(MOD(H1358-G1358,1)*24,2))</f>
        <v/>
      </c>
      <c r="K1358" s="62">
        <f>IF(E1358="","",IF(E1358="Werken","JA","NEE"))</f>
        <v/>
      </c>
      <c r="L1358" s="61">
        <f>IF(K1358="JA",N(J1358),IF(E1358="","",0))</f>
        <v/>
      </c>
      <c r="M1358" s="62">
        <f>IF(AND(A1358="",E1358=""),"",IF(E1358="","Segment ontbreekt",IF(OR(G1358="",H1358=""),"Van/tot ontbreekt",IF(N(J1358)=0,"Duur is nul",IF(N(J1358)&gt;12,"Langer dan 12 uur - controleren",IF(AND(E1358="Werken",D1358=""),"Werken zonder klant - koppelen","OK"))))))</f>
        <v/>
      </c>
    </row>
    <row r="1359" ht="15" customHeight="1" s="42">
      <c r="A1359" s="55" t="n"/>
      <c r="B1359" s="56">
        <f>IF(A1359="","",WEEKNUM(A1359,21))</f>
        <v/>
      </c>
      <c r="C1359" s="57" t="n"/>
      <c r="D1359" s="57" t="n"/>
      <c r="E1359" s="58" t="n"/>
      <c r="F1359" s="57" t="n"/>
      <c r="G1359" s="59" t="n"/>
      <c r="H1359" s="59" t="n"/>
      <c r="I1359" s="60">
        <f>IF(OR(G1359="",H1359=""),"",MOD(H1359-G1359,1))</f>
        <v/>
      </c>
      <c r="J1359" s="61">
        <f>IF(OR(G1359="",H1359=""),"",ROUND(MOD(H1359-G1359,1)*24,2))</f>
        <v/>
      </c>
      <c r="K1359" s="62">
        <f>IF(E1359="","",IF(E1359="Werken","JA","NEE"))</f>
        <v/>
      </c>
      <c r="L1359" s="61">
        <f>IF(K1359="JA",N(J1359),IF(E1359="","",0))</f>
        <v/>
      </c>
      <c r="M1359" s="62">
        <f>IF(AND(A1359="",E1359=""),"",IF(E1359="","Segment ontbreekt",IF(OR(G1359="",H1359=""),"Van/tot ontbreekt",IF(N(J1359)=0,"Duur is nul",IF(N(J1359)&gt;12,"Langer dan 12 uur - controleren",IF(AND(E1359="Werken",D1359=""),"Werken zonder klant - koppelen","OK"))))))</f>
        <v/>
      </c>
    </row>
    <row r="1360" ht="15" customHeight="1" s="42">
      <c r="A1360" s="55" t="n"/>
      <c r="B1360" s="56">
        <f>IF(A1360="","",WEEKNUM(A1360,21))</f>
        <v/>
      </c>
      <c r="C1360" s="57" t="n"/>
      <c r="D1360" s="57" t="n"/>
      <c r="E1360" s="58" t="n"/>
      <c r="F1360" s="57" t="n"/>
      <c r="G1360" s="59" t="n"/>
      <c r="H1360" s="59" t="n"/>
      <c r="I1360" s="60">
        <f>IF(OR(G1360="",H1360=""),"",MOD(H1360-G1360,1))</f>
        <v/>
      </c>
      <c r="J1360" s="61">
        <f>IF(OR(G1360="",H1360=""),"",ROUND(MOD(H1360-G1360,1)*24,2))</f>
        <v/>
      </c>
      <c r="K1360" s="62">
        <f>IF(E1360="","",IF(E1360="Werken","JA","NEE"))</f>
        <v/>
      </c>
      <c r="L1360" s="61">
        <f>IF(K1360="JA",N(J1360),IF(E1360="","",0))</f>
        <v/>
      </c>
      <c r="M1360" s="62">
        <f>IF(AND(A1360="",E1360=""),"",IF(E1360="","Segment ontbreekt",IF(OR(G1360="",H1360=""),"Van/tot ontbreekt",IF(N(J1360)=0,"Duur is nul",IF(N(J1360)&gt;12,"Langer dan 12 uur - controleren",IF(AND(E1360="Werken",D1360=""),"Werken zonder klant - koppelen","OK"))))))</f>
        <v/>
      </c>
    </row>
    <row r="1361" ht="15" customHeight="1" s="42">
      <c r="A1361" s="55" t="n"/>
      <c r="B1361" s="56">
        <f>IF(A1361="","",WEEKNUM(A1361,21))</f>
        <v/>
      </c>
      <c r="C1361" s="57" t="n"/>
      <c r="D1361" s="57" t="n"/>
      <c r="E1361" s="58" t="n"/>
      <c r="F1361" s="57" t="n"/>
      <c r="G1361" s="59" t="n"/>
      <c r="H1361" s="59" t="n"/>
      <c r="I1361" s="60">
        <f>IF(OR(G1361="",H1361=""),"",MOD(H1361-G1361,1))</f>
        <v/>
      </c>
      <c r="J1361" s="61">
        <f>IF(OR(G1361="",H1361=""),"",ROUND(MOD(H1361-G1361,1)*24,2))</f>
        <v/>
      </c>
      <c r="K1361" s="62">
        <f>IF(E1361="","",IF(E1361="Werken","JA","NEE"))</f>
        <v/>
      </c>
      <c r="L1361" s="61">
        <f>IF(K1361="JA",N(J1361),IF(E1361="","",0))</f>
        <v/>
      </c>
      <c r="M1361" s="62">
        <f>IF(AND(A1361="",E1361=""),"",IF(E1361="","Segment ontbreekt",IF(OR(G1361="",H1361=""),"Van/tot ontbreekt",IF(N(J1361)=0,"Duur is nul",IF(N(J1361)&gt;12,"Langer dan 12 uur - controleren",IF(AND(E1361="Werken",D1361=""),"Werken zonder klant - koppelen","OK"))))))</f>
        <v/>
      </c>
    </row>
    <row r="1362" ht="15" customHeight="1" s="42">
      <c r="A1362" s="55" t="n"/>
      <c r="B1362" s="56">
        <f>IF(A1362="","",WEEKNUM(A1362,21))</f>
        <v/>
      </c>
      <c r="C1362" s="57" t="n"/>
      <c r="D1362" s="57" t="n"/>
      <c r="E1362" s="58" t="n"/>
      <c r="F1362" s="57" t="n"/>
      <c r="G1362" s="59" t="n"/>
      <c r="H1362" s="59" t="n"/>
      <c r="I1362" s="60">
        <f>IF(OR(G1362="",H1362=""),"",MOD(H1362-G1362,1))</f>
        <v/>
      </c>
      <c r="J1362" s="61">
        <f>IF(OR(G1362="",H1362=""),"",ROUND(MOD(H1362-G1362,1)*24,2))</f>
        <v/>
      </c>
      <c r="K1362" s="62">
        <f>IF(E1362="","",IF(E1362="Werken","JA","NEE"))</f>
        <v/>
      </c>
      <c r="L1362" s="61">
        <f>IF(K1362="JA",N(J1362),IF(E1362="","",0))</f>
        <v/>
      </c>
      <c r="M1362" s="62">
        <f>IF(AND(A1362="",E1362=""),"",IF(E1362="","Segment ontbreekt",IF(OR(G1362="",H1362=""),"Van/tot ontbreekt",IF(N(J1362)=0,"Duur is nul",IF(N(J1362)&gt;12,"Langer dan 12 uur - controleren",IF(AND(E1362="Werken",D1362=""),"Werken zonder klant - koppelen","OK"))))))</f>
        <v/>
      </c>
    </row>
    <row r="1363" ht="15" customHeight="1" s="42">
      <c r="A1363" s="55" t="n"/>
      <c r="B1363" s="56">
        <f>IF(A1363="","",WEEKNUM(A1363,21))</f>
        <v/>
      </c>
      <c r="C1363" s="57" t="n"/>
      <c r="D1363" s="57" t="n"/>
      <c r="E1363" s="58" t="n"/>
      <c r="F1363" s="57" t="n"/>
      <c r="G1363" s="59" t="n"/>
      <c r="H1363" s="59" t="n"/>
      <c r="I1363" s="60">
        <f>IF(OR(G1363="",H1363=""),"",MOD(H1363-G1363,1))</f>
        <v/>
      </c>
      <c r="J1363" s="61">
        <f>IF(OR(G1363="",H1363=""),"",ROUND(MOD(H1363-G1363,1)*24,2))</f>
        <v/>
      </c>
      <c r="K1363" s="62">
        <f>IF(E1363="","",IF(E1363="Werken","JA","NEE"))</f>
        <v/>
      </c>
      <c r="L1363" s="61">
        <f>IF(K1363="JA",N(J1363),IF(E1363="","",0))</f>
        <v/>
      </c>
      <c r="M1363" s="62">
        <f>IF(AND(A1363="",E1363=""),"",IF(E1363="","Segment ontbreekt",IF(OR(G1363="",H1363=""),"Van/tot ontbreekt",IF(N(J1363)=0,"Duur is nul",IF(N(J1363)&gt;12,"Langer dan 12 uur - controleren",IF(AND(E1363="Werken",D1363=""),"Werken zonder klant - koppelen","OK"))))))</f>
        <v/>
      </c>
    </row>
    <row r="1364" ht="15" customHeight="1" s="42">
      <c r="A1364" s="55" t="n"/>
      <c r="B1364" s="56">
        <f>IF(A1364="","",WEEKNUM(A1364,21))</f>
        <v/>
      </c>
      <c r="C1364" s="57" t="n"/>
      <c r="D1364" s="57" t="n"/>
      <c r="E1364" s="58" t="n"/>
      <c r="F1364" s="57" t="n"/>
      <c r="G1364" s="59" t="n"/>
      <c r="H1364" s="59" t="n"/>
      <c r="I1364" s="60">
        <f>IF(OR(G1364="",H1364=""),"",MOD(H1364-G1364,1))</f>
        <v/>
      </c>
      <c r="J1364" s="61">
        <f>IF(OR(G1364="",H1364=""),"",ROUND(MOD(H1364-G1364,1)*24,2))</f>
        <v/>
      </c>
      <c r="K1364" s="62">
        <f>IF(E1364="","",IF(E1364="Werken","JA","NEE"))</f>
        <v/>
      </c>
      <c r="L1364" s="61">
        <f>IF(K1364="JA",N(J1364),IF(E1364="","",0))</f>
        <v/>
      </c>
      <c r="M1364" s="62">
        <f>IF(AND(A1364="",E1364=""),"",IF(E1364="","Segment ontbreekt",IF(OR(G1364="",H1364=""),"Van/tot ontbreekt",IF(N(J1364)=0,"Duur is nul",IF(N(J1364)&gt;12,"Langer dan 12 uur - controleren",IF(AND(E1364="Werken",D1364=""),"Werken zonder klant - koppelen","OK"))))))</f>
        <v/>
      </c>
    </row>
    <row r="1365" ht="15" customHeight="1" s="42">
      <c r="A1365" s="55" t="n"/>
      <c r="B1365" s="56">
        <f>IF(A1365="","",WEEKNUM(A1365,21))</f>
        <v/>
      </c>
      <c r="C1365" s="57" t="n"/>
      <c r="D1365" s="57" t="n"/>
      <c r="E1365" s="58" t="n"/>
      <c r="F1365" s="57" t="n"/>
      <c r="G1365" s="59" t="n"/>
      <c r="H1365" s="59" t="n"/>
      <c r="I1365" s="60">
        <f>IF(OR(G1365="",H1365=""),"",MOD(H1365-G1365,1))</f>
        <v/>
      </c>
      <c r="J1365" s="61">
        <f>IF(OR(G1365="",H1365=""),"",ROUND(MOD(H1365-G1365,1)*24,2))</f>
        <v/>
      </c>
      <c r="K1365" s="62">
        <f>IF(E1365="","",IF(E1365="Werken","JA","NEE"))</f>
        <v/>
      </c>
      <c r="L1365" s="61">
        <f>IF(K1365="JA",N(J1365),IF(E1365="","",0))</f>
        <v/>
      </c>
      <c r="M1365" s="62">
        <f>IF(AND(A1365="",E1365=""),"",IF(E1365="","Segment ontbreekt",IF(OR(G1365="",H1365=""),"Van/tot ontbreekt",IF(N(J1365)=0,"Duur is nul",IF(N(J1365)&gt;12,"Langer dan 12 uur - controleren",IF(AND(E1365="Werken",D1365=""),"Werken zonder klant - koppelen","OK"))))))</f>
        <v/>
      </c>
    </row>
    <row r="1366" ht="15" customHeight="1" s="42">
      <c r="A1366" s="55" t="n"/>
      <c r="B1366" s="56">
        <f>IF(A1366="","",WEEKNUM(A1366,21))</f>
        <v/>
      </c>
      <c r="C1366" s="57" t="n"/>
      <c r="D1366" s="57" t="n"/>
      <c r="E1366" s="58" t="n"/>
      <c r="F1366" s="57" t="n"/>
      <c r="G1366" s="59" t="n"/>
      <c r="H1366" s="59" t="n"/>
      <c r="I1366" s="60">
        <f>IF(OR(G1366="",H1366=""),"",MOD(H1366-G1366,1))</f>
        <v/>
      </c>
      <c r="J1366" s="61">
        <f>IF(OR(G1366="",H1366=""),"",ROUND(MOD(H1366-G1366,1)*24,2))</f>
        <v/>
      </c>
      <c r="K1366" s="62">
        <f>IF(E1366="","",IF(E1366="Werken","JA","NEE"))</f>
        <v/>
      </c>
      <c r="L1366" s="61">
        <f>IF(K1366="JA",N(J1366),IF(E1366="","",0))</f>
        <v/>
      </c>
      <c r="M1366" s="62">
        <f>IF(AND(A1366="",E1366=""),"",IF(E1366="","Segment ontbreekt",IF(OR(G1366="",H1366=""),"Van/tot ontbreekt",IF(N(J1366)=0,"Duur is nul",IF(N(J1366)&gt;12,"Langer dan 12 uur - controleren",IF(AND(E1366="Werken",D1366=""),"Werken zonder klant - koppelen","OK"))))))</f>
        <v/>
      </c>
    </row>
    <row r="1367" ht="15" customHeight="1" s="42">
      <c r="A1367" s="55" t="n"/>
      <c r="B1367" s="56">
        <f>IF(A1367="","",WEEKNUM(A1367,21))</f>
        <v/>
      </c>
      <c r="C1367" s="57" t="n"/>
      <c r="D1367" s="57" t="n"/>
      <c r="E1367" s="58" t="n"/>
      <c r="F1367" s="57" t="n"/>
      <c r="G1367" s="59" t="n"/>
      <c r="H1367" s="59" t="n"/>
      <c r="I1367" s="60">
        <f>IF(OR(G1367="",H1367=""),"",MOD(H1367-G1367,1))</f>
        <v/>
      </c>
      <c r="J1367" s="61">
        <f>IF(OR(G1367="",H1367=""),"",ROUND(MOD(H1367-G1367,1)*24,2))</f>
        <v/>
      </c>
      <c r="K1367" s="62">
        <f>IF(E1367="","",IF(E1367="Werken","JA","NEE"))</f>
        <v/>
      </c>
      <c r="L1367" s="61">
        <f>IF(K1367="JA",N(J1367),IF(E1367="","",0))</f>
        <v/>
      </c>
      <c r="M1367" s="62">
        <f>IF(AND(A1367="",E1367=""),"",IF(E1367="","Segment ontbreekt",IF(OR(G1367="",H1367=""),"Van/tot ontbreekt",IF(N(J1367)=0,"Duur is nul",IF(N(J1367)&gt;12,"Langer dan 12 uur - controleren",IF(AND(E1367="Werken",D1367=""),"Werken zonder klant - koppelen","OK"))))))</f>
        <v/>
      </c>
    </row>
    <row r="1368" ht="15" customHeight="1" s="42">
      <c r="A1368" s="55" t="n"/>
      <c r="B1368" s="56">
        <f>IF(A1368="","",WEEKNUM(A1368,21))</f>
        <v/>
      </c>
      <c r="C1368" s="57" t="n"/>
      <c r="D1368" s="57" t="n"/>
      <c r="E1368" s="58" t="n"/>
      <c r="F1368" s="57" t="n"/>
      <c r="G1368" s="59" t="n"/>
      <c r="H1368" s="59" t="n"/>
      <c r="I1368" s="60">
        <f>IF(OR(G1368="",H1368=""),"",MOD(H1368-G1368,1))</f>
        <v/>
      </c>
      <c r="J1368" s="61">
        <f>IF(OR(G1368="",H1368=""),"",ROUND(MOD(H1368-G1368,1)*24,2))</f>
        <v/>
      </c>
      <c r="K1368" s="62">
        <f>IF(E1368="","",IF(E1368="Werken","JA","NEE"))</f>
        <v/>
      </c>
      <c r="L1368" s="61">
        <f>IF(K1368="JA",N(J1368),IF(E1368="","",0))</f>
        <v/>
      </c>
      <c r="M1368" s="62">
        <f>IF(AND(A1368="",E1368=""),"",IF(E1368="","Segment ontbreekt",IF(OR(G1368="",H1368=""),"Van/tot ontbreekt",IF(N(J1368)=0,"Duur is nul",IF(N(J1368)&gt;12,"Langer dan 12 uur - controleren",IF(AND(E1368="Werken",D1368=""),"Werken zonder klant - koppelen","OK"))))))</f>
        <v/>
      </c>
    </row>
    <row r="1369" ht="15" customHeight="1" s="42">
      <c r="A1369" s="55" t="n"/>
      <c r="B1369" s="56">
        <f>IF(A1369="","",WEEKNUM(A1369,21))</f>
        <v/>
      </c>
      <c r="C1369" s="57" t="n"/>
      <c r="D1369" s="57" t="n"/>
      <c r="E1369" s="58" t="n"/>
      <c r="F1369" s="57" t="n"/>
      <c r="G1369" s="59" t="n"/>
      <c r="H1369" s="59" t="n"/>
      <c r="I1369" s="60">
        <f>IF(OR(G1369="",H1369=""),"",MOD(H1369-G1369,1))</f>
        <v/>
      </c>
      <c r="J1369" s="61">
        <f>IF(OR(G1369="",H1369=""),"",ROUND(MOD(H1369-G1369,1)*24,2))</f>
        <v/>
      </c>
      <c r="K1369" s="62">
        <f>IF(E1369="","",IF(E1369="Werken","JA","NEE"))</f>
        <v/>
      </c>
      <c r="L1369" s="61">
        <f>IF(K1369="JA",N(J1369),IF(E1369="","",0))</f>
        <v/>
      </c>
      <c r="M1369" s="62">
        <f>IF(AND(A1369="",E1369=""),"",IF(E1369="","Segment ontbreekt",IF(OR(G1369="",H1369=""),"Van/tot ontbreekt",IF(N(J1369)=0,"Duur is nul",IF(N(J1369)&gt;12,"Langer dan 12 uur - controleren",IF(AND(E1369="Werken",D1369=""),"Werken zonder klant - koppelen","OK"))))))</f>
        <v/>
      </c>
    </row>
    <row r="1370" ht="15" customHeight="1" s="42">
      <c r="A1370" s="55" t="n"/>
      <c r="B1370" s="56">
        <f>IF(A1370="","",WEEKNUM(A1370,21))</f>
        <v/>
      </c>
      <c r="C1370" s="57" t="n"/>
      <c r="D1370" s="57" t="n"/>
      <c r="E1370" s="58" t="n"/>
      <c r="F1370" s="57" t="n"/>
      <c r="G1370" s="59" t="n"/>
      <c r="H1370" s="59" t="n"/>
      <c r="I1370" s="60">
        <f>IF(OR(G1370="",H1370=""),"",MOD(H1370-G1370,1))</f>
        <v/>
      </c>
      <c r="J1370" s="61">
        <f>IF(OR(G1370="",H1370=""),"",ROUND(MOD(H1370-G1370,1)*24,2))</f>
        <v/>
      </c>
      <c r="K1370" s="62">
        <f>IF(E1370="","",IF(E1370="Werken","JA","NEE"))</f>
        <v/>
      </c>
      <c r="L1370" s="61">
        <f>IF(K1370="JA",N(J1370),IF(E1370="","",0))</f>
        <v/>
      </c>
      <c r="M1370" s="62">
        <f>IF(AND(A1370="",E1370=""),"",IF(E1370="","Segment ontbreekt",IF(OR(G1370="",H1370=""),"Van/tot ontbreekt",IF(N(J1370)=0,"Duur is nul",IF(N(J1370)&gt;12,"Langer dan 12 uur - controleren",IF(AND(E1370="Werken",D1370=""),"Werken zonder klant - koppelen","OK"))))))</f>
        <v/>
      </c>
    </row>
    <row r="1371" ht="15" customHeight="1" s="42">
      <c r="A1371" s="55" t="n"/>
      <c r="B1371" s="56">
        <f>IF(A1371="","",WEEKNUM(A1371,21))</f>
        <v/>
      </c>
      <c r="C1371" s="57" t="n"/>
      <c r="D1371" s="57" t="n"/>
      <c r="E1371" s="58" t="n"/>
      <c r="F1371" s="57" t="n"/>
      <c r="G1371" s="59" t="n"/>
      <c r="H1371" s="59" t="n"/>
      <c r="I1371" s="60">
        <f>IF(OR(G1371="",H1371=""),"",MOD(H1371-G1371,1))</f>
        <v/>
      </c>
      <c r="J1371" s="61">
        <f>IF(OR(G1371="",H1371=""),"",ROUND(MOD(H1371-G1371,1)*24,2))</f>
        <v/>
      </c>
      <c r="K1371" s="62">
        <f>IF(E1371="","",IF(E1371="Werken","JA","NEE"))</f>
        <v/>
      </c>
      <c r="L1371" s="61">
        <f>IF(K1371="JA",N(J1371),IF(E1371="","",0))</f>
        <v/>
      </c>
      <c r="M1371" s="62">
        <f>IF(AND(A1371="",E1371=""),"",IF(E1371="","Segment ontbreekt",IF(OR(G1371="",H1371=""),"Van/tot ontbreekt",IF(N(J1371)=0,"Duur is nul",IF(N(J1371)&gt;12,"Langer dan 12 uur - controleren",IF(AND(E1371="Werken",D1371=""),"Werken zonder klant - koppelen","OK"))))))</f>
        <v/>
      </c>
    </row>
    <row r="1372" ht="15" customHeight="1" s="42">
      <c r="A1372" s="55" t="n"/>
      <c r="B1372" s="56">
        <f>IF(A1372="","",WEEKNUM(A1372,21))</f>
        <v/>
      </c>
      <c r="C1372" s="57" t="n"/>
      <c r="D1372" s="57" t="n"/>
      <c r="E1372" s="58" t="n"/>
      <c r="F1372" s="57" t="n"/>
      <c r="G1372" s="59" t="n"/>
      <c r="H1372" s="59" t="n"/>
      <c r="I1372" s="60">
        <f>IF(OR(G1372="",H1372=""),"",MOD(H1372-G1372,1))</f>
        <v/>
      </c>
      <c r="J1372" s="61">
        <f>IF(OR(G1372="",H1372=""),"",ROUND(MOD(H1372-G1372,1)*24,2))</f>
        <v/>
      </c>
      <c r="K1372" s="62">
        <f>IF(E1372="","",IF(E1372="Werken","JA","NEE"))</f>
        <v/>
      </c>
      <c r="L1372" s="61">
        <f>IF(K1372="JA",N(J1372),IF(E1372="","",0))</f>
        <v/>
      </c>
      <c r="M1372" s="62">
        <f>IF(AND(A1372="",E1372=""),"",IF(E1372="","Segment ontbreekt",IF(OR(G1372="",H1372=""),"Van/tot ontbreekt",IF(N(J1372)=0,"Duur is nul",IF(N(J1372)&gt;12,"Langer dan 12 uur - controleren",IF(AND(E1372="Werken",D1372=""),"Werken zonder klant - koppelen","OK"))))))</f>
        <v/>
      </c>
    </row>
    <row r="1373" ht="15" customHeight="1" s="42">
      <c r="A1373" s="55" t="n"/>
      <c r="B1373" s="56">
        <f>IF(A1373="","",WEEKNUM(A1373,21))</f>
        <v/>
      </c>
      <c r="C1373" s="57" t="n"/>
      <c r="D1373" s="57" t="n"/>
      <c r="E1373" s="58" t="n"/>
      <c r="F1373" s="57" t="n"/>
      <c r="G1373" s="59" t="n"/>
      <c r="H1373" s="59" t="n"/>
      <c r="I1373" s="60">
        <f>IF(OR(G1373="",H1373=""),"",MOD(H1373-G1373,1))</f>
        <v/>
      </c>
      <c r="J1373" s="61">
        <f>IF(OR(G1373="",H1373=""),"",ROUND(MOD(H1373-G1373,1)*24,2))</f>
        <v/>
      </c>
      <c r="K1373" s="62">
        <f>IF(E1373="","",IF(E1373="Werken","JA","NEE"))</f>
        <v/>
      </c>
      <c r="L1373" s="61">
        <f>IF(K1373="JA",N(J1373),IF(E1373="","",0))</f>
        <v/>
      </c>
      <c r="M1373" s="62">
        <f>IF(AND(A1373="",E1373=""),"",IF(E1373="","Segment ontbreekt",IF(OR(G1373="",H1373=""),"Van/tot ontbreekt",IF(N(J1373)=0,"Duur is nul",IF(N(J1373)&gt;12,"Langer dan 12 uur - controleren",IF(AND(E1373="Werken",D1373=""),"Werken zonder klant - koppelen","OK"))))))</f>
        <v/>
      </c>
    </row>
    <row r="1374" ht="15" customHeight="1" s="42">
      <c r="A1374" s="55" t="n"/>
      <c r="B1374" s="56">
        <f>IF(A1374="","",WEEKNUM(A1374,21))</f>
        <v/>
      </c>
      <c r="C1374" s="57" t="n"/>
      <c r="D1374" s="57" t="n"/>
      <c r="E1374" s="58" t="n"/>
      <c r="F1374" s="57" t="n"/>
      <c r="G1374" s="59" t="n"/>
      <c r="H1374" s="59" t="n"/>
      <c r="I1374" s="60">
        <f>IF(OR(G1374="",H1374=""),"",MOD(H1374-G1374,1))</f>
        <v/>
      </c>
      <c r="J1374" s="61">
        <f>IF(OR(G1374="",H1374=""),"",ROUND(MOD(H1374-G1374,1)*24,2))</f>
        <v/>
      </c>
      <c r="K1374" s="62">
        <f>IF(E1374="","",IF(E1374="Werken","JA","NEE"))</f>
        <v/>
      </c>
      <c r="L1374" s="61">
        <f>IF(K1374="JA",N(J1374),IF(E1374="","",0))</f>
        <v/>
      </c>
      <c r="M1374" s="62">
        <f>IF(AND(A1374="",E1374=""),"",IF(E1374="","Segment ontbreekt",IF(OR(G1374="",H1374=""),"Van/tot ontbreekt",IF(N(J1374)=0,"Duur is nul",IF(N(J1374)&gt;12,"Langer dan 12 uur - controleren",IF(AND(E1374="Werken",D1374=""),"Werken zonder klant - koppelen","OK"))))))</f>
        <v/>
      </c>
    </row>
    <row r="1375" ht="15" customHeight="1" s="42">
      <c r="A1375" s="55" t="n"/>
      <c r="B1375" s="56">
        <f>IF(A1375="","",WEEKNUM(A1375,21))</f>
        <v/>
      </c>
      <c r="C1375" s="57" t="n"/>
      <c r="D1375" s="57" t="n"/>
      <c r="E1375" s="58" t="n"/>
      <c r="F1375" s="57" t="n"/>
      <c r="G1375" s="59" t="n"/>
      <c r="H1375" s="59" t="n"/>
      <c r="I1375" s="60">
        <f>IF(OR(G1375="",H1375=""),"",MOD(H1375-G1375,1))</f>
        <v/>
      </c>
      <c r="J1375" s="61">
        <f>IF(OR(G1375="",H1375=""),"",ROUND(MOD(H1375-G1375,1)*24,2))</f>
        <v/>
      </c>
      <c r="K1375" s="62">
        <f>IF(E1375="","",IF(E1375="Werken","JA","NEE"))</f>
        <v/>
      </c>
      <c r="L1375" s="61">
        <f>IF(K1375="JA",N(J1375),IF(E1375="","",0))</f>
        <v/>
      </c>
      <c r="M1375" s="62">
        <f>IF(AND(A1375="",E1375=""),"",IF(E1375="","Segment ontbreekt",IF(OR(G1375="",H1375=""),"Van/tot ontbreekt",IF(N(J1375)=0,"Duur is nul",IF(N(J1375)&gt;12,"Langer dan 12 uur - controleren",IF(AND(E1375="Werken",D1375=""),"Werken zonder klant - koppelen","OK"))))))</f>
        <v/>
      </c>
    </row>
    <row r="1376" ht="15" customHeight="1" s="42">
      <c r="A1376" s="55" t="n"/>
      <c r="B1376" s="56">
        <f>IF(A1376="","",WEEKNUM(A1376,21))</f>
        <v/>
      </c>
      <c r="C1376" s="57" t="n"/>
      <c r="D1376" s="57" t="n"/>
      <c r="E1376" s="58" t="n"/>
      <c r="F1376" s="57" t="n"/>
      <c r="G1376" s="59" t="n"/>
      <c r="H1376" s="59" t="n"/>
      <c r="I1376" s="60">
        <f>IF(OR(G1376="",H1376=""),"",MOD(H1376-G1376,1))</f>
        <v/>
      </c>
      <c r="J1376" s="61">
        <f>IF(OR(G1376="",H1376=""),"",ROUND(MOD(H1376-G1376,1)*24,2))</f>
        <v/>
      </c>
      <c r="K1376" s="62">
        <f>IF(E1376="","",IF(E1376="Werken","JA","NEE"))</f>
        <v/>
      </c>
      <c r="L1376" s="61">
        <f>IF(K1376="JA",N(J1376),IF(E1376="","",0))</f>
        <v/>
      </c>
      <c r="M1376" s="62">
        <f>IF(AND(A1376="",E1376=""),"",IF(E1376="","Segment ontbreekt",IF(OR(G1376="",H1376=""),"Van/tot ontbreekt",IF(N(J1376)=0,"Duur is nul",IF(N(J1376)&gt;12,"Langer dan 12 uur - controleren",IF(AND(E1376="Werken",D1376=""),"Werken zonder klant - koppelen","OK"))))))</f>
        <v/>
      </c>
    </row>
    <row r="1377" ht="15" customHeight="1" s="42">
      <c r="A1377" s="55" t="n"/>
      <c r="B1377" s="56">
        <f>IF(A1377="","",WEEKNUM(A1377,21))</f>
        <v/>
      </c>
      <c r="C1377" s="57" t="n"/>
      <c r="D1377" s="57" t="n"/>
      <c r="E1377" s="58" t="n"/>
      <c r="F1377" s="57" t="n"/>
      <c r="G1377" s="59" t="n"/>
      <c r="H1377" s="59" t="n"/>
      <c r="I1377" s="60">
        <f>IF(OR(G1377="",H1377=""),"",MOD(H1377-G1377,1))</f>
        <v/>
      </c>
      <c r="J1377" s="61">
        <f>IF(OR(G1377="",H1377=""),"",ROUND(MOD(H1377-G1377,1)*24,2))</f>
        <v/>
      </c>
      <c r="K1377" s="62">
        <f>IF(E1377="","",IF(E1377="Werken","JA","NEE"))</f>
        <v/>
      </c>
      <c r="L1377" s="61">
        <f>IF(K1377="JA",N(J1377),IF(E1377="","",0))</f>
        <v/>
      </c>
      <c r="M1377" s="62">
        <f>IF(AND(A1377="",E1377=""),"",IF(E1377="","Segment ontbreekt",IF(OR(G1377="",H1377=""),"Van/tot ontbreekt",IF(N(J1377)=0,"Duur is nul",IF(N(J1377)&gt;12,"Langer dan 12 uur - controleren",IF(AND(E1377="Werken",D1377=""),"Werken zonder klant - koppelen","OK"))))))</f>
        <v/>
      </c>
    </row>
    <row r="1378" ht="15" customHeight="1" s="42">
      <c r="A1378" s="55" t="n"/>
      <c r="B1378" s="56">
        <f>IF(A1378="","",WEEKNUM(A1378,21))</f>
        <v/>
      </c>
      <c r="C1378" s="57" t="n"/>
      <c r="D1378" s="57" t="n"/>
      <c r="E1378" s="58" t="n"/>
      <c r="F1378" s="57" t="n"/>
      <c r="G1378" s="59" t="n"/>
      <c r="H1378" s="59" t="n"/>
      <c r="I1378" s="60">
        <f>IF(OR(G1378="",H1378=""),"",MOD(H1378-G1378,1))</f>
        <v/>
      </c>
      <c r="J1378" s="61">
        <f>IF(OR(G1378="",H1378=""),"",ROUND(MOD(H1378-G1378,1)*24,2))</f>
        <v/>
      </c>
      <c r="K1378" s="62">
        <f>IF(E1378="","",IF(E1378="Werken","JA","NEE"))</f>
        <v/>
      </c>
      <c r="L1378" s="61">
        <f>IF(K1378="JA",N(J1378),IF(E1378="","",0))</f>
        <v/>
      </c>
      <c r="M1378" s="62">
        <f>IF(AND(A1378="",E1378=""),"",IF(E1378="","Segment ontbreekt",IF(OR(G1378="",H1378=""),"Van/tot ontbreekt",IF(N(J1378)=0,"Duur is nul",IF(N(J1378)&gt;12,"Langer dan 12 uur - controleren",IF(AND(E1378="Werken",D1378=""),"Werken zonder klant - koppelen","OK"))))))</f>
        <v/>
      </c>
    </row>
    <row r="1379" ht="15" customHeight="1" s="42">
      <c r="A1379" s="55" t="n"/>
      <c r="B1379" s="56">
        <f>IF(A1379="","",WEEKNUM(A1379,21))</f>
        <v/>
      </c>
      <c r="C1379" s="57" t="n"/>
      <c r="D1379" s="57" t="n"/>
      <c r="E1379" s="58" t="n"/>
      <c r="F1379" s="57" t="n"/>
      <c r="G1379" s="59" t="n"/>
      <c r="H1379" s="59" t="n"/>
      <c r="I1379" s="60">
        <f>IF(OR(G1379="",H1379=""),"",MOD(H1379-G1379,1))</f>
        <v/>
      </c>
      <c r="J1379" s="61">
        <f>IF(OR(G1379="",H1379=""),"",ROUND(MOD(H1379-G1379,1)*24,2))</f>
        <v/>
      </c>
      <c r="K1379" s="62">
        <f>IF(E1379="","",IF(E1379="Werken","JA","NEE"))</f>
        <v/>
      </c>
      <c r="L1379" s="61">
        <f>IF(K1379="JA",N(J1379),IF(E1379="","",0))</f>
        <v/>
      </c>
      <c r="M1379" s="62">
        <f>IF(AND(A1379="",E1379=""),"",IF(E1379="","Segment ontbreekt",IF(OR(G1379="",H1379=""),"Van/tot ontbreekt",IF(N(J1379)=0,"Duur is nul",IF(N(J1379)&gt;12,"Langer dan 12 uur - controleren",IF(AND(E1379="Werken",D1379=""),"Werken zonder klant - koppelen","OK"))))))</f>
        <v/>
      </c>
    </row>
    <row r="1380" ht="15" customHeight="1" s="42">
      <c r="A1380" s="55" t="n"/>
      <c r="B1380" s="56">
        <f>IF(A1380="","",WEEKNUM(A1380,21))</f>
        <v/>
      </c>
      <c r="C1380" s="57" t="n"/>
      <c r="D1380" s="57" t="n"/>
      <c r="E1380" s="58" t="n"/>
      <c r="F1380" s="57" t="n"/>
      <c r="G1380" s="59" t="n"/>
      <c r="H1380" s="59" t="n"/>
      <c r="I1380" s="60">
        <f>IF(OR(G1380="",H1380=""),"",MOD(H1380-G1380,1))</f>
        <v/>
      </c>
      <c r="J1380" s="61">
        <f>IF(OR(G1380="",H1380=""),"",ROUND(MOD(H1380-G1380,1)*24,2))</f>
        <v/>
      </c>
      <c r="K1380" s="62">
        <f>IF(E1380="","",IF(E1380="Werken","JA","NEE"))</f>
        <v/>
      </c>
      <c r="L1380" s="61">
        <f>IF(K1380="JA",N(J1380),IF(E1380="","",0))</f>
        <v/>
      </c>
      <c r="M1380" s="62">
        <f>IF(AND(A1380="",E1380=""),"",IF(E1380="","Segment ontbreekt",IF(OR(G1380="",H1380=""),"Van/tot ontbreekt",IF(N(J1380)=0,"Duur is nul",IF(N(J1380)&gt;12,"Langer dan 12 uur - controleren",IF(AND(E1380="Werken",D1380=""),"Werken zonder klant - koppelen","OK"))))))</f>
        <v/>
      </c>
    </row>
    <row r="1381" ht="15" customHeight="1" s="42">
      <c r="A1381" s="55" t="n"/>
      <c r="B1381" s="56">
        <f>IF(A1381="","",WEEKNUM(A1381,21))</f>
        <v/>
      </c>
      <c r="C1381" s="57" t="n"/>
      <c r="D1381" s="57" t="n"/>
      <c r="E1381" s="58" t="n"/>
      <c r="F1381" s="57" t="n"/>
      <c r="G1381" s="59" t="n"/>
      <c r="H1381" s="59" t="n"/>
      <c r="I1381" s="60">
        <f>IF(OR(G1381="",H1381=""),"",MOD(H1381-G1381,1))</f>
        <v/>
      </c>
      <c r="J1381" s="61">
        <f>IF(OR(G1381="",H1381=""),"",ROUND(MOD(H1381-G1381,1)*24,2))</f>
        <v/>
      </c>
      <c r="K1381" s="62">
        <f>IF(E1381="","",IF(E1381="Werken","JA","NEE"))</f>
        <v/>
      </c>
      <c r="L1381" s="61">
        <f>IF(K1381="JA",N(J1381),IF(E1381="","",0))</f>
        <v/>
      </c>
      <c r="M1381" s="62">
        <f>IF(AND(A1381="",E1381=""),"",IF(E1381="","Segment ontbreekt",IF(OR(G1381="",H1381=""),"Van/tot ontbreekt",IF(N(J1381)=0,"Duur is nul",IF(N(J1381)&gt;12,"Langer dan 12 uur - controleren",IF(AND(E1381="Werken",D1381=""),"Werken zonder klant - koppelen","OK"))))))</f>
        <v/>
      </c>
    </row>
    <row r="1382" ht="15" customHeight="1" s="42">
      <c r="A1382" s="55" t="n"/>
      <c r="B1382" s="56">
        <f>IF(A1382="","",WEEKNUM(A1382,21))</f>
        <v/>
      </c>
      <c r="C1382" s="57" t="n"/>
      <c r="D1382" s="57" t="n"/>
      <c r="E1382" s="58" t="n"/>
      <c r="F1382" s="57" t="n"/>
      <c r="G1382" s="59" t="n"/>
      <c r="H1382" s="59" t="n"/>
      <c r="I1382" s="60">
        <f>IF(OR(G1382="",H1382=""),"",MOD(H1382-G1382,1))</f>
        <v/>
      </c>
      <c r="J1382" s="61">
        <f>IF(OR(G1382="",H1382=""),"",ROUND(MOD(H1382-G1382,1)*24,2))</f>
        <v/>
      </c>
      <c r="K1382" s="62">
        <f>IF(E1382="","",IF(E1382="Werken","JA","NEE"))</f>
        <v/>
      </c>
      <c r="L1382" s="61">
        <f>IF(K1382="JA",N(J1382),IF(E1382="","",0))</f>
        <v/>
      </c>
      <c r="M1382" s="62">
        <f>IF(AND(A1382="",E1382=""),"",IF(E1382="","Segment ontbreekt",IF(OR(G1382="",H1382=""),"Van/tot ontbreekt",IF(N(J1382)=0,"Duur is nul",IF(N(J1382)&gt;12,"Langer dan 12 uur - controleren",IF(AND(E1382="Werken",D1382=""),"Werken zonder klant - koppelen","OK"))))))</f>
        <v/>
      </c>
    </row>
    <row r="1383" ht="15" customHeight="1" s="42">
      <c r="A1383" s="55" t="n"/>
      <c r="B1383" s="56">
        <f>IF(A1383="","",WEEKNUM(A1383,21))</f>
        <v/>
      </c>
      <c r="C1383" s="57" t="n"/>
      <c r="D1383" s="57" t="n"/>
      <c r="E1383" s="58" t="n"/>
      <c r="F1383" s="57" t="n"/>
      <c r="G1383" s="59" t="n"/>
      <c r="H1383" s="59" t="n"/>
      <c r="I1383" s="60">
        <f>IF(OR(G1383="",H1383=""),"",MOD(H1383-G1383,1))</f>
        <v/>
      </c>
      <c r="J1383" s="61">
        <f>IF(OR(G1383="",H1383=""),"",ROUND(MOD(H1383-G1383,1)*24,2))</f>
        <v/>
      </c>
      <c r="K1383" s="62">
        <f>IF(E1383="","",IF(E1383="Werken","JA","NEE"))</f>
        <v/>
      </c>
      <c r="L1383" s="61">
        <f>IF(K1383="JA",N(J1383),IF(E1383="","",0))</f>
        <v/>
      </c>
      <c r="M1383" s="62">
        <f>IF(AND(A1383="",E1383=""),"",IF(E1383="","Segment ontbreekt",IF(OR(G1383="",H1383=""),"Van/tot ontbreekt",IF(N(J1383)=0,"Duur is nul",IF(N(J1383)&gt;12,"Langer dan 12 uur - controleren",IF(AND(E1383="Werken",D1383=""),"Werken zonder klant - koppelen","OK"))))))</f>
        <v/>
      </c>
    </row>
    <row r="1384" ht="15" customHeight="1" s="42">
      <c r="A1384" s="55" t="n"/>
      <c r="B1384" s="56">
        <f>IF(A1384="","",WEEKNUM(A1384,21))</f>
        <v/>
      </c>
      <c r="C1384" s="57" t="n"/>
      <c r="D1384" s="57" t="n"/>
      <c r="E1384" s="58" t="n"/>
      <c r="F1384" s="57" t="n"/>
      <c r="G1384" s="59" t="n"/>
      <c r="H1384" s="59" t="n"/>
      <c r="I1384" s="60">
        <f>IF(OR(G1384="",H1384=""),"",MOD(H1384-G1384,1))</f>
        <v/>
      </c>
      <c r="J1384" s="61">
        <f>IF(OR(G1384="",H1384=""),"",ROUND(MOD(H1384-G1384,1)*24,2))</f>
        <v/>
      </c>
      <c r="K1384" s="62">
        <f>IF(E1384="","",IF(E1384="Werken","JA","NEE"))</f>
        <v/>
      </c>
      <c r="L1384" s="61">
        <f>IF(K1384="JA",N(J1384),IF(E1384="","",0))</f>
        <v/>
      </c>
      <c r="M1384" s="62">
        <f>IF(AND(A1384="",E1384=""),"",IF(E1384="","Segment ontbreekt",IF(OR(G1384="",H1384=""),"Van/tot ontbreekt",IF(N(J1384)=0,"Duur is nul",IF(N(J1384)&gt;12,"Langer dan 12 uur - controleren",IF(AND(E1384="Werken",D1384=""),"Werken zonder klant - koppelen","OK"))))))</f>
        <v/>
      </c>
    </row>
    <row r="1385" ht="15" customHeight="1" s="42">
      <c r="A1385" s="55" t="n"/>
      <c r="B1385" s="56">
        <f>IF(A1385="","",WEEKNUM(A1385,21))</f>
        <v/>
      </c>
      <c r="C1385" s="57" t="n"/>
      <c r="D1385" s="57" t="n"/>
      <c r="E1385" s="58" t="n"/>
      <c r="F1385" s="57" t="n"/>
      <c r="G1385" s="59" t="n"/>
      <c r="H1385" s="59" t="n"/>
      <c r="I1385" s="60">
        <f>IF(OR(G1385="",H1385=""),"",MOD(H1385-G1385,1))</f>
        <v/>
      </c>
      <c r="J1385" s="61">
        <f>IF(OR(G1385="",H1385=""),"",ROUND(MOD(H1385-G1385,1)*24,2))</f>
        <v/>
      </c>
      <c r="K1385" s="62">
        <f>IF(E1385="","",IF(E1385="Werken","JA","NEE"))</f>
        <v/>
      </c>
      <c r="L1385" s="61">
        <f>IF(K1385="JA",N(J1385),IF(E1385="","",0))</f>
        <v/>
      </c>
      <c r="M1385" s="62">
        <f>IF(AND(A1385="",E1385=""),"",IF(E1385="","Segment ontbreekt",IF(OR(G1385="",H1385=""),"Van/tot ontbreekt",IF(N(J1385)=0,"Duur is nul",IF(N(J1385)&gt;12,"Langer dan 12 uur - controleren",IF(AND(E1385="Werken",D1385=""),"Werken zonder klant - koppelen","OK"))))))</f>
        <v/>
      </c>
    </row>
    <row r="1386" ht="15" customHeight="1" s="42">
      <c r="A1386" s="55" t="n"/>
      <c r="B1386" s="56">
        <f>IF(A1386="","",WEEKNUM(A1386,21))</f>
        <v/>
      </c>
      <c r="C1386" s="57" t="n"/>
      <c r="D1386" s="57" t="n"/>
      <c r="E1386" s="58" t="n"/>
      <c r="F1386" s="57" t="n"/>
      <c r="G1386" s="59" t="n"/>
      <c r="H1386" s="59" t="n"/>
      <c r="I1386" s="60">
        <f>IF(OR(G1386="",H1386=""),"",MOD(H1386-G1386,1))</f>
        <v/>
      </c>
      <c r="J1386" s="61">
        <f>IF(OR(G1386="",H1386=""),"",ROUND(MOD(H1386-G1386,1)*24,2))</f>
        <v/>
      </c>
      <c r="K1386" s="62">
        <f>IF(E1386="","",IF(E1386="Werken","JA","NEE"))</f>
        <v/>
      </c>
      <c r="L1386" s="61">
        <f>IF(K1386="JA",N(J1386),IF(E1386="","",0))</f>
        <v/>
      </c>
      <c r="M1386" s="62">
        <f>IF(AND(A1386="",E1386=""),"",IF(E1386="","Segment ontbreekt",IF(OR(G1386="",H1386=""),"Van/tot ontbreekt",IF(N(J1386)=0,"Duur is nul",IF(N(J1386)&gt;12,"Langer dan 12 uur - controleren",IF(AND(E1386="Werken",D1386=""),"Werken zonder klant - koppelen","OK"))))))</f>
        <v/>
      </c>
    </row>
    <row r="1387" ht="15" customHeight="1" s="42">
      <c r="A1387" s="55" t="n"/>
      <c r="B1387" s="56">
        <f>IF(A1387="","",WEEKNUM(A1387,21))</f>
        <v/>
      </c>
      <c r="C1387" s="57" t="n"/>
      <c r="D1387" s="57" t="n"/>
      <c r="E1387" s="58" t="n"/>
      <c r="F1387" s="57" t="n"/>
      <c r="G1387" s="59" t="n"/>
      <c r="H1387" s="59" t="n"/>
      <c r="I1387" s="60">
        <f>IF(OR(G1387="",H1387=""),"",MOD(H1387-G1387,1))</f>
        <v/>
      </c>
      <c r="J1387" s="61">
        <f>IF(OR(G1387="",H1387=""),"",ROUND(MOD(H1387-G1387,1)*24,2))</f>
        <v/>
      </c>
      <c r="K1387" s="62">
        <f>IF(E1387="","",IF(E1387="Werken","JA","NEE"))</f>
        <v/>
      </c>
      <c r="L1387" s="61">
        <f>IF(K1387="JA",N(J1387),IF(E1387="","",0))</f>
        <v/>
      </c>
      <c r="M1387" s="62">
        <f>IF(AND(A1387="",E1387=""),"",IF(E1387="","Segment ontbreekt",IF(OR(G1387="",H1387=""),"Van/tot ontbreekt",IF(N(J1387)=0,"Duur is nul",IF(N(J1387)&gt;12,"Langer dan 12 uur - controleren",IF(AND(E1387="Werken",D1387=""),"Werken zonder klant - koppelen","OK"))))))</f>
        <v/>
      </c>
    </row>
    <row r="1388" ht="15" customHeight="1" s="42">
      <c r="A1388" s="55" t="n"/>
      <c r="B1388" s="56">
        <f>IF(A1388="","",WEEKNUM(A1388,21))</f>
        <v/>
      </c>
      <c r="C1388" s="57" t="n"/>
      <c r="D1388" s="57" t="n"/>
      <c r="E1388" s="58" t="n"/>
      <c r="F1388" s="57" t="n"/>
      <c r="G1388" s="59" t="n"/>
      <c r="H1388" s="59" t="n"/>
      <c r="I1388" s="60">
        <f>IF(OR(G1388="",H1388=""),"",MOD(H1388-G1388,1))</f>
        <v/>
      </c>
      <c r="J1388" s="61">
        <f>IF(OR(G1388="",H1388=""),"",ROUND(MOD(H1388-G1388,1)*24,2))</f>
        <v/>
      </c>
      <c r="K1388" s="62">
        <f>IF(E1388="","",IF(E1388="Werken","JA","NEE"))</f>
        <v/>
      </c>
      <c r="L1388" s="61">
        <f>IF(K1388="JA",N(J1388),IF(E1388="","",0))</f>
        <v/>
      </c>
      <c r="M1388" s="62">
        <f>IF(AND(A1388="",E1388=""),"",IF(E1388="","Segment ontbreekt",IF(OR(G1388="",H1388=""),"Van/tot ontbreekt",IF(N(J1388)=0,"Duur is nul",IF(N(J1388)&gt;12,"Langer dan 12 uur - controleren",IF(AND(E1388="Werken",D1388=""),"Werken zonder klant - koppelen","OK"))))))</f>
        <v/>
      </c>
    </row>
    <row r="1389" ht="15" customHeight="1" s="42">
      <c r="A1389" s="55" t="n"/>
      <c r="B1389" s="56">
        <f>IF(A1389="","",WEEKNUM(A1389,21))</f>
        <v/>
      </c>
      <c r="C1389" s="57" t="n"/>
      <c r="D1389" s="57" t="n"/>
      <c r="E1389" s="58" t="n"/>
      <c r="F1389" s="57" t="n"/>
      <c r="G1389" s="59" t="n"/>
      <c r="H1389" s="59" t="n"/>
      <c r="I1389" s="60">
        <f>IF(OR(G1389="",H1389=""),"",MOD(H1389-G1389,1))</f>
        <v/>
      </c>
      <c r="J1389" s="61">
        <f>IF(OR(G1389="",H1389=""),"",ROUND(MOD(H1389-G1389,1)*24,2))</f>
        <v/>
      </c>
      <c r="K1389" s="62">
        <f>IF(E1389="","",IF(E1389="Werken","JA","NEE"))</f>
        <v/>
      </c>
      <c r="L1389" s="61">
        <f>IF(K1389="JA",N(J1389),IF(E1389="","",0))</f>
        <v/>
      </c>
      <c r="M1389" s="62">
        <f>IF(AND(A1389="",E1389=""),"",IF(E1389="","Segment ontbreekt",IF(OR(G1389="",H1389=""),"Van/tot ontbreekt",IF(N(J1389)=0,"Duur is nul",IF(N(J1389)&gt;12,"Langer dan 12 uur - controleren",IF(AND(E1389="Werken",D1389=""),"Werken zonder klant - koppelen","OK"))))))</f>
        <v/>
      </c>
    </row>
    <row r="1390" ht="15" customHeight="1" s="42">
      <c r="A1390" s="55" t="n"/>
      <c r="B1390" s="56">
        <f>IF(A1390="","",WEEKNUM(A1390,21))</f>
        <v/>
      </c>
      <c r="C1390" s="57" t="n"/>
      <c r="D1390" s="57" t="n"/>
      <c r="E1390" s="58" t="n"/>
      <c r="F1390" s="57" t="n"/>
      <c r="G1390" s="59" t="n"/>
      <c r="H1390" s="59" t="n"/>
      <c r="I1390" s="60">
        <f>IF(OR(G1390="",H1390=""),"",MOD(H1390-G1390,1))</f>
        <v/>
      </c>
      <c r="J1390" s="61">
        <f>IF(OR(G1390="",H1390=""),"",ROUND(MOD(H1390-G1390,1)*24,2))</f>
        <v/>
      </c>
      <c r="K1390" s="62">
        <f>IF(E1390="","",IF(E1390="Werken","JA","NEE"))</f>
        <v/>
      </c>
      <c r="L1390" s="61">
        <f>IF(K1390="JA",N(J1390),IF(E1390="","",0))</f>
        <v/>
      </c>
      <c r="M1390" s="62">
        <f>IF(AND(A1390="",E1390=""),"",IF(E1390="","Segment ontbreekt",IF(OR(G1390="",H1390=""),"Van/tot ontbreekt",IF(N(J1390)=0,"Duur is nul",IF(N(J1390)&gt;12,"Langer dan 12 uur - controleren",IF(AND(E1390="Werken",D1390=""),"Werken zonder klant - koppelen","OK"))))))</f>
        <v/>
      </c>
    </row>
    <row r="1391" ht="15" customHeight="1" s="42">
      <c r="A1391" s="55" t="n"/>
      <c r="B1391" s="56">
        <f>IF(A1391="","",WEEKNUM(A1391,21))</f>
        <v/>
      </c>
      <c r="C1391" s="57" t="n"/>
      <c r="D1391" s="57" t="n"/>
      <c r="E1391" s="58" t="n"/>
      <c r="F1391" s="57" t="n"/>
      <c r="G1391" s="59" t="n"/>
      <c r="H1391" s="59" t="n"/>
      <c r="I1391" s="60">
        <f>IF(OR(G1391="",H1391=""),"",MOD(H1391-G1391,1))</f>
        <v/>
      </c>
      <c r="J1391" s="61">
        <f>IF(OR(G1391="",H1391=""),"",ROUND(MOD(H1391-G1391,1)*24,2))</f>
        <v/>
      </c>
      <c r="K1391" s="62">
        <f>IF(E1391="","",IF(E1391="Werken","JA","NEE"))</f>
        <v/>
      </c>
      <c r="L1391" s="61">
        <f>IF(K1391="JA",N(J1391),IF(E1391="","",0))</f>
        <v/>
      </c>
      <c r="M1391" s="62">
        <f>IF(AND(A1391="",E1391=""),"",IF(E1391="","Segment ontbreekt",IF(OR(G1391="",H1391=""),"Van/tot ontbreekt",IF(N(J1391)=0,"Duur is nul",IF(N(J1391)&gt;12,"Langer dan 12 uur - controleren",IF(AND(E1391="Werken",D1391=""),"Werken zonder klant - koppelen","OK"))))))</f>
        <v/>
      </c>
    </row>
    <row r="1392" ht="15" customHeight="1" s="42">
      <c r="A1392" s="55" t="n"/>
      <c r="B1392" s="56">
        <f>IF(A1392="","",WEEKNUM(A1392,21))</f>
        <v/>
      </c>
      <c r="C1392" s="57" t="n"/>
      <c r="D1392" s="57" t="n"/>
      <c r="E1392" s="58" t="n"/>
      <c r="F1392" s="57" t="n"/>
      <c r="G1392" s="59" t="n"/>
      <c r="H1392" s="59" t="n"/>
      <c r="I1392" s="60">
        <f>IF(OR(G1392="",H1392=""),"",MOD(H1392-G1392,1))</f>
        <v/>
      </c>
      <c r="J1392" s="61">
        <f>IF(OR(G1392="",H1392=""),"",ROUND(MOD(H1392-G1392,1)*24,2))</f>
        <v/>
      </c>
      <c r="K1392" s="62">
        <f>IF(E1392="","",IF(E1392="Werken","JA","NEE"))</f>
        <v/>
      </c>
      <c r="L1392" s="61">
        <f>IF(K1392="JA",N(J1392),IF(E1392="","",0))</f>
        <v/>
      </c>
      <c r="M1392" s="62">
        <f>IF(AND(A1392="",E1392=""),"",IF(E1392="","Segment ontbreekt",IF(OR(G1392="",H1392=""),"Van/tot ontbreekt",IF(N(J1392)=0,"Duur is nul",IF(N(J1392)&gt;12,"Langer dan 12 uur - controleren",IF(AND(E1392="Werken",D1392=""),"Werken zonder klant - koppelen","OK"))))))</f>
        <v/>
      </c>
    </row>
    <row r="1393" ht="15" customHeight="1" s="42">
      <c r="A1393" s="55" t="n"/>
      <c r="B1393" s="56">
        <f>IF(A1393="","",WEEKNUM(A1393,21))</f>
        <v/>
      </c>
      <c r="C1393" s="57" t="n"/>
      <c r="D1393" s="57" t="n"/>
      <c r="E1393" s="58" t="n"/>
      <c r="F1393" s="57" t="n"/>
      <c r="G1393" s="59" t="n"/>
      <c r="H1393" s="59" t="n"/>
      <c r="I1393" s="60">
        <f>IF(OR(G1393="",H1393=""),"",MOD(H1393-G1393,1))</f>
        <v/>
      </c>
      <c r="J1393" s="61">
        <f>IF(OR(G1393="",H1393=""),"",ROUND(MOD(H1393-G1393,1)*24,2))</f>
        <v/>
      </c>
      <c r="K1393" s="62">
        <f>IF(E1393="","",IF(E1393="Werken","JA","NEE"))</f>
        <v/>
      </c>
      <c r="L1393" s="61">
        <f>IF(K1393="JA",N(J1393),IF(E1393="","",0))</f>
        <v/>
      </c>
      <c r="M1393" s="62">
        <f>IF(AND(A1393="",E1393=""),"",IF(E1393="","Segment ontbreekt",IF(OR(G1393="",H1393=""),"Van/tot ontbreekt",IF(N(J1393)=0,"Duur is nul",IF(N(J1393)&gt;12,"Langer dan 12 uur - controleren",IF(AND(E1393="Werken",D1393=""),"Werken zonder klant - koppelen","OK"))))))</f>
        <v/>
      </c>
    </row>
    <row r="1394" ht="15" customHeight="1" s="42">
      <c r="A1394" s="55" t="n"/>
      <c r="B1394" s="56">
        <f>IF(A1394="","",WEEKNUM(A1394,21))</f>
        <v/>
      </c>
      <c r="C1394" s="57" t="n"/>
      <c r="D1394" s="57" t="n"/>
      <c r="E1394" s="58" t="n"/>
      <c r="F1394" s="57" t="n"/>
      <c r="G1394" s="59" t="n"/>
      <c r="H1394" s="59" t="n"/>
      <c r="I1394" s="60">
        <f>IF(OR(G1394="",H1394=""),"",MOD(H1394-G1394,1))</f>
        <v/>
      </c>
      <c r="J1394" s="61">
        <f>IF(OR(G1394="",H1394=""),"",ROUND(MOD(H1394-G1394,1)*24,2))</f>
        <v/>
      </c>
      <c r="K1394" s="62">
        <f>IF(E1394="","",IF(E1394="Werken","JA","NEE"))</f>
        <v/>
      </c>
      <c r="L1394" s="61">
        <f>IF(K1394="JA",N(J1394),IF(E1394="","",0))</f>
        <v/>
      </c>
      <c r="M1394" s="62">
        <f>IF(AND(A1394="",E1394=""),"",IF(E1394="","Segment ontbreekt",IF(OR(G1394="",H1394=""),"Van/tot ontbreekt",IF(N(J1394)=0,"Duur is nul",IF(N(J1394)&gt;12,"Langer dan 12 uur - controleren",IF(AND(E1394="Werken",D1394=""),"Werken zonder klant - koppelen","OK"))))))</f>
        <v/>
      </c>
    </row>
    <row r="1395" ht="15" customHeight="1" s="42">
      <c r="A1395" s="55" t="n"/>
      <c r="B1395" s="56">
        <f>IF(A1395="","",WEEKNUM(A1395,21))</f>
        <v/>
      </c>
      <c r="C1395" s="57" t="n"/>
      <c r="D1395" s="57" t="n"/>
      <c r="E1395" s="58" t="n"/>
      <c r="F1395" s="57" t="n"/>
      <c r="G1395" s="59" t="n"/>
      <c r="H1395" s="59" t="n"/>
      <c r="I1395" s="60">
        <f>IF(OR(G1395="",H1395=""),"",MOD(H1395-G1395,1))</f>
        <v/>
      </c>
      <c r="J1395" s="61">
        <f>IF(OR(G1395="",H1395=""),"",ROUND(MOD(H1395-G1395,1)*24,2))</f>
        <v/>
      </c>
      <c r="K1395" s="62">
        <f>IF(E1395="","",IF(E1395="Werken","JA","NEE"))</f>
        <v/>
      </c>
      <c r="L1395" s="61">
        <f>IF(K1395="JA",N(J1395),IF(E1395="","",0))</f>
        <v/>
      </c>
      <c r="M1395" s="62">
        <f>IF(AND(A1395="",E1395=""),"",IF(E1395="","Segment ontbreekt",IF(OR(G1395="",H1395=""),"Van/tot ontbreekt",IF(N(J1395)=0,"Duur is nul",IF(N(J1395)&gt;12,"Langer dan 12 uur - controleren",IF(AND(E1395="Werken",D1395=""),"Werken zonder klant - koppelen","OK"))))))</f>
        <v/>
      </c>
    </row>
    <row r="1396" ht="15" customHeight="1" s="42">
      <c r="A1396" s="55" t="n"/>
      <c r="B1396" s="56">
        <f>IF(A1396="","",WEEKNUM(A1396,21))</f>
        <v/>
      </c>
      <c r="C1396" s="57" t="n"/>
      <c r="D1396" s="57" t="n"/>
      <c r="E1396" s="58" t="n"/>
      <c r="F1396" s="57" t="n"/>
      <c r="G1396" s="59" t="n"/>
      <c r="H1396" s="59" t="n"/>
      <c r="I1396" s="60">
        <f>IF(OR(G1396="",H1396=""),"",MOD(H1396-G1396,1))</f>
        <v/>
      </c>
      <c r="J1396" s="61">
        <f>IF(OR(G1396="",H1396=""),"",ROUND(MOD(H1396-G1396,1)*24,2))</f>
        <v/>
      </c>
      <c r="K1396" s="62">
        <f>IF(E1396="","",IF(E1396="Werken","JA","NEE"))</f>
        <v/>
      </c>
      <c r="L1396" s="61">
        <f>IF(K1396="JA",N(J1396),IF(E1396="","",0))</f>
        <v/>
      </c>
      <c r="M1396" s="62">
        <f>IF(AND(A1396="",E1396=""),"",IF(E1396="","Segment ontbreekt",IF(OR(G1396="",H1396=""),"Van/tot ontbreekt",IF(N(J1396)=0,"Duur is nul",IF(N(J1396)&gt;12,"Langer dan 12 uur - controleren",IF(AND(E1396="Werken",D1396=""),"Werken zonder klant - koppelen","OK"))))))</f>
        <v/>
      </c>
    </row>
    <row r="1397" ht="15" customHeight="1" s="42">
      <c r="A1397" s="55" t="n"/>
      <c r="B1397" s="56">
        <f>IF(A1397="","",WEEKNUM(A1397,21))</f>
        <v/>
      </c>
      <c r="C1397" s="57" t="n"/>
      <c r="D1397" s="57" t="n"/>
      <c r="E1397" s="58" t="n"/>
      <c r="F1397" s="57" t="n"/>
      <c r="G1397" s="59" t="n"/>
      <c r="H1397" s="59" t="n"/>
      <c r="I1397" s="60">
        <f>IF(OR(G1397="",H1397=""),"",MOD(H1397-G1397,1))</f>
        <v/>
      </c>
      <c r="J1397" s="61">
        <f>IF(OR(G1397="",H1397=""),"",ROUND(MOD(H1397-G1397,1)*24,2))</f>
        <v/>
      </c>
      <c r="K1397" s="62">
        <f>IF(E1397="","",IF(E1397="Werken","JA","NEE"))</f>
        <v/>
      </c>
      <c r="L1397" s="61">
        <f>IF(K1397="JA",N(J1397),IF(E1397="","",0))</f>
        <v/>
      </c>
      <c r="M1397" s="62">
        <f>IF(AND(A1397="",E1397=""),"",IF(E1397="","Segment ontbreekt",IF(OR(G1397="",H1397=""),"Van/tot ontbreekt",IF(N(J1397)=0,"Duur is nul",IF(N(J1397)&gt;12,"Langer dan 12 uur - controleren",IF(AND(E1397="Werken",D1397=""),"Werken zonder klant - koppelen","OK"))))))</f>
        <v/>
      </c>
    </row>
    <row r="1398" ht="15" customHeight="1" s="42">
      <c r="A1398" s="55" t="n"/>
      <c r="B1398" s="56">
        <f>IF(A1398="","",WEEKNUM(A1398,21))</f>
        <v/>
      </c>
      <c r="C1398" s="57" t="n"/>
      <c r="D1398" s="57" t="n"/>
      <c r="E1398" s="58" t="n"/>
      <c r="F1398" s="57" t="n"/>
      <c r="G1398" s="59" t="n"/>
      <c r="H1398" s="59" t="n"/>
      <c r="I1398" s="60">
        <f>IF(OR(G1398="",H1398=""),"",MOD(H1398-G1398,1))</f>
        <v/>
      </c>
      <c r="J1398" s="61">
        <f>IF(OR(G1398="",H1398=""),"",ROUND(MOD(H1398-G1398,1)*24,2))</f>
        <v/>
      </c>
      <c r="K1398" s="62">
        <f>IF(E1398="","",IF(E1398="Werken","JA","NEE"))</f>
        <v/>
      </c>
      <c r="L1398" s="61">
        <f>IF(K1398="JA",N(J1398),IF(E1398="","",0))</f>
        <v/>
      </c>
      <c r="M1398" s="62">
        <f>IF(AND(A1398="",E1398=""),"",IF(E1398="","Segment ontbreekt",IF(OR(G1398="",H1398=""),"Van/tot ontbreekt",IF(N(J1398)=0,"Duur is nul",IF(N(J1398)&gt;12,"Langer dan 12 uur - controleren",IF(AND(E1398="Werken",D1398=""),"Werken zonder klant - koppelen","OK"))))))</f>
        <v/>
      </c>
    </row>
    <row r="1399" ht="15" customHeight="1" s="42">
      <c r="A1399" s="55" t="n"/>
      <c r="B1399" s="56">
        <f>IF(A1399="","",WEEKNUM(A1399,21))</f>
        <v/>
      </c>
      <c r="C1399" s="57" t="n"/>
      <c r="D1399" s="57" t="n"/>
      <c r="E1399" s="58" t="n"/>
      <c r="F1399" s="57" t="n"/>
      <c r="G1399" s="59" t="n"/>
      <c r="H1399" s="59" t="n"/>
      <c r="I1399" s="60">
        <f>IF(OR(G1399="",H1399=""),"",MOD(H1399-G1399,1))</f>
        <v/>
      </c>
      <c r="J1399" s="61">
        <f>IF(OR(G1399="",H1399=""),"",ROUND(MOD(H1399-G1399,1)*24,2))</f>
        <v/>
      </c>
      <c r="K1399" s="62">
        <f>IF(E1399="","",IF(E1399="Werken","JA","NEE"))</f>
        <v/>
      </c>
      <c r="L1399" s="61">
        <f>IF(K1399="JA",N(J1399),IF(E1399="","",0))</f>
        <v/>
      </c>
      <c r="M1399" s="62">
        <f>IF(AND(A1399="",E1399=""),"",IF(E1399="","Segment ontbreekt",IF(OR(G1399="",H1399=""),"Van/tot ontbreekt",IF(N(J1399)=0,"Duur is nul",IF(N(J1399)&gt;12,"Langer dan 12 uur - controleren",IF(AND(E1399="Werken",D1399=""),"Werken zonder klant - koppelen","OK"))))))</f>
        <v/>
      </c>
    </row>
    <row r="1400" ht="15" customHeight="1" s="42">
      <c r="A1400" s="55" t="n"/>
      <c r="B1400" s="56">
        <f>IF(A1400="","",WEEKNUM(A1400,21))</f>
        <v/>
      </c>
      <c r="C1400" s="57" t="n"/>
      <c r="D1400" s="57" t="n"/>
      <c r="E1400" s="58" t="n"/>
      <c r="F1400" s="57" t="n"/>
      <c r="G1400" s="59" t="n"/>
      <c r="H1400" s="59" t="n"/>
      <c r="I1400" s="60">
        <f>IF(OR(G1400="",H1400=""),"",MOD(H1400-G1400,1))</f>
        <v/>
      </c>
      <c r="J1400" s="61">
        <f>IF(OR(G1400="",H1400=""),"",ROUND(MOD(H1400-G1400,1)*24,2))</f>
        <v/>
      </c>
      <c r="K1400" s="62">
        <f>IF(E1400="","",IF(E1400="Werken","JA","NEE"))</f>
        <v/>
      </c>
      <c r="L1400" s="61">
        <f>IF(K1400="JA",N(J1400),IF(E1400="","",0))</f>
        <v/>
      </c>
      <c r="M1400" s="62">
        <f>IF(AND(A1400="",E1400=""),"",IF(E1400="","Segment ontbreekt",IF(OR(G1400="",H1400=""),"Van/tot ontbreekt",IF(N(J1400)=0,"Duur is nul",IF(N(J1400)&gt;12,"Langer dan 12 uur - controleren",IF(AND(E1400="Werken",D1400=""),"Werken zonder klant - koppelen","OK"))))))</f>
        <v/>
      </c>
    </row>
    <row r="1401" ht="15" customHeight="1" s="42">
      <c r="A1401" s="55" t="n"/>
      <c r="B1401" s="56">
        <f>IF(A1401="","",WEEKNUM(A1401,21))</f>
        <v/>
      </c>
      <c r="C1401" s="57" t="n"/>
      <c r="D1401" s="57" t="n"/>
      <c r="E1401" s="58" t="n"/>
      <c r="F1401" s="57" t="n"/>
      <c r="G1401" s="59" t="n"/>
      <c r="H1401" s="59" t="n"/>
      <c r="I1401" s="60">
        <f>IF(OR(G1401="",H1401=""),"",MOD(H1401-G1401,1))</f>
        <v/>
      </c>
      <c r="J1401" s="61">
        <f>IF(OR(G1401="",H1401=""),"",ROUND(MOD(H1401-G1401,1)*24,2))</f>
        <v/>
      </c>
      <c r="K1401" s="62">
        <f>IF(E1401="","",IF(E1401="Werken","JA","NEE"))</f>
        <v/>
      </c>
      <c r="L1401" s="61">
        <f>IF(K1401="JA",N(J1401),IF(E1401="","",0))</f>
        <v/>
      </c>
      <c r="M1401" s="62">
        <f>IF(AND(A1401="",E1401=""),"",IF(E1401="","Segment ontbreekt",IF(OR(G1401="",H1401=""),"Van/tot ontbreekt",IF(N(J1401)=0,"Duur is nul",IF(N(J1401)&gt;12,"Langer dan 12 uur - controleren",IF(AND(E1401="Werken",D1401=""),"Werken zonder klant - koppelen","OK"))))))</f>
        <v/>
      </c>
    </row>
    <row r="1402" ht="15" customHeight="1" s="42">
      <c r="A1402" s="55" t="n"/>
      <c r="B1402" s="56">
        <f>IF(A1402="","",WEEKNUM(A1402,21))</f>
        <v/>
      </c>
      <c r="C1402" s="57" t="n"/>
      <c r="D1402" s="57" t="n"/>
      <c r="E1402" s="58" t="n"/>
      <c r="F1402" s="57" t="n"/>
      <c r="G1402" s="59" t="n"/>
      <c r="H1402" s="59" t="n"/>
      <c r="I1402" s="60">
        <f>IF(OR(G1402="",H1402=""),"",MOD(H1402-G1402,1))</f>
        <v/>
      </c>
      <c r="J1402" s="61">
        <f>IF(OR(G1402="",H1402=""),"",ROUND(MOD(H1402-G1402,1)*24,2))</f>
        <v/>
      </c>
      <c r="K1402" s="62">
        <f>IF(E1402="","",IF(E1402="Werken","JA","NEE"))</f>
        <v/>
      </c>
      <c r="L1402" s="61">
        <f>IF(K1402="JA",N(J1402),IF(E1402="","",0))</f>
        <v/>
      </c>
      <c r="M1402" s="62">
        <f>IF(AND(A1402="",E1402=""),"",IF(E1402="","Segment ontbreekt",IF(OR(G1402="",H1402=""),"Van/tot ontbreekt",IF(N(J1402)=0,"Duur is nul",IF(N(J1402)&gt;12,"Langer dan 12 uur - controleren",IF(AND(E1402="Werken",D1402=""),"Werken zonder klant - koppelen","OK"))))))</f>
        <v/>
      </c>
    </row>
    <row r="1403" ht="15" customHeight="1" s="42">
      <c r="A1403" s="55" t="n"/>
      <c r="B1403" s="56">
        <f>IF(A1403="","",WEEKNUM(A1403,21))</f>
        <v/>
      </c>
      <c r="C1403" s="57" t="n"/>
      <c r="D1403" s="57" t="n"/>
      <c r="E1403" s="58" t="n"/>
      <c r="F1403" s="57" t="n"/>
      <c r="G1403" s="59" t="n"/>
      <c r="H1403" s="59" t="n"/>
      <c r="I1403" s="60">
        <f>IF(OR(G1403="",H1403=""),"",MOD(H1403-G1403,1))</f>
        <v/>
      </c>
      <c r="J1403" s="61">
        <f>IF(OR(G1403="",H1403=""),"",ROUND(MOD(H1403-G1403,1)*24,2))</f>
        <v/>
      </c>
      <c r="K1403" s="62">
        <f>IF(E1403="","",IF(E1403="Werken","JA","NEE"))</f>
        <v/>
      </c>
      <c r="L1403" s="61">
        <f>IF(K1403="JA",N(J1403),IF(E1403="","",0))</f>
        <v/>
      </c>
      <c r="M1403" s="62">
        <f>IF(AND(A1403="",E1403=""),"",IF(E1403="","Segment ontbreekt",IF(OR(G1403="",H1403=""),"Van/tot ontbreekt",IF(N(J1403)=0,"Duur is nul",IF(N(J1403)&gt;12,"Langer dan 12 uur - controleren",IF(AND(E1403="Werken",D1403=""),"Werken zonder klant - koppelen","OK"))))))</f>
        <v/>
      </c>
    </row>
    <row r="1404" ht="15" customHeight="1" s="42">
      <c r="A1404" s="55" t="n"/>
      <c r="B1404" s="56">
        <f>IF(A1404="","",WEEKNUM(A1404,21))</f>
        <v/>
      </c>
      <c r="C1404" s="57" t="n"/>
      <c r="D1404" s="57" t="n"/>
      <c r="E1404" s="58" t="n"/>
      <c r="F1404" s="57" t="n"/>
      <c r="G1404" s="59" t="n"/>
      <c r="H1404" s="59" t="n"/>
      <c r="I1404" s="60">
        <f>IF(OR(G1404="",H1404=""),"",MOD(H1404-G1404,1))</f>
        <v/>
      </c>
      <c r="J1404" s="61">
        <f>IF(OR(G1404="",H1404=""),"",ROUND(MOD(H1404-G1404,1)*24,2))</f>
        <v/>
      </c>
      <c r="K1404" s="62">
        <f>IF(E1404="","",IF(E1404="Werken","JA","NEE"))</f>
        <v/>
      </c>
      <c r="L1404" s="61">
        <f>IF(K1404="JA",N(J1404),IF(E1404="","",0))</f>
        <v/>
      </c>
      <c r="M1404" s="62">
        <f>IF(AND(A1404="",E1404=""),"",IF(E1404="","Segment ontbreekt",IF(OR(G1404="",H1404=""),"Van/tot ontbreekt",IF(N(J1404)=0,"Duur is nul",IF(N(J1404)&gt;12,"Langer dan 12 uur - controleren",IF(AND(E1404="Werken",D1404=""),"Werken zonder klant - koppelen","OK"))))))</f>
        <v/>
      </c>
    </row>
    <row r="1405" ht="15" customHeight="1" s="42">
      <c r="A1405" s="55" t="n"/>
      <c r="B1405" s="56">
        <f>IF(A1405="","",WEEKNUM(A1405,21))</f>
        <v/>
      </c>
      <c r="C1405" s="57" t="n"/>
      <c r="D1405" s="57" t="n"/>
      <c r="E1405" s="58" t="n"/>
      <c r="F1405" s="57" t="n"/>
      <c r="G1405" s="59" t="n"/>
      <c r="H1405" s="59" t="n"/>
      <c r="I1405" s="60">
        <f>IF(OR(G1405="",H1405=""),"",MOD(H1405-G1405,1))</f>
        <v/>
      </c>
      <c r="J1405" s="61">
        <f>IF(OR(G1405="",H1405=""),"",ROUND(MOD(H1405-G1405,1)*24,2))</f>
        <v/>
      </c>
      <c r="K1405" s="62">
        <f>IF(E1405="","",IF(E1405="Werken","JA","NEE"))</f>
        <v/>
      </c>
      <c r="L1405" s="61">
        <f>IF(K1405="JA",N(J1405),IF(E1405="","",0))</f>
        <v/>
      </c>
      <c r="M1405" s="62">
        <f>IF(AND(A1405="",E1405=""),"",IF(E1405="","Segment ontbreekt",IF(OR(G1405="",H1405=""),"Van/tot ontbreekt",IF(N(J1405)=0,"Duur is nul",IF(N(J1405)&gt;12,"Langer dan 12 uur - controleren",IF(AND(E1405="Werken",D1405=""),"Werken zonder klant - koppelen","OK"))))))</f>
        <v/>
      </c>
    </row>
    <row r="1406" ht="15" customHeight="1" s="42">
      <c r="A1406" s="55" t="n"/>
      <c r="B1406" s="56">
        <f>IF(A1406="","",WEEKNUM(A1406,21))</f>
        <v/>
      </c>
      <c r="C1406" s="57" t="n"/>
      <c r="D1406" s="57" t="n"/>
      <c r="E1406" s="58" t="n"/>
      <c r="F1406" s="57" t="n"/>
      <c r="G1406" s="59" t="n"/>
      <c r="H1406" s="59" t="n"/>
      <c r="I1406" s="60">
        <f>IF(OR(G1406="",H1406=""),"",MOD(H1406-G1406,1))</f>
        <v/>
      </c>
      <c r="J1406" s="61">
        <f>IF(OR(G1406="",H1406=""),"",ROUND(MOD(H1406-G1406,1)*24,2))</f>
        <v/>
      </c>
      <c r="K1406" s="62">
        <f>IF(E1406="","",IF(E1406="Werken","JA","NEE"))</f>
        <v/>
      </c>
      <c r="L1406" s="61">
        <f>IF(K1406="JA",N(J1406),IF(E1406="","",0))</f>
        <v/>
      </c>
      <c r="M1406" s="62">
        <f>IF(AND(A1406="",E1406=""),"",IF(E1406="","Segment ontbreekt",IF(OR(G1406="",H1406=""),"Van/tot ontbreekt",IF(N(J1406)=0,"Duur is nul",IF(N(J1406)&gt;12,"Langer dan 12 uur - controleren",IF(AND(E1406="Werken",D1406=""),"Werken zonder klant - koppelen","OK"))))))</f>
        <v/>
      </c>
    </row>
    <row r="1407" ht="15" customHeight="1" s="42">
      <c r="A1407" s="55" t="n"/>
      <c r="B1407" s="56">
        <f>IF(A1407="","",WEEKNUM(A1407,21))</f>
        <v/>
      </c>
      <c r="C1407" s="57" t="n"/>
      <c r="D1407" s="57" t="n"/>
      <c r="E1407" s="58" t="n"/>
      <c r="F1407" s="57" t="n"/>
      <c r="G1407" s="59" t="n"/>
      <c r="H1407" s="59" t="n"/>
      <c r="I1407" s="60">
        <f>IF(OR(G1407="",H1407=""),"",MOD(H1407-G1407,1))</f>
        <v/>
      </c>
      <c r="J1407" s="61">
        <f>IF(OR(G1407="",H1407=""),"",ROUND(MOD(H1407-G1407,1)*24,2))</f>
        <v/>
      </c>
      <c r="K1407" s="62">
        <f>IF(E1407="","",IF(E1407="Werken","JA","NEE"))</f>
        <v/>
      </c>
      <c r="L1407" s="61">
        <f>IF(K1407="JA",N(J1407),IF(E1407="","",0))</f>
        <v/>
      </c>
      <c r="M1407" s="62">
        <f>IF(AND(A1407="",E1407=""),"",IF(E1407="","Segment ontbreekt",IF(OR(G1407="",H1407=""),"Van/tot ontbreekt",IF(N(J1407)=0,"Duur is nul",IF(N(J1407)&gt;12,"Langer dan 12 uur - controleren",IF(AND(E1407="Werken",D1407=""),"Werken zonder klant - koppelen","OK"))))))</f>
        <v/>
      </c>
    </row>
    <row r="1408" ht="15" customHeight="1" s="42">
      <c r="A1408" s="55" t="n"/>
      <c r="B1408" s="56">
        <f>IF(A1408="","",WEEKNUM(A1408,21))</f>
        <v/>
      </c>
      <c r="C1408" s="57" t="n"/>
      <c r="D1408" s="57" t="n"/>
      <c r="E1408" s="58" t="n"/>
      <c r="F1408" s="57" t="n"/>
      <c r="G1408" s="59" t="n"/>
      <c r="H1408" s="59" t="n"/>
      <c r="I1408" s="60">
        <f>IF(OR(G1408="",H1408=""),"",MOD(H1408-G1408,1))</f>
        <v/>
      </c>
      <c r="J1408" s="61">
        <f>IF(OR(G1408="",H1408=""),"",ROUND(MOD(H1408-G1408,1)*24,2))</f>
        <v/>
      </c>
      <c r="K1408" s="62">
        <f>IF(E1408="","",IF(E1408="Werken","JA","NEE"))</f>
        <v/>
      </c>
      <c r="L1408" s="61">
        <f>IF(K1408="JA",N(J1408),IF(E1408="","",0))</f>
        <v/>
      </c>
      <c r="M1408" s="62">
        <f>IF(AND(A1408="",E1408=""),"",IF(E1408="","Segment ontbreekt",IF(OR(G1408="",H1408=""),"Van/tot ontbreekt",IF(N(J1408)=0,"Duur is nul",IF(N(J1408)&gt;12,"Langer dan 12 uur - controleren",IF(AND(E1408="Werken",D1408=""),"Werken zonder klant - koppelen","OK"))))))</f>
        <v/>
      </c>
    </row>
    <row r="1409" ht="15" customHeight="1" s="42">
      <c r="A1409" s="55" t="n"/>
      <c r="B1409" s="56">
        <f>IF(A1409="","",WEEKNUM(A1409,21))</f>
        <v/>
      </c>
      <c r="C1409" s="57" t="n"/>
      <c r="D1409" s="57" t="n"/>
      <c r="E1409" s="58" t="n"/>
      <c r="F1409" s="57" t="n"/>
      <c r="G1409" s="59" t="n"/>
      <c r="H1409" s="59" t="n"/>
      <c r="I1409" s="60">
        <f>IF(OR(G1409="",H1409=""),"",MOD(H1409-G1409,1))</f>
        <v/>
      </c>
      <c r="J1409" s="61">
        <f>IF(OR(G1409="",H1409=""),"",ROUND(MOD(H1409-G1409,1)*24,2))</f>
        <v/>
      </c>
      <c r="K1409" s="62">
        <f>IF(E1409="","",IF(E1409="Werken","JA","NEE"))</f>
        <v/>
      </c>
      <c r="L1409" s="61">
        <f>IF(K1409="JA",N(J1409),IF(E1409="","",0))</f>
        <v/>
      </c>
      <c r="M1409" s="62">
        <f>IF(AND(A1409="",E1409=""),"",IF(E1409="","Segment ontbreekt",IF(OR(G1409="",H1409=""),"Van/tot ontbreekt",IF(N(J1409)=0,"Duur is nul",IF(N(J1409)&gt;12,"Langer dan 12 uur - controleren",IF(AND(E1409="Werken",D1409=""),"Werken zonder klant - koppelen","OK"))))))</f>
        <v/>
      </c>
    </row>
    <row r="1410" ht="15" customHeight="1" s="42">
      <c r="A1410" s="55" t="n"/>
      <c r="B1410" s="56">
        <f>IF(A1410="","",WEEKNUM(A1410,21))</f>
        <v/>
      </c>
      <c r="C1410" s="57" t="n"/>
      <c r="D1410" s="57" t="n"/>
      <c r="E1410" s="58" t="n"/>
      <c r="F1410" s="57" t="n"/>
      <c r="G1410" s="59" t="n"/>
      <c r="H1410" s="59" t="n"/>
      <c r="I1410" s="60">
        <f>IF(OR(G1410="",H1410=""),"",MOD(H1410-G1410,1))</f>
        <v/>
      </c>
      <c r="J1410" s="61">
        <f>IF(OR(G1410="",H1410=""),"",ROUND(MOD(H1410-G1410,1)*24,2))</f>
        <v/>
      </c>
      <c r="K1410" s="62">
        <f>IF(E1410="","",IF(E1410="Werken","JA","NEE"))</f>
        <v/>
      </c>
      <c r="L1410" s="61">
        <f>IF(K1410="JA",N(J1410),IF(E1410="","",0))</f>
        <v/>
      </c>
      <c r="M1410" s="62">
        <f>IF(AND(A1410="",E1410=""),"",IF(E1410="","Segment ontbreekt",IF(OR(G1410="",H1410=""),"Van/tot ontbreekt",IF(N(J1410)=0,"Duur is nul",IF(N(J1410)&gt;12,"Langer dan 12 uur - controleren",IF(AND(E1410="Werken",D1410=""),"Werken zonder klant - koppelen","OK"))))))</f>
        <v/>
      </c>
    </row>
    <row r="1411" ht="15" customHeight="1" s="42">
      <c r="A1411" s="55" t="n"/>
      <c r="B1411" s="56">
        <f>IF(A1411="","",WEEKNUM(A1411,21))</f>
        <v/>
      </c>
      <c r="C1411" s="57" t="n"/>
      <c r="D1411" s="57" t="n"/>
      <c r="E1411" s="58" t="n"/>
      <c r="F1411" s="57" t="n"/>
      <c r="G1411" s="59" t="n"/>
      <c r="H1411" s="59" t="n"/>
      <c r="I1411" s="60">
        <f>IF(OR(G1411="",H1411=""),"",MOD(H1411-G1411,1))</f>
        <v/>
      </c>
      <c r="J1411" s="61">
        <f>IF(OR(G1411="",H1411=""),"",ROUND(MOD(H1411-G1411,1)*24,2))</f>
        <v/>
      </c>
      <c r="K1411" s="62">
        <f>IF(E1411="","",IF(E1411="Werken","JA","NEE"))</f>
        <v/>
      </c>
      <c r="L1411" s="61">
        <f>IF(K1411="JA",N(J1411),IF(E1411="","",0))</f>
        <v/>
      </c>
      <c r="M1411" s="62">
        <f>IF(AND(A1411="",E1411=""),"",IF(E1411="","Segment ontbreekt",IF(OR(G1411="",H1411=""),"Van/tot ontbreekt",IF(N(J1411)=0,"Duur is nul",IF(N(J1411)&gt;12,"Langer dan 12 uur - controleren",IF(AND(E1411="Werken",D1411=""),"Werken zonder klant - koppelen","OK"))))))</f>
        <v/>
      </c>
    </row>
    <row r="1412" ht="15" customHeight="1" s="42">
      <c r="A1412" s="55" t="n"/>
      <c r="B1412" s="56">
        <f>IF(A1412="","",WEEKNUM(A1412,21))</f>
        <v/>
      </c>
      <c r="C1412" s="57" t="n"/>
      <c r="D1412" s="57" t="n"/>
      <c r="E1412" s="58" t="n"/>
      <c r="F1412" s="57" t="n"/>
      <c r="G1412" s="59" t="n"/>
      <c r="H1412" s="59" t="n"/>
      <c r="I1412" s="60">
        <f>IF(OR(G1412="",H1412=""),"",MOD(H1412-G1412,1))</f>
        <v/>
      </c>
      <c r="J1412" s="61">
        <f>IF(OR(G1412="",H1412=""),"",ROUND(MOD(H1412-G1412,1)*24,2))</f>
        <v/>
      </c>
      <c r="K1412" s="62">
        <f>IF(E1412="","",IF(E1412="Werken","JA","NEE"))</f>
        <v/>
      </c>
      <c r="L1412" s="61">
        <f>IF(K1412="JA",N(J1412),IF(E1412="","",0))</f>
        <v/>
      </c>
      <c r="M1412" s="62">
        <f>IF(AND(A1412="",E1412=""),"",IF(E1412="","Segment ontbreekt",IF(OR(G1412="",H1412=""),"Van/tot ontbreekt",IF(N(J1412)=0,"Duur is nul",IF(N(J1412)&gt;12,"Langer dan 12 uur - controleren",IF(AND(E1412="Werken",D1412=""),"Werken zonder klant - koppelen","OK"))))))</f>
        <v/>
      </c>
    </row>
    <row r="1413" ht="15" customHeight="1" s="42">
      <c r="A1413" s="55" t="n"/>
      <c r="B1413" s="56">
        <f>IF(A1413="","",WEEKNUM(A1413,21))</f>
        <v/>
      </c>
      <c r="C1413" s="57" t="n"/>
      <c r="D1413" s="57" t="n"/>
      <c r="E1413" s="58" t="n"/>
      <c r="F1413" s="57" t="n"/>
      <c r="G1413" s="59" t="n"/>
      <c r="H1413" s="59" t="n"/>
      <c r="I1413" s="60">
        <f>IF(OR(G1413="",H1413=""),"",MOD(H1413-G1413,1))</f>
        <v/>
      </c>
      <c r="J1413" s="61">
        <f>IF(OR(G1413="",H1413=""),"",ROUND(MOD(H1413-G1413,1)*24,2))</f>
        <v/>
      </c>
      <c r="K1413" s="62">
        <f>IF(E1413="","",IF(E1413="Werken","JA","NEE"))</f>
        <v/>
      </c>
      <c r="L1413" s="61">
        <f>IF(K1413="JA",N(J1413),IF(E1413="","",0))</f>
        <v/>
      </c>
      <c r="M1413" s="62">
        <f>IF(AND(A1413="",E1413=""),"",IF(E1413="","Segment ontbreekt",IF(OR(G1413="",H1413=""),"Van/tot ontbreekt",IF(N(J1413)=0,"Duur is nul",IF(N(J1413)&gt;12,"Langer dan 12 uur - controleren",IF(AND(E1413="Werken",D1413=""),"Werken zonder klant - koppelen","OK"))))))</f>
        <v/>
      </c>
    </row>
    <row r="1414" ht="15" customHeight="1" s="42">
      <c r="A1414" s="55" t="n"/>
      <c r="B1414" s="56">
        <f>IF(A1414="","",WEEKNUM(A1414,21))</f>
        <v/>
      </c>
      <c r="C1414" s="57" t="n"/>
      <c r="D1414" s="57" t="n"/>
      <c r="E1414" s="58" t="n"/>
      <c r="F1414" s="57" t="n"/>
      <c r="G1414" s="59" t="n"/>
      <c r="H1414" s="59" t="n"/>
      <c r="I1414" s="60">
        <f>IF(OR(G1414="",H1414=""),"",MOD(H1414-G1414,1))</f>
        <v/>
      </c>
      <c r="J1414" s="61">
        <f>IF(OR(G1414="",H1414=""),"",ROUND(MOD(H1414-G1414,1)*24,2))</f>
        <v/>
      </c>
      <c r="K1414" s="62">
        <f>IF(E1414="","",IF(E1414="Werken","JA","NEE"))</f>
        <v/>
      </c>
      <c r="L1414" s="61">
        <f>IF(K1414="JA",N(J1414),IF(E1414="","",0))</f>
        <v/>
      </c>
      <c r="M1414" s="62">
        <f>IF(AND(A1414="",E1414=""),"",IF(E1414="","Segment ontbreekt",IF(OR(G1414="",H1414=""),"Van/tot ontbreekt",IF(N(J1414)=0,"Duur is nul",IF(N(J1414)&gt;12,"Langer dan 12 uur - controleren",IF(AND(E1414="Werken",D1414=""),"Werken zonder klant - koppelen","OK"))))))</f>
        <v/>
      </c>
    </row>
    <row r="1415" ht="15" customHeight="1" s="42">
      <c r="A1415" s="55" t="n"/>
      <c r="B1415" s="56">
        <f>IF(A1415="","",WEEKNUM(A1415,21))</f>
        <v/>
      </c>
      <c r="C1415" s="57" t="n"/>
      <c r="D1415" s="57" t="n"/>
      <c r="E1415" s="58" t="n"/>
      <c r="F1415" s="57" t="n"/>
      <c r="G1415" s="59" t="n"/>
      <c r="H1415" s="59" t="n"/>
      <c r="I1415" s="60">
        <f>IF(OR(G1415="",H1415=""),"",MOD(H1415-G1415,1))</f>
        <v/>
      </c>
      <c r="J1415" s="61">
        <f>IF(OR(G1415="",H1415=""),"",ROUND(MOD(H1415-G1415,1)*24,2))</f>
        <v/>
      </c>
      <c r="K1415" s="62">
        <f>IF(E1415="","",IF(E1415="Werken","JA","NEE"))</f>
        <v/>
      </c>
      <c r="L1415" s="61">
        <f>IF(K1415="JA",N(J1415),IF(E1415="","",0))</f>
        <v/>
      </c>
      <c r="M1415" s="62">
        <f>IF(AND(A1415="",E1415=""),"",IF(E1415="","Segment ontbreekt",IF(OR(G1415="",H1415=""),"Van/tot ontbreekt",IF(N(J1415)=0,"Duur is nul",IF(N(J1415)&gt;12,"Langer dan 12 uur - controleren",IF(AND(E1415="Werken",D1415=""),"Werken zonder klant - koppelen","OK"))))))</f>
        <v/>
      </c>
    </row>
    <row r="1416" ht="15" customHeight="1" s="42">
      <c r="A1416" s="55" t="n"/>
      <c r="B1416" s="56">
        <f>IF(A1416="","",WEEKNUM(A1416,21))</f>
        <v/>
      </c>
      <c r="C1416" s="57" t="n"/>
      <c r="D1416" s="57" t="n"/>
      <c r="E1416" s="58" t="n"/>
      <c r="F1416" s="57" t="n"/>
      <c r="G1416" s="59" t="n"/>
      <c r="H1416" s="59" t="n"/>
      <c r="I1416" s="60">
        <f>IF(OR(G1416="",H1416=""),"",MOD(H1416-G1416,1))</f>
        <v/>
      </c>
      <c r="J1416" s="61">
        <f>IF(OR(G1416="",H1416=""),"",ROUND(MOD(H1416-G1416,1)*24,2))</f>
        <v/>
      </c>
      <c r="K1416" s="62">
        <f>IF(E1416="","",IF(E1416="Werken","JA","NEE"))</f>
        <v/>
      </c>
      <c r="L1416" s="61">
        <f>IF(K1416="JA",N(J1416),IF(E1416="","",0))</f>
        <v/>
      </c>
      <c r="M1416" s="62">
        <f>IF(AND(A1416="",E1416=""),"",IF(E1416="","Segment ontbreekt",IF(OR(G1416="",H1416=""),"Van/tot ontbreekt",IF(N(J1416)=0,"Duur is nul",IF(N(J1416)&gt;12,"Langer dan 12 uur - controleren",IF(AND(E1416="Werken",D1416=""),"Werken zonder klant - koppelen","OK"))))))</f>
        <v/>
      </c>
    </row>
    <row r="1417" ht="15" customHeight="1" s="42">
      <c r="A1417" s="55" t="n"/>
      <c r="B1417" s="56">
        <f>IF(A1417="","",WEEKNUM(A1417,21))</f>
        <v/>
      </c>
      <c r="C1417" s="57" t="n"/>
      <c r="D1417" s="57" t="n"/>
      <c r="E1417" s="58" t="n"/>
      <c r="F1417" s="57" t="n"/>
      <c r="G1417" s="59" t="n"/>
      <c r="H1417" s="59" t="n"/>
      <c r="I1417" s="60">
        <f>IF(OR(G1417="",H1417=""),"",MOD(H1417-G1417,1))</f>
        <v/>
      </c>
      <c r="J1417" s="61">
        <f>IF(OR(G1417="",H1417=""),"",ROUND(MOD(H1417-G1417,1)*24,2))</f>
        <v/>
      </c>
      <c r="K1417" s="62">
        <f>IF(E1417="","",IF(E1417="Werken","JA","NEE"))</f>
        <v/>
      </c>
      <c r="L1417" s="61">
        <f>IF(K1417="JA",N(J1417),IF(E1417="","",0))</f>
        <v/>
      </c>
      <c r="M1417" s="62">
        <f>IF(AND(A1417="",E1417=""),"",IF(E1417="","Segment ontbreekt",IF(OR(G1417="",H1417=""),"Van/tot ontbreekt",IF(N(J1417)=0,"Duur is nul",IF(N(J1417)&gt;12,"Langer dan 12 uur - controleren",IF(AND(E1417="Werken",D1417=""),"Werken zonder klant - koppelen","OK"))))))</f>
        <v/>
      </c>
    </row>
    <row r="1418" ht="15" customHeight="1" s="42">
      <c r="A1418" s="55" t="n"/>
      <c r="B1418" s="56">
        <f>IF(A1418="","",WEEKNUM(A1418,21))</f>
        <v/>
      </c>
      <c r="C1418" s="57" t="n"/>
      <c r="D1418" s="57" t="n"/>
      <c r="E1418" s="58" t="n"/>
      <c r="F1418" s="57" t="n"/>
      <c r="G1418" s="59" t="n"/>
      <c r="H1418" s="59" t="n"/>
      <c r="I1418" s="60">
        <f>IF(OR(G1418="",H1418=""),"",MOD(H1418-G1418,1))</f>
        <v/>
      </c>
      <c r="J1418" s="61">
        <f>IF(OR(G1418="",H1418=""),"",ROUND(MOD(H1418-G1418,1)*24,2))</f>
        <v/>
      </c>
      <c r="K1418" s="62">
        <f>IF(E1418="","",IF(E1418="Werken","JA","NEE"))</f>
        <v/>
      </c>
      <c r="L1418" s="61">
        <f>IF(K1418="JA",N(J1418),IF(E1418="","",0))</f>
        <v/>
      </c>
      <c r="M1418" s="62">
        <f>IF(AND(A1418="",E1418=""),"",IF(E1418="","Segment ontbreekt",IF(OR(G1418="",H1418=""),"Van/tot ontbreekt",IF(N(J1418)=0,"Duur is nul",IF(N(J1418)&gt;12,"Langer dan 12 uur - controleren",IF(AND(E1418="Werken",D1418=""),"Werken zonder klant - koppelen","OK"))))))</f>
        <v/>
      </c>
    </row>
    <row r="1419" ht="15" customHeight="1" s="42">
      <c r="A1419" s="55" t="n"/>
      <c r="B1419" s="56">
        <f>IF(A1419="","",WEEKNUM(A1419,21))</f>
        <v/>
      </c>
      <c r="C1419" s="57" t="n"/>
      <c r="D1419" s="57" t="n"/>
      <c r="E1419" s="58" t="n"/>
      <c r="F1419" s="57" t="n"/>
      <c r="G1419" s="59" t="n"/>
      <c r="H1419" s="59" t="n"/>
      <c r="I1419" s="60">
        <f>IF(OR(G1419="",H1419=""),"",MOD(H1419-G1419,1))</f>
        <v/>
      </c>
      <c r="J1419" s="61">
        <f>IF(OR(G1419="",H1419=""),"",ROUND(MOD(H1419-G1419,1)*24,2))</f>
        <v/>
      </c>
      <c r="K1419" s="62">
        <f>IF(E1419="","",IF(E1419="Werken","JA","NEE"))</f>
        <v/>
      </c>
      <c r="L1419" s="61">
        <f>IF(K1419="JA",N(J1419),IF(E1419="","",0))</f>
        <v/>
      </c>
      <c r="M1419" s="62">
        <f>IF(AND(A1419="",E1419=""),"",IF(E1419="","Segment ontbreekt",IF(OR(G1419="",H1419=""),"Van/tot ontbreekt",IF(N(J1419)=0,"Duur is nul",IF(N(J1419)&gt;12,"Langer dan 12 uur - controleren",IF(AND(E1419="Werken",D1419=""),"Werken zonder klant - koppelen","OK"))))))</f>
        <v/>
      </c>
    </row>
    <row r="1420" ht="15" customHeight="1" s="42">
      <c r="A1420" s="55" t="n"/>
      <c r="B1420" s="56">
        <f>IF(A1420="","",WEEKNUM(A1420,21))</f>
        <v/>
      </c>
      <c r="C1420" s="57" t="n"/>
      <c r="D1420" s="57" t="n"/>
      <c r="E1420" s="58" t="n"/>
      <c r="F1420" s="57" t="n"/>
      <c r="G1420" s="59" t="n"/>
      <c r="H1420" s="59" t="n"/>
      <c r="I1420" s="60">
        <f>IF(OR(G1420="",H1420=""),"",MOD(H1420-G1420,1))</f>
        <v/>
      </c>
      <c r="J1420" s="61">
        <f>IF(OR(G1420="",H1420=""),"",ROUND(MOD(H1420-G1420,1)*24,2))</f>
        <v/>
      </c>
      <c r="K1420" s="62">
        <f>IF(E1420="","",IF(E1420="Werken","JA","NEE"))</f>
        <v/>
      </c>
      <c r="L1420" s="61">
        <f>IF(K1420="JA",N(J1420),IF(E1420="","",0))</f>
        <v/>
      </c>
      <c r="M1420" s="62">
        <f>IF(AND(A1420="",E1420=""),"",IF(E1420="","Segment ontbreekt",IF(OR(G1420="",H1420=""),"Van/tot ontbreekt",IF(N(J1420)=0,"Duur is nul",IF(N(J1420)&gt;12,"Langer dan 12 uur - controleren",IF(AND(E1420="Werken",D1420=""),"Werken zonder klant - koppelen","OK"))))))</f>
        <v/>
      </c>
    </row>
    <row r="1421" ht="15" customHeight="1" s="42">
      <c r="A1421" s="55" t="n"/>
      <c r="B1421" s="56">
        <f>IF(A1421="","",WEEKNUM(A1421,21))</f>
        <v/>
      </c>
      <c r="C1421" s="57" t="n"/>
      <c r="D1421" s="57" t="n"/>
      <c r="E1421" s="58" t="n"/>
      <c r="F1421" s="57" t="n"/>
      <c r="G1421" s="59" t="n"/>
      <c r="H1421" s="59" t="n"/>
      <c r="I1421" s="60">
        <f>IF(OR(G1421="",H1421=""),"",MOD(H1421-G1421,1))</f>
        <v/>
      </c>
      <c r="J1421" s="61">
        <f>IF(OR(G1421="",H1421=""),"",ROUND(MOD(H1421-G1421,1)*24,2))</f>
        <v/>
      </c>
      <c r="K1421" s="62">
        <f>IF(E1421="","",IF(E1421="Werken","JA","NEE"))</f>
        <v/>
      </c>
      <c r="L1421" s="61">
        <f>IF(K1421="JA",N(J1421),IF(E1421="","",0))</f>
        <v/>
      </c>
      <c r="M1421" s="62">
        <f>IF(AND(A1421="",E1421=""),"",IF(E1421="","Segment ontbreekt",IF(OR(G1421="",H1421=""),"Van/tot ontbreekt",IF(N(J1421)=0,"Duur is nul",IF(N(J1421)&gt;12,"Langer dan 12 uur - controleren",IF(AND(E1421="Werken",D1421=""),"Werken zonder klant - koppelen","OK"))))))</f>
        <v/>
      </c>
    </row>
    <row r="1422" ht="15" customHeight="1" s="42">
      <c r="A1422" s="55" t="n"/>
      <c r="B1422" s="56">
        <f>IF(A1422="","",WEEKNUM(A1422,21))</f>
        <v/>
      </c>
      <c r="C1422" s="57" t="n"/>
      <c r="D1422" s="57" t="n"/>
      <c r="E1422" s="58" t="n"/>
      <c r="F1422" s="57" t="n"/>
      <c r="G1422" s="59" t="n"/>
      <c r="H1422" s="59" t="n"/>
      <c r="I1422" s="60">
        <f>IF(OR(G1422="",H1422=""),"",MOD(H1422-G1422,1))</f>
        <v/>
      </c>
      <c r="J1422" s="61">
        <f>IF(OR(G1422="",H1422=""),"",ROUND(MOD(H1422-G1422,1)*24,2))</f>
        <v/>
      </c>
      <c r="K1422" s="62">
        <f>IF(E1422="","",IF(E1422="Werken","JA","NEE"))</f>
        <v/>
      </c>
      <c r="L1422" s="61">
        <f>IF(K1422="JA",N(J1422),IF(E1422="","",0))</f>
        <v/>
      </c>
      <c r="M1422" s="62">
        <f>IF(AND(A1422="",E1422=""),"",IF(E1422="","Segment ontbreekt",IF(OR(G1422="",H1422=""),"Van/tot ontbreekt",IF(N(J1422)=0,"Duur is nul",IF(N(J1422)&gt;12,"Langer dan 12 uur - controleren",IF(AND(E1422="Werken",D1422=""),"Werken zonder klant - koppelen","OK"))))))</f>
        <v/>
      </c>
    </row>
    <row r="1423" ht="15" customHeight="1" s="42">
      <c r="A1423" s="55" t="n"/>
      <c r="B1423" s="56">
        <f>IF(A1423="","",WEEKNUM(A1423,21))</f>
        <v/>
      </c>
      <c r="C1423" s="57" t="n"/>
      <c r="D1423" s="57" t="n"/>
      <c r="E1423" s="58" t="n"/>
      <c r="F1423" s="57" t="n"/>
      <c r="G1423" s="59" t="n"/>
      <c r="H1423" s="59" t="n"/>
      <c r="I1423" s="60">
        <f>IF(OR(G1423="",H1423=""),"",MOD(H1423-G1423,1))</f>
        <v/>
      </c>
      <c r="J1423" s="61">
        <f>IF(OR(G1423="",H1423=""),"",ROUND(MOD(H1423-G1423,1)*24,2))</f>
        <v/>
      </c>
      <c r="K1423" s="62">
        <f>IF(E1423="","",IF(E1423="Werken","JA","NEE"))</f>
        <v/>
      </c>
      <c r="L1423" s="61">
        <f>IF(K1423="JA",N(J1423),IF(E1423="","",0))</f>
        <v/>
      </c>
      <c r="M1423" s="62">
        <f>IF(AND(A1423="",E1423=""),"",IF(E1423="","Segment ontbreekt",IF(OR(G1423="",H1423=""),"Van/tot ontbreekt",IF(N(J1423)=0,"Duur is nul",IF(N(J1423)&gt;12,"Langer dan 12 uur - controleren",IF(AND(E1423="Werken",D1423=""),"Werken zonder klant - koppelen","OK"))))))</f>
        <v/>
      </c>
    </row>
    <row r="1424" ht="15" customHeight="1" s="42">
      <c r="A1424" s="55" t="n"/>
      <c r="B1424" s="56">
        <f>IF(A1424="","",WEEKNUM(A1424,21))</f>
        <v/>
      </c>
      <c r="C1424" s="57" t="n"/>
      <c r="D1424" s="57" t="n"/>
      <c r="E1424" s="58" t="n"/>
      <c r="F1424" s="57" t="n"/>
      <c r="G1424" s="59" t="n"/>
      <c r="H1424" s="59" t="n"/>
      <c r="I1424" s="60">
        <f>IF(OR(G1424="",H1424=""),"",MOD(H1424-G1424,1))</f>
        <v/>
      </c>
      <c r="J1424" s="61">
        <f>IF(OR(G1424="",H1424=""),"",ROUND(MOD(H1424-G1424,1)*24,2))</f>
        <v/>
      </c>
      <c r="K1424" s="62">
        <f>IF(E1424="","",IF(E1424="Werken","JA","NEE"))</f>
        <v/>
      </c>
      <c r="L1424" s="61">
        <f>IF(K1424="JA",N(J1424),IF(E1424="","",0))</f>
        <v/>
      </c>
      <c r="M1424" s="62">
        <f>IF(AND(A1424="",E1424=""),"",IF(E1424="","Segment ontbreekt",IF(OR(G1424="",H1424=""),"Van/tot ontbreekt",IF(N(J1424)=0,"Duur is nul",IF(N(J1424)&gt;12,"Langer dan 12 uur - controleren",IF(AND(E1424="Werken",D1424=""),"Werken zonder klant - koppelen","OK"))))))</f>
        <v/>
      </c>
    </row>
    <row r="1425" ht="15" customHeight="1" s="42">
      <c r="A1425" s="55" t="n"/>
      <c r="B1425" s="56">
        <f>IF(A1425="","",WEEKNUM(A1425,21))</f>
        <v/>
      </c>
      <c r="C1425" s="57" t="n"/>
      <c r="D1425" s="57" t="n"/>
      <c r="E1425" s="58" t="n"/>
      <c r="F1425" s="57" t="n"/>
      <c r="G1425" s="59" t="n"/>
      <c r="H1425" s="59" t="n"/>
      <c r="I1425" s="60">
        <f>IF(OR(G1425="",H1425=""),"",MOD(H1425-G1425,1))</f>
        <v/>
      </c>
      <c r="J1425" s="61">
        <f>IF(OR(G1425="",H1425=""),"",ROUND(MOD(H1425-G1425,1)*24,2))</f>
        <v/>
      </c>
      <c r="K1425" s="62">
        <f>IF(E1425="","",IF(E1425="Werken","JA","NEE"))</f>
        <v/>
      </c>
      <c r="L1425" s="61">
        <f>IF(K1425="JA",N(J1425),IF(E1425="","",0))</f>
        <v/>
      </c>
      <c r="M1425" s="62">
        <f>IF(AND(A1425="",E1425=""),"",IF(E1425="","Segment ontbreekt",IF(OR(G1425="",H1425=""),"Van/tot ontbreekt",IF(N(J1425)=0,"Duur is nul",IF(N(J1425)&gt;12,"Langer dan 12 uur - controleren",IF(AND(E1425="Werken",D1425=""),"Werken zonder klant - koppelen","OK"))))))</f>
        <v/>
      </c>
    </row>
    <row r="1426" ht="15" customHeight="1" s="42">
      <c r="A1426" s="55" t="n"/>
      <c r="B1426" s="56">
        <f>IF(A1426="","",WEEKNUM(A1426,21))</f>
        <v/>
      </c>
      <c r="C1426" s="57" t="n"/>
      <c r="D1426" s="57" t="n"/>
      <c r="E1426" s="58" t="n"/>
      <c r="F1426" s="57" t="n"/>
      <c r="G1426" s="59" t="n"/>
      <c r="H1426" s="59" t="n"/>
      <c r="I1426" s="60">
        <f>IF(OR(G1426="",H1426=""),"",MOD(H1426-G1426,1))</f>
        <v/>
      </c>
      <c r="J1426" s="61">
        <f>IF(OR(G1426="",H1426=""),"",ROUND(MOD(H1426-G1426,1)*24,2))</f>
        <v/>
      </c>
      <c r="K1426" s="62">
        <f>IF(E1426="","",IF(E1426="Werken","JA","NEE"))</f>
        <v/>
      </c>
      <c r="L1426" s="61">
        <f>IF(K1426="JA",N(J1426),IF(E1426="","",0))</f>
        <v/>
      </c>
      <c r="M1426" s="62">
        <f>IF(AND(A1426="",E1426=""),"",IF(E1426="","Segment ontbreekt",IF(OR(G1426="",H1426=""),"Van/tot ontbreekt",IF(N(J1426)=0,"Duur is nul",IF(N(J1426)&gt;12,"Langer dan 12 uur - controleren",IF(AND(E1426="Werken",D1426=""),"Werken zonder klant - koppelen","OK"))))))</f>
        <v/>
      </c>
    </row>
    <row r="1427" ht="15" customHeight="1" s="42">
      <c r="A1427" s="55" t="n"/>
      <c r="B1427" s="56">
        <f>IF(A1427="","",WEEKNUM(A1427,21))</f>
        <v/>
      </c>
      <c r="C1427" s="57" t="n"/>
      <c r="D1427" s="57" t="n"/>
      <c r="E1427" s="58" t="n"/>
      <c r="F1427" s="57" t="n"/>
      <c r="G1427" s="59" t="n"/>
      <c r="H1427" s="59" t="n"/>
      <c r="I1427" s="60">
        <f>IF(OR(G1427="",H1427=""),"",MOD(H1427-G1427,1))</f>
        <v/>
      </c>
      <c r="J1427" s="61">
        <f>IF(OR(G1427="",H1427=""),"",ROUND(MOD(H1427-G1427,1)*24,2))</f>
        <v/>
      </c>
      <c r="K1427" s="62">
        <f>IF(E1427="","",IF(E1427="Werken","JA","NEE"))</f>
        <v/>
      </c>
      <c r="L1427" s="61">
        <f>IF(K1427="JA",N(J1427),IF(E1427="","",0))</f>
        <v/>
      </c>
      <c r="M1427" s="62">
        <f>IF(AND(A1427="",E1427=""),"",IF(E1427="","Segment ontbreekt",IF(OR(G1427="",H1427=""),"Van/tot ontbreekt",IF(N(J1427)=0,"Duur is nul",IF(N(J1427)&gt;12,"Langer dan 12 uur - controleren",IF(AND(E1427="Werken",D1427=""),"Werken zonder klant - koppelen","OK"))))))</f>
        <v/>
      </c>
    </row>
    <row r="1428" ht="15" customHeight="1" s="42">
      <c r="A1428" s="55" t="n"/>
      <c r="B1428" s="56">
        <f>IF(A1428="","",WEEKNUM(A1428,21))</f>
        <v/>
      </c>
      <c r="C1428" s="57" t="n"/>
      <c r="D1428" s="57" t="n"/>
      <c r="E1428" s="58" t="n"/>
      <c r="F1428" s="57" t="n"/>
      <c r="G1428" s="59" t="n"/>
      <c r="H1428" s="59" t="n"/>
      <c r="I1428" s="60">
        <f>IF(OR(G1428="",H1428=""),"",MOD(H1428-G1428,1))</f>
        <v/>
      </c>
      <c r="J1428" s="61">
        <f>IF(OR(G1428="",H1428=""),"",ROUND(MOD(H1428-G1428,1)*24,2))</f>
        <v/>
      </c>
      <c r="K1428" s="62">
        <f>IF(E1428="","",IF(E1428="Werken","JA","NEE"))</f>
        <v/>
      </c>
      <c r="L1428" s="61">
        <f>IF(K1428="JA",N(J1428),IF(E1428="","",0))</f>
        <v/>
      </c>
      <c r="M1428" s="62">
        <f>IF(AND(A1428="",E1428=""),"",IF(E1428="","Segment ontbreekt",IF(OR(G1428="",H1428=""),"Van/tot ontbreekt",IF(N(J1428)=0,"Duur is nul",IF(N(J1428)&gt;12,"Langer dan 12 uur - controleren",IF(AND(E1428="Werken",D1428=""),"Werken zonder klant - koppelen","OK"))))))</f>
        <v/>
      </c>
    </row>
    <row r="1429" ht="15" customHeight="1" s="42">
      <c r="A1429" s="55" t="n"/>
      <c r="B1429" s="56">
        <f>IF(A1429="","",WEEKNUM(A1429,21))</f>
        <v/>
      </c>
      <c r="C1429" s="57" t="n"/>
      <c r="D1429" s="57" t="n"/>
      <c r="E1429" s="58" t="n"/>
      <c r="F1429" s="57" t="n"/>
      <c r="G1429" s="59" t="n"/>
      <c r="H1429" s="59" t="n"/>
      <c r="I1429" s="60">
        <f>IF(OR(G1429="",H1429=""),"",MOD(H1429-G1429,1))</f>
        <v/>
      </c>
      <c r="J1429" s="61">
        <f>IF(OR(G1429="",H1429=""),"",ROUND(MOD(H1429-G1429,1)*24,2))</f>
        <v/>
      </c>
      <c r="K1429" s="62">
        <f>IF(E1429="","",IF(E1429="Werken","JA","NEE"))</f>
        <v/>
      </c>
      <c r="L1429" s="61">
        <f>IF(K1429="JA",N(J1429),IF(E1429="","",0))</f>
        <v/>
      </c>
      <c r="M1429" s="62">
        <f>IF(AND(A1429="",E1429=""),"",IF(E1429="","Segment ontbreekt",IF(OR(G1429="",H1429=""),"Van/tot ontbreekt",IF(N(J1429)=0,"Duur is nul",IF(N(J1429)&gt;12,"Langer dan 12 uur - controleren",IF(AND(E1429="Werken",D1429=""),"Werken zonder klant - koppelen","OK"))))))</f>
        <v/>
      </c>
    </row>
    <row r="1430" ht="15" customHeight="1" s="42">
      <c r="A1430" s="55" t="n"/>
      <c r="B1430" s="56">
        <f>IF(A1430="","",WEEKNUM(A1430,21))</f>
        <v/>
      </c>
      <c r="C1430" s="57" t="n"/>
      <c r="D1430" s="57" t="n"/>
      <c r="E1430" s="58" t="n"/>
      <c r="F1430" s="57" t="n"/>
      <c r="G1430" s="59" t="n"/>
      <c r="H1430" s="59" t="n"/>
      <c r="I1430" s="60">
        <f>IF(OR(G1430="",H1430=""),"",MOD(H1430-G1430,1))</f>
        <v/>
      </c>
      <c r="J1430" s="61">
        <f>IF(OR(G1430="",H1430=""),"",ROUND(MOD(H1430-G1430,1)*24,2))</f>
        <v/>
      </c>
      <c r="K1430" s="62">
        <f>IF(E1430="","",IF(E1430="Werken","JA","NEE"))</f>
        <v/>
      </c>
      <c r="L1430" s="61">
        <f>IF(K1430="JA",N(J1430),IF(E1430="","",0))</f>
        <v/>
      </c>
      <c r="M1430" s="62">
        <f>IF(AND(A1430="",E1430=""),"",IF(E1430="","Segment ontbreekt",IF(OR(G1430="",H1430=""),"Van/tot ontbreekt",IF(N(J1430)=0,"Duur is nul",IF(N(J1430)&gt;12,"Langer dan 12 uur - controleren",IF(AND(E1430="Werken",D1430=""),"Werken zonder klant - koppelen","OK"))))))</f>
        <v/>
      </c>
    </row>
    <row r="1431" ht="15" customHeight="1" s="42">
      <c r="A1431" s="55" t="n"/>
      <c r="B1431" s="56">
        <f>IF(A1431="","",WEEKNUM(A1431,21))</f>
        <v/>
      </c>
      <c r="C1431" s="57" t="n"/>
      <c r="D1431" s="57" t="n"/>
      <c r="E1431" s="58" t="n"/>
      <c r="F1431" s="57" t="n"/>
      <c r="G1431" s="59" t="n"/>
      <c r="H1431" s="59" t="n"/>
      <c r="I1431" s="60">
        <f>IF(OR(G1431="",H1431=""),"",MOD(H1431-G1431,1))</f>
        <v/>
      </c>
      <c r="J1431" s="61">
        <f>IF(OR(G1431="",H1431=""),"",ROUND(MOD(H1431-G1431,1)*24,2))</f>
        <v/>
      </c>
      <c r="K1431" s="62">
        <f>IF(E1431="","",IF(E1431="Werken","JA","NEE"))</f>
        <v/>
      </c>
      <c r="L1431" s="61">
        <f>IF(K1431="JA",N(J1431),IF(E1431="","",0))</f>
        <v/>
      </c>
      <c r="M1431" s="62">
        <f>IF(AND(A1431="",E1431=""),"",IF(E1431="","Segment ontbreekt",IF(OR(G1431="",H1431=""),"Van/tot ontbreekt",IF(N(J1431)=0,"Duur is nul",IF(N(J1431)&gt;12,"Langer dan 12 uur - controleren",IF(AND(E1431="Werken",D1431=""),"Werken zonder klant - koppelen","OK"))))))</f>
        <v/>
      </c>
    </row>
    <row r="1432" ht="15" customHeight="1" s="42">
      <c r="A1432" s="55" t="n"/>
      <c r="B1432" s="56">
        <f>IF(A1432="","",WEEKNUM(A1432,21))</f>
        <v/>
      </c>
      <c r="C1432" s="57" t="n"/>
      <c r="D1432" s="57" t="n"/>
      <c r="E1432" s="58" t="n"/>
      <c r="F1432" s="57" t="n"/>
      <c r="G1432" s="59" t="n"/>
      <c r="H1432" s="59" t="n"/>
      <c r="I1432" s="60">
        <f>IF(OR(G1432="",H1432=""),"",MOD(H1432-G1432,1))</f>
        <v/>
      </c>
      <c r="J1432" s="61">
        <f>IF(OR(G1432="",H1432=""),"",ROUND(MOD(H1432-G1432,1)*24,2))</f>
        <v/>
      </c>
      <c r="K1432" s="62">
        <f>IF(E1432="","",IF(E1432="Werken","JA","NEE"))</f>
        <v/>
      </c>
      <c r="L1432" s="61">
        <f>IF(K1432="JA",N(J1432),IF(E1432="","",0))</f>
        <v/>
      </c>
      <c r="M1432" s="62">
        <f>IF(AND(A1432="",E1432=""),"",IF(E1432="","Segment ontbreekt",IF(OR(G1432="",H1432=""),"Van/tot ontbreekt",IF(N(J1432)=0,"Duur is nul",IF(N(J1432)&gt;12,"Langer dan 12 uur - controleren",IF(AND(E1432="Werken",D1432=""),"Werken zonder klant - koppelen","OK"))))))</f>
        <v/>
      </c>
    </row>
    <row r="1433" ht="15" customHeight="1" s="42">
      <c r="A1433" s="55" t="n"/>
      <c r="B1433" s="56">
        <f>IF(A1433="","",WEEKNUM(A1433,21))</f>
        <v/>
      </c>
      <c r="C1433" s="57" t="n"/>
      <c r="D1433" s="57" t="n"/>
      <c r="E1433" s="58" t="n"/>
      <c r="F1433" s="57" t="n"/>
      <c r="G1433" s="59" t="n"/>
      <c r="H1433" s="59" t="n"/>
      <c r="I1433" s="60">
        <f>IF(OR(G1433="",H1433=""),"",MOD(H1433-G1433,1))</f>
        <v/>
      </c>
      <c r="J1433" s="61">
        <f>IF(OR(G1433="",H1433=""),"",ROUND(MOD(H1433-G1433,1)*24,2))</f>
        <v/>
      </c>
      <c r="K1433" s="62">
        <f>IF(E1433="","",IF(E1433="Werken","JA","NEE"))</f>
        <v/>
      </c>
      <c r="L1433" s="61">
        <f>IF(K1433="JA",N(J1433),IF(E1433="","",0))</f>
        <v/>
      </c>
      <c r="M1433" s="62">
        <f>IF(AND(A1433="",E1433=""),"",IF(E1433="","Segment ontbreekt",IF(OR(G1433="",H1433=""),"Van/tot ontbreekt",IF(N(J1433)=0,"Duur is nul",IF(N(J1433)&gt;12,"Langer dan 12 uur - controleren",IF(AND(E1433="Werken",D1433=""),"Werken zonder klant - koppelen","OK"))))))</f>
        <v/>
      </c>
    </row>
    <row r="1434" ht="15" customHeight="1" s="42">
      <c r="A1434" s="55" t="n"/>
      <c r="B1434" s="56">
        <f>IF(A1434="","",WEEKNUM(A1434,21))</f>
        <v/>
      </c>
      <c r="C1434" s="57" t="n"/>
      <c r="D1434" s="57" t="n"/>
      <c r="E1434" s="58" t="n"/>
      <c r="F1434" s="57" t="n"/>
      <c r="G1434" s="59" t="n"/>
      <c r="H1434" s="59" t="n"/>
      <c r="I1434" s="60">
        <f>IF(OR(G1434="",H1434=""),"",MOD(H1434-G1434,1))</f>
        <v/>
      </c>
      <c r="J1434" s="61">
        <f>IF(OR(G1434="",H1434=""),"",ROUND(MOD(H1434-G1434,1)*24,2))</f>
        <v/>
      </c>
      <c r="K1434" s="62">
        <f>IF(E1434="","",IF(E1434="Werken","JA","NEE"))</f>
        <v/>
      </c>
      <c r="L1434" s="61">
        <f>IF(K1434="JA",N(J1434),IF(E1434="","",0))</f>
        <v/>
      </c>
      <c r="M1434" s="62">
        <f>IF(AND(A1434="",E1434=""),"",IF(E1434="","Segment ontbreekt",IF(OR(G1434="",H1434=""),"Van/tot ontbreekt",IF(N(J1434)=0,"Duur is nul",IF(N(J1434)&gt;12,"Langer dan 12 uur - controleren",IF(AND(E1434="Werken",D1434=""),"Werken zonder klant - koppelen","OK"))))))</f>
        <v/>
      </c>
    </row>
    <row r="1435" ht="15" customHeight="1" s="42">
      <c r="A1435" s="55" t="n"/>
      <c r="B1435" s="56">
        <f>IF(A1435="","",WEEKNUM(A1435,21))</f>
        <v/>
      </c>
      <c r="C1435" s="57" t="n"/>
      <c r="D1435" s="57" t="n"/>
      <c r="E1435" s="58" t="n"/>
      <c r="F1435" s="57" t="n"/>
      <c r="G1435" s="59" t="n"/>
      <c r="H1435" s="59" t="n"/>
      <c r="I1435" s="60">
        <f>IF(OR(G1435="",H1435=""),"",MOD(H1435-G1435,1))</f>
        <v/>
      </c>
      <c r="J1435" s="61">
        <f>IF(OR(G1435="",H1435=""),"",ROUND(MOD(H1435-G1435,1)*24,2))</f>
        <v/>
      </c>
      <c r="K1435" s="62">
        <f>IF(E1435="","",IF(E1435="Werken","JA","NEE"))</f>
        <v/>
      </c>
      <c r="L1435" s="61">
        <f>IF(K1435="JA",N(J1435),IF(E1435="","",0))</f>
        <v/>
      </c>
      <c r="M1435" s="62">
        <f>IF(AND(A1435="",E1435=""),"",IF(E1435="","Segment ontbreekt",IF(OR(G1435="",H1435=""),"Van/tot ontbreekt",IF(N(J1435)=0,"Duur is nul",IF(N(J1435)&gt;12,"Langer dan 12 uur - controleren",IF(AND(E1435="Werken",D1435=""),"Werken zonder klant - koppelen","OK"))))))</f>
        <v/>
      </c>
    </row>
    <row r="1436" ht="15" customHeight="1" s="42">
      <c r="A1436" s="55" t="n"/>
      <c r="B1436" s="56">
        <f>IF(A1436="","",WEEKNUM(A1436,21))</f>
        <v/>
      </c>
      <c r="C1436" s="57" t="n"/>
      <c r="D1436" s="57" t="n"/>
      <c r="E1436" s="58" t="n"/>
      <c r="F1436" s="57" t="n"/>
      <c r="G1436" s="59" t="n"/>
      <c r="H1436" s="59" t="n"/>
      <c r="I1436" s="60">
        <f>IF(OR(G1436="",H1436=""),"",MOD(H1436-G1436,1))</f>
        <v/>
      </c>
      <c r="J1436" s="61">
        <f>IF(OR(G1436="",H1436=""),"",ROUND(MOD(H1436-G1436,1)*24,2))</f>
        <v/>
      </c>
      <c r="K1436" s="62">
        <f>IF(E1436="","",IF(E1436="Werken","JA","NEE"))</f>
        <v/>
      </c>
      <c r="L1436" s="61">
        <f>IF(K1436="JA",N(J1436),IF(E1436="","",0))</f>
        <v/>
      </c>
      <c r="M1436" s="62">
        <f>IF(AND(A1436="",E1436=""),"",IF(E1436="","Segment ontbreekt",IF(OR(G1436="",H1436=""),"Van/tot ontbreekt",IF(N(J1436)=0,"Duur is nul",IF(N(J1436)&gt;12,"Langer dan 12 uur - controleren",IF(AND(E1436="Werken",D1436=""),"Werken zonder klant - koppelen","OK"))))))</f>
        <v/>
      </c>
    </row>
    <row r="1437" ht="15" customHeight="1" s="42">
      <c r="A1437" s="55" t="n"/>
      <c r="B1437" s="56">
        <f>IF(A1437="","",WEEKNUM(A1437,21))</f>
        <v/>
      </c>
      <c r="C1437" s="57" t="n"/>
      <c r="D1437" s="57" t="n"/>
      <c r="E1437" s="58" t="n"/>
      <c r="F1437" s="57" t="n"/>
      <c r="G1437" s="59" t="n"/>
      <c r="H1437" s="59" t="n"/>
      <c r="I1437" s="60">
        <f>IF(OR(G1437="",H1437=""),"",MOD(H1437-G1437,1))</f>
        <v/>
      </c>
      <c r="J1437" s="61">
        <f>IF(OR(G1437="",H1437=""),"",ROUND(MOD(H1437-G1437,1)*24,2))</f>
        <v/>
      </c>
      <c r="K1437" s="62">
        <f>IF(E1437="","",IF(E1437="Werken","JA","NEE"))</f>
        <v/>
      </c>
      <c r="L1437" s="61">
        <f>IF(K1437="JA",N(J1437),IF(E1437="","",0))</f>
        <v/>
      </c>
      <c r="M1437" s="62">
        <f>IF(AND(A1437="",E1437=""),"",IF(E1437="","Segment ontbreekt",IF(OR(G1437="",H1437=""),"Van/tot ontbreekt",IF(N(J1437)=0,"Duur is nul",IF(N(J1437)&gt;12,"Langer dan 12 uur - controleren",IF(AND(E1437="Werken",D1437=""),"Werken zonder klant - koppelen","OK"))))))</f>
        <v/>
      </c>
    </row>
    <row r="1438" ht="15" customHeight="1" s="42">
      <c r="A1438" s="55" t="n"/>
      <c r="B1438" s="56">
        <f>IF(A1438="","",WEEKNUM(A1438,21))</f>
        <v/>
      </c>
      <c r="C1438" s="57" t="n"/>
      <c r="D1438" s="57" t="n"/>
      <c r="E1438" s="58" t="n"/>
      <c r="F1438" s="57" t="n"/>
      <c r="G1438" s="59" t="n"/>
      <c r="H1438" s="59" t="n"/>
      <c r="I1438" s="60">
        <f>IF(OR(G1438="",H1438=""),"",MOD(H1438-G1438,1))</f>
        <v/>
      </c>
      <c r="J1438" s="61">
        <f>IF(OR(G1438="",H1438=""),"",ROUND(MOD(H1438-G1438,1)*24,2))</f>
        <v/>
      </c>
      <c r="K1438" s="62">
        <f>IF(E1438="","",IF(E1438="Werken","JA","NEE"))</f>
        <v/>
      </c>
      <c r="L1438" s="61">
        <f>IF(K1438="JA",N(J1438),IF(E1438="","",0))</f>
        <v/>
      </c>
      <c r="M1438" s="62">
        <f>IF(AND(A1438="",E1438=""),"",IF(E1438="","Segment ontbreekt",IF(OR(G1438="",H1438=""),"Van/tot ontbreekt",IF(N(J1438)=0,"Duur is nul",IF(N(J1438)&gt;12,"Langer dan 12 uur - controleren",IF(AND(E1438="Werken",D1438=""),"Werken zonder klant - koppelen","OK"))))))</f>
        <v/>
      </c>
    </row>
    <row r="1439" ht="15" customHeight="1" s="42">
      <c r="A1439" s="55" t="n"/>
      <c r="B1439" s="56">
        <f>IF(A1439="","",WEEKNUM(A1439,21))</f>
        <v/>
      </c>
      <c r="C1439" s="57" t="n"/>
      <c r="D1439" s="57" t="n"/>
      <c r="E1439" s="58" t="n"/>
      <c r="F1439" s="57" t="n"/>
      <c r="G1439" s="59" t="n"/>
      <c r="H1439" s="59" t="n"/>
      <c r="I1439" s="60">
        <f>IF(OR(G1439="",H1439=""),"",MOD(H1439-G1439,1))</f>
        <v/>
      </c>
      <c r="J1439" s="61">
        <f>IF(OR(G1439="",H1439=""),"",ROUND(MOD(H1439-G1439,1)*24,2))</f>
        <v/>
      </c>
      <c r="K1439" s="62">
        <f>IF(E1439="","",IF(E1439="Werken","JA","NEE"))</f>
        <v/>
      </c>
      <c r="L1439" s="61">
        <f>IF(K1439="JA",N(J1439),IF(E1439="","",0))</f>
        <v/>
      </c>
      <c r="M1439" s="62">
        <f>IF(AND(A1439="",E1439=""),"",IF(E1439="","Segment ontbreekt",IF(OR(G1439="",H1439=""),"Van/tot ontbreekt",IF(N(J1439)=0,"Duur is nul",IF(N(J1439)&gt;12,"Langer dan 12 uur - controleren",IF(AND(E1439="Werken",D1439=""),"Werken zonder klant - koppelen","OK"))))))</f>
        <v/>
      </c>
    </row>
    <row r="1440" ht="15" customHeight="1" s="42">
      <c r="A1440" s="55" t="n"/>
      <c r="B1440" s="56">
        <f>IF(A1440="","",WEEKNUM(A1440,21))</f>
        <v/>
      </c>
      <c r="C1440" s="57" t="n"/>
      <c r="D1440" s="57" t="n"/>
      <c r="E1440" s="58" t="n"/>
      <c r="F1440" s="57" t="n"/>
      <c r="G1440" s="59" t="n"/>
      <c r="H1440" s="59" t="n"/>
      <c r="I1440" s="60">
        <f>IF(OR(G1440="",H1440=""),"",MOD(H1440-G1440,1))</f>
        <v/>
      </c>
      <c r="J1440" s="61">
        <f>IF(OR(G1440="",H1440=""),"",ROUND(MOD(H1440-G1440,1)*24,2))</f>
        <v/>
      </c>
      <c r="K1440" s="62">
        <f>IF(E1440="","",IF(E1440="Werken","JA","NEE"))</f>
        <v/>
      </c>
      <c r="L1440" s="61">
        <f>IF(K1440="JA",N(J1440),IF(E1440="","",0))</f>
        <v/>
      </c>
      <c r="M1440" s="62">
        <f>IF(AND(A1440="",E1440=""),"",IF(E1440="","Segment ontbreekt",IF(OR(G1440="",H1440=""),"Van/tot ontbreekt",IF(N(J1440)=0,"Duur is nul",IF(N(J1440)&gt;12,"Langer dan 12 uur - controleren",IF(AND(E1440="Werken",D1440=""),"Werken zonder klant - koppelen","OK"))))))</f>
        <v/>
      </c>
    </row>
    <row r="1441" ht="15" customHeight="1" s="42">
      <c r="A1441" s="55" t="n"/>
      <c r="B1441" s="56">
        <f>IF(A1441="","",WEEKNUM(A1441,21))</f>
        <v/>
      </c>
      <c r="C1441" s="57" t="n"/>
      <c r="D1441" s="57" t="n"/>
      <c r="E1441" s="58" t="n"/>
      <c r="F1441" s="57" t="n"/>
      <c r="G1441" s="59" t="n"/>
      <c r="H1441" s="59" t="n"/>
      <c r="I1441" s="60">
        <f>IF(OR(G1441="",H1441=""),"",MOD(H1441-G1441,1))</f>
        <v/>
      </c>
      <c r="J1441" s="61">
        <f>IF(OR(G1441="",H1441=""),"",ROUND(MOD(H1441-G1441,1)*24,2))</f>
        <v/>
      </c>
      <c r="K1441" s="62">
        <f>IF(E1441="","",IF(E1441="Werken","JA","NEE"))</f>
        <v/>
      </c>
      <c r="L1441" s="61">
        <f>IF(K1441="JA",N(J1441),IF(E1441="","",0))</f>
        <v/>
      </c>
      <c r="M1441" s="62">
        <f>IF(AND(A1441="",E1441=""),"",IF(E1441="","Segment ontbreekt",IF(OR(G1441="",H1441=""),"Van/tot ontbreekt",IF(N(J1441)=0,"Duur is nul",IF(N(J1441)&gt;12,"Langer dan 12 uur - controleren",IF(AND(E1441="Werken",D1441=""),"Werken zonder klant - koppelen","OK"))))))</f>
        <v/>
      </c>
    </row>
    <row r="1442" ht="15" customHeight="1" s="42">
      <c r="A1442" s="55" t="n"/>
      <c r="B1442" s="56">
        <f>IF(A1442="","",WEEKNUM(A1442,21))</f>
        <v/>
      </c>
      <c r="C1442" s="57" t="n"/>
      <c r="D1442" s="57" t="n"/>
      <c r="E1442" s="58" t="n"/>
      <c r="F1442" s="57" t="n"/>
      <c r="G1442" s="59" t="n"/>
      <c r="H1442" s="59" t="n"/>
      <c r="I1442" s="60">
        <f>IF(OR(G1442="",H1442=""),"",MOD(H1442-G1442,1))</f>
        <v/>
      </c>
      <c r="J1442" s="61">
        <f>IF(OR(G1442="",H1442=""),"",ROUND(MOD(H1442-G1442,1)*24,2))</f>
        <v/>
      </c>
      <c r="K1442" s="62">
        <f>IF(E1442="","",IF(E1442="Werken","JA","NEE"))</f>
        <v/>
      </c>
      <c r="L1442" s="61">
        <f>IF(K1442="JA",N(J1442),IF(E1442="","",0))</f>
        <v/>
      </c>
      <c r="M1442" s="62">
        <f>IF(AND(A1442="",E1442=""),"",IF(E1442="","Segment ontbreekt",IF(OR(G1442="",H1442=""),"Van/tot ontbreekt",IF(N(J1442)=0,"Duur is nul",IF(N(J1442)&gt;12,"Langer dan 12 uur - controleren",IF(AND(E1442="Werken",D1442=""),"Werken zonder klant - koppelen","OK"))))))</f>
        <v/>
      </c>
    </row>
    <row r="1443" ht="15" customHeight="1" s="42">
      <c r="A1443" s="55" t="n"/>
      <c r="B1443" s="56">
        <f>IF(A1443="","",WEEKNUM(A1443,21))</f>
        <v/>
      </c>
      <c r="C1443" s="57" t="n"/>
      <c r="D1443" s="57" t="n"/>
      <c r="E1443" s="58" t="n"/>
      <c r="F1443" s="57" t="n"/>
      <c r="G1443" s="59" t="n"/>
      <c r="H1443" s="59" t="n"/>
      <c r="I1443" s="60">
        <f>IF(OR(G1443="",H1443=""),"",MOD(H1443-G1443,1))</f>
        <v/>
      </c>
      <c r="J1443" s="61">
        <f>IF(OR(G1443="",H1443=""),"",ROUND(MOD(H1443-G1443,1)*24,2))</f>
        <v/>
      </c>
      <c r="K1443" s="62">
        <f>IF(E1443="","",IF(E1443="Werken","JA","NEE"))</f>
        <v/>
      </c>
      <c r="L1443" s="61">
        <f>IF(K1443="JA",N(J1443),IF(E1443="","",0))</f>
        <v/>
      </c>
      <c r="M1443" s="62">
        <f>IF(AND(A1443="",E1443=""),"",IF(E1443="","Segment ontbreekt",IF(OR(G1443="",H1443=""),"Van/tot ontbreekt",IF(N(J1443)=0,"Duur is nul",IF(N(J1443)&gt;12,"Langer dan 12 uur - controleren",IF(AND(E1443="Werken",D1443=""),"Werken zonder klant - koppelen","OK"))))))</f>
        <v/>
      </c>
    </row>
    <row r="1444" ht="15" customHeight="1" s="42">
      <c r="A1444" s="55" t="n"/>
      <c r="B1444" s="56">
        <f>IF(A1444="","",WEEKNUM(A1444,21))</f>
        <v/>
      </c>
      <c r="C1444" s="57" t="n"/>
      <c r="D1444" s="57" t="n"/>
      <c r="E1444" s="58" t="n"/>
      <c r="F1444" s="57" t="n"/>
      <c r="G1444" s="59" t="n"/>
      <c r="H1444" s="59" t="n"/>
      <c r="I1444" s="60">
        <f>IF(OR(G1444="",H1444=""),"",MOD(H1444-G1444,1))</f>
        <v/>
      </c>
      <c r="J1444" s="61">
        <f>IF(OR(G1444="",H1444=""),"",ROUND(MOD(H1444-G1444,1)*24,2))</f>
        <v/>
      </c>
      <c r="K1444" s="62">
        <f>IF(E1444="","",IF(E1444="Werken","JA","NEE"))</f>
        <v/>
      </c>
      <c r="L1444" s="61">
        <f>IF(K1444="JA",N(J1444),IF(E1444="","",0))</f>
        <v/>
      </c>
      <c r="M1444" s="62">
        <f>IF(AND(A1444="",E1444=""),"",IF(E1444="","Segment ontbreekt",IF(OR(G1444="",H1444=""),"Van/tot ontbreekt",IF(N(J1444)=0,"Duur is nul",IF(N(J1444)&gt;12,"Langer dan 12 uur - controleren",IF(AND(E1444="Werken",D1444=""),"Werken zonder klant - koppelen","OK"))))))</f>
        <v/>
      </c>
    </row>
    <row r="1445" ht="15" customHeight="1" s="42">
      <c r="A1445" s="55" t="n"/>
      <c r="B1445" s="56">
        <f>IF(A1445="","",WEEKNUM(A1445,21))</f>
        <v/>
      </c>
      <c r="C1445" s="57" t="n"/>
      <c r="D1445" s="57" t="n"/>
      <c r="E1445" s="58" t="n"/>
      <c r="F1445" s="57" t="n"/>
      <c r="G1445" s="59" t="n"/>
      <c r="H1445" s="59" t="n"/>
      <c r="I1445" s="60">
        <f>IF(OR(G1445="",H1445=""),"",MOD(H1445-G1445,1))</f>
        <v/>
      </c>
      <c r="J1445" s="61">
        <f>IF(OR(G1445="",H1445=""),"",ROUND(MOD(H1445-G1445,1)*24,2))</f>
        <v/>
      </c>
      <c r="K1445" s="62">
        <f>IF(E1445="","",IF(E1445="Werken","JA","NEE"))</f>
        <v/>
      </c>
      <c r="L1445" s="61">
        <f>IF(K1445="JA",N(J1445),IF(E1445="","",0))</f>
        <v/>
      </c>
      <c r="M1445" s="62">
        <f>IF(AND(A1445="",E1445=""),"",IF(E1445="","Segment ontbreekt",IF(OR(G1445="",H1445=""),"Van/tot ontbreekt",IF(N(J1445)=0,"Duur is nul",IF(N(J1445)&gt;12,"Langer dan 12 uur - controleren",IF(AND(E1445="Werken",D1445=""),"Werken zonder klant - koppelen","OK"))))))</f>
        <v/>
      </c>
    </row>
    <row r="1446" ht="15" customHeight="1" s="42">
      <c r="A1446" s="55" t="n"/>
      <c r="B1446" s="56">
        <f>IF(A1446="","",WEEKNUM(A1446,21))</f>
        <v/>
      </c>
      <c r="C1446" s="57" t="n"/>
      <c r="D1446" s="57" t="n"/>
      <c r="E1446" s="58" t="n"/>
      <c r="F1446" s="57" t="n"/>
      <c r="G1446" s="59" t="n"/>
      <c r="H1446" s="59" t="n"/>
      <c r="I1446" s="60">
        <f>IF(OR(G1446="",H1446=""),"",MOD(H1446-G1446,1))</f>
        <v/>
      </c>
      <c r="J1446" s="61">
        <f>IF(OR(G1446="",H1446=""),"",ROUND(MOD(H1446-G1446,1)*24,2))</f>
        <v/>
      </c>
      <c r="K1446" s="62">
        <f>IF(E1446="","",IF(E1446="Werken","JA","NEE"))</f>
        <v/>
      </c>
      <c r="L1446" s="61">
        <f>IF(K1446="JA",N(J1446),IF(E1446="","",0))</f>
        <v/>
      </c>
      <c r="M1446" s="62">
        <f>IF(AND(A1446="",E1446=""),"",IF(E1446="","Segment ontbreekt",IF(OR(G1446="",H1446=""),"Van/tot ontbreekt",IF(N(J1446)=0,"Duur is nul",IF(N(J1446)&gt;12,"Langer dan 12 uur - controleren",IF(AND(E1446="Werken",D1446=""),"Werken zonder klant - koppelen","OK"))))))</f>
        <v/>
      </c>
    </row>
    <row r="1447" ht="15" customHeight="1" s="42">
      <c r="A1447" s="55" t="n"/>
      <c r="B1447" s="56">
        <f>IF(A1447="","",WEEKNUM(A1447,21))</f>
        <v/>
      </c>
      <c r="C1447" s="57" t="n"/>
      <c r="D1447" s="57" t="n"/>
      <c r="E1447" s="58" t="n"/>
      <c r="F1447" s="57" t="n"/>
      <c r="G1447" s="59" t="n"/>
      <c r="H1447" s="59" t="n"/>
      <c r="I1447" s="60">
        <f>IF(OR(G1447="",H1447=""),"",MOD(H1447-G1447,1))</f>
        <v/>
      </c>
      <c r="J1447" s="61">
        <f>IF(OR(G1447="",H1447=""),"",ROUND(MOD(H1447-G1447,1)*24,2))</f>
        <v/>
      </c>
      <c r="K1447" s="62">
        <f>IF(E1447="","",IF(E1447="Werken","JA","NEE"))</f>
        <v/>
      </c>
      <c r="L1447" s="61">
        <f>IF(K1447="JA",N(J1447),IF(E1447="","",0))</f>
        <v/>
      </c>
      <c r="M1447" s="62">
        <f>IF(AND(A1447="",E1447=""),"",IF(E1447="","Segment ontbreekt",IF(OR(G1447="",H1447=""),"Van/tot ontbreekt",IF(N(J1447)=0,"Duur is nul",IF(N(J1447)&gt;12,"Langer dan 12 uur - controleren",IF(AND(E1447="Werken",D1447=""),"Werken zonder klant - koppelen","OK"))))))</f>
        <v/>
      </c>
    </row>
    <row r="1448" ht="15" customHeight="1" s="42">
      <c r="A1448" s="55" t="n"/>
      <c r="B1448" s="56">
        <f>IF(A1448="","",WEEKNUM(A1448,21))</f>
        <v/>
      </c>
      <c r="C1448" s="57" t="n"/>
      <c r="D1448" s="57" t="n"/>
      <c r="E1448" s="58" t="n"/>
      <c r="F1448" s="57" t="n"/>
      <c r="G1448" s="59" t="n"/>
      <c r="H1448" s="59" t="n"/>
      <c r="I1448" s="60">
        <f>IF(OR(G1448="",H1448=""),"",MOD(H1448-G1448,1))</f>
        <v/>
      </c>
      <c r="J1448" s="61">
        <f>IF(OR(G1448="",H1448=""),"",ROUND(MOD(H1448-G1448,1)*24,2))</f>
        <v/>
      </c>
      <c r="K1448" s="62">
        <f>IF(E1448="","",IF(E1448="Werken","JA","NEE"))</f>
        <v/>
      </c>
      <c r="L1448" s="61">
        <f>IF(K1448="JA",N(J1448),IF(E1448="","",0))</f>
        <v/>
      </c>
      <c r="M1448" s="62">
        <f>IF(AND(A1448="",E1448=""),"",IF(E1448="","Segment ontbreekt",IF(OR(G1448="",H1448=""),"Van/tot ontbreekt",IF(N(J1448)=0,"Duur is nul",IF(N(J1448)&gt;12,"Langer dan 12 uur - controleren",IF(AND(E1448="Werken",D1448=""),"Werken zonder klant - koppelen","OK"))))))</f>
        <v/>
      </c>
    </row>
    <row r="1449" ht="15" customHeight="1" s="42">
      <c r="A1449" s="55" t="n"/>
      <c r="B1449" s="56">
        <f>IF(A1449="","",WEEKNUM(A1449,21))</f>
        <v/>
      </c>
      <c r="C1449" s="57" t="n"/>
      <c r="D1449" s="57" t="n"/>
      <c r="E1449" s="58" t="n"/>
      <c r="F1449" s="57" t="n"/>
      <c r="G1449" s="59" t="n"/>
      <c r="H1449" s="59" t="n"/>
      <c r="I1449" s="60">
        <f>IF(OR(G1449="",H1449=""),"",MOD(H1449-G1449,1))</f>
        <v/>
      </c>
      <c r="J1449" s="61">
        <f>IF(OR(G1449="",H1449=""),"",ROUND(MOD(H1449-G1449,1)*24,2))</f>
        <v/>
      </c>
      <c r="K1449" s="62">
        <f>IF(E1449="","",IF(E1449="Werken","JA","NEE"))</f>
        <v/>
      </c>
      <c r="L1449" s="61">
        <f>IF(K1449="JA",N(J1449),IF(E1449="","",0))</f>
        <v/>
      </c>
      <c r="M1449" s="62">
        <f>IF(AND(A1449="",E1449=""),"",IF(E1449="","Segment ontbreekt",IF(OR(G1449="",H1449=""),"Van/tot ontbreekt",IF(N(J1449)=0,"Duur is nul",IF(N(J1449)&gt;12,"Langer dan 12 uur - controleren",IF(AND(E1449="Werken",D1449=""),"Werken zonder klant - koppelen","OK"))))))</f>
        <v/>
      </c>
    </row>
    <row r="1450" ht="15" customHeight="1" s="42">
      <c r="A1450" s="55" t="n"/>
      <c r="B1450" s="56">
        <f>IF(A1450="","",WEEKNUM(A1450,21))</f>
        <v/>
      </c>
      <c r="C1450" s="57" t="n"/>
      <c r="D1450" s="57" t="n"/>
      <c r="E1450" s="58" t="n"/>
      <c r="F1450" s="57" t="n"/>
      <c r="G1450" s="59" t="n"/>
      <c r="H1450" s="59" t="n"/>
      <c r="I1450" s="60">
        <f>IF(OR(G1450="",H1450=""),"",MOD(H1450-G1450,1))</f>
        <v/>
      </c>
      <c r="J1450" s="61">
        <f>IF(OR(G1450="",H1450=""),"",ROUND(MOD(H1450-G1450,1)*24,2))</f>
        <v/>
      </c>
      <c r="K1450" s="62">
        <f>IF(E1450="","",IF(E1450="Werken","JA","NEE"))</f>
        <v/>
      </c>
      <c r="L1450" s="61">
        <f>IF(K1450="JA",N(J1450),IF(E1450="","",0))</f>
        <v/>
      </c>
      <c r="M1450" s="62">
        <f>IF(AND(A1450="",E1450=""),"",IF(E1450="","Segment ontbreekt",IF(OR(G1450="",H1450=""),"Van/tot ontbreekt",IF(N(J1450)=0,"Duur is nul",IF(N(J1450)&gt;12,"Langer dan 12 uur - controleren",IF(AND(E1450="Werken",D1450=""),"Werken zonder klant - koppelen","OK"))))))</f>
        <v/>
      </c>
    </row>
    <row r="1451" ht="15" customHeight="1" s="42">
      <c r="A1451" s="55" t="n"/>
      <c r="B1451" s="56">
        <f>IF(A1451="","",WEEKNUM(A1451,21))</f>
        <v/>
      </c>
      <c r="C1451" s="57" t="n"/>
      <c r="D1451" s="57" t="n"/>
      <c r="E1451" s="58" t="n"/>
      <c r="F1451" s="57" t="n"/>
      <c r="G1451" s="59" t="n"/>
      <c r="H1451" s="59" t="n"/>
      <c r="I1451" s="60">
        <f>IF(OR(G1451="",H1451=""),"",MOD(H1451-G1451,1))</f>
        <v/>
      </c>
      <c r="J1451" s="61">
        <f>IF(OR(G1451="",H1451=""),"",ROUND(MOD(H1451-G1451,1)*24,2))</f>
        <v/>
      </c>
      <c r="K1451" s="62">
        <f>IF(E1451="","",IF(E1451="Werken","JA","NEE"))</f>
        <v/>
      </c>
      <c r="L1451" s="61">
        <f>IF(K1451="JA",N(J1451),IF(E1451="","",0))</f>
        <v/>
      </c>
      <c r="M1451" s="62">
        <f>IF(AND(A1451="",E1451=""),"",IF(E1451="","Segment ontbreekt",IF(OR(G1451="",H1451=""),"Van/tot ontbreekt",IF(N(J1451)=0,"Duur is nul",IF(N(J1451)&gt;12,"Langer dan 12 uur - controleren",IF(AND(E1451="Werken",D1451=""),"Werken zonder klant - koppelen","OK"))))))</f>
        <v/>
      </c>
    </row>
    <row r="1452" ht="15" customHeight="1" s="42">
      <c r="A1452" s="55" t="n"/>
      <c r="B1452" s="56">
        <f>IF(A1452="","",WEEKNUM(A1452,21))</f>
        <v/>
      </c>
      <c r="C1452" s="57" t="n"/>
      <c r="D1452" s="57" t="n"/>
      <c r="E1452" s="58" t="n"/>
      <c r="F1452" s="57" t="n"/>
      <c r="G1452" s="59" t="n"/>
      <c r="H1452" s="59" t="n"/>
      <c r="I1452" s="60">
        <f>IF(OR(G1452="",H1452=""),"",MOD(H1452-G1452,1))</f>
        <v/>
      </c>
      <c r="J1452" s="61">
        <f>IF(OR(G1452="",H1452=""),"",ROUND(MOD(H1452-G1452,1)*24,2))</f>
        <v/>
      </c>
      <c r="K1452" s="62">
        <f>IF(E1452="","",IF(E1452="Werken","JA","NEE"))</f>
        <v/>
      </c>
      <c r="L1452" s="61">
        <f>IF(K1452="JA",N(J1452),IF(E1452="","",0))</f>
        <v/>
      </c>
      <c r="M1452" s="62">
        <f>IF(AND(A1452="",E1452=""),"",IF(E1452="","Segment ontbreekt",IF(OR(G1452="",H1452=""),"Van/tot ontbreekt",IF(N(J1452)=0,"Duur is nul",IF(N(J1452)&gt;12,"Langer dan 12 uur - controleren",IF(AND(E1452="Werken",D1452=""),"Werken zonder klant - koppelen","OK"))))))</f>
        <v/>
      </c>
    </row>
    <row r="1453" ht="15" customHeight="1" s="42">
      <c r="A1453" s="55" t="n"/>
      <c r="B1453" s="56">
        <f>IF(A1453="","",WEEKNUM(A1453,21))</f>
        <v/>
      </c>
      <c r="C1453" s="57" t="n"/>
      <c r="D1453" s="57" t="n"/>
      <c r="E1453" s="58" t="n"/>
      <c r="F1453" s="57" t="n"/>
      <c r="G1453" s="59" t="n"/>
      <c r="H1453" s="59" t="n"/>
      <c r="I1453" s="60">
        <f>IF(OR(G1453="",H1453=""),"",MOD(H1453-G1453,1))</f>
        <v/>
      </c>
      <c r="J1453" s="61">
        <f>IF(OR(G1453="",H1453=""),"",ROUND(MOD(H1453-G1453,1)*24,2))</f>
        <v/>
      </c>
      <c r="K1453" s="62">
        <f>IF(E1453="","",IF(E1453="Werken","JA","NEE"))</f>
        <v/>
      </c>
      <c r="L1453" s="61">
        <f>IF(K1453="JA",N(J1453),IF(E1453="","",0))</f>
        <v/>
      </c>
      <c r="M1453" s="62">
        <f>IF(AND(A1453="",E1453=""),"",IF(E1453="","Segment ontbreekt",IF(OR(G1453="",H1453=""),"Van/tot ontbreekt",IF(N(J1453)=0,"Duur is nul",IF(N(J1453)&gt;12,"Langer dan 12 uur - controleren",IF(AND(E1453="Werken",D1453=""),"Werken zonder klant - koppelen","OK"))))))</f>
        <v/>
      </c>
    </row>
    <row r="1454" ht="15" customHeight="1" s="42">
      <c r="A1454" s="55" t="n"/>
      <c r="B1454" s="56">
        <f>IF(A1454="","",WEEKNUM(A1454,21))</f>
        <v/>
      </c>
      <c r="C1454" s="57" t="n"/>
      <c r="D1454" s="57" t="n"/>
      <c r="E1454" s="58" t="n"/>
      <c r="F1454" s="57" t="n"/>
      <c r="G1454" s="59" t="n"/>
      <c r="H1454" s="59" t="n"/>
      <c r="I1454" s="60">
        <f>IF(OR(G1454="",H1454=""),"",MOD(H1454-G1454,1))</f>
        <v/>
      </c>
      <c r="J1454" s="61">
        <f>IF(OR(G1454="",H1454=""),"",ROUND(MOD(H1454-G1454,1)*24,2))</f>
        <v/>
      </c>
      <c r="K1454" s="62">
        <f>IF(E1454="","",IF(E1454="Werken","JA","NEE"))</f>
        <v/>
      </c>
      <c r="L1454" s="61">
        <f>IF(K1454="JA",N(J1454),IF(E1454="","",0))</f>
        <v/>
      </c>
      <c r="M1454" s="62">
        <f>IF(AND(A1454="",E1454=""),"",IF(E1454="","Segment ontbreekt",IF(OR(G1454="",H1454=""),"Van/tot ontbreekt",IF(N(J1454)=0,"Duur is nul",IF(N(J1454)&gt;12,"Langer dan 12 uur - controleren",IF(AND(E1454="Werken",D1454=""),"Werken zonder klant - koppelen","OK"))))))</f>
        <v/>
      </c>
    </row>
    <row r="1455" ht="15" customHeight="1" s="42">
      <c r="A1455" s="55" t="n"/>
      <c r="B1455" s="56">
        <f>IF(A1455="","",WEEKNUM(A1455,21))</f>
        <v/>
      </c>
      <c r="C1455" s="57" t="n"/>
      <c r="D1455" s="57" t="n"/>
      <c r="E1455" s="58" t="n"/>
      <c r="F1455" s="57" t="n"/>
      <c r="G1455" s="59" t="n"/>
      <c r="H1455" s="59" t="n"/>
      <c r="I1455" s="60">
        <f>IF(OR(G1455="",H1455=""),"",MOD(H1455-G1455,1))</f>
        <v/>
      </c>
      <c r="J1455" s="61">
        <f>IF(OR(G1455="",H1455=""),"",ROUND(MOD(H1455-G1455,1)*24,2))</f>
        <v/>
      </c>
      <c r="K1455" s="62">
        <f>IF(E1455="","",IF(E1455="Werken","JA","NEE"))</f>
        <v/>
      </c>
      <c r="L1455" s="61">
        <f>IF(K1455="JA",N(J1455),IF(E1455="","",0))</f>
        <v/>
      </c>
      <c r="M1455" s="62">
        <f>IF(AND(A1455="",E1455=""),"",IF(E1455="","Segment ontbreekt",IF(OR(G1455="",H1455=""),"Van/tot ontbreekt",IF(N(J1455)=0,"Duur is nul",IF(N(J1455)&gt;12,"Langer dan 12 uur - controleren",IF(AND(E1455="Werken",D1455=""),"Werken zonder klant - koppelen","OK"))))))</f>
        <v/>
      </c>
    </row>
    <row r="1456" ht="15" customHeight="1" s="42">
      <c r="A1456" s="55" t="n"/>
      <c r="B1456" s="56">
        <f>IF(A1456="","",WEEKNUM(A1456,21))</f>
        <v/>
      </c>
      <c r="C1456" s="57" t="n"/>
      <c r="D1456" s="57" t="n"/>
      <c r="E1456" s="58" t="n"/>
      <c r="F1456" s="57" t="n"/>
      <c r="G1456" s="59" t="n"/>
      <c r="H1456" s="59" t="n"/>
      <c r="I1456" s="60">
        <f>IF(OR(G1456="",H1456=""),"",MOD(H1456-G1456,1))</f>
        <v/>
      </c>
      <c r="J1456" s="61">
        <f>IF(OR(G1456="",H1456=""),"",ROUND(MOD(H1456-G1456,1)*24,2))</f>
        <v/>
      </c>
      <c r="K1456" s="62">
        <f>IF(E1456="","",IF(E1456="Werken","JA","NEE"))</f>
        <v/>
      </c>
      <c r="L1456" s="61">
        <f>IF(K1456="JA",N(J1456),IF(E1456="","",0))</f>
        <v/>
      </c>
      <c r="M1456" s="62">
        <f>IF(AND(A1456="",E1456=""),"",IF(E1456="","Segment ontbreekt",IF(OR(G1456="",H1456=""),"Van/tot ontbreekt",IF(N(J1456)=0,"Duur is nul",IF(N(J1456)&gt;12,"Langer dan 12 uur - controleren",IF(AND(E1456="Werken",D1456=""),"Werken zonder klant - koppelen","OK"))))))</f>
        <v/>
      </c>
    </row>
    <row r="1457" ht="15" customHeight="1" s="42">
      <c r="A1457" s="55" t="n"/>
      <c r="B1457" s="56">
        <f>IF(A1457="","",WEEKNUM(A1457,21))</f>
        <v/>
      </c>
      <c r="C1457" s="57" t="n"/>
      <c r="D1457" s="57" t="n"/>
      <c r="E1457" s="58" t="n"/>
      <c r="F1457" s="57" t="n"/>
      <c r="G1457" s="59" t="n"/>
      <c r="H1457" s="59" t="n"/>
      <c r="I1457" s="60">
        <f>IF(OR(G1457="",H1457=""),"",MOD(H1457-G1457,1))</f>
        <v/>
      </c>
      <c r="J1457" s="61">
        <f>IF(OR(G1457="",H1457=""),"",ROUND(MOD(H1457-G1457,1)*24,2))</f>
        <v/>
      </c>
      <c r="K1457" s="62">
        <f>IF(E1457="","",IF(E1457="Werken","JA","NEE"))</f>
        <v/>
      </c>
      <c r="L1457" s="61">
        <f>IF(K1457="JA",N(J1457),IF(E1457="","",0))</f>
        <v/>
      </c>
      <c r="M1457" s="62">
        <f>IF(AND(A1457="",E1457=""),"",IF(E1457="","Segment ontbreekt",IF(OR(G1457="",H1457=""),"Van/tot ontbreekt",IF(N(J1457)=0,"Duur is nul",IF(N(J1457)&gt;12,"Langer dan 12 uur - controleren",IF(AND(E1457="Werken",D1457=""),"Werken zonder klant - koppelen","OK"))))))</f>
        <v/>
      </c>
    </row>
    <row r="1458" ht="15" customHeight="1" s="42">
      <c r="A1458" s="55" t="n"/>
      <c r="B1458" s="56">
        <f>IF(A1458="","",WEEKNUM(A1458,21))</f>
        <v/>
      </c>
      <c r="C1458" s="57" t="n"/>
      <c r="D1458" s="57" t="n"/>
      <c r="E1458" s="58" t="n"/>
      <c r="F1458" s="57" t="n"/>
      <c r="G1458" s="59" t="n"/>
      <c r="H1458" s="59" t="n"/>
      <c r="I1458" s="60">
        <f>IF(OR(G1458="",H1458=""),"",MOD(H1458-G1458,1))</f>
        <v/>
      </c>
      <c r="J1458" s="61">
        <f>IF(OR(G1458="",H1458=""),"",ROUND(MOD(H1458-G1458,1)*24,2))</f>
        <v/>
      </c>
      <c r="K1458" s="62">
        <f>IF(E1458="","",IF(E1458="Werken","JA","NEE"))</f>
        <v/>
      </c>
      <c r="L1458" s="61">
        <f>IF(K1458="JA",N(J1458),IF(E1458="","",0))</f>
        <v/>
      </c>
      <c r="M1458" s="62">
        <f>IF(AND(A1458="",E1458=""),"",IF(E1458="","Segment ontbreekt",IF(OR(G1458="",H1458=""),"Van/tot ontbreekt",IF(N(J1458)=0,"Duur is nul",IF(N(J1458)&gt;12,"Langer dan 12 uur - controleren",IF(AND(E1458="Werken",D1458=""),"Werken zonder klant - koppelen","OK"))))))</f>
        <v/>
      </c>
    </row>
    <row r="1459" ht="15" customHeight="1" s="42">
      <c r="A1459" s="55" t="n"/>
      <c r="B1459" s="56">
        <f>IF(A1459="","",WEEKNUM(A1459,21))</f>
        <v/>
      </c>
      <c r="C1459" s="57" t="n"/>
      <c r="D1459" s="57" t="n"/>
      <c r="E1459" s="58" t="n"/>
      <c r="F1459" s="57" t="n"/>
      <c r="G1459" s="59" t="n"/>
      <c r="H1459" s="59" t="n"/>
      <c r="I1459" s="60">
        <f>IF(OR(G1459="",H1459=""),"",MOD(H1459-G1459,1))</f>
        <v/>
      </c>
      <c r="J1459" s="61">
        <f>IF(OR(G1459="",H1459=""),"",ROUND(MOD(H1459-G1459,1)*24,2))</f>
        <v/>
      </c>
      <c r="K1459" s="62">
        <f>IF(E1459="","",IF(E1459="Werken","JA","NEE"))</f>
        <v/>
      </c>
      <c r="L1459" s="61">
        <f>IF(K1459="JA",N(J1459),IF(E1459="","",0))</f>
        <v/>
      </c>
      <c r="M1459" s="62">
        <f>IF(AND(A1459="",E1459=""),"",IF(E1459="","Segment ontbreekt",IF(OR(G1459="",H1459=""),"Van/tot ontbreekt",IF(N(J1459)=0,"Duur is nul",IF(N(J1459)&gt;12,"Langer dan 12 uur - controleren",IF(AND(E1459="Werken",D1459=""),"Werken zonder klant - koppelen","OK"))))))</f>
        <v/>
      </c>
    </row>
    <row r="1460" ht="15" customHeight="1" s="42">
      <c r="A1460" s="55" t="n"/>
      <c r="B1460" s="56">
        <f>IF(A1460="","",WEEKNUM(A1460,21))</f>
        <v/>
      </c>
      <c r="C1460" s="57" t="n"/>
      <c r="D1460" s="57" t="n"/>
      <c r="E1460" s="58" t="n"/>
      <c r="F1460" s="57" t="n"/>
      <c r="G1460" s="59" t="n"/>
      <c r="H1460" s="59" t="n"/>
      <c r="I1460" s="60">
        <f>IF(OR(G1460="",H1460=""),"",MOD(H1460-G1460,1))</f>
        <v/>
      </c>
      <c r="J1460" s="61">
        <f>IF(OR(G1460="",H1460=""),"",ROUND(MOD(H1460-G1460,1)*24,2))</f>
        <v/>
      </c>
      <c r="K1460" s="62">
        <f>IF(E1460="","",IF(E1460="Werken","JA","NEE"))</f>
        <v/>
      </c>
      <c r="L1460" s="61">
        <f>IF(K1460="JA",N(J1460),IF(E1460="","",0))</f>
        <v/>
      </c>
      <c r="M1460" s="62">
        <f>IF(AND(A1460="",E1460=""),"",IF(E1460="","Segment ontbreekt",IF(OR(G1460="",H1460=""),"Van/tot ontbreekt",IF(N(J1460)=0,"Duur is nul",IF(N(J1460)&gt;12,"Langer dan 12 uur - controleren",IF(AND(E1460="Werken",D1460=""),"Werken zonder klant - koppelen","OK"))))))</f>
        <v/>
      </c>
    </row>
    <row r="1461" ht="15" customHeight="1" s="42">
      <c r="A1461" s="55" t="n"/>
      <c r="B1461" s="56">
        <f>IF(A1461="","",WEEKNUM(A1461,21))</f>
        <v/>
      </c>
      <c r="C1461" s="57" t="n"/>
      <c r="D1461" s="57" t="n"/>
      <c r="E1461" s="58" t="n"/>
      <c r="F1461" s="57" t="n"/>
      <c r="G1461" s="59" t="n"/>
      <c r="H1461" s="59" t="n"/>
      <c r="I1461" s="60">
        <f>IF(OR(G1461="",H1461=""),"",MOD(H1461-G1461,1))</f>
        <v/>
      </c>
      <c r="J1461" s="61">
        <f>IF(OR(G1461="",H1461=""),"",ROUND(MOD(H1461-G1461,1)*24,2))</f>
        <v/>
      </c>
      <c r="K1461" s="62">
        <f>IF(E1461="","",IF(E1461="Werken","JA","NEE"))</f>
        <v/>
      </c>
      <c r="L1461" s="61">
        <f>IF(K1461="JA",N(J1461),IF(E1461="","",0))</f>
        <v/>
      </c>
      <c r="M1461" s="62">
        <f>IF(AND(A1461="",E1461=""),"",IF(E1461="","Segment ontbreekt",IF(OR(G1461="",H1461=""),"Van/tot ontbreekt",IF(N(J1461)=0,"Duur is nul",IF(N(J1461)&gt;12,"Langer dan 12 uur - controleren",IF(AND(E1461="Werken",D1461=""),"Werken zonder klant - koppelen","OK"))))))</f>
        <v/>
      </c>
    </row>
    <row r="1462" ht="15" customHeight="1" s="42">
      <c r="A1462" s="55" t="n"/>
      <c r="B1462" s="56">
        <f>IF(A1462="","",WEEKNUM(A1462,21))</f>
        <v/>
      </c>
      <c r="C1462" s="57" t="n"/>
      <c r="D1462" s="57" t="n"/>
      <c r="E1462" s="58" t="n"/>
      <c r="F1462" s="57" t="n"/>
      <c r="G1462" s="59" t="n"/>
      <c r="H1462" s="59" t="n"/>
      <c r="I1462" s="60">
        <f>IF(OR(G1462="",H1462=""),"",MOD(H1462-G1462,1))</f>
        <v/>
      </c>
      <c r="J1462" s="61">
        <f>IF(OR(G1462="",H1462=""),"",ROUND(MOD(H1462-G1462,1)*24,2))</f>
        <v/>
      </c>
      <c r="K1462" s="62">
        <f>IF(E1462="","",IF(E1462="Werken","JA","NEE"))</f>
        <v/>
      </c>
      <c r="L1462" s="61">
        <f>IF(K1462="JA",N(J1462),IF(E1462="","",0))</f>
        <v/>
      </c>
      <c r="M1462" s="62">
        <f>IF(AND(A1462="",E1462=""),"",IF(E1462="","Segment ontbreekt",IF(OR(G1462="",H1462=""),"Van/tot ontbreekt",IF(N(J1462)=0,"Duur is nul",IF(N(J1462)&gt;12,"Langer dan 12 uur - controleren",IF(AND(E1462="Werken",D1462=""),"Werken zonder klant - koppelen","OK"))))))</f>
        <v/>
      </c>
    </row>
    <row r="1463" ht="15" customHeight="1" s="42">
      <c r="A1463" s="55" t="n"/>
      <c r="B1463" s="56">
        <f>IF(A1463="","",WEEKNUM(A1463,21))</f>
        <v/>
      </c>
      <c r="C1463" s="57" t="n"/>
      <c r="D1463" s="57" t="n"/>
      <c r="E1463" s="58" t="n"/>
      <c r="F1463" s="57" t="n"/>
      <c r="G1463" s="59" t="n"/>
      <c r="H1463" s="59" t="n"/>
      <c r="I1463" s="60">
        <f>IF(OR(G1463="",H1463=""),"",MOD(H1463-G1463,1))</f>
        <v/>
      </c>
      <c r="J1463" s="61">
        <f>IF(OR(G1463="",H1463=""),"",ROUND(MOD(H1463-G1463,1)*24,2))</f>
        <v/>
      </c>
      <c r="K1463" s="62">
        <f>IF(E1463="","",IF(E1463="Werken","JA","NEE"))</f>
        <v/>
      </c>
      <c r="L1463" s="61">
        <f>IF(K1463="JA",N(J1463),IF(E1463="","",0))</f>
        <v/>
      </c>
      <c r="M1463" s="62">
        <f>IF(AND(A1463="",E1463=""),"",IF(E1463="","Segment ontbreekt",IF(OR(G1463="",H1463=""),"Van/tot ontbreekt",IF(N(J1463)=0,"Duur is nul",IF(N(J1463)&gt;12,"Langer dan 12 uur - controleren",IF(AND(E1463="Werken",D1463=""),"Werken zonder klant - koppelen","OK"))))))</f>
        <v/>
      </c>
    </row>
    <row r="1464" ht="15" customHeight="1" s="42">
      <c r="A1464" s="55" t="n"/>
      <c r="B1464" s="56">
        <f>IF(A1464="","",WEEKNUM(A1464,21))</f>
        <v/>
      </c>
      <c r="C1464" s="57" t="n"/>
      <c r="D1464" s="57" t="n"/>
      <c r="E1464" s="58" t="n"/>
      <c r="F1464" s="57" t="n"/>
      <c r="G1464" s="59" t="n"/>
      <c r="H1464" s="59" t="n"/>
      <c r="I1464" s="60">
        <f>IF(OR(G1464="",H1464=""),"",MOD(H1464-G1464,1))</f>
        <v/>
      </c>
      <c r="J1464" s="61">
        <f>IF(OR(G1464="",H1464=""),"",ROUND(MOD(H1464-G1464,1)*24,2))</f>
        <v/>
      </c>
      <c r="K1464" s="62">
        <f>IF(E1464="","",IF(E1464="Werken","JA","NEE"))</f>
        <v/>
      </c>
      <c r="L1464" s="61">
        <f>IF(K1464="JA",N(J1464),IF(E1464="","",0))</f>
        <v/>
      </c>
      <c r="M1464" s="62">
        <f>IF(AND(A1464="",E1464=""),"",IF(E1464="","Segment ontbreekt",IF(OR(G1464="",H1464=""),"Van/tot ontbreekt",IF(N(J1464)=0,"Duur is nul",IF(N(J1464)&gt;12,"Langer dan 12 uur - controleren",IF(AND(E1464="Werken",D1464=""),"Werken zonder klant - koppelen","OK"))))))</f>
        <v/>
      </c>
    </row>
    <row r="1465" ht="15" customHeight="1" s="42">
      <c r="A1465" s="55" t="n"/>
      <c r="B1465" s="56">
        <f>IF(A1465="","",WEEKNUM(A1465,21))</f>
        <v/>
      </c>
      <c r="C1465" s="57" t="n"/>
      <c r="D1465" s="57" t="n"/>
      <c r="E1465" s="58" t="n"/>
      <c r="F1465" s="57" t="n"/>
      <c r="G1465" s="59" t="n"/>
      <c r="H1465" s="59" t="n"/>
      <c r="I1465" s="60">
        <f>IF(OR(G1465="",H1465=""),"",MOD(H1465-G1465,1))</f>
        <v/>
      </c>
      <c r="J1465" s="61">
        <f>IF(OR(G1465="",H1465=""),"",ROUND(MOD(H1465-G1465,1)*24,2))</f>
        <v/>
      </c>
      <c r="K1465" s="62">
        <f>IF(E1465="","",IF(E1465="Werken","JA","NEE"))</f>
        <v/>
      </c>
      <c r="L1465" s="61">
        <f>IF(K1465="JA",N(J1465),IF(E1465="","",0))</f>
        <v/>
      </c>
      <c r="M1465" s="62">
        <f>IF(AND(A1465="",E1465=""),"",IF(E1465="","Segment ontbreekt",IF(OR(G1465="",H1465=""),"Van/tot ontbreekt",IF(N(J1465)=0,"Duur is nul",IF(N(J1465)&gt;12,"Langer dan 12 uur - controleren",IF(AND(E1465="Werken",D1465=""),"Werken zonder klant - koppelen","OK"))))))</f>
        <v/>
      </c>
    </row>
    <row r="1466" ht="15" customHeight="1" s="42">
      <c r="A1466" s="55" t="n"/>
      <c r="B1466" s="56">
        <f>IF(A1466="","",WEEKNUM(A1466,21))</f>
        <v/>
      </c>
      <c r="C1466" s="57" t="n"/>
      <c r="D1466" s="57" t="n"/>
      <c r="E1466" s="58" t="n"/>
      <c r="F1466" s="57" t="n"/>
      <c r="G1466" s="59" t="n"/>
      <c r="H1466" s="59" t="n"/>
      <c r="I1466" s="60">
        <f>IF(OR(G1466="",H1466=""),"",MOD(H1466-G1466,1))</f>
        <v/>
      </c>
      <c r="J1466" s="61">
        <f>IF(OR(G1466="",H1466=""),"",ROUND(MOD(H1466-G1466,1)*24,2))</f>
        <v/>
      </c>
      <c r="K1466" s="62">
        <f>IF(E1466="","",IF(E1466="Werken","JA","NEE"))</f>
        <v/>
      </c>
      <c r="L1466" s="61">
        <f>IF(K1466="JA",N(J1466),IF(E1466="","",0))</f>
        <v/>
      </c>
      <c r="M1466" s="62">
        <f>IF(AND(A1466="",E1466=""),"",IF(E1466="","Segment ontbreekt",IF(OR(G1466="",H1466=""),"Van/tot ontbreekt",IF(N(J1466)=0,"Duur is nul",IF(N(J1466)&gt;12,"Langer dan 12 uur - controleren",IF(AND(E1466="Werken",D1466=""),"Werken zonder klant - koppelen","OK"))))))</f>
        <v/>
      </c>
    </row>
    <row r="1467" ht="15" customHeight="1" s="42">
      <c r="A1467" s="55" t="n"/>
      <c r="B1467" s="56">
        <f>IF(A1467="","",WEEKNUM(A1467,21))</f>
        <v/>
      </c>
      <c r="C1467" s="57" t="n"/>
      <c r="D1467" s="57" t="n"/>
      <c r="E1467" s="58" t="n"/>
      <c r="F1467" s="57" t="n"/>
      <c r="G1467" s="59" t="n"/>
      <c r="H1467" s="59" t="n"/>
      <c r="I1467" s="60">
        <f>IF(OR(G1467="",H1467=""),"",MOD(H1467-G1467,1))</f>
        <v/>
      </c>
      <c r="J1467" s="61">
        <f>IF(OR(G1467="",H1467=""),"",ROUND(MOD(H1467-G1467,1)*24,2))</f>
        <v/>
      </c>
      <c r="K1467" s="62">
        <f>IF(E1467="","",IF(E1467="Werken","JA","NEE"))</f>
        <v/>
      </c>
      <c r="L1467" s="61">
        <f>IF(K1467="JA",N(J1467),IF(E1467="","",0))</f>
        <v/>
      </c>
      <c r="M1467" s="62">
        <f>IF(AND(A1467="",E1467=""),"",IF(E1467="","Segment ontbreekt",IF(OR(G1467="",H1467=""),"Van/tot ontbreekt",IF(N(J1467)=0,"Duur is nul",IF(N(J1467)&gt;12,"Langer dan 12 uur - controleren",IF(AND(E1467="Werken",D1467=""),"Werken zonder klant - koppelen","OK"))))))</f>
        <v/>
      </c>
    </row>
    <row r="1468" ht="15" customHeight="1" s="42">
      <c r="A1468" s="55" t="n"/>
      <c r="B1468" s="56">
        <f>IF(A1468="","",WEEKNUM(A1468,21))</f>
        <v/>
      </c>
      <c r="C1468" s="57" t="n"/>
      <c r="D1468" s="57" t="n"/>
      <c r="E1468" s="58" t="n"/>
      <c r="F1468" s="57" t="n"/>
      <c r="G1468" s="59" t="n"/>
      <c r="H1468" s="59" t="n"/>
      <c r="I1468" s="60">
        <f>IF(OR(G1468="",H1468=""),"",MOD(H1468-G1468,1))</f>
        <v/>
      </c>
      <c r="J1468" s="61">
        <f>IF(OR(G1468="",H1468=""),"",ROUND(MOD(H1468-G1468,1)*24,2))</f>
        <v/>
      </c>
      <c r="K1468" s="62">
        <f>IF(E1468="","",IF(E1468="Werken","JA","NEE"))</f>
        <v/>
      </c>
      <c r="L1468" s="61">
        <f>IF(K1468="JA",N(J1468),IF(E1468="","",0))</f>
        <v/>
      </c>
      <c r="M1468" s="62">
        <f>IF(AND(A1468="",E1468=""),"",IF(E1468="","Segment ontbreekt",IF(OR(G1468="",H1468=""),"Van/tot ontbreekt",IF(N(J1468)=0,"Duur is nul",IF(N(J1468)&gt;12,"Langer dan 12 uur - controleren",IF(AND(E1468="Werken",D1468=""),"Werken zonder klant - koppelen","OK"))))))</f>
        <v/>
      </c>
    </row>
    <row r="1469" ht="15" customHeight="1" s="42">
      <c r="A1469" s="55" t="n"/>
      <c r="B1469" s="56">
        <f>IF(A1469="","",WEEKNUM(A1469,21))</f>
        <v/>
      </c>
      <c r="C1469" s="57" t="n"/>
      <c r="D1469" s="57" t="n"/>
      <c r="E1469" s="58" t="n"/>
      <c r="F1469" s="57" t="n"/>
      <c r="G1469" s="59" t="n"/>
      <c r="H1469" s="59" t="n"/>
      <c r="I1469" s="60">
        <f>IF(OR(G1469="",H1469=""),"",MOD(H1469-G1469,1))</f>
        <v/>
      </c>
      <c r="J1469" s="61">
        <f>IF(OR(G1469="",H1469=""),"",ROUND(MOD(H1469-G1469,1)*24,2))</f>
        <v/>
      </c>
      <c r="K1469" s="62">
        <f>IF(E1469="","",IF(E1469="Werken","JA","NEE"))</f>
        <v/>
      </c>
      <c r="L1469" s="61">
        <f>IF(K1469="JA",N(J1469),IF(E1469="","",0))</f>
        <v/>
      </c>
      <c r="M1469" s="62">
        <f>IF(AND(A1469="",E1469=""),"",IF(E1469="","Segment ontbreekt",IF(OR(G1469="",H1469=""),"Van/tot ontbreekt",IF(N(J1469)=0,"Duur is nul",IF(N(J1469)&gt;12,"Langer dan 12 uur - controleren",IF(AND(E1469="Werken",D1469=""),"Werken zonder klant - koppelen","OK"))))))</f>
        <v/>
      </c>
    </row>
    <row r="1470" ht="15" customHeight="1" s="42">
      <c r="A1470" s="55" t="n"/>
      <c r="B1470" s="56">
        <f>IF(A1470="","",WEEKNUM(A1470,21))</f>
        <v/>
      </c>
      <c r="C1470" s="57" t="n"/>
      <c r="D1470" s="57" t="n"/>
      <c r="E1470" s="58" t="n"/>
      <c r="F1470" s="57" t="n"/>
      <c r="G1470" s="59" t="n"/>
      <c r="H1470" s="59" t="n"/>
      <c r="I1470" s="60">
        <f>IF(OR(G1470="",H1470=""),"",MOD(H1470-G1470,1))</f>
        <v/>
      </c>
      <c r="J1470" s="61">
        <f>IF(OR(G1470="",H1470=""),"",ROUND(MOD(H1470-G1470,1)*24,2))</f>
        <v/>
      </c>
      <c r="K1470" s="62">
        <f>IF(E1470="","",IF(E1470="Werken","JA","NEE"))</f>
        <v/>
      </c>
      <c r="L1470" s="61">
        <f>IF(K1470="JA",N(J1470),IF(E1470="","",0))</f>
        <v/>
      </c>
      <c r="M1470" s="62">
        <f>IF(AND(A1470="",E1470=""),"",IF(E1470="","Segment ontbreekt",IF(OR(G1470="",H1470=""),"Van/tot ontbreekt",IF(N(J1470)=0,"Duur is nul",IF(N(J1470)&gt;12,"Langer dan 12 uur - controleren",IF(AND(E1470="Werken",D1470=""),"Werken zonder klant - koppelen","OK"))))))</f>
        <v/>
      </c>
    </row>
    <row r="1471" ht="15" customHeight="1" s="42">
      <c r="A1471" s="55" t="n"/>
      <c r="B1471" s="56">
        <f>IF(A1471="","",WEEKNUM(A1471,21))</f>
        <v/>
      </c>
      <c r="C1471" s="57" t="n"/>
      <c r="D1471" s="57" t="n"/>
      <c r="E1471" s="58" t="n"/>
      <c r="F1471" s="57" t="n"/>
      <c r="G1471" s="59" t="n"/>
      <c r="H1471" s="59" t="n"/>
      <c r="I1471" s="60">
        <f>IF(OR(G1471="",H1471=""),"",MOD(H1471-G1471,1))</f>
        <v/>
      </c>
      <c r="J1471" s="61">
        <f>IF(OR(G1471="",H1471=""),"",ROUND(MOD(H1471-G1471,1)*24,2))</f>
        <v/>
      </c>
      <c r="K1471" s="62">
        <f>IF(E1471="","",IF(E1471="Werken","JA","NEE"))</f>
        <v/>
      </c>
      <c r="L1471" s="61">
        <f>IF(K1471="JA",N(J1471),IF(E1471="","",0))</f>
        <v/>
      </c>
      <c r="M1471" s="62">
        <f>IF(AND(A1471="",E1471=""),"",IF(E1471="","Segment ontbreekt",IF(OR(G1471="",H1471=""),"Van/tot ontbreekt",IF(N(J1471)=0,"Duur is nul",IF(N(J1471)&gt;12,"Langer dan 12 uur - controleren",IF(AND(E1471="Werken",D1471=""),"Werken zonder klant - koppelen","OK"))))))</f>
        <v/>
      </c>
    </row>
    <row r="1472" ht="15" customHeight="1" s="42">
      <c r="A1472" s="55" t="n"/>
      <c r="B1472" s="56">
        <f>IF(A1472="","",WEEKNUM(A1472,21))</f>
        <v/>
      </c>
      <c r="C1472" s="57" t="n"/>
      <c r="D1472" s="57" t="n"/>
      <c r="E1472" s="58" t="n"/>
      <c r="F1472" s="57" t="n"/>
      <c r="G1472" s="59" t="n"/>
      <c r="H1472" s="59" t="n"/>
      <c r="I1472" s="60">
        <f>IF(OR(G1472="",H1472=""),"",MOD(H1472-G1472,1))</f>
        <v/>
      </c>
      <c r="J1472" s="61">
        <f>IF(OR(G1472="",H1472=""),"",ROUND(MOD(H1472-G1472,1)*24,2))</f>
        <v/>
      </c>
      <c r="K1472" s="62">
        <f>IF(E1472="","",IF(E1472="Werken","JA","NEE"))</f>
        <v/>
      </c>
      <c r="L1472" s="61">
        <f>IF(K1472="JA",N(J1472),IF(E1472="","",0))</f>
        <v/>
      </c>
      <c r="M1472" s="62">
        <f>IF(AND(A1472="",E1472=""),"",IF(E1472="","Segment ontbreekt",IF(OR(G1472="",H1472=""),"Van/tot ontbreekt",IF(N(J1472)=0,"Duur is nul",IF(N(J1472)&gt;12,"Langer dan 12 uur - controleren",IF(AND(E1472="Werken",D1472=""),"Werken zonder klant - koppelen","OK"))))))</f>
        <v/>
      </c>
    </row>
    <row r="1473" ht="15" customHeight="1" s="42">
      <c r="A1473" s="55" t="n"/>
      <c r="B1473" s="56">
        <f>IF(A1473="","",WEEKNUM(A1473,21))</f>
        <v/>
      </c>
      <c r="C1473" s="57" t="n"/>
      <c r="D1473" s="57" t="n"/>
      <c r="E1473" s="58" t="n"/>
      <c r="F1473" s="57" t="n"/>
      <c r="G1473" s="59" t="n"/>
      <c r="H1473" s="59" t="n"/>
      <c r="I1473" s="60">
        <f>IF(OR(G1473="",H1473=""),"",MOD(H1473-G1473,1))</f>
        <v/>
      </c>
      <c r="J1473" s="61">
        <f>IF(OR(G1473="",H1473=""),"",ROUND(MOD(H1473-G1473,1)*24,2))</f>
        <v/>
      </c>
      <c r="K1473" s="62">
        <f>IF(E1473="","",IF(E1473="Werken","JA","NEE"))</f>
        <v/>
      </c>
      <c r="L1473" s="61">
        <f>IF(K1473="JA",N(J1473),IF(E1473="","",0))</f>
        <v/>
      </c>
      <c r="M1473" s="62">
        <f>IF(AND(A1473="",E1473=""),"",IF(E1473="","Segment ontbreekt",IF(OR(G1473="",H1473=""),"Van/tot ontbreekt",IF(N(J1473)=0,"Duur is nul",IF(N(J1473)&gt;12,"Langer dan 12 uur - controleren",IF(AND(E1473="Werken",D1473=""),"Werken zonder klant - koppelen","OK"))))))</f>
        <v/>
      </c>
    </row>
    <row r="1474" ht="15" customHeight="1" s="42">
      <c r="A1474" s="55" t="n"/>
      <c r="B1474" s="56">
        <f>IF(A1474="","",WEEKNUM(A1474,21))</f>
        <v/>
      </c>
      <c r="C1474" s="57" t="n"/>
      <c r="D1474" s="57" t="n"/>
      <c r="E1474" s="58" t="n"/>
      <c r="F1474" s="57" t="n"/>
      <c r="G1474" s="59" t="n"/>
      <c r="H1474" s="59" t="n"/>
      <c r="I1474" s="60">
        <f>IF(OR(G1474="",H1474=""),"",MOD(H1474-G1474,1))</f>
        <v/>
      </c>
      <c r="J1474" s="61">
        <f>IF(OR(G1474="",H1474=""),"",ROUND(MOD(H1474-G1474,1)*24,2))</f>
        <v/>
      </c>
      <c r="K1474" s="62">
        <f>IF(E1474="","",IF(E1474="Werken","JA","NEE"))</f>
        <v/>
      </c>
      <c r="L1474" s="61">
        <f>IF(K1474="JA",N(J1474),IF(E1474="","",0))</f>
        <v/>
      </c>
      <c r="M1474" s="62">
        <f>IF(AND(A1474="",E1474=""),"",IF(E1474="","Segment ontbreekt",IF(OR(G1474="",H1474=""),"Van/tot ontbreekt",IF(N(J1474)=0,"Duur is nul",IF(N(J1474)&gt;12,"Langer dan 12 uur - controleren",IF(AND(E1474="Werken",D1474=""),"Werken zonder klant - koppelen","OK"))))))</f>
        <v/>
      </c>
    </row>
    <row r="1475" ht="15" customHeight="1" s="42">
      <c r="A1475" s="55" t="n"/>
      <c r="B1475" s="56">
        <f>IF(A1475="","",WEEKNUM(A1475,21))</f>
        <v/>
      </c>
      <c r="C1475" s="57" t="n"/>
      <c r="D1475" s="57" t="n"/>
      <c r="E1475" s="58" t="n"/>
      <c r="F1475" s="57" t="n"/>
      <c r="G1475" s="59" t="n"/>
      <c r="H1475" s="59" t="n"/>
      <c r="I1475" s="60">
        <f>IF(OR(G1475="",H1475=""),"",MOD(H1475-G1475,1))</f>
        <v/>
      </c>
      <c r="J1475" s="61">
        <f>IF(OR(G1475="",H1475=""),"",ROUND(MOD(H1475-G1475,1)*24,2))</f>
        <v/>
      </c>
      <c r="K1475" s="62">
        <f>IF(E1475="","",IF(E1475="Werken","JA","NEE"))</f>
        <v/>
      </c>
      <c r="L1475" s="61">
        <f>IF(K1475="JA",N(J1475),IF(E1475="","",0))</f>
        <v/>
      </c>
      <c r="M1475" s="62">
        <f>IF(AND(A1475="",E1475=""),"",IF(E1475="","Segment ontbreekt",IF(OR(G1475="",H1475=""),"Van/tot ontbreekt",IF(N(J1475)=0,"Duur is nul",IF(N(J1475)&gt;12,"Langer dan 12 uur - controleren",IF(AND(E1475="Werken",D1475=""),"Werken zonder klant - koppelen","OK"))))))</f>
        <v/>
      </c>
    </row>
    <row r="1476" ht="15" customHeight="1" s="42">
      <c r="A1476" s="55" t="n"/>
      <c r="B1476" s="56">
        <f>IF(A1476="","",WEEKNUM(A1476,21))</f>
        <v/>
      </c>
      <c r="C1476" s="57" t="n"/>
      <c r="D1476" s="57" t="n"/>
      <c r="E1476" s="58" t="n"/>
      <c r="F1476" s="57" t="n"/>
      <c r="G1476" s="59" t="n"/>
      <c r="H1476" s="59" t="n"/>
      <c r="I1476" s="60">
        <f>IF(OR(G1476="",H1476=""),"",MOD(H1476-G1476,1))</f>
        <v/>
      </c>
      <c r="J1476" s="61">
        <f>IF(OR(G1476="",H1476=""),"",ROUND(MOD(H1476-G1476,1)*24,2))</f>
        <v/>
      </c>
      <c r="K1476" s="62">
        <f>IF(E1476="","",IF(E1476="Werken","JA","NEE"))</f>
        <v/>
      </c>
      <c r="L1476" s="61">
        <f>IF(K1476="JA",N(J1476),IF(E1476="","",0))</f>
        <v/>
      </c>
      <c r="M1476" s="62">
        <f>IF(AND(A1476="",E1476=""),"",IF(E1476="","Segment ontbreekt",IF(OR(G1476="",H1476=""),"Van/tot ontbreekt",IF(N(J1476)=0,"Duur is nul",IF(N(J1476)&gt;12,"Langer dan 12 uur - controleren",IF(AND(E1476="Werken",D1476=""),"Werken zonder klant - koppelen","OK"))))))</f>
        <v/>
      </c>
    </row>
    <row r="1477" ht="15" customHeight="1" s="42">
      <c r="A1477" s="55" t="n"/>
      <c r="B1477" s="56">
        <f>IF(A1477="","",WEEKNUM(A1477,21))</f>
        <v/>
      </c>
      <c r="C1477" s="57" t="n"/>
      <c r="D1477" s="57" t="n"/>
      <c r="E1477" s="58" t="n"/>
      <c r="F1477" s="57" t="n"/>
      <c r="G1477" s="59" t="n"/>
      <c r="H1477" s="59" t="n"/>
      <c r="I1477" s="60">
        <f>IF(OR(G1477="",H1477=""),"",MOD(H1477-G1477,1))</f>
        <v/>
      </c>
      <c r="J1477" s="61">
        <f>IF(OR(G1477="",H1477=""),"",ROUND(MOD(H1477-G1477,1)*24,2))</f>
        <v/>
      </c>
      <c r="K1477" s="62">
        <f>IF(E1477="","",IF(E1477="Werken","JA","NEE"))</f>
        <v/>
      </c>
      <c r="L1477" s="61">
        <f>IF(K1477="JA",N(J1477),IF(E1477="","",0))</f>
        <v/>
      </c>
      <c r="M1477" s="62">
        <f>IF(AND(A1477="",E1477=""),"",IF(E1477="","Segment ontbreekt",IF(OR(G1477="",H1477=""),"Van/tot ontbreekt",IF(N(J1477)=0,"Duur is nul",IF(N(J1477)&gt;12,"Langer dan 12 uur - controleren",IF(AND(E1477="Werken",D1477=""),"Werken zonder klant - koppelen","OK"))))))</f>
        <v/>
      </c>
    </row>
    <row r="1478" ht="15" customHeight="1" s="42">
      <c r="A1478" s="55" t="n"/>
      <c r="B1478" s="56">
        <f>IF(A1478="","",WEEKNUM(A1478,21))</f>
        <v/>
      </c>
      <c r="C1478" s="57" t="n"/>
      <c r="D1478" s="57" t="n"/>
      <c r="E1478" s="58" t="n"/>
      <c r="F1478" s="57" t="n"/>
      <c r="G1478" s="59" t="n"/>
      <c r="H1478" s="59" t="n"/>
      <c r="I1478" s="60">
        <f>IF(OR(G1478="",H1478=""),"",MOD(H1478-G1478,1))</f>
        <v/>
      </c>
      <c r="J1478" s="61">
        <f>IF(OR(G1478="",H1478=""),"",ROUND(MOD(H1478-G1478,1)*24,2))</f>
        <v/>
      </c>
      <c r="K1478" s="62">
        <f>IF(E1478="","",IF(E1478="Werken","JA","NEE"))</f>
        <v/>
      </c>
      <c r="L1478" s="61">
        <f>IF(K1478="JA",N(J1478),IF(E1478="","",0))</f>
        <v/>
      </c>
      <c r="M1478" s="62">
        <f>IF(AND(A1478="",E1478=""),"",IF(E1478="","Segment ontbreekt",IF(OR(G1478="",H1478=""),"Van/tot ontbreekt",IF(N(J1478)=0,"Duur is nul",IF(N(J1478)&gt;12,"Langer dan 12 uur - controleren",IF(AND(E1478="Werken",D1478=""),"Werken zonder klant - koppelen","OK"))))))</f>
        <v/>
      </c>
    </row>
    <row r="1479" ht="15" customHeight="1" s="42">
      <c r="A1479" s="55" t="n"/>
      <c r="B1479" s="56">
        <f>IF(A1479="","",WEEKNUM(A1479,21))</f>
        <v/>
      </c>
      <c r="C1479" s="57" t="n"/>
      <c r="D1479" s="57" t="n"/>
      <c r="E1479" s="58" t="n"/>
      <c r="F1479" s="57" t="n"/>
      <c r="G1479" s="59" t="n"/>
      <c r="H1479" s="59" t="n"/>
      <c r="I1479" s="60">
        <f>IF(OR(G1479="",H1479=""),"",MOD(H1479-G1479,1))</f>
        <v/>
      </c>
      <c r="J1479" s="61">
        <f>IF(OR(G1479="",H1479=""),"",ROUND(MOD(H1479-G1479,1)*24,2))</f>
        <v/>
      </c>
      <c r="K1479" s="62">
        <f>IF(E1479="","",IF(E1479="Werken","JA","NEE"))</f>
        <v/>
      </c>
      <c r="L1479" s="61">
        <f>IF(K1479="JA",N(J1479),IF(E1479="","",0))</f>
        <v/>
      </c>
      <c r="M1479" s="62">
        <f>IF(AND(A1479="",E1479=""),"",IF(E1479="","Segment ontbreekt",IF(OR(G1479="",H1479=""),"Van/tot ontbreekt",IF(N(J1479)=0,"Duur is nul",IF(N(J1479)&gt;12,"Langer dan 12 uur - controleren",IF(AND(E1479="Werken",D1479=""),"Werken zonder klant - koppelen","OK"))))))</f>
        <v/>
      </c>
    </row>
    <row r="1480" ht="15" customHeight="1" s="42">
      <c r="A1480" s="55" t="n"/>
      <c r="B1480" s="56">
        <f>IF(A1480="","",WEEKNUM(A1480,21))</f>
        <v/>
      </c>
      <c r="C1480" s="57" t="n"/>
      <c r="D1480" s="57" t="n"/>
      <c r="E1480" s="58" t="n"/>
      <c r="F1480" s="57" t="n"/>
      <c r="G1480" s="59" t="n"/>
      <c r="H1480" s="59" t="n"/>
      <c r="I1480" s="60">
        <f>IF(OR(G1480="",H1480=""),"",MOD(H1480-G1480,1))</f>
        <v/>
      </c>
      <c r="J1480" s="61">
        <f>IF(OR(G1480="",H1480=""),"",ROUND(MOD(H1480-G1480,1)*24,2))</f>
        <v/>
      </c>
      <c r="K1480" s="62">
        <f>IF(E1480="","",IF(E1480="Werken","JA","NEE"))</f>
        <v/>
      </c>
      <c r="L1480" s="61">
        <f>IF(K1480="JA",N(J1480),IF(E1480="","",0))</f>
        <v/>
      </c>
      <c r="M1480" s="62">
        <f>IF(AND(A1480="",E1480=""),"",IF(E1480="","Segment ontbreekt",IF(OR(G1480="",H1480=""),"Van/tot ontbreekt",IF(N(J1480)=0,"Duur is nul",IF(N(J1480)&gt;12,"Langer dan 12 uur - controleren",IF(AND(E1480="Werken",D1480=""),"Werken zonder klant - koppelen","OK"))))))</f>
        <v/>
      </c>
    </row>
    <row r="1481" ht="15" customHeight="1" s="42">
      <c r="A1481" s="55" t="n"/>
      <c r="B1481" s="56">
        <f>IF(A1481="","",WEEKNUM(A1481,21))</f>
        <v/>
      </c>
      <c r="C1481" s="57" t="n"/>
      <c r="D1481" s="57" t="n"/>
      <c r="E1481" s="58" t="n"/>
      <c r="F1481" s="57" t="n"/>
      <c r="G1481" s="59" t="n"/>
      <c r="H1481" s="59" t="n"/>
      <c r="I1481" s="60">
        <f>IF(OR(G1481="",H1481=""),"",MOD(H1481-G1481,1))</f>
        <v/>
      </c>
      <c r="J1481" s="61">
        <f>IF(OR(G1481="",H1481=""),"",ROUND(MOD(H1481-G1481,1)*24,2))</f>
        <v/>
      </c>
      <c r="K1481" s="62">
        <f>IF(E1481="","",IF(E1481="Werken","JA","NEE"))</f>
        <v/>
      </c>
      <c r="L1481" s="61">
        <f>IF(K1481="JA",N(J1481),IF(E1481="","",0))</f>
        <v/>
      </c>
      <c r="M1481" s="62">
        <f>IF(AND(A1481="",E1481=""),"",IF(E1481="","Segment ontbreekt",IF(OR(G1481="",H1481=""),"Van/tot ontbreekt",IF(N(J1481)=0,"Duur is nul",IF(N(J1481)&gt;12,"Langer dan 12 uur - controleren",IF(AND(E1481="Werken",D1481=""),"Werken zonder klant - koppelen","OK"))))))</f>
        <v/>
      </c>
    </row>
    <row r="1482" ht="15" customHeight="1" s="42">
      <c r="A1482" s="55" t="n"/>
      <c r="B1482" s="56">
        <f>IF(A1482="","",WEEKNUM(A1482,21))</f>
        <v/>
      </c>
      <c r="C1482" s="57" t="n"/>
      <c r="D1482" s="57" t="n"/>
      <c r="E1482" s="58" t="n"/>
      <c r="F1482" s="57" t="n"/>
      <c r="G1482" s="59" t="n"/>
      <c r="H1482" s="59" t="n"/>
      <c r="I1482" s="60">
        <f>IF(OR(G1482="",H1482=""),"",MOD(H1482-G1482,1))</f>
        <v/>
      </c>
      <c r="J1482" s="61">
        <f>IF(OR(G1482="",H1482=""),"",ROUND(MOD(H1482-G1482,1)*24,2))</f>
        <v/>
      </c>
      <c r="K1482" s="62">
        <f>IF(E1482="","",IF(E1482="Werken","JA","NEE"))</f>
        <v/>
      </c>
      <c r="L1482" s="61">
        <f>IF(K1482="JA",N(J1482),IF(E1482="","",0))</f>
        <v/>
      </c>
      <c r="M1482" s="62">
        <f>IF(AND(A1482="",E1482=""),"",IF(E1482="","Segment ontbreekt",IF(OR(G1482="",H1482=""),"Van/tot ontbreekt",IF(N(J1482)=0,"Duur is nul",IF(N(J1482)&gt;12,"Langer dan 12 uur - controleren",IF(AND(E1482="Werken",D1482=""),"Werken zonder klant - koppelen","OK"))))))</f>
        <v/>
      </c>
    </row>
    <row r="1483" ht="15" customHeight="1" s="42">
      <c r="A1483" s="55" t="n"/>
      <c r="B1483" s="56">
        <f>IF(A1483="","",WEEKNUM(A1483,21))</f>
        <v/>
      </c>
      <c r="C1483" s="57" t="n"/>
      <c r="D1483" s="57" t="n"/>
      <c r="E1483" s="58" t="n"/>
      <c r="F1483" s="57" t="n"/>
      <c r="G1483" s="59" t="n"/>
      <c r="H1483" s="59" t="n"/>
      <c r="I1483" s="60">
        <f>IF(OR(G1483="",H1483=""),"",MOD(H1483-G1483,1))</f>
        <v/>
      </c>
      <c r="J1483" s="61">
        <f>IF(OR(G1483="",H1483=""),"",ROUND(MOD(H1483-G1483,1)*24,2))</f>
        <v/>
      </c>
      <c r="K1483" s="62">
        <f>IF(E1483="","",IF(E1483="Werken","JA","NEE"))</f>
        <v/>
      </c>
      <c r="L1483" s="61">
        <f>IF(K1483="JA",N(J1483),IF(E1483="","",0))</f>
        <v/>
      </c>
      <c r="M1483" s="62">
        <f>IF(AND(A1483="",E1483=""),"",IF(E1483="","Segment ontbreekt",IF(OR(G1483="",H1483=""),"Van/tot ontbreekt",IF(N(J1483)=0,"Duur is nul",IF(N(J1483)&gt;12,"Langer dan 12 uur - controleren",IF(AND(E1483="Werken",D1483=""),"Werken zonder klant - koppelen","OK"))))))</f>
        <v/>
      </c>
    </row>
    <row r="1484" ht="15" customHeight="1" s="42">
      <c r="A1484" s="55" t="n"/>
      <c r="B1484" s="56">
        <f>IF(A1484="","",WEEKNUM(A1484,21))</f>
        <v/>
      </c>
      <c r="C1484" s="57" t="n"/>
      <c r="D1484" s="57" t="n"/>
      <c r="E1484" s="58" t="n"/>
      <c r="F1484" s="57" t="n"/>
      <c r="G1484" s="59" t="n"/>
      <c r="H1484" s="59" t="n"/>
      <c r="I1484" s="60">
        <f>IF(OR(G1484="",H1484=""),"",MOD(H1484-G1484,1))</f>
        <v/>
      </c>
      <c r="J1484" s="61">
        <f>IF(OR(G1484="",H1484=""),"",ROUND(MOD(H1484-G1484,1)*24,2))</f>
        <v/>
      </c>
      <c r="K1484" s="62">
        <f>IF(E1484="","",IF(E1484="Werken","JA","NEE"))</f>
        <v/>
      </c>
      <c r="L1484" s="61">
        <f>IF(K1484="JA",N(J1484),IF(E1484="","",0))</f>
        <v/>
      </c>
      <c r="M1484" s="62">
        <f>IF(AND(A1484="",E1484=""),"",IF(E1484="","Segment ontbreekt",IF(OR(G1484="",H1484=""),"Van/tot ontbreekt",IF(N(J1484)=0,"Duur is nul",IF(N(J1484)&gt;12,"Langer dan 12 uur - controleren",IF(AND(E1484="Werken",D1484=""),"Werken zonder klant - koppelen","OK"))))))</f>
        <v/>
      </c>
    </row>
    <row r="1485" ht="15" customHeight="1" s="42">
      <c r="A1485" s="55" t="n"/>
      <c r="B1485" s="56">
        <f>IF(A1485="","",WEEKNUM(A1485,21))</f>
        <v/>
      </c>
      <c r="C1485" s="57" t="n"/>
      <c r="D1485" s="57" t="n"/>
      <c r="E1485" s="58" t="n"/>
      <c r="F1485" s="57" t="n"/>
      <c r="G1485" s="59" t="n"/>
      <c r="H1485" s="59" t="n"/>
      <c r="I1485" s="60">
        <f>IF(OR(G1485="",H1485=""),"",MOD(H1485-G1485,1))</f>
        <v/>
      </c>
      <c r="J1485" s="61">
        <f>IF(OR(G1485="",H1485=""),"",ROUND(MOD(H1485-G1485,1)*24,2))</f>
        <v/>
      </c>
      <c r="K1485" s="62">
        <f>IF(E1485="","",IF(E1485="Werken","JA","NEE"))</f>
        <v/>
      </c>
      <c r="L1485" s="61">
        <f>IF(K1485="JA",N(J1485),IF(E1485="","",0))</f>
        <v/>
      </c>
      <c r="M1485" s="62">
        <f>IF(AND(A1485="",E1485=""),"",IF(E1485="","Segment ontbreekt",IF(OR(G1485="",H1485=""),"Van/tot ontbreekt",IF(N(J1485)=0,"Duur is nul",IF(N(J1485)&gt;12,"Langer dan 12 uur - controleren",IF(AND(E1485="Werken",D1485=""),"Werken zonder klant - koppelen","OK"))))))</f>
        <v/>
      </c>
    </row>
    <row r="1486" ht="15" customHeight="1" s="42">
      <c r="A1486" s="55" t="n"/>
      <c r="B1486" s="56">
        <f>IF(A1486="","",WEEKNUM(A1486,21))</f>
        <v/>
      </c>
      <c r="C1486" s="57" t="n"/>
      <c r="D1486" s="57" t="n"/>
      <c r="E1486" s="58" t="n"/>
      <c r="F1486" s="57" t="n"/>
      <c r="G1486" s="59" t="n"/>
      <c r="H1486" s="59" t="n"/>
      <c r="I1486" s="60">
        <f>IF(OR(G1486="",H1486=""),"",MOD(H1486-G1486,1))</f>
        <v/>
      </c>
      <c r="J1486" s="61">
        <f>IF(OR(G1486="",H1486=""),"",ROUND(MOD(H1486-G1486,1)*24,2))</f>
        <v/>
      </c>
      <c r="K1486" s="62">
        <f>IF(E1486="","",IF(E1486="Werken","JA","NEE"))</f>
        <v/>
      </c>
      <c r="L1486" s="61">
        <f>IF(K1486="JA",N(J1486),IF(E1486="","",0))</f>
        <v/>
      </c>
      <c r="M1486" s="62">
        <f>IF(AND(A1486="",E1486=""),"",IF(E1486="","Segment ontbreekt",IF(OR(G1486="",H1486=""),"Van/tot ontbreekt",IF(N(J1486)=0,"Duur is nul",IF(N(J1486)&gt;12,"Langer dan 12 uur - controleren",IF(AND(E1486="Werken",D1486=""),"Werken zonder klant - koppelen","OK"))))))</f>
        <v/>
      </c>
    </row>
    <row r="1487" ht="15" customHeight="1" s="42">
      <c r="A1487" s="55" t="n"/>
      <c r="B1487" s="56">
        <f>IF(A1487="","",WEEKNUM(A1487,21))</f>
        <v/>
      </c>
      <c r="C1487" s="57" t="n"/>
      <c r="D1487" s="57" t="n"/>
      <c r="E1487" s="58" t="n"/>
      <c r="F1487" s="57" t="n"/>
      <c r="G1487" s="59" t="n"/>
      <c r="H1487" s="59" t="n"/>
      <c r="I1487" s="60">
        <f>IF(OR(G1487="",H1487=""),"",MOD(H1487-G1487,1))</f>
        <v/>
      </c>
      <c r="J1487" s="61">
        <f>IF(OR(G1487="",H1487=""),"",ROUND(MOD(H1487-G1487,1)*24,2))</f>
        <v/>
      </c>
      <c r="K1487" s="62">
        <f>IF(E1487="","",IF(E1487="Werken","JA","NEE"))</f>
        <v/>
      </c>
      <c r="L1487" s="61">
        <f>IF(K1487="JA",N(J1487),IF(E1487="","",0))</f>
        <v/>
      </c>
      <c r="M1487" s="62">
        <f>IF(AND(A1487="",E1487=""),"",IF(E1487="","Segment ontbreekt",IF(OR(G1487="",H1487=""),"Van/tot ontbreekt",IF(N(J1487)=0,"Duur is nul",IF(N(J1487)&gt;12,"Langer dan 12 uur - controleren",IF(AND(E1487="Werken",D1487=""),"Werken zonder klant - koppelen","OK"))))))</f>
        <v/>
      </c>
    </row>
    <row r="1488" ht="15" customHeight="1" s="42">
      <c r="A1488" s="55" t="n"/>
      <c r="B1488" s="56">
        <f>IF(A1488="","",WEEKNUM(A1488,21))</f>
        <v/>
      </c>
      <c r="C1488" s="57" t="n"/>
      <c r="D1488" s="57" t="n"/>
      <c r="E1488" s="58" t="n"/>
      <c r="F1488" s="57" t="n"/>
      <c r="G1488" s="59" t="n"/>
      <c r="H1488" s="59" t="n"/>
      <c r="I1488" s="60">
        <f>IF(OR(G1488="",H1488=""),"",MOD(H1488-G1488,1))</f>
        <v/>
      </c>
      <c r="J1488" s="61">
        <f>IF(OR(G1488="",H1488=""),"",ROUND(MOD(H1488-G1488,1)*24,2))</f>
        <v/>
      </c>
      <c r="K1488" s="62">
        <f>IF(E1488="","",IF(E1488="Werken","JA","NEE"))</f>
        <v/>
      </c>
      <c r="L1488" s="61">
        <f>IF(K1488="JA",N(J1488),IF(E1488="","",0))</f>
        <v/>
      </c>
      <c r="M1488" s="62">
        <f>IF(AND(A1488="",E1488=""),"",IF(E1488="","Segment ontbreekt",IF(OR(G1488="",H1488=""),"Van/tot ontbreekt",IF(N(J1488)=0,"Duur is nul",IF(N(J1488)&gt;12,"Langer dan 12 uur - controleren",IF(AND(E1488="Werken",D1488=""),"Werken zonder klant - koppelen","OK"))))))</f>
        <v/>
      </c>
    </row>
    <row r="1489" ht="15" customHeight="1" s="42">
      <c r="A1489" s="55" t="n"/>
      <c r="B1489" s="56">
        <f>IF(A1489="","",WEEKNUM(A1489,21))</f>
        <v/>
      </c>
      <c r="C1489" s="57" t="n"/>
      <c r="D1489" s="57" t="n"/>
      <c r="E1489" s="58" t="n"/>
      <c r="F1489" s="57" t="n"/>
      <c r="G1489" s="59" t="n"/>
      <c r="H1489" s="59" t="n"/>
      <c r="I1489" s="60">
        <f>IF(OR(G1489="",H1489=""),"",MOD(H1489-G1489,1))</f>
        <v/>
      </c>
      <c r="J1489" s="61">
        <f>IF(OR(G1489="",H1489=""),"",ROUND(MOD(H1489-G1489,1)*24,2))</f>
        <v/>
      </c>
      <c r="K1489" s="62">
        <f>IF(E1489="","",IF(E1489="Werken","JA","NEE"))</f>
        <v/>
      </c>
      <c r="L1489" s="61">
        <f>IF(K1489="JA",N(J1489),IF(E1489="","",0))</f>
        <v/>
      </c>
      <c r="M1489" s="62">
        <f>IF(AND(A1489="",E1489=""),"",IF(E1489="","Segment ontbreekt",IF(OR(G1489="",H1489=""),"Van/tot ontbreekt",IF(N(J1489)=0,"Duur is nul",IF(N(J1489)&gt;12,"Langer dan 12 uur - controleren",IF(AND(E1489="Werken",D1489=""),"Werken zonder klant - koppelen","OK"))))))</f>
        <v/>
      </c>
    </row>
    <row r="1490" ht="15" customHeight="1" s="42">
      <c r="A1490" s="55" t="n"/>
      <c r="B1490" s="56">
        <f>IF(A1490="","",WEEKNUM(A1490,21))</f>
        <v/>
      </c>
      <c r="C1490" s="57" t="n"/>
      <c r="D1490" s="57" t="n"/>
      <c r="E1490" s="58" t="n"/>
      <c r="F1490" s="57" t="n"/>
      <c r="G1490" s="59" t="n"/>
      <c r="H1490" s="59" t="n"/>
      <c r="I1490" s="60">
        <f>IF(OR(G1490="",H1490=""),"",MOD(H1490-G1490,1))</f>
        <v/>
      </c>
      <c r="J1490" s="61">
        <f>IF(OR(G1490="",H1490=""),"",ROUND(MOD(H1490-G1490,1)*24,2))</f>
        <v/>
      </c>
      <c r="K1490" s="62">
        <f>IF(E1490="","",IF(E1490="Werken","JA","NEE"))</f>
        <v/>
      </c>
      <c r="L1490" s="61">
        <f>IF(K1490="JA",N(J1490),IF(E1490="","",0))</f>
        <v/>
      </c>
      <c r="M1490" s="62">
        <f>IF(AND(A1490="",E1490=""),"",IF(E1490="","Segment ontbreekt",IF(OR(G1490="",H1490=""),"Van/tot ontbreekt",IF(N(J1490)=0,"Duur is nul",IF(N(J1490)&gt;12,"Langer dan 12 uur - controleren",IF(AND(E1490="Werken",D1490=""),"Werken zonder klant - koppelen","OK"))))))</f>
        <v/>
      </c>
    </row>
    <row r="1491" ht="15" customHeight="1" s="42">
      <c r="A1491" s="55" t="n"/>
      <c r="B1491" s="56">
        <f>IF(A1491="","",WEEKNUM(A1491,21))</f>
        <v/>
      </c>
      <c r="C1491" s="57" t="n"/>
      <c r="D1491" s="57" t="n"/>
      <c r="E1491" s="58" t="n"/>
      <c r="F1491" s="57" t="n"/>
      <c r="G1491" s="59" t="n"/>
      <c r="H1491" s="59" t="n"/>
      <c r="I1491" s="60">
        <f>IF(OR(G1491="",H1491=""),"",MOD(H1491-G1491,1))</f>
        <v/>
      </c>
      <c r="J1491" s="61">
        <f>IF(OR(G1491="",H1491=""),"",ROUND(MOD(H1491-G1491,1)*24,2))</f>
        <v/>
      </c>
      <c r="K1491" s="62">
        <f>IF(E1491="","",IF(E1491="Werken","JA","NEE"))</f>
        <v/>
      </c>
      <c r="L1491" s="61">
        <f>IF(K1491="JA",N(J1491),IF(E1491="","",0))</f>
        <v/>
      </c>
      <c r="M1491" s="62">
        <f>IF(AND(A1491="",E1491=""),"",IF(E1491="","Segment ontbreekt",IF(OR(G1491="",H1491=""),"Van/tot ontbreekt",IF(N(J1491)=0,"Duur is nul",IF(N(J1491)&gt;12,"Langer dan 12 uur - controleren",IF(AND(E1491="Werken",D1491=""),"Werken zonder klant - koppelen","OK"))))))</f>
        <v/>
      </c>
    </row>
    <row r="1492" ht="15" customHeight="1" s="42">
      <c r="A1492" s="55" t="n"/>
      <c r="B1492" s="56">
        <f>IF(A1492="","",WEEKNUM(A1492,21))</f>
        <v/>
      </c>
      <c r="C1492" s="57" t="n"/>
      <c r="D1492" s="57" t="n"/>
      <c r="E1492" s="58" t="n"/>
      <c r="F1492" s="57" t="n"/>
      <c r="G1492" s="59" t="n"/>
      <c r="H1492" s="59" t="n"/>
      <c r="I1492" s="60">
        <f>IF(OR(G1492="",H1492=""),"",MOD(H1492-G1492,1))</f>
        <v/>
      </c>
      <c r="J1492" s="61">
        <f>IF(OR(G1492="",H1492=""),"",ROUND(MOD(H1492-G1492,1)*24,2))</f>
        <v/>
      </c>
      <c r="K1492" s="62">
        <f>IF(E1492="","",IF(E1492="Werken","JA","NEE"))</f>
        <v/>
      </c>
      <c r="L1492" s="61">
        <f>IF(K1492="JA",N(J1492),IF(E1492="","",0))</f>
        <v/>
      </c>
      <c r="M1492" s="62">
        <f>IF(AND(A1492="",E1492=""),"",IF(E1492="","Segment ontbreekt",IF(OR(G1492="",H1492=""),"Van/tot ontbreekt",IF(N(J1492)=0,"Duur is nul",IF(N(J1492)&gt;12,"Langer dan 12 uur - controleren",IF(AND(E1492="Werken",D1492=""),"Werken zonder klant - koppelen","OK"))))))</f>
        <v/>
      </c>
    </row>
    <row r="1493" ht="15" customHeight="1" s="42">
      <c r="A1493" s="55" t="n"/>
      <c r="B1493" s="56">
        <f>IF(A1493="","",WEEKNUM(A1493,21))</f>
        <v/>
      </c>
      <c r="C1493" s="57" t="n"/>
      <c r="D1493" s="57" t="n"/>
      <c r="E1493" s="58" t="n"/>
      <c r="F1493" s="57" t="n"/>
      <c r="G1493" s="59" t="n"/>
      <c r="H1493" s="59" t="n"/>
      <c r="I1493" s="60">
        <f>IF(OR(G1493="",H1493=""),"",MOD(H1493-G1493,1))</f>
        <v/>
      </c>
      <c r="J1493" s="61">
        <f>IF(OR(G1493="",H1493=""),"",ROUND(MOD(H1493-G1493,1)*24,2))</f>
        <v/>
      </c>
      <c r="K1493" s="62">
        <f>IF(E1493="","",IF(E1493="Werken","JA","NEE"))</f>
        <v/>
      </c>
      <c r="L1493" s="61">
        <f>IF(K1493="JA",N(J1493),IF(E1493="","",0))</f>
        <v/>
      </c>
      <c r="M1493" s="62">
        <f>IF(AND(A1493="",E1493=""),"",IF(E1493="","Segment ontbreekt",IF(OR(G1493="",H1493=""),"Van/tot ontbreekt",IF(N(J1493)=0,"Duur is nul",IF(N(J1493)&gt;12,"Langer dan 12 uur - controleren",IF(AND(E1493="Werken",D1493=""),"Werken zonder klant - koppelen","OK"))))))</f>
        <v/>
      </c>
    </row>
    <row r="1494" ht="15" customHeight="1" s="42">
      <c r="A1494" s="55" t="n"/>
      <c r="B1494" s="56">
        <f>IF(A1494="","",WEEKNUM(A1494,21))</f>
        <v/>
      </c>
      <c r="C1494" s="57" t="n"/>
      <c r="D1494" s="57" t="n"/>
      <c r="E1494" s="58" t="n"/>
      <c r="F1494" s="57" t="n"/>
      <c r="G1494" s="59" t="n"/>
      <c r="H1494" s="59" t="n"/>
      <c r="I1494" s="60">
        <f>IF(OR(G1494="",H1494=""),"",MOD(H1494-G1494,1))</f>
        <v/>
      </c>
      <c r="J1494" s="61">
        <f>IF(OR(G1494="",H1494=""),"",ROUND(MOD(H1494-G1494,1)*24,2))</f>
        <v/>
      </c>
      <c r="K1494" s="62">
        <f>IF(E1494="","",IF(E1494="Werken","JA","NEE"))</f>
        <v/>
      </c>
      <c r="L1494" s="61">
        <f>IF(K1494="JA",N(J1494),IF(E1494="","",0))</f>
        <v/>
      </c>
      <c r="M1494" s="62">
        <f>IF(AND(A1494="",E1494=""),"",IF(E1494="","Segment ontbreekt",IF(OR(G1494="",H1494=""),"Van/tot ontbreekt",IF(N(J1494)=0,"Duur is nul",IF(N(J1494)&gt;12,"Langer dan 12 uur - controleren",IF(AND(E1494="Werken",D1494=""),"Werken zonder klant - koppelen","OK"))))))</f>
        <v/>
      </c>
    </row>
    <row r="1495" ht="15" customHeight="1" s="42">
      <c r="A1495" s="55" t="n"/>
      <c r="B1495" s="56">
        <f>IF(A1495="","",WEEKNUM(A1495,21))</f>
        <v/>
      </c>
      <c r="C1495" s="57" t="n"/>
      <c r="D1495" s="57" t="n"/>
      <c r="E1495" s="58" t="n"/>
      <c r="F1495" s="57" t="n"/>
      <c r="G1495" s="59" t="n"/>
      <c r="H1495" s="59" t="n"/>
      <c r="I1495" s="60">
        <f>IF(OR(G1495="",H1495=""),"",MOD(H1495-G1495,1))</f>
        <v/>
      </c>
      <c r="J1495" s="61">
        <f>IF(OR(G1495="",H1495=""),"",ROUND(MOD(H1495-G1495,1)*24,2))</f>
        <v/>
      </c>
      <c r="K1495" s="62">
        <f>IF(E1495="","",IF(E1495="Werken","JA","NEE"))</f>
        <v/>
      </c>
      <c r="L1495" s="61">
        <f>IF(K1495="JA",N(J1495),IF(E1495="","",0))</f>
        <v/>
      </c>
      <c r="M1495" s="62">
        <f>IF(AND(A1495="",E1495=""),"",IF(E1495="","Segment ontbreekt",IF(OR(G1495="",H1495=""),"Van/tot ontbreekt",IF(N(J1495)=0,"Duur is nul",IF(N(J1495)&gt;12,"Langer dan 12 uur - controleren",IF(AND(E1495="Werken",D1495=""),"Werken zonder klant - koppelen","OK"))))))</f>
        <v/>
      </c>
    </row>
    <row r="1496" ht="15" customHeight="1" s="42">
      <c r="A1496" s="55" t="n"/>
      <c r="B1496" s="56">
        <f>IF(A1496="","",WEEKNUM(A1496,21))</f>
        <v/>
      </c>
      <c r="C1496" s="57" t="n"/>
      <c r="D1496" s="57" t="n"/>
      <c r="E1496" s="58" t="n"/>
      <c r="F1496" s="57" t="n"/>
      <c r="G1496" s="59" t="n"/>
      <c r="H1496" s="59" t="n"/>
      <c r="I1496" s="60">
        <f>IF(OR(G1496="",H1496=""),"",MOD(H1496-G1496,1))</f>
        <v/>
      </c>
      <c r="J1496" s="61">
        <f>IF(OR(G1496="",H1496=""),"",ROUND(MOD(H1496-G1496,1)*24,2))</f>
        <v/>
      </c>
      <c r="K1496" s="62">
        <f>IF(E1496="","",IF(E1496="Werken","JA","NEE"))</f>
        <v/>
      </c>
      <c r="L1496" s="61">
        <f>IF(K1496="JA",N(J1496),IF(E1496="","",0))</f>
        <v/>
      </c>
      <c r="M1496" s="62">
        <f>IF(AND(A1496="",E1496=""),"",IF(E1496="","Segment ontbreekt",IF(OR(G1496="",H1496=""),"Van/tot ontbreekt",IF(N(J1496)=0,"Duur is nul",IF(N(J1496)&gt;12,"Langer dan 12 uur - controleren",IF(AND(E1496="Werken",D1496=""),"Werken zonder klant - koppelen","OK"))))))</f>
        <v/>
      </c>
    </row>
    <row r="1497" ht="15" customHeight="1" s="42">
      <c r="A1497" s="55" t="n"/>
      <c r="B1497" s="56">
        <f>IF(A1497="","",WEEKNUM(A1497,21))</f>
        <v/>
      </c>
      <c r="C1497" s="57" t="n"/>
      <c r="D1497" s="57" t="n"/>
      <c r="E1497" s="58" t="n"/>
      <c r="F1497" s="57" t="n"/>
      <c r="G1497" s="59" t="n"/>
      <c r="H1497" s="59" t="n"/>
      <c r="I1497" s="60">
        <f>IF(OR(G1497="",H1497=""),"",MOD(H1497-G1497,1))</f>
        <v/>
      </c>
      <c r="J1497" s="61">
        <f>IF(OR(G1497="",H1497=""),"",ROUND(MOD(H1497-G1497,1)*24,2))</f>
        <v/>
      </c>
      <c r="K1497" s="62">
        <f>IF(E1497="","",IF(E1497="Werken","JA","NEE"))</f>
        <v/>
      </c>
      <c r="L1497" s="61">
        <f>IF(K1497="JA",N(J1497),IF(E1497="","",0))</f>
        <v/>
      </c>
      <c r="M1497" s="62">
        <f>IF(AND(A1497="",E1497=""),"",IF(E1497="","Segment ontbreekt",IF(OR(G1497="",H1497=""),"Van/tot ontbreekt",IF(N(J1497)=0,"Duur is nul",IF(N(J1497)&gt;12,"Langer dan 12 uur - controleren",IF(AND(E1497="Werken",D1497=""),"Werken zonder klant - koppelen","OK"))))))</f>
        <v/>
      </c>
    </row>
    <row r="1498" ht="15" customHeight="1" s="42">
      <c r="A1498" s="55" t="n"/>
      <c r="B1498" s="56">
        <f>IF(A1498="","",WEEKNUM(A1498,21))</f>
        <v/>
      </c>
      <c r="C1498" s="57" t="n"/>
      <c r="D1498" s="57" t="n"/>
      <c r="E1498" s="58" t="n"/>
      <c r="F1498" s="57" t="n"/>
      <c r="G1498" s="59" t="n"/>
      <c r="H1498" s="59" t="n"/>
      <c r="I1498" s="60">
        <f>IF(OR(G1498="",H1498=""),"",MOD(H1498-G1498,1))</f>
        <v/>
      </c>
      <c r="J1498" s="61">
        <f>IF(OR(G1498="",H1498=""),"",ROUND(MOD(H1498-G1498,1)*24,2))</f>
        <v/>
      </c>
      <c r="K1498" s="62">
        <f>IF(E1498="","",IF(E1498="Werken","JA","NEE"))</f>
        <v/>
      </c>
      <c r="L1498" s="61">
        <f>IF(K1498="JA",N(J1498),IF(E1498="","",0))</f>
        <v/>
      </c>
      <c r="M1498" s="62">
        <f>IF(AND(A1498="",E1498=""),"",IF(E1498="","Segment ontbreekt",IF(OR(G1498="",H1498=""),"Van/tot ontbreekt",IF(N(J1498)=0,"Duur is nul",IF(N(J1498)&gt;12,"Langer dan 12 uur - controleren",IF(AND(E1498="Werken",D1498=""),"Werken zonder klant - koppelen","OK"))))))</f>
        <v/>
      </c>
    </row>
    <row r="1499" ht="15" customHeight="1" s="42">
      <c r="A1499" s="55" t="n"/>
      <c r="B1499" s="56">
        <f>IF(A1499="","",WEEKNUM(A1499,21))</f>
        <v/>
      </c>
      <c r="C1499" s="57" t="n"/>
      <c r="D1499" s="57" t="n"/>
      <c r="E1499" s="58" t="n"/>
      <c r="F1499" s="57" t="n"/>
      <c r="G1499" s="59" t="n"/>
      <c r="H1499" s="59" t="n"/>
      <c r="I1499" s="60">
        <f>IF(OR(G1499="",H1499=""),"",MOD(H1499-G1499,1))</f>
        <v/>
      </c>
      <c r="J1499" s="61">
        <f>IF(OR(G1499="",H1499=""),"",ROUND(MOD(H1499-G1499,1)*24,2))</f>
        <v/>
      </c>
      <c r="K1499" s="62">
        <f>IF(E1499="","",IF(E1499="Werken","JA","NEE"))</f>
        <v/>
      </c>
      <c r="L1499" s="61">
        <f>IF(K1499="JA",N(J1499),IF(E1499="","",0))</f>
        <v/>
      </c>
      <c r="M1499" s="62">
        <f>IF(AND(A1499="",E1499=""),"",IF(E1499="","Segment ontbreekt",IF(OR(G1499="",H1499=""),"Van/tot ontbreekt",IF(N(J1499)=0,"Duur is nul",IF(N(J1499)&gt;12,"Langer dan 12 uur - controleren",IF(AND(E1499="Werken",D1499=""),"Werken zonder klant - koppelen","OK"))))))</f>
        <v/>
      </c>
    </row>
    <row r="1500" ht="15" customHeight="1" s="42">
      <c r="A1500" s="55" t="n"/>
      <c r="B1500" s="56">
        <f>IF(A1500="","",WEEKNUM(A1500,21))</f>
        <v/>
      </c>
      <c r="C1500" s="57" t="n"/>
      <c r="D1500" s="57" t="n"/>
      <c r="E1500" s="58" t="n"/>
      <c r="F1500" s="57" t="n"/>
      <c r="G1500" s="59" t="n"/>
      <c r="H1500" s="59" t="n"/>
      <c r="I1500" s="60">
        <f>IF(OR(G1500="",H1500=""),"",MOD(H1500-G1500,1))</f>
        <v/>
      </c>
      <c r="J1500" s="61">
        <f>IF(OR(G1500="",H1500=""),"",ROUND(MOD(H1500-G1500,1)*24,2))</f>
        <v/>
      </c>
      <c r="K1500" s="62">
        <f>IF(E1500="","",IF(E1500="Werken","JA","NEE"))</f>
        <v/>
      </c>
      <c r="L1500" s="61">
        <f>IF(K1500="JA",N(J1500),IF(E1500="","",0))</f>
        <v/>
      </c>
      <c r="M1500" s="62">
        <f>IF(AND(A1500="",E1500=""),"",IF(E1500="","Segment ontbreekt",IF(OR(G1500="",H1500=""),"Van/tot ontbreekt",IF(N(J1500)=0,"Duur is nul",IF(N(J1500)&gt;12,"Langer dan 12 uur - controleren",IF(AND(E1500="Werken",D1500=""),"Werken zonder klant - koppelen","OK"))))))</f>
        <v/>
      </c>
    </row>
    <row r="1501" ht="15" customHeight="1" s="42">
      <c r="A1501" s="55" t="n"/>
      <c r="B1501" s="56">
        <f>IF(A1501="","",WEEKNUM(A1501,21))</f>
        <v/>
      </c>
      <c r="C1501" s="57" t="n"/>
      <c r="D1501" s="57" t="n"/>
      <c r="E1501" s="58" t="n"/>
      <c r="F1501" s="57" t="n"/>
      <c r="G1501" s="59" t="n"/>
      <c r="H1501" s="59" t="n"/>
      <c r="I1501" s="60">
        <f>IF(OR(G1501="",H1501=""),"",MOD(H1501-G1501,1))</f>
        <v/>
      </c>
      <c r="J1501" s="61">
        <f>IF(OR(G1501="",H1501=""),"",ROUND(MOD(H1501-G1501,1)*24,2))</f>
        <v/>
      </c>
      <c r="K1501" s="62">
        <f>IF(E1501="","",IF(E1501="Werken","JA","NEE"))</f>
        <v/>
      </c>
      <c r="L1501" s="61">
        <f>IF(K1501="JA",N(J1501),IF(E1501="","",0))</f>
        <v/>
      </c>
      <c r="M1501" s="62">
        <f>IF(AND(A1501="",E1501=""),"",IF(E1501="","Segment ontbreekt",IF(OR(G1501="",H1501=""),"Van/tot ontbreekt",IF(N(J1501)=0,"Duur is nul",IF(N(J1501)&gt;12,"Langer dan 12 uur - controleren",IF(AND(E1501="Werken",D1501=""),"Werken zonder klant - koppelen","OK"))))))</f>
        <v/>
      </c>
    </row>
    <row r="1502" ht="15" customHeight="1" s="42">
      <c r="A1502" s="55" t="n"/>
      <c r="B1502" s="56">
        <f>IF(A1502="","",WEEKNUM(A1502,21))</f>
        <v/>
      </c>
      <c r="C1502" s="57" t="n"/>
      <c r="D1502" s="57" t="n"/>
      <c r="E1502" s="58" t="n"/>
      <c r="F1502" s="57" t="n"/>
      <c r="G1502" s="59" t="n"/>
      <c r="H1502" s="59" t="n"/>
      <c r="I1502" s="60">
        <f>IF(OR(G1502="",H1502=""),"",MOD(H1502-G1502,1))</f>
        <v/>
      </c>
      <c r="J1502" s="61">
        <f>IF(OR(G1502="",H1502=""),"",ROUND(MOD(H1502-G1502,1)*24,2))</f>
        <v/>
      </c>
      <c r="K1502" s="62">
        <f>IF(E1502="","",IF(E1502="Werken","JA","NEE"))</f>
        <v/>
      </c>
      <c r="L1502" s="61">
        <f>IF(K1502="JA",N(J1502),IF(E1502="","",0))</f>
        <v/>
      </c>
      <c r="M1502" s="62">
        <f>IF(AND(A1502="",E1502=""),"",IF(E1502="","Segment ontbreekt",IF(OR(G1502="",H1502=""),"Van/tot ontbreekt",IF(N(J1502)=0,"Duur is nul",IF(N(J1502)&gt;12,"Langer dan 12 uur - controleren",IF(AND(E1502="Werken",D1502=""),"Werken zonder klant - koppelen","OK"))))))</f>
        <v/>
      </c>
    </row>
    <row r="1503" ht="15" customHeight="1" s="42">
      <c r="A1503" s="55" t="n"/>
      <c r="B1503" s="56">
        <f>IF(A1503="","",WEEKNUM(A1503,21))</f>
        <v/>
      </c>
      <c r="C1503" s="57" t="n"/>
      <c r="D1503" s="57" t="n"/>
      <c r="E1503" s="58" t="n"/>
      <c r="F1503" s="57" t="n"/>
      <c r="G1503" s="59" t="n"/>
      <c r="H1503" s="59" t="n"/>
      <c r="I1503" s="60">
        <f>IF(OR(G1503="",H1503=""),"",MOD(H1503-G1503,1))</f>
        <v/>
      </c>
      <c r="J1503" s="61">
        <f>IF(OR(G1503="",H1503=""),"",ROUND(MOD(H1503-G1503,1)*24,2))</f>
        <v/>
      </c>
      <c r="K1503" s="62">
        <f>IF(E1503="","",IF(E1503="Werken","JA","NEE"))</f>
        <v/>
      </c>
      <c r="L1503" s="61">
        <f>IF(K1503="JA",N(J1503),IF(E1503="","",0))</f>
        <v/>
      </c>
      <c r="M1503" s="62">
        <f>IF(AND(A1503="",E1503=""),"",IF(E1503="","Segment ontbreekt",IF(OR(G1503="",H1503=""),"Van/tot ontbreekt",IF(N(J1503)=0,"Duur is nul",IF(N(J1503)&gt;12,"Langer dan 12 uur - controleren",IF(AND(E1503="Werken",D1503=""),"Werken zonder klant - koppelen","OK"))))))</f>
        <v/>
      </c>
    </row>
    <row r="1504" ht="15" customHeight="1" s="42">
      <c r="A1504" s="55" t="n"/>
      <c r="B1504" s="56">
        <f>IF(A1504="","",WEEKNUM(A1504,21))</f>
        <v/>
      </c>
      <c r="C1504" s="57" t="n"/>
      <c r="D1504" s="57" t="n"/>
      <c r="E1504" s="58" t="n"/>
      <c r="F1504" s="57" t="n"/>
      <c r="G1504" s="59" t="n"/>
      <c r="H1504" s="59" t="n"/>
      <c r="I1504" s="60">
        <f>IF(OR(G1504="",H1504=""),"",MOD(H1504-G1504,1))</f>
        <v/>
      </c>
      <c r="J1504" s="61">
        <f>IF(OR(G1504="",H1504=""),"",ROUND(MOD(H1504-G1504,1)*24,2))</f>
        <v/>
      </c>
      <c r="K1504" s="62">
        <f>IF(E1504="","",IF(E1504="Werken","JA","NEE"))</f>
        <v/>
      </c>
      <c r="L1504" s="61">
        <f>IF(K1504="JA",N(J1504),IF(E1504="","",0))</f>
        <v/>
      </c>
      <c r="M1504" s="62">
        <f>IF(AND(A1504="",E1504=""),"",IF(E1504="","Segment ontbreekt",IF(OR(G1504="",H1504=""),"Van/tot ontbreekt",IF(N(J1504)=0,"Duur is nul",IF(N(J1504)&gt;12,"Langer dan 12 uur - controleren",IF(AND(E1504="Werken",D1504=""),"Werken zonder klant - koppelen","OK"))))))</f>
        <v/>
      </c>
    </row>
    <row r="1505" ht="15" customHeight="1" s="42">
      <c r="A1505" s="55" t="n"/>
      <c r="B1505" s="56">
        <f>IF(A1505="","",WEEKNUM(A1505,21))</f>
        <v/>
      </c>
      <c r="C1505" s="57" t="n"/>
      <c r="D1505" s="57" t="n"/>
      <c r="E1505" s="58" t="n"/>
      <c r="F1505" s="57" t="n"/>
      <c r="G1505" s="59" t="n"/>
      <c r="H1505" s="59" t="n"/>
      <c r="I1505" s="60">
        <f>IF(OR(G1505="",H1505=""),"",MOD(H1505-G1505,1))</f>
        <v/>
      </c>
      <c r="J1505" s="61">
        <f>IF(OR(G1505="",H1505=""),"",ROUND(MOD(H1505-G1505,1)*24,2))</f>
        <v/>
      </c>
      <c r="K1505" s="62">
        <f>IF(E1505="","",IF(E1505="Werken","JA","NEE"))</f>
        <v/>
      </c>
      <c r="L1505" s="61">
        <f>IF(K1505="JA",N(J1505),IF(E1505="","",0))</f>
        <v/>
      </c>
      <c r="M1505" s="62">
        <f>IF(AND(A1505="",E1505=""),"",IF(E1505="","Segment ontbreekt",IF(OR(G1505="",H1505=""),"Van/tot ontbreekt",IF(N(J1505)=0,"Duur is nul",IF(N(J1505)&gt;12,"Langer dan 12 uur - controleren",IF(AND(E1505="Werken",D1505=""),"Werken zonder klant - koppelen","OK"))))))</f>
        <v/>
      </c>
    </row>
    <row r="1506" ht="15" customHeight="1" s="42">
      <c r="A1506" s="55" t="n"/>
      <c r="B1506" s="56">
        <f>IF(A1506="","",WEEKNUM(A1506,21))</f>
        <v/>
      </c>
      <c r="C1506" s="57" t="n"/>
      <c r="D1506" s="57" t="n"/>
      <c r="E1506" s="58" t="n"/>
      <c r="F1506" s="57" t="n"/>
      <c r="G1506" s="59" t="n"/>
      <c r="H1506" s="59" t="n"/>
      <c r="I1506" s="60">
        <f>IF(OR(G1506="",H1506=""),"",MOD(H1506-G1506,1))</f>
        <v/>
      </c>
      <c r="J1506" s="61">
        <f>IF(OR(G1506="",H1506=""),"",ROUND(MOD(H1506-G1506,1)*24,2))</f>
        <v/>
      </c>
      <c r="K1506" s="62">
        <f>IF(E1506="","",IF(E1506="Werken","JA","NEE"))</f>
        <v/>
      </c>
      <c r="L1506" s="61">
        <f>IF(K1506="JA",N(J1506),IF(E1506="","",0))</f>
        <v/>
      </c>
      <c r="M1506" s="62">
        <f>IF(AND(A1506="",E1506=""),"",IF(E1506="","Segment ontbreekt",IF(OR(G1506="",H1506=""),"Van/tot ontbreekt",IF(N(J1506)=0,"Duur is nul",IF(N(J1506)&gt;12,"Langer dan 12 uur - controleren",IF(AND(E1506="Werken",D1506=""),"Werken zonder klant - koppelen","OK"))))))</f>
        <v/>
      </c>
    </row>
    <row r="1507" ht="15" customHeight="1" s="42">
      <c r="A1507" s="55" t="n"/>
      <c r="B1507" s="56">
        <f>IF(A1507="","",WEEKNUM(A1507,21))</f>
        <v/>
      </c>
      <c r="C1507" s="57" t="n"/>
      <c r="D1507" s="57" t="n"/>
      <c r="E1507" s="58" t="n"/>
      <c r="F1507" s="57" t="n"/>
      <c r="G1507" s="59" t="n"/>
      <c r="H1507" s="59" t="n"/>
      <c r="I1507" s="60">
        <f>IF(OR(G1507="",H1507=""),"",MOD(H1507-G1507,1))</f>
        <v/>
      </c>
      <c r="J1507" s="61">
        <f>IF(OR(G1507="",H1507=""),"",ROUND(MOD(H1507-G1507,1)*24,2))</f>
        <v/>
      </c>
      <c r="K1507" s="62">
        <f>IF(E1507="","",IF(E1507="Werken","JA","NEE"))</f>
        <v/>
      </c>
      <c r="L1507" s="61">
        <f>IF(K1507="JA",N(J1507),IF(E1507="","",0))</f>
        <v/>
      </c>
      <c r="M1507" s="62">
        <f>IF(AND(A1507="",E1507=""),"",IF(E1507="","Segment ontbreekt",IF(OR(G1507="",H1507=""),"Van/tot ontbreekt",IF(N(J1507)=0,"Duur is nul",IF(N(J1507)&gt;12,"Langer dan 12 uur - controleren",IF(AND(E1507="Werken",D1507=""),"Werken zonder klant - koppelen","OK"))))))</f>
        <v/>
      </c>
    </row>
    <row r="1508" ht="15" customHeight="1" s="42">
      <c r="A1508" s="55" t="n"/>
      <c r="B1508" s="56">
        <f>IF(A1508="","",WEEKNUM(A1508,21))</f>
        <v/>
      </c>
      <c r="C1508" s="57" t="n"/>
      <c r="D1508" s="57" t="n"/>
      <c r="E1508" s="58" t="n"/>
      <c r="F1508" s="57" t="n"/>
      <c r="G1508" s="59" t="n"/>
      <c r="H1508" s="59" t="n"/>
      <c r="I1508" s="60">
        <f>IF(OR(G1508="",H1508=""),"",MOD(H1508-G1508,1))</f>
        <v/>
      </c>
      <c r="J1508" s="61">
        <f>IF(OR(G1508="",H1508=""),"",ROUND(MOD(H1508-G1508,1)*24,2))</f>
        <v/>
      </c>
      <c r="K1508" s="62">
        <f>IF(E1508="","",IF(E1508="Werken","JA","NEE"))</f>
        <v/>
      </c>
      <c r="L1508" s="61">
        <f>IF(K1508="JA",N(J1508),IF(E1508="","",0))</f>
        <v/>
      </c>
      <c r="M1508" s="62">
        <f>IF(AND(A1508="",E1508=""),"",IF(E1508="","Segment ontbreekt",IF(OR(G1508="",H1508=""),"Van/tot ontbreekt",IF(N(J1508)=0,"Duur is nul",IF(N(J1508)&gt;12,"Langer dan 12 uur - controleren",IF(AND(E1508="Werken",D1508=""),"Werken zonder klant - koppelen","OK"))))))</f>
        <v/>
      </c>
    </row>
    <row r="1509" ht="15" customHeight="1" s="42">
      <c r="A1509" s="55" t="n"/>
      <c r="B1509" s="56">
        <f>IF(A1509="","",WEEKNUM(A1509,21))</f>
        <v/>
      </c>
      <c r="C1509" s="57" t="n"/>
      <c r="D1509" s="57" t="n"/>
      <c r="E1509" s="58" t="n"/>
      <c r="F1509" s="57" t="n"/>
      <c r="G1509" s="59" t="n"/>
      <c r="H1509" s="59" t="n"/>
      <c r="I1509" s="60">
        <f>IF(OR(G1509="",H1509=""),"",MOD(H1509-G1509,1))</f>
        <v/>
      </c>
      <c r="J1509" s="61">
        <f>IF(OR(G1509="",H1509=""),"",ROUND(MOD(H1509-G1509,1)*24,2))</f>
        <v/>
      </c>
      <c r="K1509" s="62">
        <f>IF(E1509="","",IF(E1509="Werken","JA","NEE"))</f>
        <v/>
      </c>
      <c r="L1509" s="61">
        <f>IF(K1509="JA",N(J1509),IF(E1509="","",0))</f>
        <v/>
      </c>
      <c r="M1509" s="62">
        <f>IF(AND(A1509="",E1509=""),"",IF(E1509="","Segment ontbreekt",IF(OR(G1509="",H1509=""),"Van/tot ontbreekt",IF(N(J1509)=0,"Duur is nul",IF(N(J1509)&gt;12,"Langer dan 12 uur - controleren",IF(AND(E1509="Werken",D1509=""),"Werken zonder klant - koppelen","OK"))))))</f>
        <v/>
      </c>
    </row>
    <row r="1510" ht="15" customHeight="1" s="42">
      <c r="A1510" s="55" t="n"/>
      <c r="B1510" s="56">
        <f>IF(A1510="","",WEEKNUM(A1510,21))</f>
        <v/>
      </c>
      <c r="C1510" s="57" t="n"/>
      <c r="D1510" s="57" t="n"/>
      <c r="E1510" s="58" t="n"/>
      <c r="F1510" s="57" t="n"/>
      <c r="G1510" s="59" t="n"/>
      <c r="H1510" s="59" t="n"/>
      <c r="I1510" s="60">
        <f>IF(OR(G1510="",H1510=""),"",MOD(H1510-G1510,1))</f>
        <v/>
      </c>
      <c r="J1510" s="61">
        <f>IF(OR(G1510="",H1510=""),"",ROUND(MOD(H1510-G1510,1)*24,2))</f>
        <v/>
      </c>
      <c r="K1510" s="62">
        <f>IF(E1510="","",IF(E1510="Werken","JA","NEE"))</f>
        <v/>
      </c>
      <c r="L1510" s="61">
        <f>IF(K1510="JA",N(J1510),IF(E1510="","",0))</f>
        <v/>
      </c>
      <c r="M1510" s="62">
        <f>IF(AND(A1510="",E1510=""),"",IF(E1510="","Segment ontbreekt",IF(OR(G1510="",H1510=""),"Van/tot ontbreekt",IF(N(J1510)=0,"Duur is nul",IF(N(J1510)&gt;12,"Langer dan 12 uur - controleren",IF(AND(E1510="Werken",D1510=""),"Werken zonder klant - koppelen","OK"))))))</f>
        <v/>
      </c>
    </row>
    <row r="1511" ht="15" customHeight="1" s="42">
      <c r="A1511" s="55" t="n"/>
      <c r="B1511" s="56">
        <f>IF(A1511="","",WEEKNUM(A1511,21))</f>
        <v/>
      </c>
      <c r="C1511" s="57" t="n"/>
      <c r="D1511" s="57" t="n"/>
      <c r="E1511" s="58" t="n"/>
      <c r="F1511" s="57" t="n"/>
      <c r="G1511" s="59" t="n"/>
      <c r="H1511" s="59" t="n"/>
      <c r="I1511" s="60">
        <f>IF(OR(G1511="",H1511=""),"",MOD(H1511-G1511,1))</f>
        <v/>
      </c>
      <c r="J1511" s="61">
        <f>IF(OR(G1511="",H1511=""),"",ROUND(MOD(H1511-G1511,1)*24,2))</f>
        <v/>
      </c>
      <c r="K1511" s="62">
        <f>IF(E1511="","",IF(E1511="Werken","JA","NEE"))</f>
        <v/>
      </c>
      <c r="L1511" s="61">
        <f>IF(K1511="JA",N(J1511),IF(E1511="","",0))</f>
        <v/>
      </c>
      <c r="M1511" s="62">
        <f>IF(AND(A1511="",E1511=""),"",IF(E1511="","Segment ontbreekt",IF(OR(G1511="",H1511=""),"Van/tot ontbreekt",IF(N(J1511)=0,"Duur is nul",IF(N(J1511)&gt;12,"Langer dan 12 uur - controleren",IF(AND(E1511="Werken",D1511=""),"Werken zonder klant - koppelen","OK"))))))</f>
        <v/>
      </c>
    </row>
    <row r="1512" ht="15" customHeight="1" s="42">
      <c r="A1512" s="55" t="n"/>
      <c r="B1512" s="56">
        <f>IF(A1512="","",WEEKNUM(A1512,21))</f>
        <v/>
      </c>
      <c r="C1512" s="57" t="n"/>
      <c r="D1512" s="57" t="n"/>
      <c r="E1512" s="58" t="n"/>
      <c r="F1512" s="57" t="n"/>
      <c r="G1512" s="59" t="n"/>
      <c r="H1512" s="59" t="n"/>
      <c r="I1512" s="60">
        <f>IF(OR(G1512="",H1512=""),"",MOD(H1512-G1512,1))</f>
        <v/>
      </c>
      <c r="J1512" s="61">
        <f>IF(OR(G1512="",H1512=""),"",ROUND(MOD(H1512-G1512,1)*24,2))</f>
        <v/>
      </c>
      <c r="K1512" s="62">
        <f>IF(E1512="","",IF(E1512="Werken","JA","NEE"))</f>
        <v/>
      </c>
      <c r="L1512" s="61">
        <f>IF(K1512="JA",N(J1512),IF(E1512="","",0))</f>
        <v/>
      </c>
      <c r="M1512" s="62">
        <f>IF(AND(A1512="",E1512=""),"",IF(E1512="","Segment ontbreekt",IF(OR(G1512="",H1512=""),"Van/tot ontbreekt",IF(N(J1512)=0,"Duur is nul",IF(N(J1512)&gt;12,"Langer dan 12 uur - controleren",IF(AND(E1512="Werken",D1512=""),"Werken zonder klant - koppelen","OK"))))))</f>
        <v/>
      </c>
    </row>
    <row r="1513" ht="15" customHeight="1" s="42">
      <c r="A1513" s="55" t="n"/>
      <c r="B1513" s="56">
        <f>IF(A1513="","",WEEKNUM(A1513,21))</f>
        <v/>
      </c>
      <c r="C1513" s="57" t="n"/>
      <c r="D1513" s="57" t="n"/>
      <c r="E1513" s="58" t="n"/>
      <c r="F1513" s="57" t="n"/>
      <c r="G1513" s="59" t="n"/>
      <c r="H1513" s="59" t="n"/>
      <c r="I1513" s="60">
        <f>IF(OR(G1513="",H1513=""),"",MOD(H1513-G1513,1))</f>
        <v/>
      </c>
      <c r="J1513" s="61">
        <f>IF(OR(G1513="",H1513=""),"",ROUND(MOD(H1513-G1513,1)*24,2))</f>
        <v/>
      </c>
      <c r="K1513" s="62">
        <f>IF(E1513="","",IF(E1513="Werken","JA","NEE"))</f>
        <v/>
      </c>
      <c r="L1513" s="61">
        <f>IF(K1513="JA",N(J1513),IF(E1513="","",0))</f>
        <v/>
      </c>
      <c r="M1513" s="62">
        <f>IF(AND(A1513="",E1513=""),"",IF(E1513="","Segment ontbreekt",IF(OR(G1513="",H1513=""),"Van/tot ontbreekt",IF(N(J1513)=0,"Duur is nul",IF(N(J1513)&gt;12,"Langer dan 12 uur - controleren",IF(AND(E1513="Werken",D1513=""),"Werken zonder klant - koppelen","OK"))))))</f>
        <v/>
      </c>
    </row>
    <row r="1514" ht="15" customHeight="1" s="42">
      <c r="A1514" s="55" t="n"/>
      <c r="B1514" s="56">
        <f>IF(A1514="","",WEEKNUM(A1514,21))</f>
        <v/>
      </c>
      <c r="C1514" s="57" t="n"/>
      <c r="D1514" s="57" t="n"/>
      <c r="E1514" s="58" t="n"/>
      <c r="F1514" s="57" t="n"/>
      <c r="G1514" s="59" t="n"/>
      <c r="H1514" s="59" t="n"/>
      <c r="I1514" s="60">
        <f>IF(OR(G1514="",H1514=""),"",MOD(H1514-G1514,1))</f>
        <v/>
      </c>
      <c r="J1514" s="61">
        <f>IF(OR(G1514="",H1514=""),"",ROUND(MOD(H1514-G1514,1)*24,2))</f>
        <v/>
      </c>
      <c r="K1514" s="62">
        <f>IF(E1514="","",IF(E1514="Werken","JA","NEE"))</f>
        <v/>
      </c>
      <c r="L1514" s="61">
        <f>IF(K1514="JA",N(J1514),IF(E1514="","",0))</f>
        <v/>
      </c>
      <c r="M1514" s="62">
        <f>IF(AND(A1514="",E1514=""),"",IF(E1514="","Segment ontbreekt",IF(OR(G1514="",H1514=""),"Van/tot ontbreekt",IF(N(J1514)=0,"Duur is nul",IF(N(J1514)&gt;12,"Langer dan 12 uur - controleren",IF(AND(E1514="Werken",D1514=""),"Werken zonder klant - koppelen","OK"))))))</f>
        <v/>
      </c>
    </row>
    <row r="1515" ht="15" customHeight="1" s="42">
      <c r="A1515" s="55" t="n"/>
      <c r="B1515" s="56">
        <f>IF(A1515="","",WEEKNUM(A1515,21))</f>
        <v/>
      </c>
      <c r="C1515" s="57" t="n"/>
      <c r="D1515" s="57" t="n"/>
      <c r="E1515" s="58" t="n"/>
      <c r="F1515" s="57" t="n"/>
      <c r="G1515" s="59" t="n"/>
      <c r="H1515" s="59" t="n"/>
      <c r="I1515" s="60">
        <f>IF(OR(G1515="",H1515=""),"",MOD(H1515-G1515,1))</f>
        <v/>
      </c>
      <c r="J1515" s="61">
        <f>IF(OR(G1515="",H1515=""),"",ROUND(MOD(H1515-G1515,1)*24,2))</f>
        <v/>
      </c>
      <c r="K1515" s="62">
        <f>IF(E1515="","",IF(E1515="Werken","JA","NEE"))</f>
        <v/>
      </c>
      <c r="L1515" s="61">
        <f>IF(K1515="JA",N(J1515),IF(E1515="","",0))</f>
        <v/>
      </c>
      <c r="M1515" s="62">
        <f>IF(AND(A1515="",E1515=""),"",IF(E1515="","Segment ontbreekt",IF(OR(G1515="",H1515=""),"Van/tot ontbreekt",IF(N(J1515)=0,"Duur is nul",IF(N(J1515)&gt;12,"Langer dan 12 uur - controleren",IF(AND(E1515="Werken",D1515=""),"Werken zonder klant - koppelen","OK"))))))</f>
        <v/>
      </c>
    </row>
    <row r="1516" ht="15" customHeight="1" s="42">
      <c r="A1516" s="55" t="n"/>
      <c r="B1516" s="56">
        <f>IF(A1516="","",WEEKNUM(A1516,21))</f>
        <v/>
      </c>
      <c r="C1516" s="57" t="n"/>
      <c r="D1516" s="57" t="n"/>
      <c r="E1516" s="58" t="n"/>
      <c r="F1516" s="57" t="n"/>
      <c r="G1516" s="59" t="n"/>
      <c r="H1516" s="59" t="n"/>
      <c r="I1516" s="60">
        <f>IF(OR(G1516="",H1516=""),"",MOD(H1516-G1516,1))</f>
        <v/>
      </c>
      <c r="J1516" s="61">
        <f>IF(OR(G1516="",H1516=""),"",ROUND(MOD(H1516-G1516,1)*24,2))</f>
        <v/>
      </c>
      <c r="K1516" s="62">
        <f>IF(E1516="","",IF(E1516="Werken","JA","NEE"))</f>
        <v/>
      </c>
      <c r="L1516" s="61">
        <f>IF(K1516="JA",N(J1516),IF(E1516="","",0))</f>
        <v/>
      </c>
      <c r="M1516" s="62">
        <f>IF(AND(A1516="",E1516=""),"",IF(E1516="","Segment ontbreekt",IF(OR(G1516="",H1516=""),"Van/tot ontbreekt",IF(N(J1516)=0,"Duur is nul",IF(N(J1516)&gt;12,"Langer dan 12 uur - controleren",IF(AND(E1516="Werken",D1516=""),"Werken zonder klant - koppelen","OK"))))))</f>
        <v/>
      </c>
    </row>
    <row r="1517" ht="15" customHeight="1" s="42">
      <c r="A1517" s="55" t="n"/>
      <c r="B1517" s="56">
        <f>IF(A1517="","",WEEKNUM(A1517,21))</f>
        <v/>
      </c>
      <c r="C1517" s="57" t="n"/>
      <c r="D1517" s="57" t="n"/>
      <c r="E1517" s="58" t="n"/>
      <c r="F1517" s="57" t="n"/>
      <c r="G1517" s="59" t="n"/>
      <c r="H1517" s="59" t="n"/>
      <c r="I1517" s="60">
        <f>IF(OR(G1517="",H1517=""),"",MOD(H1517-G1517,1))</f>
        <v/>
      </c>
      <c r="J1517" s="61">
        <f>IF(OR(G1517="",H1517=""),"",ROUND(MOD(H1517-G1517,1)*24,2))</f>
        <v/>
      </c>
      <c r="K1517" s="62">
        <f>IF(E1517="","",IF(E1517="Werken","JA","NEE"))</f>
        <v/>
      </c>
      <c r="L1517" s="61">
        <f>IF(K1517="JA",N(J1517),IF(E1517="","",0))</f>
        <v/>
      </c>
      <c r="M1517" s="62">
        <f>IF(AND(A1517="",E1517=""),"",IF(E1517="","Segment ontbreekt",IF(OR(G1517="",H1517=""),"Van/tot ontbreekt",IF(N(J1517)=0,"Duur is nul",IF(N(J1517)&gt;12,"Langer dan 12 uur - controleren",IF(AND(E1517="Werken",D1517=""),"Werken zonder klant - koppelen","OK"))))))</f>
        <v/>
      </c>
    </row>
    <row r="1518" ht="15" customHeight="1" s="42">
      <c r="A1518" s="55" t="n"/>
      <c r="B1518" s="56">
        <f>IF(A1518="","",WEEKNUM(A1518,21))</f>
        <v/>
      </c>
      <c r="C1518" s="57" t="n"/>
      <c r="D1518" s="57" t="n"/>
      <c r="E1518" s="58" t="n"/>
      <c r="F1518" s="57" t="n"/>
      <c r="G1518" s="59" t="n"/>
      <c r="H1518" s="59" t="n"/>
      <c r="I1518" s="60">
        <f>IF(OR(G1518="",H1518=""),"",MOD(H1518-G1518,1))</f>
        <v/>
      </c>
      <c r="J1518" s="61">
        <f>IF(OR(G1518="",H1518=""),"",ROUND(MOD(H1518-G1518,1)*24,2))</f>
        <v/>
      </c>
      <c r="K1518" s="62">
        <f>IF(E1518="","",IF(E1518="Werken","JA","NEE"))</f>
        <v/>
      </c>
      <c r="L1518" s="61">
        <f>IF(K1518="JA",N(J1518),IF(E1518="","",0))</f>
        <v/>
      </c>
      <c r="M1518" s="62">
        <f>IF(AND(A1518="",E1518=""),"",IF(E1518="","Segment ontbreekt",IF(OR(G1518="",H1518=""),"Van/tot ontbreekt",IF(N(J1518)=0,"Duur is nul",IF(N(J1518)&gt;12,"Langer dan 12 uur - controleren",IF(AND(E1518="Werken",D1518=""),"Werken zonder klant - koppelen","OK"))))))</f>
        <v/>
      </c>
    </row>
    <row r="1519" ht="15" customHeight="1" s="42">
      <c r="A1519" s="55" t="n"/>
      <c r="B1519" s="56">
        <f>IF(A1519="","",WEEKNUM(A1519,21))</f>
        <v/>
      </c>
      <c r="C1519" s="57" t="n"/>
      <c r="D1519" s="57" t="n"/>
      <c r="E1519" s="58" t="n"/>
      <c r="F1519" s="57" t="n"/>
      <c r="G1519" s="59" t="n"/>
      <c r="H1519" s="59" t="n"/>
      <c r="I1519" s="60">
        <f>IF(OR(G1519="",H1519=""),"",MOD(H1519-G1519,1))</f>
        <v/>
      </c>
      <c r="J1519" s="61">
        <f>IF(OR(G1519="",H1519=""),"",ROUND(MOD(H1519-G1519,1)*24,2))</f>
        <v/>
      </c>
      <c r="K1519" s="62">
        <f>IF(E1519="","",IF(E1519="Werken","JA","NEE"))</f>
        <v/>
      </c>
      <c r="L1519" s="61">
        <f>IF(K1519="JA",N(J1519),IF(E1519="","",0))</f>
        <v/>
      </c>
      <c r="M1519" s="62">
        <f>IF(AND(A1519="",E1519=""),"",IF(E1519="","Segment ontbreekt",IF(OR(G1519="",H1519=""),"Van/tot ontbreekt",IF(N(J1519)=0,"Duur is nul",IF(N(J1519)&gt;12,"Langer dan 12 uur - controleren",IF(AND(E1519="Werken",D1519=""),"Werken zonder klant - koppelen","OK"))))))</f>
        <v/>
      </c>
    </row>
    <row r="1520" ht="15" customHeight="1" s="42">
      <c r="A1520" s="55" t="n"/>
      <c r="B1520" s="56">
        <f>IF(A1520="","",WEEKNUM(A1520,21))</f>
        <v/>
      </c>
      <c r="C1520" s="57" t="n"/>
      <c r="D1520" s="57" t="n"/>
      <c r="E1520" s="58" t="n"/>
      <c r="F1520" s="57" t="n"/>
      <c r="G1520" s="59" t="n"/>
      <c r="H1520" s="59" t="n"/>
      <c r="I1520" s="60">
        <f>IF(OR(G1520="",H1520=""),"",MOD(H1520-G1520,1))</f>
        <v/>
      </c>
      <c r="J1520" s="61">
        <f>IF(OR(G1520="",H1520=""),"",ROUND(MOD(H1520-G1520,1)*24,2))</f>
        <v/>
      </c>
      <c r="K1520" s="62">
        <f>IF(E1520="","",IF(E1520="Werken","JA","NEE"))</f>
        <v/>
      </c>
      <c r="L1520" s="61">
        <f>IF(K1520="JA",N(J1520),IF(E1520="","",0))</f>
        <v/>
      </c>
      <c r="M1520" s="62">
        <f>IF(AND(A1520="",E1520=""),"",IF(E1520="","Segment ontbreekt",IF(OR(G1520="",H1520=""),"Van/tot ontbreekt",IF(N(J1520)=0,"Duur is nul",IF(N(J1520)&gt;12,"Langer dan 12 uur - controleren",IF(AND(E1520="Werken",D1520=""),"Werken zonder klant - koppelen","OK"))))))</f>
        <v/>
      </c>
    </row>
    <row r="1521" ht="15" customHeight="1" s="42">
      <c r="A1521" s="55" t="n"/>
      <c r="B1521" s="56">
        <f>IF(A1521="","",WEEKNUM(A1521,21))</f>
        <v/>
      </c>
      <c r="C1521" s="57" t="n"/>
      <c r="D1521" s="57" t="n"/>
      <c r="E1521" s="58" t="n"/>
      <c r="F1521" s="57" t="n"/>
      <c r="G1521" s="59" t="n"/>
      <c r="H1521" s="59" t="n"/>
      <c r="I1521" s="60">
        <f>IF(OR(G1521="",H1521=""),"",MOD(H1521-G1521,1))</f>
        <v/>
      </c>
      <c r="J1521" s="61">
        <f>IF(OR(G1521="",H1521=""),"",ROUND(MOD(H1521-G1521,1)*24,2))</f>
        <v/>
      </c>
      <c r="K1521" s="62">
        <f>IF(E1521="","",IF(E1521="Werken","JA","NEE"))</f>
        <v/>
      </c>
      <c r="L1521" s="61">
        <f>IF(K1521="JA",N(J1521),IF(E1521="","",0))</f>
        <v/>
      </c>
      <c r="M1521" s="62">
        <f>IF(AND(A1521="",E1521=""),"",IF(E1521="","Segment ontbreekt",IF(OR(G1521="",H1521=""),"Van/tot ontbreekt",IF(N(J1521)=0,"Duur is nul",IF(N(J1521)&gt;12,"Langer dan 12 uur - controleren",IF(AND(E1521="Werken",D1521=""),"Werken zonder klant - koppelen","OK"))))))</f>
        <v/>
      </c>
    </row>
    <row r="1522" ht="15" customHeight="1" s="42">
      <c r="A1522" s="55" t="n"/>
      <c r="B1522" s="56">
        <f>IF(A1522="","",WEEKNUM(A1522,21))</f>
        <v/>
      </c>
      <c r="C1522" s="57" t="n"/>
      <c r="D1522" s="57" t="n"/>
      <c r="E1522" s="58" t="n"/>
      <c r="F1522" s="57" t="n"/>
      <c r="G1522" s="59" t="n"/>
      <c r="H1522" s="59" t="n"/>
      <c r="I1522" s="60">
        <f>IF(OR(G1522="",H1522=""),"",MOD(H1522-G1522,1))</f>
        <v/>
      </c>
      <c r="J1522" s="61">
        <f>IF(OR(G1522="",H1522=""),"",ROUND(MOD(H1522-G1522,1)*24,2))</f>
        <v/>
      </c>
      <c r="K1522" s="62">
        <f>IF(E1522="","",IF(E1522="Werken","JA","NEE"))</f>
        <v/>
      </c>
      <c r="L1522" s="61">
        <f>IF(K1522="JA",N(J1522),IF(E1522="","",0))</f>
        <v/>
      </c>
      <c r="M1522" s="62">
        <f>IF(AND(A1522="",E1522=""),"",IF(E1522="","Segment ontbreekt",IF(OR(G1522="",H1522=""),"Van/tot ontbreekt",IF(N(J1522)=0,"Duur is nul",IF(N(J1522)&gt;12,"Langer dan 12 uur - controleren",IF(AND(E1522="Werken",D1522=""),"Werken zonder klant - koppelen","OK"))))))</f>
        <v/>
      </c>
    </row>
    <row r="1523" ht="15" customHeight="1" s="42">
      <c r="A1523" s="55" t="n"/>
      <c r="B1523" s="56">
        <f>IF(A1523="","",WEEKNUM(A1523,21))</f>
        <v/>
      </c>
      <c r="C1523" s="57" t="n"/>
      <c r="D1523" s="57" t="n"/>
      <c r="E1523" s="58" t="n"/>
      <c r="F1523" s="57" t="n"/>
      <c r="G1523" s="59" t="n"/>
      <c r="H1523" s="59" t="n"/>
      <c r="I1523" s="60">
        <f>IF(OR(G1523="",H1523=""),"",MOD(H1523-G1523,1))</f>
        <v/>
      </c>
      <c r="J1523" s="61">
        <f>IF(OR(G1523="",H1523=""),"",ROUND(MOD(H1523-G1523,1)*24,2))</f>
        <v/>
      </c>
      <c r="K1523" s="62">
        <f>IF(E1523="","",IF(E1523="Werken","JA","NEE"))</f>
        <v/>
      </c>
      <c r="L1523" s="61">
        <f>IF(K1523="JA",N(J1523),IF(E1523="","",0))</f>
        <v/>
      </c>
      <c r="M1523" s="62">
        <f>IF(AND(A1523="",E1523=""),"",IF(E1523="","Segment ontbreekt",IF(OR(G1523="",H1523=""),"Van/tot ontbreekt",IF(N(J1523)=0,"Duur is nul",IF(N(J1523)&gt;12,"Langer dan 12 uur - controleren",IF(AND(E1523="Werken",D1523=""),"Werken zonder klant - koppelen","OK"))))))</f>
        <v/>
      </c>
    </row>
    <row r="1524" ht="15" customHeight="1" s="42">
      <c r="A1524" s="55" t="n"/>
      <c r="B1524" s="56">
        <f>IF(A1524="","",WEEKNUM(A1524,21))</f>
        <v/>
      </c>
      <c r="C1524" s="57" t="n"/>
      <c r="D1524" s="57" t="n"/>
      <c r="E1524" s="58" t="n"/>
      <c r="F1524" s="57" t="n"/>
      <c r="G1524" s="59" t="n"/>
      <c r="H1524" s="59" t="n"/>
      <c r="I1524" s="60">
        <f>IF(OR(G1524="",H1524=""),"",MOD(H1524-G1524,1))</f>
        <v/>
      </c>
      <c r="J1524" s="61">
        <f>IF(OR(G1524="",H1524=""),"",ROUND(MOD(H1524-G1524,1)*24,2))</f>
        <v/>
      </c>
      <c r="K1524" s="62">
        <f>IF(E1524="","",IF(E1524="Werken","JA","NEE"))</f>
        <v/>
      </c>
      <c r="L1524" s="61">
        <f>IF(K1524="JA",N(J1524),IF(E1524="","",0))</f>
        <v/>
      </c>
      <c r="M1524" s="62">
        <f>IF(AND(A1524="",E1524=""),"",IF(E1524="","Segment ontbreekt",IF(OR(G1524="",H1524=""),"Van/tot ontbreekt",IF(N(J1524)=0,"Duur is nul",IF(N(J1524)&gt;12,"Langer dan 12 uur - controleren",IF(AND(E1524="Werken",D1524=""),"Werken zonder klant - koppelen","OK"))))))</f>
        <v/>
      </c>
    </row>
    <row r="1525" ht="15" customHeight="1" s="42">
      <c r="A1525" s="55" t="n"/>
      <c r="B1525" s="56">
        <f>IF(A1525="","",WEEKNUM(A1525,21))</f>
        <v/>
      </c>
      <c r="C1525" s="57" t="n"/>
      <c r="D1525" s="57" t="n"/>
      <c r="E1525" s="58" t="n"/>
      <c r="F1525" s="57" t="n"/>
      <c r="G1525" s="59" t="n"/>
      <c r="H1525" s="59" t="n"/>
      <c r="I1525" s="60">
        <f>IF(OR(G1525="",H1525=""),"",MOD(H1525-G1525,1))</f>
        <v/>
      </c>
      <c r="J1525" s="61">
        <f>IF(OR(G1525="",H1525=""),"",ROUND(MOD(H1525-G1525,1)*24,2))</f>
        <v/>
      </c>
      <c r="K1525" s="62">
        <f>IF(E1525="","",IF(E1525="Werken","JA","NEE"))</f>
        <v/>
      </c>
      <c r="L1525" s="61">
        <f>IF(K1525="JA",N(J1525),IF(E1525="","",0))</f>
        <v/>
      </c>
      <c r="M1525" s="62">
        <f>IF(AND(A1525="",E1525=""),"",IF(E1525="","Segment ontbreekt",IF(OR(G1525="",H1525=""),"Van/tot ontbreekt",IF(N(J1525)=0,"Duur is nul",IF(N(J1525)&gt;12,"Langer dan 12 uur - controleren",IF(AND(E1525="Werken",D1525=""),"Werken zonder klant - koppelen","OK"))))))</f>
        <v/>
      </c>
    </row>
    <row r="1526" ht="15" customHeight="1" s="42">
      <c r="A1526" s="55" t="n"/>
      <c r="B1526" s="56">
        <f>IF(A1526="","",WEEKNUM(A1526,21))</f>
        <v/>
      </c>
      <c r="C1526" s="57" t="n"/>
      <c r="D1526" s="57" t="n"/>
      <c r="E1526" s="58" t="n"/>
      <c r="F1526" s="57" t="n"/>
      <c r="G1526" s="59" t="n"/>
      <c r="H1526" s="59" t="n"/>
      <c r="I1526" s="60">
        <f>IF(OR(G1526="",H1526=""),"",MOD(H1526-G1526,1))</f>
        <v/>
      </c>
      <c r="J1526" s="61">
        <f>IF(OR(G1526="",H1526=""),"",ROUND(MOD(H1526-G1526,1)*24,2))</f>
        <v/>
      </c>
      <c r="K1526" s="62">
        <f>IF(E1526="","",IF(E1526="Werken","JA","NEE"))</f>
        <v/>
      </c>
      <c r="L1526" s="61">
        <f>IF(K1526="JA",N(J1526),IF(E1526="","",0))</f>
        <v/>
      </c>
      <c r="M1526" s="62">
        <f>IF(AND(A1526="",E1526=""),"",IF(E1526="","Segment ontbreekt",IF(OR(G1526="",H1526=""),"Van/tot ontbreekt",IF(N(J1526)=0,"Duur is nul",IF(N(J1526)&gt;12,"Langer dan 12 uur - controleren",IF(AND(E1526="Werken",D1526=""),"Werken zonder klant - koppelen","OK"))))))</f>
        <v/>
      </c>
    </row>
    <row r="1527" ht="15" customHeight="1" s="42">
      <c r="A1527" s="55" t="n"/>
      <c r="B1527" s="56">
        <f>IF(A1527="","",WEEKNUM(A1527,21))</f>
        <v/>
      </c>
      <c r="C1527" s="57" t="n"/>
      <c r="D1527" s="57" t="n"/>
      <c r="E1527" s="58" t="n"/>
      <c r="F1527" s="57" t="n"/>
      <c r="G1527" s="59" t="n"/>
      <c r="H1527" s="59" t="n"/>
      <c r="I1527" s="60">
        <f>IF(OR(G1527="",H1527=""),"",MOD(H1527-G1527,1))</f>
        <v/>
      </c>
      <c r="J1527" s="61">
        <f>IF(OR(G1527="",H1527=""),"",ROUND(MOD(H1527-G1527,1)*24,2))</f>
        <v/>
      </c>
      <c r="K1527" s="62">
        <f>IF(E1527="","",IF(E1527="Werken","JA","NEE"))</f>
        <v/>
      </c>
      <c r="L1527" s="61">
        <f>IF(K1527="JA",N(J1527),IF(E1527="","",0))</f>
        <v/>
      </c>
      <c r="M1527" s="62">
        <f>IF(AND(A1527="",E1527=""),"",IF(E1527="","Segment ontbreekt",IF(OR(G1527="",H1527=""),"Van/tot ontbreekt",IF(N(J1527)=0,"Duur is nul",IF(N(J1527)&gt;12,"Langer dan 12 uur - controleren",IF(AND(E1527="Werken",D1527=""),"Werken zonder klant - koppelen","OK"))))))</f>
        <v/>
      </c>
    </row>
    <row r="1528" ht="15" customHeight="1" s="42">
      <c r="A1528" s="55" t="n"/>
      <c r="B1528" s="56">
        <f>IF(A1528="","",WEEKNUM(A1528,21))</f>
        <v/>
      </c>
      <c r="C1528" s="57" t="n"/>
      <c r="D1528" s="57" t="n"/>
      <c r="E1528" s="58" t="n"/>
      <c r="F1528" s="57" t="n"/>
      <c r="G1528" s="59" t="n"/>
      <c r="H1528" s="59" t="n"/>
      <c r="I1528" s="60">
        <f>IF(OR(G1528="",H1528=""),"",MOD(H1528-G1528,1))</f>
        <v/>
      </c>
      <c r="J1528" s="61">
        <f>IF(OR(G1528="",H1528=""),"",ROUND(MOD(H1528-G1528,1)*24,2))</f>
        <v/>
      </c>
      <c r="K1528" s="62">
        <f>IF(E1528="","",IF(E1528="Werken","JA","NEE"))</f>
        <v/>
      </c>
      <c r="L1528" s="61">
        <f>IF(K1528="JA",N(J1528),IF(E1528="","",0))</f>
        <v/>
      </c>
      <c r="M1528" s="62">
        <f>IF(AND(A1528="",E1528=""),"",IF(E1528="","Segment ontbreekt",IF(OR(G1528="",H1528=""),"Van/tot ontbreekt",IF(N(J1528)=0,"Duur is nul",IF(N(J1528)&gt;12,"Langer dan 12 uur - controleren",IF(AND(E1528="Werken",D1528=""),"Werken zonder klant - koppelen","OK"))))))</f>
        <v/>
      </c>
    </row>
    <row r="1529" ht="15" customHeight="1" s="42">
      <c r="A1529" s="55" t="n"/>
      <c r="B1529" s="56">
        <f>IF(A1529="","",WEEKNUM(A1529,21))</f>
        <v/>
      </c>
      <c r="C1529" s="57" t="n"/>
      <c r="D1529" s="57" t="n"/>
      <c r="E1529" s="58" t="n"/>
      <c r="F1529" s="57" t="n"/>
      <c r="G1529" s="59" t="n"/>
      <c r="H1529" s="59" t="n"/>
      <c r="I1529" s="60">
        <f>IF(OR(G1529="",H1529=""),"",MOD(H1529-G1529,1))</f>
        <v/>
      </c>
      <c r="J1529" s="61">
        <f>IF(OR(G1529="",H1529=""),"",ROUND(MOD(H1529-G1529,1)*24,2))</f>
        <v/>
      </c>
      <c r="K1529" s="62">
        <f>IF(E1529="","",IF(E1529="Werken","JA","NEE"))</f>
        <v/>
      </c>
      <c r="L1529" s="61">
        <f>IF(K1529="JA",N(J1529),IF(E1529="","",0))</f>
        <v/>
      </c>
      <c r="M1529" s="62">
        <f>IF(AND(A1529="",E1529=""),"",IF(E1529="","Segment ontbreekt",IF(OR(G1529="",H1529=""),"Van/tot ontbreekt",IF(N(J1529)=0,"Duur is nul",IF(N(J1529)&gt;12,"Langer dan 12 uur - controleren",IF(AND(E1529="Werken",D1529=""),"Werken zonder klant - koppelen","OK"))))))</f>
        <v/>
      </c>
    </row>
    <row r="1530" ht="15" customHeight="1" s="42">
      <c r="A1530" s="55" t="n"/>
      <c r="B1530" s="56">
        <f>IF(A1530="","",WEEKNUM(A1530,21))</f>
        <v/>
      </c>
      <c r="C1530" s="57" t="n"/>
      <c r="D1530" s="57" t="n"/>
      <c r="E1530" s="58" t="n"/>
      <c r="F1530" s="57" t="n"/>
      <c r="G1530" s="59" t="n"/>
      <c r="H1530" s="59" t="n"/>
      <c r="I1530" s="60">
        <f>IF(OR(G1530="",H1530=""),"",MOD(H1530-G1530,1))</f>
        <v/>
      </c>
      <c r="J1530" s="61">
        <f>IF(OR(G1530="",H1530=""),"",ROUND(MOD(H1530-G1530,1)*24,2))</f>
        <v/>
      </c>
      <c r="K1530" s="62">
        <f>IF(E1530="","",IF(E1530="Werken","JA","NEE"))</f>
        <v/>
      </c>
      <c r="L1530" s="61">
        <f>IF(K1530="JA",N(J1530),IF(E1530="","",0))</f>
        <v/>
      </c>
      <c r="M1530" s="62">
        <f>IF(AND(A1530="",E1530=""),"",IF(E1530="","Segment ontbreekt",IF(OR(G1530="",H1530=""),"Van/tot ontbreekt",IF(N(J1530)=0,"Duur is nul",IF(N(J1530)&gt;12,"Langer dan 12 uur - controleren",IF(AND(E1530="Werken",D1530=""),"Werken zonder klant - koppelen","OK"))))))</f>
        <v/>
      </c>
    </row>
    <row r="1531" ht="15" customHeight="1" s="42">
      <c r="A1531" s="55" t="n"/>
      <c r="B1531" s="56">
        <f>IF(A1531="","",WEEKNUM(A1531,21))</f>
        <v/>
      </c>
      <c r="C1531" s="57" t="n"/>
      <c r="D1531" s="57" t="n"/>
      <c r="E1531" s="58" t="n"/>
      <c r="F1531" s="57" t="n"/>
      <c r="G1531" s="59" t="n"/>
      <c r="H1531" s="59" t="n"/>
      <c r="I1531" s="60">
        <f>IF(OR(G1531="",H1531=""),"",MOD(H1531-G1531,1))</f>
        <v/>
      </c>
      <c r="J1531" s="61">
        <f>IF(OR(G1531="",H1531=""),"",ROUND(MOD(H1531-G1531,1)*24,2))</f>
        <v/>
      </c>
      <c r="K1531" s="62">
        <f>IF(E1531="","",IF(E1531="Werken","JA","NEE"))</f>
        <v/>
      </c>
      <c r="L1531" s="61">
        <f>IF(K1531="JA",N(J1531),IF(E1531="","",0))</f>
        <v/>
      </c>
      <c r="M1531" s="62">
        <f>IF(AND(A1531="",E1531=""),"",IF(E1531="","Segment ontbreekt",IF(OR(G1531="",H1531=""),"Van/tot ontbreekt",IF(N(J1531)=0,"Duur is nul",IF(N(J1531)&gt;12,"Langer dan 12 uur - controleren",IF(AND(E1531="Werken",D1531=""),"Werken zonder klant - koppelen","OK"))))))</f>
        <v/>
      </c>
    </row>
    <row r="1532" ht="15" customHeight="1" s="42">
      <c r="A1532" s="55" t="n"/>
      <c r="B1532" s="56">
        <f>IF(A1532="","",WEEKNUM(A1532,21))</f>
        <v/>
      </c>
      <c r="C1532" s="57" t="n"/>
      <c r="D1532" s="57" t="n"/>
      <c r="E1532" s="58" t="n"/>
      <c r="F1532" s="57" t="n"/>
      <c r="G1532" s="59" t="n"/>
      <c r="H1532" s="59" t="n"/>
      <c r="I1532" s="60">
        <f>IF(OR(G1532="",H1532=""),"",MOD(H1532-G1532,1))</f>
        <v/>
      </c>
      <c r="J1532" s="61">
        <f>IF(OR(G1532="",H1532=""),"",ROUND(MOD(H1532-G1532,1)*24,2))</f>
        <v/>
      </c>
      <c r="K1532" s="62">
        <f>IF(E1532="","",IF(E1532="Werken","JA","NEE"))</f>
        <v/>
      </c>
      <c r="L1532" s="61">
        <f>IF(K1532="JA",N(J1532),IF(E1532="","",0))</f>
        <v/>
      </c>
      <c r="M1532" s="62">
        <f>IF(AND(A1532="",E1532=""),"",IF(E1532="","Segment ontbreekt",IF(OR(G1532="",H1532=""),"Van/tot ontbreekt",IF(N(J1532)=0,"Duur is nul",IF(N(J1532)&gt;12,"Langer dan 12 uur - controleren",IF(AND(E1532="Werken",D1532=""),"Werken zonder klant - koppelen","OK"))))))</f>
        <v/>
      </c>
    </row>
    <row r="1533" ht="15" customHeight="1" s="42">
      <c r="A1533" s="55" t="n"/>
      <c r="B1533" s="56">
        <f>IF(A1533="","",WEEKNUM(A1533,21))</f>
        <v/>
      </c>
      <c r="C1533" s="57" t="n"/>
      <c r="D1533" s="57" t="n"/>
      <c r="E1533" s="58" t="n"/>
      <c r="F1533" s="57" t="n"/>
      <c r="G1533" s="59" t="n"/>
      <c r="H1533" s="59" t="n"/>
      <c r="I1533" s="60">
        <f>IF(OR(G1533="",H1533=""),"",MOD(H1533-G1533,1))</f>
        <v/>
      </c>
      <c r="J1533" s="61">
        <f>IF(OR(G1533="",H1533=""),"",ROUND(MOD(H1533-G1533,1)*24,2))</f>
        <v/>
      </c>
      <c r="K1533" s="62">
        <f>IF(E1533="","",IF(E1533="Werken","JA","NEE"))</f>
        <v/>
      </c>
      <c r="L1533" s="61">
        <f>IF(K1533="JA",N(J1533),IF(E1533="","",0))</f>
        <v/>
      </c>
      <c r="M1533" s="62">
        <f>IF(AND(A1533="",E1533=""),"",IF(E1533="","Segment ontbreekt",IF(OR(G1533="",H1533=""),"Van/tot ontbreekt",IF(N(J1533)=0,"Duur is nul",IF(N(J1533)&gt;12,"Langer dan 12 uur - controleren",IF(AND(E1533="Werken",D1533=""),"Werken zonder klant - koppelen","OK"))))))</f>
        <v/>
      </c>
    </row>
    <row r="1534" ht="15" customHeight="1" s="42">
      <c r="A1534" s="55" t="n"/>
      <c r="B1534" s="56">
        <f>IF(A1534="","",WEEKNUM(A1534,21))</f>
        <v/>
      </c>
      <c r="C1534" s="57" t="n"/>
      <c r="D1534" s="57" t="n"/>
      <c r="E1534" s="58" t="n"/>
      <c r="F1534" s="57" t="n"/>
      <c r="G1534" s="59" t="n"/>
      <c r="H1534" s="59" t="n"/>
      <c r="I1534" s="60">
        <f>IF(OR(G1534="",H1534=""),"",MOD(H1534-G1534,1))</f>
        <v/>
      </c>
      <c r="J1534" s="61">
        <f>IF(OR(G1534="",H1534=""),"",ROUND(MOD(H1534-G1534,1)*24,2))</f>
        <v/>
      </c>
      <c r="K1534" s="62">
        <f>IF(E1534="","",IF(E1534="Werken","JA","NEE"))</f>
        <v/>
      </c>
      <c r="L1534" s="61">
        <f>IF(K1534="JA",N(J1534),IF(E1534="","",0))</f>
        <v/>
      </c>
      <c r="M1534" s="62">
        <f>IF(AND(A1534="",E1534=""),"",IF(E1534="","Segment ontbreekt",IF(OR(G1534="",H1534=""),"Van/tot ontbreekt",IF(N(J1534)=0,"Duur is nul",IF(N(J1534)&gt;12,"Langer dan 12 uur - controleren",IF(AND(E1534="Werken",D1534=""),"Werken zonder klant - koppelen","OK"))))))</f>
        <v/>
      </c>
    </row>
    <row r="1535" ht="15" customHeight="1" s="42">
      <c r="A1535" s="55" t="n"/>
      <c r="B1535" s="56">
        <f>IF(A1535="","",WEEKNUM(A1535,21))</f>
        <v/>
      </c>
      <c r="C1535" s="57" t="n"/>
      <c r="D1535" s="57" t="n"/>
      <c r="E1535" s="58" t="n"/>
      <c r="F1535" s="57" t="n"/>
      <c r="G1535" s="59" t="n"/>
      <c r="H1535" s="59" t="n"/>
      <c r="I1535" s="60">
        <f>IF(OR(G1535="",H1535=""),"",MOD(H1535-G1535,1))</f>
        <v/>
      </c>
      <c r="J1535" s="61">
        <f>IF(OR(G1535="",H1535=""),"",ROUND(MOD(H1535-G1535,1)*24,2))</f>
        <v/>
      </c>
      <c r="K1535" s="62">
        <f>IF(E1535="","",IF(E1535="Werken","JA","NEE"))</f>
        <v/>
      </c>
      <c r="L1535" s="61">
        <f>IF(K1535="JA",N(J1535),IF(E1535="","",0))</f>
        <v/>
      </c>
      <c r="M1535" s="62">
        <f>IF(AND(A1535="",E1535=""),"",IF(E1535="","Segment ontbreekt",IF(OR(G1535="",H1535=""),"Van/tot ontbreekt",IF(N(J1535)=0,"Duur is nul",IF(N(J1535)&gt;12,"Langer dan 12 uur - controleren",IF(AND(E1535="Werken",D1535=""),"Werken zonder klant - koppelen","OK"))))))</f>
        <v/>
      </c>
    </row>
    <row r="1536" ht="15" customHeight="1" s="42">
      <c r="A1536" s="55" t="n"/>
      <c r="B1536" s="56">
        <f>IF(A1536="","",WEEKNUM(A1536,21))</f>
        <v/>
      </c>
      <c r="C1536" s="57" t="n"/>
      <c r="D1536" s="57" t="n"/>
      <c r="E1536" s="58" t="n"/>
      <c r="F1536" s="57" t="n"/>
      <c r="G1536" s="59" t="n"/>
      <c r="H1536" s="59" t="n"/>
      <c r="I1536" s="60">
        <f>IF(OR(G1536="",H1536=""),"",MOD(H1536-G1536,1))</f>
        <v/>
      </c>
      <c r="J1536" s="61">
        <f>IF(OR(G1536="",H1536=""),"",ROUND(MOD(H1536-G1536,1)*24,2))</f>
        <v/>
      </c>
      <c r="K1536" s="62">
        <f>IF(E1536="","",IF(E1536="Werken","JA","NEE"))</f>
        <v/>
      </c>
      <c r="L1536" s="61">
        <f>IF(K1536="JA",N(J1536),IF(E1536="","",0))</f>
        <v/>
      </c>
      <c r="M1536" s="62">
        <f>IF(AND(A1536="",E1536=""),"",IF(E1536="","Segment ontbreekt",IF(OR(G1536="",H1536=""),"Van/tot ontbreekt",IF(N(J1536)=0,"Duur is nul",IF(N(J1536)&gt;12,"Langer dan 12 uur - controleren",IF(AND(E1536="Werken",D1536=""),"Werken zonder klant - koppelen","OK"))))))</f>
        <v/>
      </c>
    </row>
    <row r="1537" ht="15" customHeight="1" s="42">
      <c r="A1537" s="55" t="n"/>
      <c r="B1537" s="56">
        <f>IF(A1537="","",WEEKNUM(A1537,21))</f>
        <v/>
      </c>
      <c r="C1537" s="57" t="n"/>
      <c r="D1537" s="57" t="n"/>
      <c r="E1537" s="58" t="n"/>
      <c r="F1537" s="57" t="n"/>
      <c r="G1537" s="59" t="n"/>
      <c r="H1537" s="59" t="n"/>
      <c r="I1537" s="60">
        <f>IF(OR(G1537="",H1537=""),"",MOD(H1537-G1537,1))</f>
        <v/>
      </c>
      <c r="J1537" s="61">
        <f>IF(OR(G1537="",H1537=""),"",ROUND(MOD(H1537-G1537,1)*24,2))</f>
        <v/>
      </c>
      <c r="K1537" s="62">
        <f>IF(E1537="","",IF(E1537="Werken","JA","NEE"))</f>
        <v/>
      </c>
      <c r="L1537" s="61">
        <f>IF(K1537="JA",N(J1537),IF(E1537="","",0))</f>
        <v/>
      </c>
      <c r="M1537" s="62">
        <f>IF(AND(A1537="",E1537=""),"",IF(E1537="","Segment ontbreekt",IF(OR(G1537="",H1537=""),"Van/tot ontbreekt",IF(N(J1537)=0,"Duur is nul",IF(N(J1537)&gt;12,"Langer dan 12 uur - controleren",IF(AND(E1537="Werken",D1537=""),"Werken zonder klant - koppelen","OK"))))))</f>
        <v/>
      </c>
    </row>
    <row r="1538" ht="15" customHeight="1" s="42">
      <c r="A1538" s="55" t="n"/>
      <c r="B1538" s="56">
        <f>IF(A1538="","",WEEKNUM(A1538,21))</f>
        <v/>
      </c>
      <c r="C1538" s="57" t="n"/>
      <c r="D1538" s="57" t="n"/>
      <c r="E1538" s="58" t="n"/>
      <c r="F1538" s="57" t="n"/>
      <c r="G1538" s="59" t="n"/>
      <c r="H1538" s="59" t="n"/>
      <c r="I1538" s="60">
        <f>IF(OR(G1538="",H1538=""),"",MOD(H1538-G1538,1))</f>
        <v/>
      </c>
      <c r="J1538" s="61">
        <f>IF(OR(G1538="",H1538=""),"",ROUND(MOD(H1538-G1538,1)*24,2))</f>
        <v/>
      </c>
      <c r="K1538" s="62">
        <f>IF(E1538="","",IF(E1538="Werken","JA","NEE"))</f>
        <v/>
      </c>
      <c r="L1538" s="61">
        <f>IF(K1538="JA",N(J1538),IF(E1538="","",0))</f>
        <v/>
      </c>
      <c r="M1538" s="62">
        <f>IF(AND(A1538="",E1538=""),"",IF(E1538="","Segment ontbreekt",IF(OR(G1538="",H1538=""),"Van/tot ontbreekt",IF(N(J1538)=0,"Duur is nul",IF(N(J1538)&gt;12,"Langer dan 12 uur - controleren",IF(AND(E1538="Werken",D1538=""),"Werken zonder klant - koppelen","OK"))))))</f>
        <v/>
      </c>
    </row>
    <row r="1539" ht="15" customHeight="1" s="42">
      <c r="A1539" s="55" t="n"/>
      <c r="B1539" s="56">
        <f>IF(A1539="","",WEEKNUM(A1539,21))</f>
        <v/>
      </c>
      <c r="C1539" s="57" t="n"/>
      <c r="D1539" s="57" t="n"/>
      <c r="E1539" s="58" t="n"/>
      <c r="F1539" s="57" t="n"/>
      <c r="G1539" s="59" t="n"/>
      <c r="H1539" s="59" t="n"/>
      <c r="I1539" s="60">
        <f>IF(OR(G1539="",H1539=""),"",MOD(H1539-G1539,1))</f>
        <v/>
      </c>
      <c r="J1539" s="61">
        <f>IF(OR(G1539="",H1539=""),"",ROUND(MOD(H1539-G1539,1)*24,2))</f>
        <v/>
      </c>
      <c r="K1539" s="62">
        <f>IF(E1539="","",IF(E1539="Werken","JA","NEE"))</f>
        <v/>
      </c>
      <c r="L1539" s="61">
        <f>IF(K1539="JA",N(J1539),IF(E1539="","",0))</f>
        <v/>
      </c>
      <c r="M1539" s="62">
        <f>IF(AND(A1539="",E1539=""),"",IF(E1539="","Segment ontbreekt",IF(OR(G1539="",H1539=""),"Van/tot ontbreekt",IF(N(J1539)=0,"Duur is nul",IF(N(J1539)&gt;12,"Langer dan 12 uur - controleren",IF(AND(E1539="Werken",D1539=""),"Werken zonder klant - koppelen","OK"))))))</f>
        <v/>
      </c>
    </row>
    <row r="1540" ht="15" customHeight="1" s="42">
      <c r="A1540" s="55" t="n"/>
      <c r="B1540" s="56">
        <f>IF(A1540="","",WEEKNUM(A1540,21))</f>
        <v/>
      </c>
      <c r="C1540" s="57" t="n"/>
      <c r="D1540" s="57" t="n"/>
      <c r="E1540" s="58" t="n"/>
      <c r="F1540" s="57" t="n"/>
      <c r="G1540" s="59" t="n"/>
      <c r="H1540" s="59" t="n"/>
      <c r="I1540" s="60">
        <f>IF(OR(G1540="",H1540=""),"",MOD(H1540-G1540,1))</f>
        <v/>
      </c>
      <c r="J1540" s="61">
        <f>IF(OR(G1540="",H1540=""),"",ROUND(MOD(H1540-G1540,1)*24,2))</f>
        <v/>
      </c>
      <c r="K1540" s="62">
        <f>IF(E1540="","",IF(E1540="Werken","JA","NEE"))</f>
        <v/>
      </c>
      <c r="L1540" s="61">
        <f>IF(K1540="JA",N(J1540),IF(E1540="","",0))</f>
        <v/>
      </c>
      <c r="M1540" s="62">
        <f>IF(AND(A1540="",E1540=""),"",IF(E1540="","Segment ontbreekt",IF(OR(G1540="",H1540=""),"Van/tot ontbreekt",IF(N(J1540)=0,"Duur is nul",IF(N(J1540)&gt;12,"Langer dan 12 uur - controleren",IF(AND(E1540="Werken",D1540=""),"Werken zonder klant - koppelen","OK"))))))</f>
        <v/>
      </c>
    </row>
    <row r="1541" ht="15" customHeight="1" s="42">
      <c r="A1541" s="55" t="n"/>
      <c r="B1541" s="56">
        <f>IF(A1541="","",WEEKNUM(A1541,21))</f>
        <v/>
      </c>
      <c r="C1541" s="57" t="n"/>
      <c r="D1541" s="57" t="n"/>
      <c r="E1541" s="58" t="n"/>
      <c r="F1541" s="57" t="n"/>
      <c r="G1541" s="59" t="n"/>
      <c r="H1541" s="59" t="n"/>
      <c r="I1541" s="60">
        <f>IF(OR(G1541="",H1541=""),"",MOD(H1541-G1541,1))</f>
        <v/>
      </c>
      <c r="J1541" s="61">
        <f>IF(OR(G1541="",H1541=""),"",ROUND(MOD(H1541-G1541,1)*24,2))</f>
        <v/>
      </c>
      <c r="K1541" s="62">
        <f>IF(E1541="","",IF(E1541="Werken","JA","NEE"))</f>
        <v/>
      </c>
      <c r="L1541" s="61">
        <f>IF(K1541="JA",N(J1541),IF(E1541="","",0))</f>
        <v/>
      </c>
      <c r="M1541" s="62">
        <f>IF(AND(A1541="",E1541=""),"",IF(E1541="","Segment ontbreekt",IF(OR(G1541="",H1541=""),"Van/tot ontbreekt",IF(N(J1541)=0,"Duur is nul",IF(N(J1541)&gt;12,"Langer dan 12 uur - controleren",IF(AND(E1541="Werken",D1541=""),"Werken zonder klant - koppelen","OK"))))))</f>
        <v/>
      </c>
    </row>
    <row r="1542" ht="15" customHeight="1" s="42">
      <c r="A1542" s="55" t="n"/>
      <c r="B1542" s="56">
        <f>IF(A1542="","",WEEKNUM(A1542,21))</f>
        <v/>
      </c>
      <c r="C1542" s="57" t="n"/>
      <c r="D1542" s="57" t="n"/>
      <c r="E1542" s="58" t="n"/>
      <c r="F1542" s="57" t="n"/>
      <c r="G1542" s="59" t="n"/>
      <c r="H1542" s="59" t="n"/>
      <c r="I1542" s="60">
        <f>IF(OR(G1542="",H1542=""),"",MOD(H1542-G1542,1))</f>
        <v/>
      </c>
      <c r="J1542" s="61">
        <f>IF(OR(G1542="",H1542=""),"",ROUND(MOD(H1542-G1542,1)*24,2))</f>
        <v/>
      </c>
      <c r="K1542" s="62">
        <f>IF(E1542="","",IF(E1542="Werken","JA","NEE"))</f>
        <v/>
      </c>
      <c r="L1542" s="61">
        <f>IF(K1542="JA",N(J1542),IF(E1542="","",0))</f>
        <v/>
      </c>
      <c r="M1542" s="62">
        <f>IF(AND(A1542="",E1542=""),"",IF(E1542="","Segment ontbreekt",IF(OR(G1542="",H1542=""),"Van/tot ontbreekt",IF(N(J1542)=0,"Duur is nul",IF(N(J1542)&gt;12,"Langer dan 12 uur - controleren",IF(AND(E1542="Werken",D1542=""),"Werken zonder klant - koppelen","OK"))))))</f>
        <v/>
      </c>
    </row>
    <row r="1543" ht="15" customHeight="1" s="42">
      <c r="A1543" s="55" t="n"/>
      <c r="B1543" s="56">
        <f>IF(A1543="","",WEEKNUM(A1543,21))</f>
        <v/>
      </c>
      <c r="C1543" s="57" t="n"/>
      <c r="D1543" s="57" t="n"/>
      <c r="E1543" s="58" t="n"/>
      <c r="F1543" s="57" t="n"/>
      <c r="G1543" s="59" t="n"/>
      <c r="H1543" s="59" t="n"/>
      <c r="I1543" s="60">
        <f>IF(OR(G1543="",H1543=""),"",MOD(H1543-G1543,1))</f>
        <v/>
      </c>
      <c r="J1543" s="61">
        <f>IF(OR(G1543="",H1543=""),"",ROUND(MOD(H1543-G1543,1)*24,2))</f>
        <v/>
      </c>
      <c r="K1543" s="62">
        <f>IF(E1543="","",IF(E1543="Werken","JA","NEE"))</f>
        <v/>
      </c>
      <c r="L1543" s="61">
        <f>IF(K1543="JA",N(J1543),IF(E1543="","",0))</f>
        <v/>
      </c>
      <c r="M1543" s="62">
        <f>IF(AND(A1543="",E1543=""),"",IF(E1543="","Segment ontbreekt",IF(OR(G1543="",H1543=""),"Van/tot ontbreekt",IF(N(J1543)=0,"Duur is nul",IF(N(J1543)&gt;12,"Langer dan 12 uur - controleren",IF(AND(E1543="Werken",D1543=""),"Werken zonder klant - koppelen","OK"))))))</f>
        <v/>
      </c>
    </row>
    <row r="1544" ht="15" customHeight="1" s="42">
      <c r="A1544" s="55" t="n"/>
      <c r="B1544" s="56">
        <f>IF(A1544="","",WEEKNUM(A1544,21))</f>
        <v/>
      </c>
      <c r="C1544" s="57" t="n"/>
      <c r="D1544" s="57" t="n"/>
      <c r="E1544" s="58" t="n"/>
      <c r="F1544" s="57" t="n"/>
      <c r="G1544" s="59" t="n"/>
      <c r="H1544" s="59" t="n"/>
      <c r="I1544" s="60">
        <f>IF(OR(G1544="",H1544=""),"",MOD(H1544-G1544,1))</f>
        <v/>
      </c>
      <c r="J1544" s="61">
        <f>IF(OR(G1544="",H1544=""),"",ROUND(MOD(H1544-G1544,1)*24,2))</f>
        <v/>
      </c>
      <c r="K1544" s="62">
        <f>IF(E1544="","",IF(E1544="Werken","JA","NEE"))</f>
        <v/>
      </c>
      <c r="L1544" s="61">
        <f>IF(K1544="JA",N(J1544),IF(E1544="","",0))</f>
        <v/>
      </c>
      <c r="M1544" s="62">
        <f>IF(AND(A1544="",E1544=""),"",IF(E1544="","Segment ontbreekt",IF(OR(G1544="",H1544=""),"Van/tot ontbreekt",IF(N(J1544)=0,"Duur is nul",IF(N(J1544)&gt;12,"Langer dan 12 uur - controleren",IF(AND(E1544="Werken",D1544=""),"Werken zonder klant - koppelen","OK"))))))</f>
        <v/>
      </c>
    </row>
    <row r="1545" ht="15" customHeight="1" s="42">
      <c r="A1545" s="55" t="n"/>
      <c r="B1545" s="56">
        <f>IF(A1545="","",WEEKNUM(A1545,21))</f>
        <v/>
      </c>
      <c r="C1545" s="57" t="n"/>
      <c r="D1545" s="57" t="n"/>
      <c r="E1545" s="58" t="n"/>
      <c r="F1545" s="57" t="n"/>
      <c r="G1545" s="59" t="n"/>
      <c r="H1545" s="59" t="n"/>
      <c r="I1545" s="60">
        <f>IF(OR(G1545="",H1545=""),"",MOD(H1545-G1545,1))</f>
        <v/>
      </c>
      <c r="J1545" s="61">
        <f>IF(OR(G1545="",H1545=""),"",ROUND(MOD(H1545-G1545,1)*24,2))</f>
        <v/>
      </c>
      <c r="K1545" s="62">
        <f>IF(E1545="","",IF(E1545="Werken","JA","NEE"))</f>
        <v/>
      </c>
      <c r="L1545" s="61">
        <f>IF(K1545="JA",N(J1545),IF(E1545="","",0))</f>
        <v/>
      </c>
      <c r="M1545" s="62">
        <f>IF(AND(A1545="",E1545=""),"",IF(E1545="","Segment ontbreekt",IF(OR(G1545="",H1545=""),"Van/tot ontbreekt",IF(N(J1545)=0,"Duur is nul",IF(N(J1545)&gt;12,"Langer dan 12 uur - controleren",IF(AND(E1545="Werken",D1545=""),"Werken zonder klant - koppelen","OK"))))))</f>
        <v/>
      </c>
    </row>
    <row r="1546" ht="15" customHeight="1" s="42">
      <c r="A1546" s="55" t="n"/>
      <c r="B1546" s="56">
        <f>IF(A1546="","",WEEKNUM(A1546,21))</f>
        <v/>
      </c>
      <c r="C1546" s="57" t="n"/>
      <c r="D1546" s="57" t="n"/>
      <c r="E1546" s="58" t="n"/>
      <c r="F1546" s="57" t="n"/>
      <c r="G1546" s="59" t="n"/>
      <c r="H1546" s="59" t="n"/>
      <c r="I1546" s="60">
        <f>IF(OR(G1546="",H1546=""),"",MOD(H1546-G1546,1))</f>
        <v/>
      </c>
      <c r="J1546" s="61">
        <f>IF(OR(G1546="",H1546=""),"",ROUND(MOD(H1546-G1546,1)*24,2))</f>
        <v/>
      </c>
      <c r="K1546" s="62">
        <f>IF(E1546="","",IF(E1546="Werken","JA","NEE"))</f>
        <v/>
      </c>
      <c r="L1546" s="61">
        <f>IF(K1546="JA",N(J1546),IF(E1546="","",0))</f>
        <v/>
      </c>
      <c r="M1546" s="62">
        <f>IF(AND(A1546="",E1546=""),"",IF(E1546="","Segment ontbreekt",IF(OR(G1546="",H1546=""),"Van/tot ontbreekt",IF(N(J1546)=0,"Duur is nul",IF(N(J1546)&gt;12,"Langer dan 12 uur - controleren",IF(AND(E1546="Werken",D1546=""),"Werken zonder klant - koppelen","OK"))))))</f>
        <v/>
      </c>
    </row>
    <row r="1547" ht="15" customHeight="1" s="42">
      <c r="A1547" s="55" t="n"/>
      <c r="B1547" s="56">
        <f>IF(A1547="","",WEEKNUM(A1547,21))</f>
        <v/>
      </c>
      <c r="C1547" s="57" t="n"/>
      <c r="D1547" s="57" t="n"/>
      <c r="E1547" s="58" t="n"/>
      <c r="F1547" s="57" t="n"/>
      <c r="G1547" s="59" t="n"/>
      <c r="H1547" s="59" t="n"/>
      <c r="I1547" s="60">
        <f>IF(OR(G1547="",H1547=""),"",MOD(H1547-G1547,1))</f>
        <v/>
      </c>
      <c r="J1547" s="61">
        <f>IF(OR(G1547="",H1547=""),"",ROUND(MOD(H1547-G1547,1)*24,2))</f>
        <v/>
      </c>
      <c r="K1547" s="62">
        <f>IF(E1547="","",IF(E1547="Werken","JA","NEE"))</f>
        <v/>
      </c>
      <c r="L1547" s="61">
        <f>IF(K1547="JA",N(J1547),IF(E1547="","",0))</f>
        <v/>
      </c>
      <c r="M1547" s="62">
        <f>IF(AND(A1547="",E1547=""),"",IF(E1547="","Segment ontbreekt",IF(OR(G1547="",H1547=""),"Van/tot ontbreekt",IF(N(J1547)=0,"Duur is nul",IF(N(J1547)&gt;12,"Langer dan 12 uur - controleren",IF(AND(E1547="Werken",D1547=""),"Werken zonder klant - koppelen","OK"))))))</f>
        <v/>
      </c>
    </row>
    <row r="1548" ht="15" customHeight="1" s="42">
      <c r="A1548" s="55" t="n"/>
      <c r="B1548" s="56">
        <f>IF(A1548="","",WEEKNUM(A1548,21))</f>
        <v/>
      </c>
      <c r="C1548" s="57" t="n"/>
      <c r="D1548" s="57" t="n"/>
      <c r="E1548" s="58" t="n"/>
      <c r="F1548" s="57" t="n"/>
      <c r="G1548" s="59" t="n"/>
      <c r="H1548" s="59" t="n"/>
      <c r="I1548" s="60">
        <f>IF(OR(G1548="",H1548=""),"",MOD(H1548-G1548,1))</f>
        <v/>
      </c>
      <c r="J1548" s="61">
        <f>IF(OR(G1548="",H1548=""),"",ROUND(MOD(H1548-G1548,1)*24,2))</f>
        <v/>
      </c>
      <c r="K1548" s="62">
        <f>IF(E1548="","",IF(E1548="Werken","JA","NEE"))</f>
        <v/>
      </c>
      <c r="L1548" s="61">
        <f>IF(K1548="JA",N(J1548),IF(E1548="","",0))</f>
        <v/>
      </c>
      <c r="M1548" s="62">
        <f>IF(AND(A1548="",E1548=""),"",IF(E1548="","Segment ontbreekt",IF(OR(G1548="",H1548=""),"Van/tot ontbreekt",IF(N(J1548)=0,"Duur is nul",IF(N(J1548)&gt;12,"Langer dan 12 uur - controleren",IF(AND(E1548="Werken",D1548=""),"Werken zonder klant - koppelen","OK"))))))</f>
        <v/>
      </c>
    </row>
    <row r="1549" ht="15" customHeight="1" s="42">
      <c r="A1549" s="55" t="n"/>
      <c r="B1549" s="56">
        <f>IF(A1549="","",WEEKNUM(A1549,21))</f>
        <v/>
      </c>
      <c r="C1549" s="57" t="n"/>
      <c r="D1549" s="57" t="n"/>
      <c r="E1549" s="58" t="n"/>
      <c r="F1549" s="57" t="n"/>
      <c r="G1549" s="59" t="n"/>
      <c r="H1549" s="59" t="n"/>
      <c r="I1549" s="60">
        <f>IF(OR(G1549="",H1549=""),"",MOD(H1549-G1549,1))</f>
        <v/>
      </c>
      <c r="J1549" s="61">
        <f>IF(OR(G1549="",H1549=""),"",ROUND(MOD(H1549-G1549,1)*24,2))</f>
        <v/>
      </c>
      <c r="K1549" s="62">
        <f>IF(E1549="","",IF(E1549="Werken","JA","NEE"))</f>
        <v/>
      </c>
      <c r="L1549" s="61">
        <f>IF(K1549="JA",N(J1549),IF(E1549="","",0))</f>
        <v/>
      </c>
      <c r="M1549" s="62">
        <f>IF(AND(A1549="",E1549=""),"",IF(E1549="","Segment ontbreekt",IF(OR(G1549="",H1549=""),"Van/tot ontbreekt",IF(N(J1549)=0,"Duur is nul",IF(N(J1549)&gt;12,"Langer dan 12 uur - controleren",IF(AND(E1549="Werken",D1549=""),"Werken zonder klant - koppelen","OK"))))))</f>
        <v/>
      </c>
    </row>
    <row r="1550" ht="15" customHeight="1" s="42">
      <c r="A1550" s="55" t="n"/>
      <c r="B1550" s="56">
        <f>IF(A1550="","",WEEKNUM(A1550,21))</f>
        <v/>
      </c>
      <c r="C1550" s="57" t="n"/>
      <c r="D1550" s="57" t="n"/>
      <c r="E1550" s="58" t="n"/>
      <c r="F1550" s="57" t="n"/>
      <c r="G1550" s="59" t="n"/>
      <c r="H1550" s="59" t="n"/>
      <c r="I1550" s="60">
        <f>IF(OR(G1550="",H1550=""),"",MOD(H1550-G1550,1))</f>
        <v/>
      </c>
      <c r="J1550" s="61">
        <f>IF(OR(G1550="",H1550=""),"",ROUND(MOD(H1550-G1550,1)*24,2))</f>
        <v/>
      </c>
      <c r="K1550" s="62">
        <f>IF(E1550="","",IF(E1550="Werken","JA","NEE"))</f>
        <v/>
      </c>
      <c r="L1550" s="61">
        <f>IF(K1550="JA",N(J1550),IF(E1550="","",0))</f>
        <v/>
      </c>
      <c r="M1550" s="62">
        <f>IF(AND(A1550="",E1550=""),"",IF(E1550="","Segment ontbreekt",IF(OR(G1550="",H1550=""),"Van/tot ontbreekt",IF(N(J1550)=0,"Duur is nul",IF(N(J1550)&gt;12,"Langer dan 12 uur - controleren",IF(AND(E1550="Werken",D1550=""),"Werken zonder klant - koppelen","OK"))))))</f>
        <v/>
      </c>
    </row>
    <row r="1551" ht="15" customHeight="1" s="42">
      <c r="A1551" s="55" t="n"/>
      <c r="B1551" s="56">
        <f>IF(A1551="","",WEEKNUM(A1551,21))</f>
        <v/>
      </c>
      <c r="C1551" s="57" t="n"/>
      <c r="D1551" s="57" t="n"/>
      <c r="E1551" s="58" t="n"/>
      <c r="F1551" s="57" t="n"/>
      <c r="G1551" s="59" t="n"/>
      <c r="H1551" s="59" t="n"/>
      <c r="I1551" s="60">
        <f>IF(OR(G1551="",H1551=""),"",MOD(H1551-G1551,1))</f>
        <v/>
      </c>
      <c r="J1551" s="61">
        <f>IF(OR(G1551="",H1551=""),"",ROUND(MOD(H1551-G1551,1)*24,2))</f>
        <v/>
      </c>
      <c r="K1551" s="62">
        <f>IF(E1551="","",IF(E1551="Werken","JA","NEE"))</f>
        <v/>
      </c>
      <c r="L1551" s="61">
        <f>IF(K1551="JA",N(J1551),IF(E1551="","",0))</f>
        <v/>
      </c>
      <c r="M1551" s="62">
        <f>IF(AND(A1551="",E1551=""),"",IF(E1551="","Segment ontbreekt",IF(OR(G1551="",H1551=""),"Van/tot ontbreekt",IF(N(J1551)=0,"Duur is nul",IF(N(J1551)&gt;12,"Langer dan 12 uur - controleren",IF(AND(E1551="Werken",D1551=""),"Werken zonder klant - koppelen","OK"))))))</f>
        <v/>
      </c>
    </row>
    <row r="1552" ht="15" customHeight="1" s="42">
      <c r="A1552" s="55" t="n"/>
      <c r="B1552" s="56">
        <f>IF(A1552="","",WEEKNUM(A1552,21))</f>
        <v/>
      </c>
      <c r="C1552" s="57" t="n"/>
      <c r="D1552" s="57" t="n"/>
      <c r="E1552" s="58" t="n"/>
      <c r="F1552" s="57" t="n"/>
      <c r="G1552" s="59" t="n"/>
      <c r="H1552" s="59" t="n"/>
      <c r="I1552" s="60">
        <f>IF(OR(G1552="",H1552=""),"",MOD(H1552-G1552,1))</f>
        <v/>
      </c>
      <c r="J1552" s="61">
        <f>IF(OR(G1552="",H1552=""),"",ROUND(MOD(H1552-G1552,1)*24,2))</f>
        <v/>
      </c>
      <c r="K1552" s="62">
        <f>IF(E1552="","",IF(E1552="Werken","JA","NEE"))</f>
        <v/>
      </c>
      <c r="L1552" s="61">
        <f>IF(K1552="JA",N(J1552),IF(E1552="","",0))</f>
        <v/>
      </c>
      <c r="M1552" s="62">
        <f>IF(AND(A1552="",E1552=""),"",IF(E1552="","Segment ontbreekt",IF(OR(G1552="",H1552=""),"Van/tot ontbreekt",IF(N(J1552)=0,"Duur is nul",IF(N(J1552)&gt;12,"Langer dan 12 uur - controleren",IF(AND(E1552="Werken",D1552=""),"Werken zonder klant - koppelen","OK"))))))</f>
        <v/>
      </c>
    </row>
    <row r="1553" ht="15" customHeight="1" s="42">
      <c r="A1553" s="55" t="n"/>
      <c r="B1553" s="56">
        <f>IF(A1553="","",WEEKNUM(A1553,21))</f>
        <v/>
      </c>
      <c r="C1553" s="57" t="n"/>
      <c r="D1553" s="57" t="n"/>
      <c r="E1553" s="58" t="n"/>
      <c r="F1553" s="57" t="n"/>
      <c r="G1553" s="59" t="n"/>
      <c r="H1553" s="59" t="n"/>
      <c r="I1553" s="60">
        <f>IF(OR(G1553="",H1553=""),"",MOD(H1553-G1553,1))</f>
        <v/>
      </c>
      <c r="J1553" s="61">
        <f>IF(OR(G1553="",H1553=""),"",ROUND(MOD(H1553-G1553,1)*24,2))</f>
        <v/>
      </c>
      <c r="K1553" s="62">
        <f>IF(E1553="","",IF(E1553="Werken","JA","NEE"))</f>
        <v/>
      </c>
      <c r="L1553" s="61">
        <f>IF(K1553="JA",N(J1553),IF(E1553="","",0))</f>
        <v/>
      </c>
      <c r="M1553" s="62">
        <f>IF(AND(A1553="",E1553=""),"",IF(E1553="","Segment ontbreekt",IF(OR(G1553="",H1553=""),"Van/tot ontbreekt",IF(N(J1553)=0,"Duur is nul",IF(N(J1553)&gt;12,"Langer dan 12 uur - controleren",IF(AND(E1553="Werken",D1553=""),"Werken zonder klant - koppelen","OK"))))))</f>
        <v/>
      </c>
    </row>
    <row r="1554" ht="15" customHeight="1" s="42">
      <c r="A1554" s="55" t="n"/>
      <c r="B1554" s="56">
        <f>IF(A1554="","",WEEKNUM(A1554,21))</f>
        <v/>
      </c>
      <c r="C1554" s="57" t="n"/>
      <c r="D1554" s="57" t="n"/>
      <c r="E1554" s="58" t="n"/>
      <c r="F1554" s="57" t="n"/>
      <c r="G1554" s="59" t="n"/>
      <c r="H1554" s="59" t="n"/>
      <c r="I1554" s="60">
        <f>IF(OR(G1554="",H1554=""),"",MOD(H1554-G1554,1))</f>
        <v/>
      </c>
      <c r="J1554" s="61">
        <f>IF(OR(G1554="",H1554=""),"",ROUND(MOD(H1554-G1554,1)*24,2))</f>
        <v/>
      </c>
      <c r="K1554" s="62">
        <f>IF(E1554="","",IF(E1554="Werken","JA","NEE"))</f>
        <v/>
      </c>
      <c r="L1554" s="61">
        <f>IF(K1554="JA",N(J1554),IF(E1554="","",0))</f>
        <v/>
      </c>
      <c r="M1554" s="62">
        <f>IF(AND(A1554="",E1554=""),"",IF(E1554="","Segment ontbreekt",IF(OR(G1554="",H1554=""),"Van/tot ontbreekt",IF(N(J1554)=0,"Duur is nul",IF(N(J1554)&gt;12,"Langer dan 12 uur - controleren",IF(AND(E1554="Werken",D1554=""),"Werken zonder klant - koppelen","OK"))))))</f>
        <v/>
      </c>
    </row>
    <row r="1555" ht="15" customHeight="1" s="42">
      <c r="A1555" s="55" t="n"/>
      <c r="B1555" s="56">
        <f>IF(A1555="","",WEEKNUM(A1555,21))</f>
        <v/>
      </c>
      <c r="C1555" s="57" t="n"/>
      <c r="D1555" s="57" t="n"/>
      <c r="E1555" s="58" t="n"/>
      <c r="F1555" s="57" t="n"/>
      <c r="G1555" s="59" t="n"/>
      <c r="H1555" s="59" t="n"/>
      <c r="I1555" s="60">
        <f>IF(OR(G1555="",H1555=""),"",MOD(H1555-G1555,1))</f>
        <v/>
      </c>
      <c r="J1555" s="61">
        <f>IF(OR(G1555="",H1555=""),"",ROUND(MOD(H1555-G1555,1)*24,2))</f>
        <v/>
      </c>
      <c r="K1555" s="62">
        <f>IF(E1555="","",IF(E1555="Werken","JA","NEE"))</f>
        <v/>
      </c>
      <c r="L1555" s="61">
        <f>IF(K1555="JA",N(J1555),IF(E1555="","",0))</f>
        <v/>
      </c>
      <c r="M1555" s="62">
        <f>IF(AND(A1555="",E1555=""),"",IF(E1555="","Segment ontbreekt",IF(OR(G1555="",H1555=""),"Van/tot ontbreekt",IF(N(J1555)=0,"Duur is nul",IF(N(J1555)&gt;12,"Langer dan 12 uur - controleren",IF(AND(E1555="Werken",D1555=""),"Werken zonder klant - koppelen","OK"))))))</f>
        <v/>
      </c>
    </row>
    <row r="1556" ht="15" customHeight="1" s="42">
      <c r="A1556" s="55" t="n"/>
      <c r="B1556" s="56">
        <f>IF(A1556="","",WEEKNUM(A1556,21))</f>
        <v/>
      </c>
      <c r="C1556" s="57" t="n"/>
      <c r="D1556" s="57" t="n"/>
      <c r="E1556" s="58" t="n"/>
      <c r="F1556" s="57" t="n"/>
      <c r="G1556" s="59" t="n"/>
      <c r="H1556" s="59" t="n"/>
      <c r="I1556" s="60">
        <f>IF(OR(G1556="",H1556=""),"",MOD(H1556-G1556,1))</f>
        <v/>
      </c>
      <c r="J1556" s="61">
        <f>IF(OR(G1556="",H1556=""),"",ROUND(MOD(H1556-G1556,1)*24,2))</f>
        <v/>
      </c>
      <c r="K1556" s="62">
        <f>IF(E1556="","",IF(E1556="Werken","JA","NEE"))</f>
        <v/>
      </c>
      <c r="L1556" s="61">
        <f>IF(K1556="JA",N(J1556),IF(E1556="","",0))</f>
        <v/>
      </c>
      <c r="M1556" s="62">
        <f>IF(AND(A1556="",E1556=""),"",IF(E1556="","Segment ontbreekt",IF(OR(G1556="",H1556=""),"Van/tot ontbreekt",IF(N(J1556)=0,"Duur is nul",IF(N(J1556)&gt;12,"Langer dan 12 uur - controleren",IF(AND(E1556="Werken",D1556=""),"Werken zonder klant - koppelen","OK"))))))</f>
        <v/>
      </c>
    </row>
    <row r="1557" ht="15" customHeight="1" s="42">
      <c r="A1557" s="55" t="n"/>
      <c r="B1557" s="56">
        <f>IF(A1557="","",WEEKNUM(A1557,21))</f>
        <v/>
      </c>
      <c r="C1557" s="57" t="n"/>
      <c r="D1557" s="57" t="n"/>
      <c r="E1557" s="58" t="n"/>
      <c r="F1557" s="57" t="n"/>
      <c r="G1557" s="59" t="n"/>
      <c r="H1557" s="59" t="n"/>
      <c r="I1557" s="60">
        <f>IF(OR(G1557="",H1557=""),"",MOD(H1557-G1557,1))</f>
        <v/>
      </c>
      <c r="J1557" s="61">
        <f>IF(OR(G1557="",H1557=""),"",ROUND(MOD(H1557-G1557,1)*24,2))</f>
        <v/>
      </c>
      <c r="K1557" s="62">
        <f>IF(E1557="","",IF(E1557="Werken","JA","NEE"))</f>
        <v/>
      </c>
      <c r="L1557" s="61">
        <f>IF(K1557="JA",N(J1557),IF(E1557="","",0))</f>
        <v/>
      </c>
      <c r="M1557" s="62">
        <f>IF(AND(A1557="",E1557=""),"",IF(E1557="","Segment ontbreekt",IF(OR(G1557="",H1557=""),"Van/tot ontbreekt",IF(N(J1557)=0,"Duur is nul",IF(N(J1557)&gt;12,"Langer dan 12 uur - controleren",IF(AND(E1557="Werken",D1557=""),"Werken zonder klant - koppelen","OK"))))))</f>
        <v/>
      </c>
    </row>
    <row r="1558" ht="15" customHeight="1" s="42">
      <c r="A1558" s="55" t="n"/>
      <c r="B1558" s="56">
        <f>IF(A1558="","",WEEKNUM(A1558,21))</f>
        <v/>
      </c>
      <c r="C1558" s="57" t="n"/>
      <c r="D1558" s="57" t="n"/>
      <c r="E1558" s="58" t="n"/>
      <c r="F1558" s="57" t="n"/>
      <c r="G1558" s="59" t="n"/>
      <c r="H1558" s="59" t="n"/>
      <c r="I1558" s="60">
        <f>IF(OR(G1558="",H1558=""),"",MOD(H1558-G1558,1))</f>
        <v/>
      </c>
      <c r="J1558" s="61">
        <f>IF(OR(G1558="",H1558=""),"",ROUND(MOD(H1558-G1558,1)*24,2))</f>
        <v/>
      </c>
      <c r="K1558" s="62">
        <f>IF(E1558="","",IF(E1558="Werken","JA","NEE"))</f>
        <v/>
      </c>
      <c r="L1558" s="61">
        <f>IF(K1558="JA",N(J1558),IF(E1558="","",0))</f>
        <v/>
      </c>
      <c r="M1558" s="62">
        <f>IF(AND(A1558="",E1558=""),"",IF(E1558="","Segment ontbreekt",IF(OR(G1558="",H1558=""),"Van/tot ontbreekt",IF(N(J1558)=0,"Duur is nul",IF(N(J1558)&gt;12,"Langer dan 12 uur - controleren",IF(AND(E1558="Werken",D1558=""),"Werken zonder klant - koppelen","OK"))))))</f>
        <v/>
      </c>
    </row>
    <row r="1559" ht="15" customHeight="1" s="42">
      <c r="A1559" s="55" t="n"/>
      <c r="B1559" s="56">
        <f>IF(A1559="","",WEEKNUM(A1559,21))</f>
        <v/>
      </c>
      <c r="C1559" s="57" t="n"/>
      <c r="D1559" s="57" t="n"/>
      <c r="E1559" s="58" t="n"/>
      <c r="F1559" s="57" t="n"/>
      <c r="G1559" s="59" t="n"/>
      <c r="H1559" s="59" t="n"/>
      <c r="I1559" s="60">
        <f>IF(OR(G1559="",H1559=""),"",MOD(H1559-G1559,1))</f>
        <v/>
      </c>
      <c r="J1559" s="61">
        <f>IF(OR(G1559="",H1559=""),"",ROUND(MOD(H1559-G1559,1)*24,2))</f>
        <v/>
      </c>
      <c r="K1559" s="62">
        <f>IF(E1559="","",IF(E1559="Werken","JA","NEE"))</f>
        <v/>
      </c>
      <c r="L1559" s="61">
        <f>IF(K1559="JA",N(J1559),IF(E1559="","",0))</f>
        <v/>
      </c>
      <c r="M1559" s="62">
        <f>IF(AND(A1559="",E1559=""),"",IF(E1559="","Segment ontbreekt",IF(OR(G1559="",H1559=""),"Van/tot ontbreekt",IF(N(J1559)=0,"Duur is nul",IF(N(J1559)&gt;12,"Langer dan 12 uur - controleren",IF(AND(E1559="Werken",D1559=""),"Werken zonder klant - koppelen","OK"))))))</f>
        <v/>
      </c>
    </row>
    <row r="1560" ht="15" customHeight="1" s="42">
      <c r="A1560" s="55" t="n"/>
      <c r="B1560" s="56">
        <f>IF(A1560="","",WEEKNUM(A1560,21))</f>
        <v/>
      </c>
      <c r="C1560" s="57" t="n"/>
      <c r="D1560" s="57" t="n"/>
      <c r="E1560" s="58" t="n"/>
      <c r="F1560" s="57" t="n"/>
      <c r="G1560" s="59" t="n"/>
      <c r="H1560" s="59" t="n"/>
      <c r="I1560" s="60">
        <f>IF(OR(G1560="",H1560=""),"",MOD(H1560-G1560,1))</f>
        <v/>
      </c>
      <c r="J1560" s="61">
        <f>IF(OR(G1560="",H1560=""),"",ROUND(MOD(H1560-G1560,1)*24,2))</f>
        <v/>
      </c>
      <c r="K1560" s="62">
        <f>IF(E1560="","",IF(E1560="Werken","JA","NEE"))</f>
        <v/>
      </c>
      <c r="L1560" s="61">
        <f>IF(K1560="JA",N(J1560),IF(E1560="","",0))</f>
        <v/>
      </c>
      <c r="M1560" s="62">
        <f>IF(AND(A1560="",E1560=""),"",IF(E1560="","Segment ontbreekt",IF(OR(G1560="",H1560=""),"Van/tot ontbreekt",IF(N(J1560)=0,"Duur is nul",IF(N(J1560)&gt;12,"Langer dan 12 uur - controleren",IF(AND(E1560="Werken",D1560=""),"Werken zonder klant - koppelen","OK"))))))</f>
        <v/>
      </c>
    </row>
    <row r="1561" ht="15" customHeight="1" s="42">
      <c r="A1561" s="55" t="n"/>
      <c r="B1561" s="56">
        <f>IF(A1561="","",WEEKNUM(A1561,21))</f>
        <v/>
      </c>
      <c r="C1561" s="57" t="n"/>
      <c r="D1561" s="57" t="n"/>
      <c r="E1561" s="58" t="n"/>
      <c r="F1561" s="57" t="n"/>
      <c r="G1561" s="59" t="n"/>
      <c r="H1561" s="59" t="n"/>
      <c r="I1561" s="60">
        <f>IF(OR(G1561="",H1561=""),"",MOD(H1561-G1561,1))</f>
        <v/>
      </c>
      <c r="J1561" s="61">
        <f>IF(OR(G1561="",H1561=""),"",ROUND(MOD(H1561-G1561,1)*24,2))</f>
        <v/>
      </c>
      <c r="K1561" s="62">
        <f>IF(E1561="","",IF(E1561="Werken","JA","NEE"))</f>
        <v/>
      </c>
      <c r="L1561" s="61">
        <f>IF(K1561="JA",N(J1561),IF(E1561="","",0))</f>
        <v/>
      </c>
      <c r="M1561" s="62">
        <f>IF(AND(A1561="",E1561=""),"",IF(E1561="","Segment ontbreekt",IF(OR(G1561="",H1561=""),"Van/tot ontbreekt",IF(N(J1561)=0,"Duur is nul",IF(N(J1561)&gt;12,"Langer dan 12 uur - controleren",IF(AND(E1561="Werken",D1561=""),"Werken zonder klant - koppelen","OK"))))))</f>
        <v/>
      </c>
    </row>
    <row r="1562" ht="15" customHeight="1" s="42">
      <c r="A1562" s="55" t="n"/>
      <c r="B1562" s="56">
        <f>IF(A1562="","",WEEKNUM(A1562,21))</f>
        <v/>
      </c>
      <c r="C1562" s="57" t="n"/>
      <c r="D1562" s="57" t="n"/>
      <c r="E1562" s="58" t="n"/>
      <c r="F1562" s="57" t="n"/>
      <c r="G1562" s="59" t="n"/>
      <c r="H1562" s="59" t="n"/>
      <c r="I1562" s="60">
        <f>IF(OR(G1562="",H1562=""),"",MOD(H1562-G1562,1))</f>
        <v/>
      </c>
      <c r="J1562" s="61">
        <f>IF(OR(G1562="",H1562=""),"",ROUND(MOD(H1562-G1562,1)*24,2))</f>
        <v/>
      </c>
      <c r="K1562" s="62">
        <f>IF(E1562="","",IF(E1562="Werken","JA","NEE"))</f>
        <v/>
      </c>
      <c r="L1562" s="61">
        <f>IF(K1562="JA",N(J1562),IF(E1562="","",0))</f>
        <v/>
      </c>
      <c r="M1562" s="62">
        <f>IF(AND(A1562="",E1562=""),"",IF(E1562="","Segment ontbreekt",IF(OR(G1562="",H1562=""),"Van/tot ontbreekt",IF(N(J1562)=0,"Duur is nul",IF(N(J1562)&gt;12,"Langer dan 12 uur - controleren",IF(AND(E1562="Werken",D1562=""),"Werken zonder klant - koppelen","OK"))))))</f>
        <v/>
      </c>
    </row>
    <row r="1563" ht="15" customHeight="1" s="42">
      <c r="A1563" s="55" t="n"/>
      <c r="B1563" s="56">
        <f>IF(A1563="","",WEEKNUM(A1563,21))</f>
        <v/>
      </c>
      <c r="C1563" s="57" t="n"/>
      <c r="D1563" s="57" t="n"/>
      <c r="E1563" s="58" t="n"/>
      <c r="F1563" s="57" t="n"/>
      <c r="G1563" s="59" t="n"/>
      <c r="H1563" s="59" t="n"/>
      <c r="I1563" s="60">
        <f>IF(OR(G1563="",H1563=""),"",MOD(H1563-G1563,1))</f>
        <v/>
      </c>
      <c r="J1563" s="61">
        <f>IF(OR(G1563="",H1563=""),"",ROUND(MOD(H1563-G1563,1)*24,2))</f>
        <v/>
      </c>
      <c r="K1563" s="62">
        <f>IF(E1563="","",IF(E1563="Werken","JA","NEE"))</f>
        <v/>
      </c>
      <c r="L1563" s="61">
        <f>IF(K1563="JA",N(J1563),IF(E1563="","",0))</f>
        <v/>
      </c>
      <c r="M1563" s="62">
        <f>IF(AND(A1563="",E1563=""),"",IF(E1563="","Segment ontbreekt",IF(OR(G1563="",H1563=""),"Van/tot ontbreekt",IF(N(J1563)=0,"Duur is nul",IF(N(J1563)&gt;12,"Langer dan 12 uur - controleren",IF(AND(E1563="Werken",D1563=""),"Werken zonder klant - koppelen","OK"))))))</f>
        <v/>
      </c>
    </row>
    <row r="1564" ht="15" customHeight="1" s="42">
      <c r="A1564" s="55" t="n"/>
      <c r="B1564" s="56">
        <f>IF(A1564="","",WEEKNUM(A1564,21))</f>
        <v/>
      </c>
      <c r="C1564" s="57" t="n"/>
      <c r="D1564" s="57" t="n"/>
      <c r="E1564" s="58" t="n"/>
      <c r="F1564" s="57" t="n"/>
      <c r="G1564" s="59" t="n"/>
      <c r="H1564" s="59" t="n"/>
      <c r="I1564" s="60">
        <f>IF(OR(G1564="",H1564=""),"",MOD(H1564-G1564,1))</f>
        <v/>
      </c>
      <c r="J1564" s="61">
        <f>IF(OR(G1564="",H1564=""),"",ROUND(MOD(H1564-G1564,1)*24,2))</f>
        <v/>
      </c>
      <c r="K1564" s="62">
        <f>IF(E1564="","",IF(E1564="Werken","JA","NEE"))</f>
        <v/>
      </c>
      <c r="L1564" s="61">
        <f>IF(K1564="JA",N(J1564),IF(E1564="","",0))</f>
        <v/>
      </c>
      <c r="M1564" s="62">
        <f>IF(AND(A1564="",E1564=""),"",IF(E1564="","Segment ontbreekt",IF(OR(G1564="",H1564=""),"Van/tot ontbreekt",IF(N(J1564)=0,"Duur is nul",IF(N(J1564)&gt;12,"Langer dan 12 uur - controleren",IF(AND(E1564="Werken",D1564=""),"Werken zonder klant - koppelen","OK"))))))</f>
        <v/>
      </c>
    </row>
    <row r="1565" ht="15" customHeight="1" s="42">
      <c r="A1565" s="55" t="n"/>
      <c r="B1565" s="56">
        <f>IF(A1565="","",WEEKNUM(A1565,21))</f>
        <v/>
      </c>
      <c r="C1565" s="57" t="n"/>
      <c r="D1565" s="57" t="n"/>
      <c r="E1565" s="58" t="n"/>
      <c r="F1565" s="57" t="n"/>
      <c r="G1565" s="59" t="n"/>
      <c r="H1565" s="59" t="n"/>
      <c r="I1565" s="60">
        <f>IF(OR(G1565="",H1565=""),"",MOD(H1565-G1565,1))</f>
        <v/>
      </c>
      <c r="J1565" s="61">
        <f>IF(OR(G1565="",H1565=""),"",ROUND(MOD(H1565-G1565,1)*24,2))</f>
        <v/>
      </c>
      <c r="K1565" s="62">
        <f>IF(E1565="","",IF(E1565="Werken","JA","NEE"))</f>
        <v/>
      </c>
      <c r="L1565" s="61">
        <f>IF(K1565="JA",N(J1565),IF(E1565="","",0))</f>
        <v/>
      </c>
      <c r="M1565" s="62">
        <f>IF(AND(A1565="",E1565=""),"",IF(E1565="","Segment ontbreekt",IF(OR(G1565="",H1565=""),"Van/tot ontbreekt",IF(N(J1565)=0,"Duur is nul",IF(N(J1565)&gt;12,"Langer dan 12 uur - controleren",IF(AND(E1565="Werken",D1565=""),"Werken zonder klant - koppelen","OK"))))))</f>
        <v/>
      </c>
    </row>
    <row r="1566" ht="15" customHeight="1" s="42">
      <c r="A1566" s="55" t="n"/>
      <c r="B1566" s="56">
        <f>IF(A1566="","",WEEKNUM(A1566,21))</f>
        <v/>
      </c>
      <c r="C1566" s="57" t="n"/>
      <c r="D1566" s="57" t="n"/>
      <c r="E1566" s="58" t="n"/>
      <c r="F1566" s="57" t="n"/>
      <c r="G1566" s="59" t="n"/>
      <c r="H1566" s="59" t="n"/>
      <c r="I1566" s="60">
        <f>IF(OR(G1566="",H1566=""),"",MOD(H1566-G1566,1))</f>
        <v/>
      </c>
      <c r="J1566" s="61">
        <f>IF(OR(G1566="",H1566=""),"",ROUND(MOD(H1566-G1566,1)*24,2))</f>
        <v/>
      </c>
      <c r="K1566" s="62">
        <f>IF(E1566="","",IF(E1566="Werken","JA","NEE"))</f>
        <v/>
      </c>
      <c r="L1566" s="61">
        <f>IF(K1566="JA",N(J1566),IF(E1566="","",0))</f>
        <v/>
      </c>
      <c r="M1566" s="62">
        <f>IF(AND(A1566="",E1566=""),"",IF(E1566="","Segment ontbreekt",IF(OR(G1566="",H1566=""),"Van/tot ontbreekt",IF(N(J1566)=0,"Duur is nul",IF(N(J1566)&gt;12,"Langer dan 12 uur - controleren",IF(AND(E1566="Werken",D1566=""),"Werken zonder klant - koppelen","OK"))))))</f>
        <v/>
      </c>
    </row>
    <row r="1567" ht="15" customHeight="1" s="42">
      <c r="A1567" s="55" t="n"/>
      <c r="B1567" s="56">
        <f>IF(A1567="","",WEEKNUM(A1567,21))</f>
        <v/>
      </c>
      <c r="C1567" s="57" t="n"/>
      <c r="D1567" s="57" t="n"/>
      <c r="E1567" s="58" t="n"/>
      <c r="F1567" s="57" t="n"/>
      <c r="G1567" s="59" t="n"/>
      <c r="H1567" s="59" t="n"/>
      <c r="I1567" s="60">
        <f>IF(OR(G1567="",H1567=""),"",MOD(H1567-G1567,1))</f>
        <v/>
      </c>
      <c r="J1567" s="61">
        <f>IF(OR(G1567="",H1567=""),"",ROUND(MOD(H1567-G1567,1)*24,2))</f>
        <v/>
      </c>
      <c r="K1567" s="62">
        <f>IF(E1567="","",IF(E1567="Werken","JA","NEE"))</f>
        <v/>
      </c>
      <c r="L1567" s="61">
        <f>IF(K1567="JA",N(J1567),IF(E1567="","",0))</f>
        <v/>
      </c>
      <c r="M1567" s="62">
        <f>IF(AND(A1567="",E1567=""),"",IF(E1567="","Segment ontbreekt",IF(OR(G1567="",H1567=""),"Van/tot ontbreekt",IF(N(J1567)=0,"Duur is nul",IF(N(J1567)&gt;12,"Langer dan 12 uur - controleren",IF(AND(E1567="Werken",D1567=""),"Werken zonder klant - koppelen","OK"))))))</f>
        <v/>
      </c>
    </row>
    <row r="1568" ht="15" customHeight="1" s="42">
      <c r="A1568" s="55" t="n"/>
      <c r="B1568" s="56">
        <f>IF(A1568="","",WEEKNUM(A1568,21))</f>
        <v/>
      </c>
      <c r="C1568" s="57" t="n"/>
      <c r="D1568" s="57" t="n"/>
      <c r="E1568" s="58" t="n"/>
      <c r="F1568" s="57" t="n"/>
      <c r="G1568" s="59" t="n"/>
      <c r="H1568" s="59" t="n"/>
      <c r="I1568" s="60">
        <f>IF(OR(G1568="",H1568=""),"",MOD(H1568-G1568,1))</f>
        <v/>
      </c>
      <c r="J1568" s="61">
        <f>IF(OR(G1568="",H1568=""),"",ROUND(MOD(H1568-G1568,1)*24,2))</f>
        <v/>
      </c>
      <c r="K1568" s="62">
        <f>IF(E1568="","",IF(E1568="Werken","JA","NEE"))</f>
        <v/>
      </c>
      <c r="L1568" s="61">
        <f>IF(K1568="JA",N(J1568),IF(E1568="","",0))</f>
        <v/>
      </c>
      <c r="M1568" s="62">
        <f>IF(AND(A1568="",E1568=""),"",IF(E1568="","Segment ontbreekt",IF(OR(G1568="",H1568=""),"Van/tot ontbreekt",IF(N(J1568)=0,"Duur is nul",IF(N(J1568)&gt;12,"Langer dan 12 uur - controleren",IF(AND(E1568="Werken",D1568=""),"Werken zonder klant - koppelen","OK"))))))</f>
        <v/>
      </c>
    </row>
    <row r="1569" ht="15" customHeight="1" s="42">
      <c r="A1569" s="55" t="n"/>
      <c r="B1569" s="56">
        <f>IF(A1569="","",WEEKNUM(A1569,21))</f>
        <v/>
      </c>
      <c r="C1569" s="57" t="n"/>
      <c r="D1569" s="57" t="n"/>
      <c r="E1569" s="58" t="n"/>
      <c r="F1569" s="57" t="n"/>
      <c r="G1569" s="59" t="n"/>
      <c r="H1569" s="59" t="n"/>
      <c r="I1569" s="60">
        <f>IF(OR(G1569="",H1569=""),"",MOD(H1569-G1569,1))</f>
        <v/>
      </c>
      <c r="J1569" s="61">
        <f>IF(OR(G1569="",H1569=""),"",ROUND(MOD(H1569-G1569,1)*24,2))</f>
        <v/>
      </c>
      <c r="K1569" s="62">
        <f>IF(E1569="","",IF(E1569="Werken","JA","NEE"))</f>
        <v/>
      </c>
      <c r="L1569" s="61">
        <f>IF(K1569="JA",N(J1569),IF(E1569="","",0))</f>
        <v/>
      </c>
      <c r="M1569" s="62">
        <f>IF(AND(A1569="",E1569=""),"",IF(E1569="","Segment ontbreekt",IF(OR(G1569="",H1569=""),"Van/tot ontbreekt",IF(N(J1569)=0,"Duur is nul",IF(N(J1569)&gt;12,"Langer dan 12 uur - controleren",IF(AND(E1569="Werken",D1569=""),"Werken zonder klant - koppelen","OK"))))))</f>
        <v/>
      </c>
    </row>
    <row r="1570" ht="15" customHeight="1" s="42">
      <c r="A1570" s="55" t="n"/>
      <c r="B1570" s="56">
        <f>IF(A1570="","",WEEKNUM(A1570,21))</f>
        <v/>
      </c>
      <c r="C1570" s="57" t="n"/>
      <c r="D1570" s="57" t="n"/>
      <c r="E1570" s="58" t="n"/>
      <c r="F1570" s="57" t="n"/>
      <c r="G1570" s="59" t="n"/>
      <c r="H1570" s="59" t="n"/>
      <c r="I1570" s="60">
        <f>IF(OR(G1570="",H1570=""),"",MOD(H1570-G1570,1))</f>
        <v/>
      </c>
      <c r="J1570" s="61">
        <f>IF(OR(G1570="",H1570=""),"",ROUND(MOD(H1570-G1570,1)*24,2))</f>
        <v/>
      </c>
      <c r="K1570" s="62">
        <f>IF(E1570="","",IF(E1570="Werken","JA","NEE"))</f>
        <v/>
      </c>
      <c r="L1570" s="61">
        <f>IF(K1570="JA",N(J1570),IF(E1570="","",0))</f>
        <v/>
      </c>
      <c r="M1570" s="62">
        <f>IF(AND(A1570="",E1570=""),"",IF(E1570="","Segment ontbreekt",IF(OR(G1570="",H1570=""),"Van/tot ontbreekt",IF(N(J1570)=0,"Duur is nul",IF(N(J1570)&gt;12,"Langer dan 12 uur - controleren",IF(AND(E1570="Werken",D1570=""),"Werken zonder klant - koppelen","OK"))))))</f>
        <v/>
      </c>
    </row>
    <row r="1571" ht="15" customHeight="1" s="42">
      <c r="A1571" s="55" t="n"/>
      <c r="B1571" s="56">
        <f>IF(A1571="","",WEEKNUM(A1571,21))</f>
        <v/>
      </c>
      <c r="C1571" s="57" t="n"/>
      <c r="D1571" s="57" t="n"/>
      <c r="E1571" s="58" t="n"/>
      <c r="F1571" s="57" t="n"/>
      <c r="G1571" s="59" t="n"/>
      <c r="H1571" s="59" t="n"/>
      <c r="I1571" s="60">
        <f>IF(OR(G1571="",H1571=""),"",MOD(H1571-G1571,1))</f>
        <v/>
      </c>
      <c r="J1571" s="61">
        <f>IF(OR(G1571="",H1571=""),"",ROUND(MOD(H1571-G1571,1)*24,2))</f>
        <v/>
      </c>
      <c r="K1571" s="62">
        <f>IF(E1571="","",IF(E1571="Werken","JA","NEE"))</f>
        <v/>
      </c>
      <c r="L1571" s="61">
        <f>IF(K1571="JA",N(J1571),IF(E1571="","",0))</f>
        <v/>
      </c>
      <c r="M1571" s="62">
        <f>IF(AND(A1571="",E1571=""),"",IF(E1571="","Segment ontbreekt",IF(OR(G1571="",H1571=""),"Van/tot ontbreekt",IF(N(J1571)=0,"Duur is nul",IF(N(J1571)&gt;12,"Langer dan 12 uur - controleren",IF(AND(E1571="Werken",D1571=""),"Werken zonder klant - koppelen","OK"))))))</f>
        <v/>
      </c>
    </row>
    <row r="1572" ht="15" customHeight="1" s="42">
      <c r="A1572" s="55" t="n"/>
      <c r="B1572" s="56">
        <f>IF(A1572="","",WEEKNUM(A1572,21))</f>
        <v/>
      </c>
      <c r="C1572" s="57" t="n"/>
      <c r="D1572" s="57" t="n"/>
      <c r="E1572" s="58" t="n"/>
      <c r="F1572" s="57" t="n"/>
      <c r="G1572" s="59" t="n"/>
      <c r="H1572" s="59" t="n"/>
      <c r="I1572" s="60">
        <f>IF(OR(G1572="",H1572=""),"",MOD(H1572-G1572,1))</f>
        <v/>
      </c>
      <c r="J1572" s="61">
        <f>IF(OR(G1572="",H1572=""),"",ROUND(MOD(H1572-G1572,1)*24,2))</f>
        <v/>
      </c>
      <c r="K1572" s="62">
        <f>IF(E1572="","",IF(E1572="Werken","JA","NEE"))</f>
        <v/>
      </c>
      <c r="L1572" s="61">
        <f>IF(K1572="JA",N(J1572),IF(E1572="","",0))</f>
        <v/>
      </c>
      <c r="M1572" s="62">
        <f>IF(AND(A1572="",E1572=""),"",IF(E1572="","Segment ontbreekt",IF(OR(G1572="",H1572=""),"Van/tot ontbreekt",IF(N(J1572)=0,"Duur is nul",IF(N(J1572)&gt;12,"Langer dan 12 uur - controleren",IF(AND(E1572="Werken",D1572=""),"Werken zonder klant - koppelen","OK"))))))</f>
        <v/>
      </c>
    </row>
    <row r="1573" ht="15" customHeight="1" s="42">
      <c r="A1573" s="55" t="n"/>
      <c r="B1573" s="56">
        <f>IF(A1573="","",WEEKNUM(A1573,21))</f>
        <v/>
      </c>
      <c r="C1573" s="57" t="n"/>
      <c r="D1573" s="57" t="n"/>
      <c r="E1573" s="58" t="n"/>
      <c r="F1573" s="57" t="n"/>
      <c r="G1573" s="59" t="n"/>
      <c r="H1573" s="59" t="n"/>
      <c r="I1573" s="60">
        <f>IF(OR(G1573="",H1573=""),"",MOD(H1573-G1573,1))</f>
        <v/>
      </c>
      <c r="J1573" s="61">
        <f>IF(OR(G1573="",H1573=""),"",ROUND(MOD(H1573-G1573,1)*24,2))</f>
        <v/>
      </c>
      <c r="K1573" s="62">
        <f>IF(E1573="","",IF(E1573="Werken","JA","NEE"))</f>
        <v/>
      </c>
      <c r="L1573" s="61">
        <f>IF(K1573="JA",N(J1573),IF(E1573="","",0))</f>
        <v/>
      </c>
      <c r="M1573" s="62">
        <f>IF(AND(A1573="",E1573=""),"",IF(E1573="","Segment ontbreekt",IF(OR(G1573="",H1573=""),"Van/tot ontbreekt",IF(N(J1573)=0,"Duur is nul",IF(N(J1573)&gt;12,"Langer dan 12 uur - controleren",IF(AND(E1573="Werken",D1573=""),"Werken zonder klant - koppelen","OK"))))))</f>
        <v/>
      </c>
    </row>
    <row r="1574" ht="15" customHeight="1" s="42">
      <c r="A1574" s="55" t="n"/>
      <c r="B1574" s="56">
        <f>IF(A1574="","",WEEKNUM(A1574,21))</f>
        <v/>
      </c>
      <c r="C1574" s="57" t="n"/>
      <c r="D1574" s="57" t="n"/>
      <c r="E1574" s="58" t="n"/>
      <c r="F1574" s="57" t="n"/>
      <c r="G1574" s="59" t="n"/>
      <c r="H1574" s="59" t="n"/>
      <c r="I1574" s="60">
        <f>IF(OR(G1574="",H1574=""),"",MOD(H1574-G1574,1))</f>
        <v/>
      </c>
      <c r="J1574" s="61">
        <f>IF(OR(G1574="",H1574=""),"",ROUND(MOD(H1574-G1574,1)*24,2))</f>
        <v/>
      </c>
      <c r="K1574" s="62">
        <f>IF(E1574="","",IF(E1574="Werken","JA","NEE"))</f>
        <v/>
      </c>
      <c r="L1574" s="61">
        <f>IF(K1574="JA",N(J1574),IF(E1574="","",0))</f>
        <v/>
      </c>
      <c r="M1574" s="62">
        <f>IF(AND(A1574="",E1574=""),"",IF(E1574="","Segment ontbreekt",IF(OR(G1574="",H1574=""),"Van/tot ontbreekt",IF(N(J1574)=0,"Duur is nul",IF(N(J1574)&gt;12,"Langer dan 12 uur - controleren",IF(AND(E1574="Werken",D1574=""),"Werken zonder klant - koppelen","OK"))))))</f>
        <v/>
      </c>
    </row>
    <row r="1575" ht="15" customHeight="1" s="42">
      <c r="A1575" s="55" t="n"/>
      <c r="B1575" s="56">
        <f>IF(A1575="","",WEEKNUM(A1575,21))</f>
        <v/>
      </c>
      <c r="C1575" s="57" t="n"/>
      <c r="D1575" s="57" t="n"/>
      <c r="E1575" s="58" t="n"/>
      <c r="F1575" s="57" t="n"/>
      <c r="G1575" s="59" t="n"/>
      <c r="H1575" s="59" t="n"/>
      <c r="I1575" s="60">
        <f>IF(OR(G1575="",H1575=""),"",MOD(H1575-G1575,1))</f>
        <v/>
      </c>
      <c r="J1575" s="61">
        <f>IF(OR(G1575="",H1575=""),"",ROUND(MOD(H1575-G1575,1)*24,2))</f>
        <v/>
      </c>
      <c r="K1575" s="62">
        <f>IF(E1575="","",IF(E1575="Werken","JA","NEE"))</f>
        <v/>
      </c>
      <c r="L1575" s="61">
        <f>IF(K1575="JA",N(J1575),IF(E1575="","",0))</f>
        <v/>
      </c>
      <c r="M1575" s="62">
        <f>IF(AND(A1575="",E1575=""),"",IF(E1575="","Segment ontbreekt",IF(OR(G1575="",H1575=""),"Van/tot ontbreekt",IF(N(J1575)=0,"Duur is nul",IF(N(J1575)&gt;12,"Langer dan 12 uur - controleren",IF(AND(E1575="Werken",D1575=""),"Werken zonder klant - koppelen","OK"))))))</f>
        <v/>
      </c>
    </row>
    <row r="1576" ht="15" customHeight="1" s="42">
      <c r="A1576" s="55" t="n"/>
      <c r="B1576" s="56">
        <f>IF(A1576="","",WEEKNUM(A1576,21))</f>
        <v/>
      </c>
      <c r="C1576" s="57" t="n"/>
      <c r="D1576" s="57" t="n"/>
      <c r="E1576" s="58" t="n"/>
      <c r="F1576" s="57" t="n"/>
      <c r="G1576" s="59" t="n"/>
      <c r="H1576" s="59" t="n"/>
      <c r="I1576" s="60">
        <f>IF(OR(G1576="",H1576=""),"",MOD(H1576-G1576,1))</f>
        <v/>
      </c>
      <c r="J1576" s="61">
        <f>IF(OR(G1576="",H1576=""),"",ROUND(MOD(H1576-G1576,1)*24,2))</f>
        <v/>
      </c>
      <c r="K1576" s="62">
        <f>IF(E1576="","",IF(E1576="Werken","JA","NEE"))</f>
        <v/>
      </c>
      <c r="L1576" s="61">
        <f>IF(K1576="JA",N(J1576),IF(E1576="","",0))</f>
        <v/>
      </c>
      <c r="M1576" s="62">
        <f>IF(AND(A1576="",E1576=""),"",IF(E1576="","Segment ontbreekt",IF(OR(G1576="",H1576=""),"Van/tot ontbreekt",IF(N(J1576)=0,"Duur is nul",IF(N(J1576)&gt;12,"Langer dan 12 uur - controleren",IF(AND(E1576="Werken",D1576=""),"Werken zonder klant - koppelen","OK"))))))</f>
        <v/>
      </c>
    </row>
    <row r="1577" ht="15" customHeight="1" s="42">
      <c r="A1577" s="55" t="n"/>
      <c r="B1577" s="56">
        <f>IF(A1577="","",WEEKNUM(A1577,21))</f>
        <v/>
      </c>
      <c r="C1577" s="57" t="n"/>
      <c r="D1577" s="57" t="n"/>
      <c r="E1577" s="58" t="n"/>
      <c r="F1577" s="57" t="n"/>
      <c r="G1577" s="59" t="n"/>
      <c r="H1577" s="59" t="n"/>
      <c r="I1577" s="60">
        <f>IF(OR(G1577="",H1577=""),"",MOD(H1577-G1577,1))</f>
        <v/>
      </c>
      <c r="J1577" s="61">
        <f>IF(OR(G1577="",H1577=""),"",ROUND(MOD(H1577-G1577,1)*24,2))</f>
        <v/>
      </c>
      <c r="K1577" s="62">
        <f>IF(E1577="","",IF(E1577="Werken","JA","NEE"))</f>
        <v/>
      </c>
      <c r="L1577" s="61">
        <f>IF(K1577="JA",N(J1577),IF(E1577="","",0))</f>
        <v/>
      </c>
      <c r="M1577" s="62">
        <f>IF(AND(A1577="",E1577=""),"",IF(E1577="","Segment ontbreekt",IF(OR(G1577="",H1577=""),"Van/tot ontbreekt",IF(N(J1577)=0,"Duur is nul",IF(N(J1577)&gt;12,"Langer dan 12 uur - controleren",IF(AND(E1577="Werken",D1577=""),"Werken zonder klant - koppelen","OK"))))))</f>
        <v/>
      </c>
    </row>
    <row r="1578" ht="15" customHeight="1" s="42">
      <c r="A1578" s="55" t="n"/>
      <c r="B1578" s="56">
        <f>IF(A1578="","",WEEKNUM(A1578,21))</f>
        <v/>
      </c>
      <c r="C1578" s="57" t="n"/>
      <c r="D1578" s="57" t="n"/>
      <c r="E1578" s="58" t="n"/>
      <c r="F1578" s="57" t="n"/>
      <c r="G1578" s="59" t="n"/>
      <c r="H1578" s="59" t="n"/>
      <c r="I1578" s="60">
        <f>IF(OR(G1578="",H1578=""),"",MOD(H1578-G1578,1))</f>
        <v/>
      </c>
      <c r="J1578" s="61">
        <f>IF(OR(G1578="",H1578=""),"",ROUND(MOD(H1578-G1578,1)*24,2))</f>
        <v/>
      </c>
      <c r="K1578" s="62">
        <f>IF(E1578="","",IF(E1578="Werken","JA","NEE"))</f>
        <v/>
      </c>
      <c r="L1578" s="61">
        <f>IF(K1578="JA",N(J1578),IF(E1578="","",0))</f>
        <v/>
      </c>
      <c r="M1578" s="62">
        <f>IF(AND(A1578="",E1578=""),"",IF(E1578="","Segment ontbreekt",IF(OR(G1578="",H1578=""),"Van/tot ontbreekt",IF(N(J1578)=0,"Duur is nul",IF(N(J1578)&gt;12,"Langer dan 12 uur - controleren",IF(AND(E1578="Werken",D1578=""),"Werken zonder klant - koppelen","OK"))))))</f>
        <v/>
      </c>
    </row>
    <row r="1579" ht="15" customHeight="1" s="42">
      <c r="A1579" s="55" t="n"/>
      <c r="B1579" s="56">
        <f>IF(A1579="","",WEEKNUM(A1579,21))</f>
        <v/>
      </c>
      <c r="C1579" s="57" t="n"/>
      <c r="D1579" s="57" t="n"/>
      <c r="E1579" s="58" t="n"/>
      <c r="F1579" s="57" t="n"/>
      <c r="G1579" s="59" t="n"/>
      <c r="H1579" s="59" t="n"/>
      <c r="I1579" s="60">
        <f>IF(OR(G1579="",H1579=""),"",MOD(H1579-G1579,1))</f>
        <v/>
      </c>
      <c r="J1579" s="61">
        <f>IF(OR(G1579="",H1579=""),"",ROUND(MOD(H1579-G1579,1)*24,2))</f>
        <v/>
      </c>
      <c r="K1579" s="62">
        <f>IF(E1579="","",IF(E1579="Werken","JA","NEE"))</f>
        <v/>
      </c>
      <c r="L1579" s="61">
        <f>IF(K1579="JA",N(J1579),IF(E1579="","",0))</f>
        <v/>
      </c>
      <c r="M1579" s="62">
        <f>IF(AND(A1579="",E1579=""),"",IF(E1579="","Segment ontbreekt",IF(OR(G1579="",H1579=""),"Van/tot ontbreekt",IF(N(J1579)=0,"Duur is nul",IF(N(J1579)&gt;12,"Langer dan 12 uur - controleren",IF(AND(E1579="Werken",D1579=""),"Werken zonder klant - koppelen","OK"))))))</f>
        <v/>
      </c>
    </row>
    <row r="1580" ht="15" customHeight="1" s="42">
      <c r="A1580" s="55" t="n"/>
      <c r="B1580" s="56">
        <f>IF(A1580="","",WEEKNUM(A1580,21))</f>
        <v/>
      </c>
      <c r="C1580" s="57" t="n"/>
      <c r="D1580" s="57" t="n"/>
      <c r="E1580" s="58" t="n"/>
      <c r="F1580" s="57" t="n"/>
      <c r="G1580" s="59" t="n"/>
      <c r="H1580" s="59" t="n"/>
      <c r="I1580" s="60">
        <f>IF(OR(G1580="",H1580=""),"",MOD(H1580-G1580,1))</f>
        <v/>
      </c>
      <c r="J1580" s="61">
        <f>IF(OR(G1580="",H1580=""),"",ROUND(MOD(H1580-G1580,1)*24,2))</f>
        <v/>
      </c>
      <c r="K1580" s="62">
        <f>IF(E1580="","",IF(E1580="Werken","JA","NEE"))</f>
        <v/>
      </c>
      <c r="L1580" s="61">
        <f>IF(K1580="JA",N(J1580),IF(E1580="","",0))</f>
        <v/>
      </c>
      <c r="M1580" s="62">
        <f>IF(AND(A1580="",E1580=""),"",IF(E1580="","Segment ontbreekt",IF(OR(G1580="",H1580=""),"Van/tot ontbreekt",IF(N(J1580)=0,"Duur is nul",IF(N(J1580)&gt;12,"Langer dan 12 uur - controleren",IF(AND(E1580="Werken",D1580=""),"Werken zonder klant - koppelen","OK"))))))</f>
        <v/>
      </c>
    </row>
    <row r="1581" ht="15" customHeight="1" s="42">
      <c r="A1581" s="55" t="n"/>
      <c r="B1581" s="56">
        <f>IF(A1581="","",WEEKNUM(A1581,21))</f>
        <v/>
      </c>
      <c r="C1581" s="57" t="n"/>
      <c r="D1581" s="57" t="n"/>
      <c r="E1581" s="58" t="n"/>
      <c r="F1581" s="57" t="n"/>
      <c r="G1581" s="59" t="n"/>
      <c r="H1581" s="59" t="n"/>
      <c r="I1581" s="60">
        <f>IF(OR(G1581="",H1581=""),"",MOD(H1581-G1581,1))</f>
        <v/>
      </c>
      <c r="J1581" s="61">
        <f>IF(OR(G1581="",H1581=""),"",ROUND(MOD(H1581-G1581,1)*24,2))</f>
        <v/>
      </c>
      <c r="K1581" s="62">
        <f>IF(E1581="","",IF(E1581="Werken","JA","NEE"))</f>
        <v/>
      </c>
      <c r="L1581" s="61">
        <f>IF(K1581="JA",N(J1581),IF(E1581="","",0))</f>
        <v/>
      </c>
      <c r="M1581" s="62">
        <f>IF(AND(A1581="",E1581=""),"",IF(E1581="","Segment ontbreekt",IF(OR(G1581="",H1581=""),"Van/tot ontbreekt",IF(N(J1581)=0,"Duur is nul",IF(N(J1581)&gt;12,"Langer dan 12 uur - controleren",IF(AND(E1581="Werken",D1581=""),"Werken zonder klant - koppelen","OK"))))))</f>
        <v/>
      </c>
    </row>
    <row r="1582" ht="15" customHeight="1" s="42">
      <c r="A1582" s="55" t="n"/>
      <c r="B1582" s="56">
        <f>IF(A1582="","",WEEKNUM(A1582,21))</f>
        <v/>
      </c>
      <c r="C1582" s="57" t="n"/>
      <c r="D1582" s="57" t="n"/>
      <c r="E1582" s="58" t="n"/>
      <c r="F1582" s="57" t="n"/>
      <c r="G1582" s="59" t="n"/>
      <c r="H1582" s="59" t="n"/>
      <c r="I1582" s="60">
        <f>IF(OR(G1582="",H1582=""),"",MOD(H1582-G1582,1))</f>
        <v/>
      </c>
      <c r="J1582" s="61">
        <f>IF(OR(G1582="",H1582=""),"",ROUND(MOD(H1582-G1582,1)*24,2))</f>
        <v/>
      </c>
      <c r="K1582" s="62">
        <f>IF(E1582="","",IF(E1582="Werken","JA","NEE"))</f>
        <v/>
      </c>
      <c r="L1582" s="61">
        <f>IF(K1582="JA",N(J1582),IF(E1582="","",0))</f>
        <v/>
      </c>
      <c r="M1582" s="62">
        <f>IF(AND(A1582="",E1582=""),"",IF(E1582="","Segment ontbreekt",IF(OR(G1582="",H1582=""),"Van/tot ontbreekt",IF(N(J1582)=0,"Duur is nul",IF(N(J1582)&gt;12,"Langer dan 12 uur - controleren",IF(AND(E1582="Werken",D1582=""),"Werken zonder klant - koppelen","OK"))))))</f>
        <v/>
      </c>
    </row>
    <row r="1583" ht="15" customHeight="1" s="42">
      <c r="A1583" s="55" t="n"/>
      <c r="B1583" s="56">
        <f>IF(A1583="","",WEEKNUM(A1583,21))</f>
        <v/>
      </c>
      <c r="C1583" s="57" t="n"/>
      <c r="D1583" s="57" t="n"/>
      <c r="E1583" s="58" t="n"/>
      <c r="F1583" s="57" t="n"/>
      <c r="G1583" s="59" t="n"/>
      <c r="H1583" s="59" t="n"/>
      <c r="I1583" s="60">
        <f>IF(OR(G1583="",H1583=""),"",MOD(H1583-G1583,1))</f>
        <v/>
      </c>
      <c r="J1583" s="61">
        <f>IF(OR(G1583="",H1583=""),"",ROUND(MOD(H1583-G1583,1)*24,2))</f>
        <v/>
      </c>
      <c r="K1583" s="62">
        <f>IF(E1583="","",IF(E1583="Werken","JA","NEE"))</f>
        <v/>
      </c>
      <c r="L1583" s="61">
        <f>IF(K1583="JA",N(J1583),IF(E1583="","",0))</f>
        <v/>
      </c>
      <c r="M1583" s="62">
        <f>IF(AND(A1583="",E1583=""),"",IF(E1583="","Segment ontbreekt",IF(OR(G1583="",H1583=""),"Van/tot ontbreekt",IF(N(J1583)=0,"Duur is nul",IF(N(J1583)&gt;12,"Langer dan 12 uur - controleren",IF(AND(E1583="Werken",D1583=""),"Werken zonder klant - koppelen","OK"))))))</f>
        <v/>
      </c>
    </row>
    <row r="1584" ht="15" customHeight="1" s="42">
      <c r="A1584" s="55" t="n"/>
      <c r="B1584" s="56">
        <f>IF(A1584="","",WEEKNUM(A1584,21))</f>
        <v/>
      </c>
      <c r="C1584" s="57" t="n"/>
      <c r="D1584" s="57" t="n"/>
      <c r="E1584" s="58" t="n"/>
      <c r="F1584" s="57" t="n"/>
      <c r="G1584" s="59" t="n"/>
      <c r="H1584" s="59" t="n"/>
      <c r="I1584" s="60">
        <f>IF(OR(G1584="",H1584=""),"",MOD(H1584-G1584,1))</f>
        <v/>
      </c>
      <c r="J1584" s="61">
        <f>IF(OR(G1584="",H1584=""),"",ROUND(MOD(H1584-G1584,1)*24,2))</f>
        <v/>
      </c>
      <c r="K1584" s="62">
        <f>IF(E1584="","",IF(E1584="Werken","JA","NEE"))</f>
        <v/>
      </c>
      <c r="L1584" s="61">
        <f>IF(K1584="JA",N(J1584),IF(E1584="","",0))</f>
        <v/>
      </c>
      <c r="M1584" s="62">
        <f>IF(AND(A1584="",E1584=""),"",IF(E1584="","Segment ontbreekt",IF(OR(G1584="",H1584=""),"Van/tot ontbreekt",IF(N(J1584)=0,"Duur is nul",IF(N(J1584)&gt;12,"Langer dan 12 uur - controleren",IF(AND(E1584="Werken",D1584=""),"Werken zonder klant - koppelen","OK"))))))</f>
        <v/>
      </c>
    </row>
    <row r="1585" ht="15" customHeight="1" s="42">
      <c r="A1585" s="55" t="n"/>
      <c r="B1585" s="56">
        <f>IF(A1585="","",WEEKNUM(A1585,21))</f>
        <v/>
      </c>
      <c r="C1585" s="57" t="n"/>
      <c r="D1585" s="57" t="n"/>
      <c r="E1585" s="58" t="n"/>
      <c r="F1585" s="57" t="n"/>
      <c r="G1585" s="59" t="n"/>
      <c r="H1585" s="59" t="n"/>
      <c r="I1585" s="60">
        <f>IF(OR(G1585="",H1585=""),"",MOD(H1585-G1585,1))</f>
        <v/>
      </c>
      <c r="J1585" s="61">
        <f>IF(OR(G1585="",H1585=""),"",ROUND(MOD(H1585-G1585,1)*24,2))</f>
        <v/>
      </c>
      <c r="K1585" s="62">
        <f>IF(E1585="","",IF(E1585="Werken","JA","NEE"))</f>
        <v/>
      </c>
      <c r="L1585" s="61">
        <f>IF(K1585="JA",N(J1585),IF(E1585="","",0))</f>
        <v/>
      </c>
      <c r="M1585" s="62">
        <f>IF(AND(A1585="",E1585=""),"",IF(E1585="","Segment ontbreekt",IF(OR(G1585="",H1585=""),"Van/tot ontbreekt",IF(N(J1585)=0,"Duur is nul",IF(N(J1585)&gt;12,"Langer dan 12 uur - controleren",IF(AND(E1585="Werken",D1585=""),"Werken zonder klant - koppelen","OK"))))))</f>
        <v/>
      </c>
    </row>
    <row r="1586" ht="15" customHeight="1" s="42">
      <c r="A1586" s="55" t="n"/>
      <c r="B1586" s="56">
        <f>IF(A1586="","",WEEKNUM(A1586,21))</f>
        <v/>
      </c>
      <c r="C1586" s="57" t="n"/>
      <c r="D1586" s="57" t="n"/>
      <c r="E1586" s="58" t="n"/>
      <c r="F1586" s="57" t="n"/>
      <c r="G1586" s="59" t="n"/>
      <c r="H1586" s="59" t="n"/>
      <c r="I1586" s="60">
        <f>IF(OR(G1586="",H1586=""),"",MOD(H1586-G1586,1))</f>
        <v/>
      </c>
      <c r="J1586" s="61">
        <f>IF(OR(G1586="",H1586=""),"",ROUND(MOD(H1586-G1586,1)*24,2))</f>
        <v/>
      </c>
      <c r="K1586" s="62">
        <f>IF(E1586="","",IF(E1586="Werken","JA","NEE"))</f>
        <v/>
      </c>
      <c r="L1586" s="61">
        <f>IF(K1586="JA",N(J1586),IF(E1586="","",0))</f>
        <v/>
      </c>
      <c r="M1586" s="62">
        <f>IF(AND(A1586="",E1586=""),"",IF(E1586="","Segment ontbreekt",IF(OR(G1586="",H1586=""),"Van/tot ontbreekt",IF(N(J1586)=0,"Duur is nul",IF(N(J1586)&gt;12,"Langer dan 12 uur - controleren",IF(AND(E1586="Werken",D1586=""),"Werken zonder klant - koppelen","OK"))))))</f>
        <v/>
      </c>
    </row>
    <row r="1587" ht="15" customHeight="1" s="42">
      <c r="A1587" s="55" t="n"/>
      <c r="B1587" s="56">
        <f>IF(A1587="","",WEEKNUM(A1587,21))</f>
        <v/>
      </c>
      <c r="C1587" s="57" t="n"/>
      <c r="D1587" s="57" t="n"/>
      <c r="E1587" s="58" t="n"/>
      <c r="F1587" s="57" t="n"/>
      <c r="G1587" s="59" t="n"/>
      <c r="H1587" s="59" t="n"/>
      <c r="I1587" s="60">
        <f>IF(OR(G1587="",H1587=""),"",MOD(H1587-G1587,1))</f>
        <v/>
      </c>
      <c r="J1587" s="61">
        <f>IF(OR(G1587="",H1587=""),"",ROUND(MOD(H1587-G1587,1)*24,2))</f>
        <v/>
      </c>
      <c r="K1587" s="62">
        <f>IF(E1587="","",IF(E1587="Werken","JA","NEE"))</f>
        <v/>
      </c>
      <c r="L1587" s="61">
        <f>IF(K1587="JA",N(J1587),IF(E1587="","",0))</f>
        <v/>
      </c>
      <c r="M1587" s="62">
        <f>IF(AND(A1587="",E1587=""),"",IF(E1587="","Segment ontbreekt",IF(OR(G1587="",H1587=""),"Van/tot ontbreekt",IF(N(J1587)=0,"Duur is nul",IF(N(J1587)&gt;12,"Langer dan 12 uur - controleren",IF(AND(E1587="Werken",D1587=""),"Werken zonder klant - koppelen","OK"))))))</f>
        <v/>
      </c>
    </row>
    <row r="1588" ht="15" customHeight="1" s="42">
      <c r="A1588" s="55" t="n"/>
      <c r="B1588" s="56">
        <f>IF(A1588="","",WEEKNUM(A1588,21))</f>
        <v/>
      </c>
      <c r="C1588" s="57" t="n"/>
      <c r="D1588" s="57" t="n"/>
      <c r="E1588" s="58" t="n"/>
      <c r="F1588" s="57" t="n"/>
      <c r="G1588" s="59" t="n"/>
      <c r="H1588" s="59" t="n"/>
      <c r="I1588" s="60">
        <f>IF(OR(G1588="",H1588=""),"",MOD(H1588-G1588,1))</f>
        <v/>
      </c>
      <c r="J1588" s="61">
        <f>IF(OR(G1588="",H1588=""),"",ROUND(MOD(H1588-G1588,1)*24,2))</f>
        <v/>
      </c>
      <c r="K1588" s="62">
        <f>IF(E1588="","",IF(E1588="Werken","JA","NEE"))</f>
        <v/>
      </c>
      <c r="L1588" s="61">
        <f>IF(K1588="JA",N(J1588),IF(E1588="","",0))</f>
        <v/>
      </c>
      <c r="M1588" s="62">
        <f>IF(AND(A1588="",E1588=""),"",IF(E1588="","Segment ontbreekt",IF(OR(G1588="",H1588=""),"Van/tot ontbreekt",IF(N(J1588)=0,"Duur is nul",IF(N(J1588)&gt;12,"Langer dan 12 uur - controleren",IF(AND(E1588="Werken",D1588=""),"Werken zonder klant - koppelen","OK"))))))</f>
        <v/>
      </c>
    </row>
    <row r="1589" ht="15" customHeight="1" s="42">
      <c r="A1589" s="55" t="n"/>
      <c r="B1589" s="56">
        <f>IF(A1589="","",WEEKNUM(A1589,21))</f>
        <v/>
      </c>
      <c r="C1589" s="57" t="n"/>
      <c r="D1589" s="57" t="n"/>
      <c r="E1589" s="58" t="n"/>
      <c r="F1589" s="57" t="n"/>
      <c r="G1589" s="59" t="n"/>
      <c r="H1589" s="59" t="n"/>
      <c r="I1589" s="60">
        <f>IF(OR(G1589="",H1589=""),"",MOD(H1589-G1589,1))</f>
        <v/>
      </c>
      <c r="J1589" s="61">
        <f>IF(OR(G1589="",H1589=""),"",ROUND(MOD(H1589-G1589,1)*24,2))</f>
        <v/>
      </c>
      <c r="K1589" s="62">
        <f>IF(E1589="","",IF(E1589="Werken","JA","NEE"))</f>
        <v/>
      </c>
      <c r="L1589" s="61">
        <f>IF(K1589="JA",N(J1589),IF(E1589="","",0))</f>
        <v/>
      </c>
      <c r="M1589" s="62">
        <f>IF(AND(A1589="",E1589=""),"",IF(E1589="","Segment ontbreekt",IF(OR(G1589="",H1589=""),"Van/tot ontbreekt",IF(N(J1589)=0,"Duur is nul",IF(N(J1589)&gt;12,"Langer dan 12 uur - controleren",IF(AND(E1589="Werken",D1589=""),"Werken zonder klant - koppelen","OK"))))))</f>
        <v/>
      </c>
    </row>
    <row r="1590" ht="15" customHeight="1" s="42">
      <c r="A1590" s="55" t="n"/>
      <c r="B1590" s="56">
        <f>IF(A1590="","",WEEKNUM(A1590,21))</f>
        <v/>
      </c>
      <c r="C1590" s="57" t="n"/>
      <c r="D1590" s="57" t="n"/>
      <c r="E1590" s="58" t="n"/>
      <c r="F1590" s="57" t="n"/>
      <c r="G1590" s="59" t="n"/>
      <c r="H1590" s="59" t="n"/>
      <c r="I1590" s="60">
        <f>IF(OR(G1590="",H1590=""),"",MOD(H1590-G1590,1))</f>
        <v/>
      </c>
      <c r="J1590" s="61">
        <f>IF(OR(G1590="",H1590=""),"",ROUND(MOD(H1590-G1590,1)*24,2))</f>
        <v/>
      </c>
      <c r="K1590" s="62">
        <f>IF(E1590="","",IF(E1590="Werken","JA","NEE"))</f>
        <v/>
      </c>
      <c r="L1590" s="61">
        <f>IF(K1590="JA",N(J1590),IF(E1590="","",0))</f>
        <v/>
      </c>
      <c r="M1590" s="62">
        <f>IF(AND(A1590="",E1590=""),"",IF(E1590="","Segment ontbreekt",IF(OR(G1590="",H1590=""),"Van/tot ontbreekt",IF(N(J1590)=0,"Duur is nul",IF(N(J1590)&gt;12,"Langer dan 12 uur - controleren",IF(AND(E1590="Werken",D1590=""),"Werken zonder klant - koppelen","OK"))))))</f>
        <v/>
      </c>
    </row>
    <row r="1591" ht="15" customHeight="1" s="42">
      <c r="A1591" s="55" t="n"/>
      <c r="B1591" s="56">
        <f>IF(A1591="","",WEEKNUM(A1591,21))</f>
        <v/>
      </c>
      <c r="C1591" s="57" t="n"/>
      <c r="D1591" s="57" t="n"/>
      <c r="E1591" s="58" t="n"/>
      <c r="F1591" s="57" t="n"/>
      <c r="G1591" s="59" t="n"/>
      <c r="H1591" s="59" t="n"/>
      <c r="I1591" s="60">
        <f>IF(OR(G1591="",H1591=""),"",MOD(H1591-G1591,1))</f>
        <v/>
      </c>
      <c r="J1591" s="61">
        <f>IF(OR(G1591="",H1591=""),"",ROUND(MOD(H1591-G1591,1)*24,2))</f>
        <v/>
      </c>
      <c r="K1591" s="62">
        <f>IF(E1591="","",IF(E1591="Werken","JA","NEE"))</f>
        <v/>
      </c>
      <c r="L1591" s="61">
        <f>IF(K1591="JA",N(J1591),IF(E1591="","",0))</f>
        <v/>
      </c>
      <c r="M1591" s="62">
        <f>IF(AND(A1591="",E1591=""),"",IF(E1591="","Segment ontbreekt",IF(OR(G1591="",H1591=""),"Van/tot ontbreekt",IF(N(J1591)=0,"Duur is nul",IF(N(J1591)&gt;12,"Langer dan 12 uur - controleren",IF(AND(E1591="Werken",D1591=""),"Werken zonder klant - koppelen","OK"))))))</f>
        <v/>
      </c>
    </row>
    <row r="1592" ht="15" customHeight="1" s="42">
      <c r="A1592" s="55" t="n"/>
      <c r="B1592" s="56">
        <f>IF(A1592="","",WEEKNUM(A1592,21))</f>
        <v/>
      </c>
      <c r="C1592" s="57" t="n"/>
      <c r="D1592" s="57" t="n"/>
      <c r="E1592" s="58" t="n"/>
      <c r="F1592" s="57" t="n"/>
      <c r="G1592" s="59" t="n"/>
      <c r="H1592" s="59" t="n"/>
      <c r="I1592" s="60">
        <f>IF(OR(G1592="",H1592=""),"",MOD(H1592-G1592,1))</f>
        <v/>
      </c>
      <c r="J1592" s="61">
        <f>IF(OR(G1592="",H1592=""),"",ROUND(MOD(H1592-G1592,1)*24,2))</f>
        <v/>
      </c>
      <c r="K1592" s="62">
        <f>IF(E1592="","",IF(E1592="Werken","JA","NEE"))</f>
        <v/>
      </c>
      <c r="L1592" s="61">
        <f>IF(K1592="JA",N(J1592),IF(E1592="","",0))</f>
        <v/>
      </c>
      <c r="M1592" s="62">
        <f>IF(AND(A1592="",E1592=""),"",IF(E1592="","Segment ontbreekt",IF(OR(G1592="",H1592=""),"Van/tot ontbreekt",IF(N(J1592)=0,"Duur is nul",IF(N(J1592)&gt;12,"Langer dan 12 uur - controleren",IF(AND(E1592="Werken",D1592=""),"Werken zonder klant - koppelen","OK"))))))</f>
        <v/>
      </c>
    </row>
    <row r="1593" ht="15" customHeight="1" s="42">
      <c r="A1593" s="55" t="n"/>
      <c r="B1593" s="56">
        <f>IF(A1593="","",WEEKNUM(A1593,21))</f>
        <v/>
      </c>
      <c r="C1593" s="57" t="n"/>
      <c r="D1593" s="57" t="n"/>
      <c r="E1593" s="58" t="n"/>
      <c r="F1593" s="57" t="n"/>
      <c r="G1593" s="59" t="n"/>
      <c r="H1593" s="59" t="n"/>
      <c r="I1593" s="60">
        <f>IF(OR(G1593="",H1593=""),"",MOD(H1593-G1593,1))</f>
        <v/>
      </c>
      <c r="J1593" s="61">
        <f>IF(OR(G1593="",H1593=""),"",ROUND(MOD(H1593-G1593,1)*24,2))</f>
        <v/>
      </c>
      <c r="K1593" s="62">
        <f>IF(E1593="","",IF(E1593="Werken","JA","NEE"))</f>
        <v/>
      </c>
      <c r="L1593" s="61">
        <f>IF(K1593="JA",N(J1593),IF(E1593="","",0))</f>
        <v/>
      </c>
      <c r="M1593" s="62">
        <f>IF(AND(A1593="",E1593=""),"",IF(E1593="","Segment ontbreekt",IF(OR(G1593="",H1593=""),"Van/tot ontbreekt",IF(N(J1593)=0,"Duur is nul",IF(N(J1593)&gt;12,"Langer dan 12 uur - controleren",IF(AND(E1593="Werken",D1593=""),"Werken zonder klant - koppelen","OK"))))))</f>
        <v/>
      </c>
    </row>
    <row r="1594" ht="15" customHeight="1" s="42">
      <c r="A1594" s="55" t="n"/>
      <c r="B1594" s="56">
        <f>IF(A1594="","",WEEKNUM(A1594,21))</f>
        <v/>
      </c>
      <c r="C1594" s="57" t="n"/>
      <c r="D1594" s="57" t="n"/>
      <c r="E1594" s="58" t="n"/>
      <c r="F1594" s="57" t="n"/>
      <c r="G1594" s="59" t="n"/>
      <c r="H1594" s="59" t="n"/>
      <c r="I1594" s="60">
        <f>IF(OR(G1594="",H1594=""),"",MOD(H1594-G1594,1))</f>
        <v/>
      </c>
      <c r="J1594" s="61">
        <f>IF(OR(G1594="",H1594=""),"",ROUND(MOD(H1594-G1594,1)*24,2))</f>
        <v/>
      </c>
      <c r="K1594" s="62">
        <f>IF(E1594="","",IF(E1594="Werken","JA","NEE"))</f>
        <v/>
      </c>
      <c r="L1594" s="61">
        <f>IF(K1594="JA",N(J1594),IF(E1594="","",0))</f>
        <v/>
      </c>
      <c r="M1594" s="62">
        <f>IF(AND(A1594="",E1594=""),"",IF(E1594="","Segment ontbreekt",IF(OR(G1594="",H1594=""),"Van/tot ontbreekt",IF(N(J1594)=0,"Duur is nul",IF(N(J1594)&gt;12,"Langer dan 12 uur - controleren",IF(AND(E1594="Werken",D1594=""),"Werken zonder klant - koppelen","OK"))))))</f>
        <v/>
      </c>
    </row>
    <row r="1595" ht="15" customHeight="1" s="42">
      <c r="A1595" s="55" t="n"/>
      <c r="B1595" s="56">
        <f>IF(A1595="","",WEEKNUM(A1595,21))</f>
        <v/>
      </c>
      <c r="C1595" s="57" t="n"/>
      <c r="D1595" s="57" t="n"/>
      <c r="E1595" s="58" t="n"/>
      <c r="F1595" s="57" t="n"/>
      <c r="G1595" s="59" t="n"/>
      <c r="H1595" s="59" t="n"/>
      <c r="I1595" s="60">
        <f>IF(OR(G1595="",H1595=""),"",MOD(H1595-G1595,1))</f>
        <v/>
      </c>
      <c r="J1595" s="61">
        <f>IF(OR(G1595="",H1595=""),"",ROUND(MOD(H1595-G1595,1)*24,2))</f>
        <v/>
      </c>
      <c r="K1595" s="62">
        <f>IF(E1595="","",IF(E1595="Werken","JA","NEE"))</f>
        <v/>
      </c>
      <c r="L1595" s="61">
        <f>IF(K1595="JA",N(J1595),IF(E1595="","",0))</f>
        <v/>
      </c>
      <c r="M1595" s="62">
        <f>IF(AND(A1595="",E1595=""),"",IF(E1595="","Segment ontbreekt",IF(OR(G1595="",H1595=""),"Van/tot ontbreekt",IF(N(J1595)=0,"Duur is nul",IF(N(J1595)&gt;12,"Langer dan 12 uur - controleren",IF(AND(E1595="Werken",D1595=""),"Werken zonder klant - koppelen","OK"))))))</f>
        <v/>
      </c>
    </row>
    <row r="1596" ht="15" customHeight="1" s="42">
      <c r="A1596" s="55" t="n"/>
      <c r="B1596" s="56">
        <f>IF(A1596="","",WEEKNUM(A1596,21))</f>
        <v/>
      </c>
      <c r="C1596" s="57" t="n"/>
      <c r="D1596" s="57" t="n"/>
      <c r="E1596" s="58" t="n"/>
      <c r="F1596" s="57" t="n"/>
      <c r="G1596" s="59" t="n"/>
      <c r="H1596" s="59" t="n"/>
      <c r="I1596" s="60">
        <f>IF(OR(G1596="",H1596=""),"",MOD(H1596-G1596,1))</f>
        <v/>
      </c>
      <c r="J1596" s="61">
        <f>IF(OR(G1596="",H1596=""),"",ROUND(MOD(H1596-G1596,1)*24,2))</f>
        <v/>
      </c>
      <c r="K1596" s="62">
        <f>IF(E1596="","",IF(E1596="Werken","JA","NEE"))</f>
        <v/>
      </c>
      <c r="L1596" s="61">
        <f>IF(K1596="JA",N(J1596),IF(E1596="","",0))</f>
        <v/>
      </c>
      <c r="M1596" s="62">
        <f>IF(AND(A1596="",E1596=""),"",IF(E1596="","Segment ontbreekt",IF(OR(G1596="",H1596=""),"Van/tot ontbreekt",IF(N(J1596)=0,"Duur is nul",IF(N(J1596)&gt;12,"Langer dan 12 uur - controleren",IF(AND(E1596="Werken",D1596=""),"Werken zonder klant - koppelen","OK"))))))</f>
        <v/>
      </c>
    </row>
    <row r="1597" ht="15" customHeight="1" s="42">
      <c r="A1597" s="55" t="n"/>
      <c r="B1597" s="56">
        <f>IF(A1597="","",WEEKNUM(A1597,21))</f>
        <v/>
      </c>
      <c r="C1597" s="57" t="n"/>
      <c r="D1597" s="57" t="n"/>
      <c r="E1597" s="58" t="n"/>
      <c r="F1597" s="57" t="n"/>
      <c r="G1597" s="59" t="n"/>
      <c r="H1597" s="59" t="n"/>
      <c r="I1597" s="60">
        <f>IF(OR(G1597="",H1597=""),"",MOD(H1597-G1597,1))</f>
        <v/>
      </c>
      <c r="J1597" s="61">
        <f>IF(OR(G1597="",H1597=""),"",ROUND(MOD(H1597-G1597,1)*24,2))</f>
        <v/>
      </c>
      <c r="K1597" s="62">
        <f>IF(E1597="","",IF(E1597="Werken","JA","NEE"))</f>
        <v/>
      </c>
      <c r="L1597" s="61">
        <f>IF(K1597="JA",N(J1597),IF(E1597="","",0))</f>
        <v/>
      </c>
      <c r="M1597" s="62">
        <f>IF(AND(A1597="",E1597=""),"",IF(E1597="","Segment ontbreekt",IF(OR(G1597="",H1597=""),"Van/tot ontbreekt",IF(N(J1597)=0,"Duur is nul",IF(N(J1597)&gt;12,"Langer dan 12 uur - controleren",IF(AND(E1597="Werken",D1597=""),"Werken zonder klant - koppelen","OK"))))))</f>
        <v/>
      </c>
    </row>
    <row r="1598" ht="15" customHeight="1" s="42">
      <c r="A1598" s="55" t="n"/>
      <c r="B1598" s="56">
        <f>IF(A1598="","",WEEKNUM(A1598,21))</f>
        <v/>
      </c>
      <c r="C1598" s="57" t="n"/>
      <c r="D1598" s="57" t="n"/>
      <c r="E1598" s="58" t="n"/>
      <c r="F1598" s="57" t="n"/>
      <c r="G1598" s="59" t="n"/>
      <c r="H1598" s="59" t="n"/>
      <c r="I1598" s="60">
        <f>IF(OR(G1598="",H1598=""),"",MOD(H1598-G1598,1))</f>
        <v/>
      </c>
      <c r="J1598" s="61">
        <f>IF(OR(G1598="",H1598=""),"",ROUND(MOD(H1598-G1598,1)*24,2))</f>
        <v/>
      </c>
      <c r="K1598" s="62">
        <f>IF(E1598="","",IF(E1598="Werken","JA","NEE"))</f>
        <v/>
      </c>
      <c r="L1598" s="61">
        <f>IF(K1598="JA",N(J1598),IF(E1598="","",0))</f>
        <v/>
      </c>
      <c r="M1598" s="62">
        <f>IF(AND(A1598="",E1598=""),"",IF(E1598="","Segment ontbreekt",IF(OR(G1598="",H1598=""),"Van/tot ontbreekt",IF(N(J1598)=0,"Duur is nul",IF(N(J1598)&gt;12,"Langer dan 12 uur - controleren",IF(AND(E1598="Werken",D1598=""),"Werken zonder klant - koppelen","OK"))))))</f>
        <v/>
      </c>
    </row>
    <row r="1599" ht="15" customHeight="1" s="42">
      <c r="A1599" s="55" t="n"/>
      <c r="B1599" s="56">
        <f>IF(A1599="","",WEEKNUM(A1599,21))</f>
        <v/>
      </c>
      <c r="C1599" s="57" t="n"/>
      <c r="D1599" s="57" t="n"/>
      <c r="E1599" s="58" t="n"/>
      <c r="F1599" s="57" t="n"/>
      <c r="G1599" s="59" t="n"/>
      <c r="H1599" s="59" t="n"/>
      <c r="I1599" s="60">
        <f>IF(OR(G1599="",H1599=""),"",MOD(H1599-G1599,1))</f>
        <v/>
      </c>
      <c r="J1599" s="61">
        <f>IF(OR(G1599="",H1599=""),"",ROUND(MOD(H1599-G1599,1)*24,2))</f>
        <v/>
      </c>
      <c r="K1599" s="62">
        <f>IF(E1599="","",IF(E1599="Werken","JA","NEE"))</f>
        <v/>
      </c>
      <c r="L1599" s="61">
        <f>IF(K1599="JA",N(J1599),IF(E1599="","",0))</f>
        <v/>
      </c>
      <c r="M1599" s="62">
        <f>IF(AND(A1599="",E1599=""),"",IF(E1599="","Segment ontbreekt",IF(OR(G1599="",H1599=""),"Van/tot ontbreekt",IF(N(J1599)=0,"Duur is nul",IF(N(J1599)&gt;12,"Langer dan 12 uur - controleren",IF(AND(E1599="Werken",D1599=""),"Werken zonder klant - koppelen","OK"))))))</f>
        <v/>
      </c>
    </row>
    <row r="1600" ht="15" customHeight="1" s="42">
      <c r="A1600" s="55" t="n"/>
      <c r="B1600" s="56">
        <f>IF(A1600="","",WEEKNUM(A1600,21))</f>
        <v/>
      </c>
      <c r="C1600" s="57" t="n"/>
      <c r="D1600" s="57" t="n"/>
      <c r="E1600" s="58" t="n"/>
      <c r="F1600" s="57" t="n"/>
      <c r="G1600" s="59" t="n"/>
      <c r="H1600" s="59" t="n"/>
      <c r="I1600" s="60">
        <f>IF(OR(G1600="",H1600=""),"",MOD(H1600-G1600,1))</f>
        <v/>
      </c>
      <c r="J1600" s="61">
        <f>IF(OR(G1600="",H1600=""),"",ROUND(MOD(H1600-G1600,1)*24,2))</f>
        <v/>
      </c>
      <c r="K1600" s="62">
        <f>IF(E1600="","",IF(E1600="Werken","JA","NEE"))</f>
        <v/>
      </c>
      <c r="L1600" s="61">
        <f>IF(K1600="JA",N(J1600),IF(E1600="","",0))</f>
        <v/>
      </c>
      <c r="M1600" s="62">
        <f>IF(AND(A1600="",E1600=""),"",IF(E1600="","Segment ontbreekt",IF(OR(G1600="",H1600=""),"Van/tot ontbreekt",IF(N(J1600)=0,"Duur is nul",IF(N(J1600)&gt;12,"Langer dan 12 uur - controleren",IF(AND(E1600="Werken",D1600=""),"Werken zonder klant - koppelen","OK"))))))</f>
        <v/>
      </c>
    </row>
    <row r="1601" ht="15" customHeight="1" s="42">
      <c r="A1601" s="55" t="n"/>
      <c r="B1601" s="56">
        <f>IF(A1601="","",WEEKNUM(A1601,21))</f>
        <v/>
      </c>
      <c r="C1601" s="57" t="n"/>
      <c r="D1601" s="57" t="n"/>
      <c r="E1601" s="58" t="n"/>
      <c r="F1601" s="57" t="n"/>
      <c r="G1601" s="59" t="n"/>
      <c r="H1601" s="59" t="n"/>
      <c r="I1601" s="60">
        <f>IF(OR(G1601="",H1601=""),"",MOD(H1601-G1601,1))</f>
        <v/>
      </c>
      <c r="J1601" s="61">
        <f>IF(OR(G1601="",H1601=""),"",ROUND(MOD(H1601-G1601,1)*24,2))</f>
        <v/>
      </c>
      <c r="K1601" s="62">
        <f>IF(E1601="","",IF(E1601="Werken","JA","NEE"))</f>
        <v/>
      </c>
      <c r="L1601" s="61">
        <f>IF(K1601="JA",N(J1601),IF(E1601="","",0))</f>
        <v/>
      </c>
      <c r="M1601" s="62">
        <f>IF(AND(A1601="",E1601=""),"",IF(E1601="","Segment ontbreekt",IF(OR(G1601="",H1601=""),"Van/tot ontbreekt",IF(N(J1601)=0,"Duur is nul",IF(N(J1601)&gt;12,"Langer dan 12 uur - controleren",IF(AND(E1601="Werken",D1601=""),"Werken zonder klant - koppelen","OK"))))))</f>
        <v/>
      </c>
    </row>
    <row r="1602" ht="15" customHeight="1" s="42">
      <c r="A1602" s="55" t="n"/>
      <c r="B1602" s="56">
        <f>IF(A1602="","",WEEKNUM(A1602,21))</f>
        <v/>
      </c>
      <c r="C1602" s="57" t="n"/>
      <c r="D1602" s="57" t="n"/>
      <c r="E1602" s="58" t="n"/>
      <c r="F1602" s="57" t="n"/>
      <c r="G1602" s="59" t="n"/>
      <c r="H1602" s="59" t="n"/>
      <c r="I1602" s="60">
        <f>IF(OR(G1602="",H1602=""),"",MOD(H1602-G1602,1))</f>
        <v/>
      </c>
      <c r="J1602" s="61">
        <f>IF(OR(G1602="",H1602=""),"",ROUND(MOD(H1602-G1602,1)*24,2))</f>
        <v/>
      </c>
      <c r="K1602" s="62">
        <f>IF(E1602="","",IF(E1602="Werken","JA","NEE"))</f>
        <v/>
      </c>
      <c r="L1602" s="61">
        <f>IF(K1602="JA",N(J1602),IF(E1602="","",0))</f>
        <v/>
      </c>
      <c r="M1602" s="62">
        <f>IF(AND(A1602="",E1602=""),"",IF(E1602="","Segment ontbreekt",IF(OR(G1602="",H1602=""),"Van/tot ontbreekt",IF(N(J1602)=0,"Duur is nul",IF(N(J1602)&gt;12,"Langer dan 12 uur - controleren",IF(AND(E1602="Werken",D1602=""),"Werken zonder klant - koppelen","OK"))))))</f>
        <v/>
      </c>
    </row>
    <row r="1603" ht="15" customHeight="1" s="42">
      <c r="A1603" s="55" t="n"/>
      <c r="B1603" s="56">
        <f>IF(A1603="","",WEEKNUM(A1603,21))</f>
        <v/>
      </c>
      <c r="C1603" s="57" t="n"/>
      <c r="D1603" s="57" t="n"/>
      <c r="E1603" s="58" t="n"/>
      <c r="F1603" s="57" t="n"/>
      <c r="G1603" s="59" t="n"/>
      <c r="H1603" s="59" t="n"/>
      <c r="I1603" s="60">
        <f>IF(OR(G1603="",H1603=""),"",MOD(H1603-G1603,1))</f>
        <v/>
      </c>
      <c r="J1603" s="61">
        <f>IF(OR(G1603="",H1603=""),"",ROUND(MOD(H1603-G1603,1)*24,2))</f>
        <v/>
      </c>
      <c r="K1603" s="62">
        <f>IF(E1603="","",IF(E1603="Werken","JA","NEE"))</f>
        <v/>
      </c>
      <c r="L1603" s="61">
        <f>IF(K1603="JA",N(J1603),IF(E1603="","",0))</f>
        <v/>
      </c>
      <c r="M1603" s="62">
        <f>IF(AND(A1603="",E1603=""),"",IF(E1603="","Segment ontbreekt",IF(OR(G1603="",H1603=""),"Van/tot ontbreekt",IF(N(J1603)=0,"Duur is nul",IF(N(J1603)&gt;12,"Langer dan 12 uur - controleren",IF(AND(E1603="Werken",D1603=""),"Werken zonder klant - koppelen","OK"))))))</f>
        <v/>
      </c>
    </row>
    <row r="1604" ht="15" customHeight="1" s="42">
      <c r="A1604" s="55" t="n"/>
      <c r="B1604" s="56">
        <f>IF(A1604="","",WEEKNUM(A1604,21))</f>
        <v/>
      </c>
      <c r="C1604" s="57" t="n"/>
      <c r="D1604" s="57" t="n"/>
      <c r="E1604" s="58" t="n"/>
      <c r="F1604" s="57" t="n"/>
      <c r="G1604" s="59" t="n"/>
      <c r="H1604" s="59" t="n"/>
      <c r="I1604" s="60">
        <f>IF(OR(G1604="",H1604=""),"",MOD(H1604-G1604,1))</f>
        <v/>
      </c>
      <c r="J1604" s="61">
        <f>IF(OR(G1604="",H1604=""),"",ROUND(MOD(H1604-G1604,1)*24,2))</f>
        <v/>
      </c>
      <c r="K1604" s="62">
        <f>IF(E1604="","",IF(E1604="Werken","JA","NEE"))</f>
        <v/>
      </c>
      <c r="L1604" s="61">
        <f>IF(K1604="JA",N(J1604),IF(E1604="","",0))</f>
        <v/>
      </c>
      <c r="M1604" s="62">
        <f>IF(AND(A1604="",E1604=""),"",IF(E1604="","Segment ontbreekt",IF(OR(G1604="",H1604=""),"Van/tot ontbreekt",IF(N(J1604)=0,"Duur is nul",IF(N(J1604)&gt;12,"Langer dan 12 uur - controleren",IF(AND(E1604="Werken",D1604=""),"Werken zonder klant - koppelen","OK"))))))</f>
        <v/>
      </c>
    </row>
    <row r="1605" ht="15" customHeight="1" s="42">
      <c r="A1605" s="55" t="n"/>
      <c r="B1605" s="56">
        <f>IF(A1605="","",WEEKNUM(A1605,21))</f>
        <v/>
      </c>
      <c r="C1605" s="57" t="n"/>
      <c r="D1605" s="57" t="n"/>
      <c r="E1605" s="58" t="n"/>
      <c r="F1605" s="57" t="n"/>
      <c r="G1605" s="59" t="n"/>
      <c r="H1605" s="59" t="n"/>
      <c r="I1605" s="60">
        <f>IF(OR(G1605="",H1605=""),"",MOD(H1605-G1605,1))</f>
        <v/>
      </c>
      <c r="J1605" s="61">
        <f>IF(OR(G1605="",H1605=""),"",ROUND(MOD(H1605-G1605,1)*24,2))</f>
        <v/>
      </c>
      <c r="K1605" s="62">
        <f>IF(E1605="","",IF(E1605="Werken","JA","NEE"))</f>
        <v/>
      </c>
      <c r="L1605" s="61">
        <f>IF(K1605="JA",N(J1605),IF(E1605="","",0))</f>
        <v/>
      </c>
      <c r="M1605" s="62">
        <f>IF(AND(A1605="",E1605=""),"",IF(E1605="","Segment ontbreekt",IF(OR(G1605="",H1605=""),"Van/tot ontbreekt",IF(N(J1605)=0,"Duur is nul",IF(N(J1605)&gt;12,"Langer dan 12 uur - controleren",IF(AND(E1605="Werken",D1605=""),"Werken zonder klant - koppelen","OK"))))))</f>
        <v/>
      </c>
    </row>
    <row r="1606" ht="15" customHeight="1" s="42">
      <c r="A1606" s="55" t="n"/>
      <c r="B1606" s="56">
        <f>IF(A1606="","",WEEKNUM(A1606,21))</f>
        <v/>
      </c>
      <c r="C1606" s="57" t="n"/>
      <c r="D1606" s="57" t="n"/>
      <c r="E1606" s="58" t="n"/>
      <c r="F1606" s="57" t="n"/>
      <c r="G1606" s="59" t="n"/>
      <c r="H1606" s="59" t="n"/>
      <c r="I1606" s="60">
        <f>IF(OR(G1606="",H1606=""),"",MOD(H1606-G1606,1))</f>
        <v/>
      </c>
      <c r="J1606" s="61">
        <f>IF(OR(G1606="",H1606=""),"",ROUND(MOD(H1606-G1606,1)*24,2))</f>
        <v/>
      </c>
      <c r="K1606" s="62">
        <f>IF(E1606="","",IF(E1606="Werken","JA","NEE"))</f>
        <v/>
      </c>
      <c r="L1606" s="61">
        <f>IF(K1606="JA",N(J1606),IF(E1606="","",0))</f>
        <v/>
      </c>
      <c r="M1606" s="62">
        <f>IF(AND(A1606="",E1606=""),"",IF(E1606="","Segment ontbreekt",IF(OR(G1606="",H1606=""),"Van/tot ontbreekt",IF(N(J1606)=0,"Duur is nul",IF(N(J1606)&gt;12,"Langer dan 12 uur - controleren",IF(AND(E1606="Werken",D1606=""),"Werken zonder klant - koppelen","OK"))))))</f>
        <v/>
      </c>
    </row>
    <row r="1607" ht="15" customHeight="1" s="42">
      <c r="A1607" s="55" t="n"/>
      <c r="B1607" s="56">
        <f>IF(A1607="","",WEEKNUM(A1607,21))</f>
        <v/>
      </c>
      <c r="C1607" s="57" t="n"/>
      <c r="D1607" s="57" t="n"/>
      <c r="E1607" s="58" t="n"/>
      <c r="F1607" s="57" t="n"/>
      <c r="G1607" s="59" t="n"/>
      <c r="H1607" s="59" t="n"/>
      <c r="I1607" s="60">
        <f>IF(OR(G1607="",H1607=""),"",MOD(H1607-G1607,1))</f>
        <v/>
      </c>
      <c r="J1607" s="61">
        <f>IF(OR(G1607="",H1607=""),"",ROUND(MOD(H1607-G1607,1)*24,2))</f>
        <v/>
      </c>
      <c r="K1607" s="62">
        <f>IF(E1607="","",IF(E1607="Werken","JA","NEE"))</f>
        <v/>
      </c>
      <c r="L1607" s="61">
        <f>IF(K1607="JA",N(J1607),IF(E1607="","",0))</f>
        <v/>
      </c>
      <c r="M1607" s="62">
        <f>IF(AND(A1607="",E1607=""),"",IF(E1607="","Segment ontbreekt",IF(OR(G1607="",H1607=""),"Van/tot ontbreekt",IF(N(J1607)=0,"Duur is nul",IF(N(J1607)&gt;12,"Langer dan 12 uur - controleren",IF(AND(E1607="Werken",D1607=""),"Werken zonder klant - koppelen","OK"))))))</f>
        <v/>
      </c>
    </row>
    <row r="1608" ht="15" customHeight="1" s="42">
      <c r="A1608" s="55" t="n"/>
      <c r="B1608" s="56">
        <f>IF(A1608="","",WEEKNUM(A1608,21))</f>
        <v/>
      </c>
      <c r="C1608" s="57" t="n"/>
      <c r="D1608" s="57" t="n"/>
      <c r="E1608" s="58" t="n"/>
      <c r="F1608" s="57" t="n"/>
      <c r="G1608" s="59" t="n"/>
      <c r="H1608" s="59" t="n"/>
      <c r="I1608" s="60">
        <f>IF(OR(G1608="",H1608=""),"",MOD(H1608-G1608,1))</f>
        <v/>
      </c>
      <c r="J1608" s="61">
        <f>IF(OR(G1608="",H1608=""),"",ROUND(MOD(H1608-G1608,1)*24,2))</f>
        <v/>
      </c>
      <c r="K1608" s="62">
        <f>IF(E1608="","",IF(E1608="Werken","JA","NEE"))</f>
        <v/>
      </c>
      <c r="L1608" s="61">
        <f>IF(K1608="JA",N(J1608),IF(E1608="","",0))</f>
        <v/>
      </c>
      <c r="M1608" s="62">
        <f>IF(AND(A1608="",E1608=""),"",IF(E1608="","Segment ontbreekt",IF(OR(G1608="",H1608=""),"Van/tot ontbreekt",IF(N(J1608)=0,"Duur is nul",IF(N(J1608)&gt;12,"Langer dan 12 uur - controleren",IF(AND(E1608="Werken",D1608=""),"Werken zonder klant - koppelen","OK"))))))</f>
        <v/>
      </c>
    </row>
    <row r="1609" ht="15" customHeight="1" s="42">
      <c r="A1609" s="55" t="n"/>
      <c r="B1609" s="56">
        <f>IF(A1609="","",WEEKNUM(A1609,21))</f>
        <v/>
      </c>
      <c r="C1609" s="57" t="n"/>
      <c r="D1609" s="57" t="n"/>
      <c r="E1609" s="58" t="n"/>
      <c r="F1609" s="57" t="n"/>
      <c r="G1609" s="59" t="n"/>
      <c r="H1609" s="59" t="n"/>
      <c r="I1609" s="60">
        <f>IF(OR(G1609="",H1609=""),"",MOD(H1609-G1609,1))</f>
        <v/>
      </c>
      <c r="J1609" s="61">
        <f>IF(OR(G1609="",H1609=""),"",ROUND(MOD(H1609-G1609,1)*24,2))</f>
        <v/>
      </c>
      <c r="K1609" s="62">
        <f>IF(E1609="","",IF(E1609="Werken","JA","NEE"))</f>
        <v/>
      </c>
      <c r="L1609" s="61">
        <f>IF(K1609="JA",N(J1609),IF(E1609="","",0))</f>
        <v/>
      </c>
      <c r="M1609" s="62">
        <f>IF(AND(A1609="",E1609=""),"",IF(E1609="","Segment ontbreekt",IF(OR(G1609="",H1609=""),"Van/tot ontbreekt",IF(N(J1609)=0,"Duur is nul",IF(N(J1609)&gt;12,"Langer dan 12 uur - controleren",IF(AND(E1609="Werken",D1609=""),"Werken zonder klant - koppelen","OK"))))))</f>
        <v/>
      </c>
    </row>
    <row r="1610" ht="15" customHeight="1" s="42">
      <c r="A1610" s="55" t="n"/>
      <c r="B1610" s="56">
        <f>IF(A1610="","",WEEKNUM(A1610,21))</f>
        <v/>
      </c>
      <c r="C1610" s="57" t="n"/>
      <c r="D1610" s="57" t="n"/>
      <c r="E1610" s="58" t="n"/>
      <c r="F1610" s="57" t="n"/>
      <c r="G1610" s="59" t="n"/>
      <c r="H1610" s="59" t="n"/>
      <c r="I1610" s="60">
        <f>IF(OR(G1610="",H1610=""),"",MOD(H1610-G1610,1))</f>
        <v/>
      </c>
      <c r="J1610" s="61">
        <f>IF(OR(G1610="",H1610=""),"",ROUND(MOD(H1610-G1610,1)*24,2))</f>
        <v/>
      </c>
      <c r="K1610" s="62">
        <f>IF(E1610="","",IF(E1610="Werken","JA","NEE"))</f>
        <v/>
      </c>
      <c r="L1610" s="61">
        <f>IF(K1610="JA",N(J1610),IF(E1610="","",0))</f>
        <v/>
      </c>
      <c r="M1610" s="62">
        <f>IF(AND(A1610="",E1610=""),"",IF(E1610="","Segment ontbreekt",IF(OR(G1610="",H1610=""),"Van/tot ontbreekt",IF(N(J1610)=0,"Duur is nul",IF(N(J1610)&gt;12,"Langer dan 12 uur - controleren",IF(AND(E1610="Werken",D1610=""),"Werken zonder klant - koppelen","OK"))))))</f>
        <v/>
      </c>
    </row>
    <row r="1611" ht="15" customHeight="1" s="42">
      <c r="A1611" s="55" t="n"/>
      <c r="B1611" s="56">
        <f>IF(A1611="","",WEEKNUM(A1611,21))</f>
        <v/>
      </c>
      <c r="C1611" s="57" t="n"/>
      <c r="D1611" s="57" t="n"/>
      <c r="E1611" s="58" t="n"/>
      <c r="F1611" s="57" t="n"/>
      <c r="G1611" s="59" t="n"/>
      <c r="H1611" s="59" t="n"/>
      <c r="I1611" s="60">
        <f>IF(OR(G1611="",H1611=""),"",MOD(H1611-G1611,1))</f>
        <v/>
      </c>
      <c r="J1611" s="61">
        <f>IF(OR(G1611="",H1611=""),"",ROUND(MOD(H1611-G1611,1)*24,2))</f>
        <v/>
      </c>
      <c r="K1611" s="62">
        <f>IF(E1611="","",IF(E1611="Werken","JA","NEE"))</f>
        <v/>
      </c>
      <c r="L1611" s="61">
        <f>IF(K1611="JA",N(J1611),IF(E1611="","",0))</f>
        <v/>
      </c>
      <c r="M1611" s="62">
        <f>IF(AND(A1611="",E1611=""),"",IF(E1611="","Segment ontbreekt",IF(OR(G1611="",H1611=""),"Van/tot ontbreekt",IF(N(J1611)=0,"Duur is nul",IF(N(J1611)&gt;12,"Langer dan 12 uur - controleren",IF(AND(E1611="Werken",D1611=""),"Werken zonder klant - koppelen","OK"))))))</f>
        <v/>
      </c>
    </row>
    <row r="1612" ht="15" customHeight="1" s="42">
      <c r="A1612" s="55" t="n"/>
      <c r="B1612" s="56">
        <f>IF(A1612="","",WEEKNUM(A1612,21))</f>
        <v/>
      </c>
      <c r="C1612" s="57" t="n"/>
      <c r="D1612" s="57" t="n"/>
      <c r="E1612" s="58" t="n"/>
      <c r="F1612" s="57" t="n"/>
      <c r="G1612" s="59" t="n"/>
      <c r="H1612" s="59" t="n"/>
      <c r="I1612" s="60">
        <f>IF(OR(G1612="",H1612=""),"",MOD(H1612-G1612,1))</f>
        <v/>
      </c>
      <c r="J1612" s="61">
        <f>IF(OR(G1612="",H1612=""),"",ROUND(MOD(H1612-G1612,1)*24,2))</f>
        <v/>
      </c>
      <c r="K1612" s="62">
        <f>IF(E1612="","",IF(E1612="Werken","JA","NEE"))</f>
        <v/>
      </c>
      <c r="L1612" s="61">
        <f>IF(K1612="JA",N(J1612),IF(E1612="","",0))</f>
        <v/>
      </c>
      <c r="M1612" s="62">
        <f>IF(AND(A1612="",E1612=""),"",IF(E1612="","Segment ontbreekt",IF(OR(G1612="",H1612=""),"Van/tot ontbreekt",IF(N(J1612)=0,"Duur is nul",IF(N(J1612)&gt;12,"Langer dan 12 uur - controleren",IF(AND(E1612="Werken",D1612=""),"Werken zonder klant - koppelen","OK"))))))</f>
        <v/>
      </c>
    </row>
    <row r="1613" ht="15" customHeight="1" s="42">
      <c r="A1613" s="55" t="n"/>
      <c r="B1613" s="56">
        <f>IF(A1613="","",WEEKNUM(A1613,21))</f>
        <v/>
      </c>
      <c r="C1613" s="57" t="n"/>
      <c r="D1613" s="57" t="n"/>
      <c r="E1613" s="58" t="n"/>
      <c r="F1613" s="57" t="n"/>
      <c r="G1613" s="59" t="n"/>
      <c r="H1613" s="59" t="n"/>
      <c r="I1613" s="60">
        <f>IF(OR(G1613="",H1613=""),"",MOD(H1613-G1613,1))</f>
        <v/>
      </c>
      <c r="J1613" s="61">
        <f>IF(OR(G1613="",H1613=""),"",ROUND(MOD(H1613-G1613,1)*24,2))</f>
        <v/>
      </c>
      <c r="K1613" s="62">
        <f>IF(E1613="","",IF(E1613="Werken","JA","NEE"))</f>
        <v/>
      </c>
      <c r="L1613" s="61">
        <f>IF(K1613="JA",N(J1613),IF(E1613="","",0))</f>
        <v/>
      </c>
      <c r="M1613" s="62">
        <f>IF(AND(A1613="",E1613=""),"",IF(E1613="","Segment ontbreekt",IF(OR(G1613="",H1613=""),"Van/tot ontbreekt",IF(N(J1613)=0,"Duur is nul",IF(N(J1613)&gt;12,"Langer dan 12 uur - controleren",IF(AND(E1613="Werken",D1613=""),"Werken zonder klant - koppelen","OK"))))))</f>
        <v/>
      </c>
    </row>
    <row r="1614" ht="15" customHeight="1" s="42">
      <c r="A1614" s="55" t="n"/>
      <c r="B1614" s="56">
        <f>IF(A1614="","",WEEKNUM(A1614,21))</f>
        <v/>
      </c>
      <c r="C1614" s="57" t="n"/>
      <c r="D1614" s="57" t="n"/>
      <c r="E1614" s="58" t="n"/>
      <c r="F1614" s="57" t="n"/>
      <c r="G1614" s="59" t="n"/>
      <c r="H1614" s="59" t="n"/>
      <c r="I1614" s="60">
        <f>IF(OR(G1614="",H1614=""),"",MOD(H1614-G1614,1))</f>
        <v/>
      </c>
      <c r="J1614" s="61">
        <f>IF(OR(G1614="",H1614=""),"",ROUND(MOD(H1614-G1614,1)*24,2))</f>
        <v/>
      </c>
      <c r="K1614" s="62">
        <f>IF(E1614="","",IF(E1614="Werken","JA","NEE"))</f>
        <v/>
      </c>
      <c r="L1614" s="61">
        <f>IF(K1614="JA",N(J1614),IF(E1614="","",0))</f>
        <v/>
      </c>
      <c r="M1614" s="62">
        <f>IF(AND(A1614="",E1614=""),"",IF(E1614="","Segment ontbreekt",IF(OR(G1614="",H1614=""),"Van/tot ontbreekt",IF(N(J1614)=0,"Duur is nul",IF(N(J1614)&gt;12,"Langer dan 12 uur - controleren",IF(AND(E1614="Werken",D1614=""),"Werken zonder klant - koppelen","OK"))))))</f>
        <v/>
      </c>
    </row>
    <row r="1615" ht="15" customHeight="1" s="42">
      <c r="A1615" s="55" t="n"/>
      <c r="B1615" s="56">
        <f>IF(A1615="","",WEEKNUM(A1615,21))</f>
        <v/>
      </c>
      <c r="C1615" s="57" t="n"/>
      <c r="D1615" s="57" t="n"/>
      <c r="E1615" s="58" t="n"/>
      <c r="F1615" s="57" t="n"/>
      <c r="G1615" s="59" t="n"/>
      <c r="H1615" s="59" t="n"/>
      <c r="I1615" s="60">
        <f>IF(OR(G1615="",H1615=""),"",MOD(H1615-G1615,1))</f>
        <v/>
      </c>
      <c r="J1615" s="61">
        <f>IF(OR(G1615="",H1615=""),"",ROUND(MOD(H1615-G1615,1)*24,2))</f>
        <v/>
      </c>
      <c r="K1615" s="62">
        <f>IF(E1615="","",IF(E1615="Werken","JA","NEE"))</f>
        <v/>
      </c>
      <c r="L1615" s="61">
        <f>IF(K1615="JA",N(J1615),IF(E1615="","",0))</f>
        <v/>
      </c>
      <c r="M1615" s="62">
        <f>IF(AND(A1615="",E1615=""),"",IF(E1615="","Segment ontbreekt",IF(OR(G1615="",H1615=""),"Van/tot ontbreekt",IF(N(J1615)=0,"Duur is nul",IF(N(J1615)&gt;12,"Langer dan 12 uur - controleren",IF(AND(E1615="Werken",D1615=""),"Werken zonder klant - koppelen","OK"))))))</f>
        <v/>
      </c>
    </row>
    <row r="1616" ht="15" customHeight="1" s="42">
      <c r="A1616" s="55" t="n"/>
      <c r="B1616" s="56">
        <f>IF(A1616="","",WEEKNUM(A1616,21))</f>
        <v/>
      </c>
      <c r="C1616" s="57" t="n"/>
      <c r="D1616" s="57" t="n"/>
      <c r="E1616" s="58" t="n"/>
      <c r="F1616" s="57" t="n"/>
      <c r="G1616" s="59" t="n"/>
      <c r="H1616" s="59" t="n"/>
      <c r="I1616" s="60">
        <f>IF(OR(G1616="",H1616=""),"",MOD(H1616-G1616,1))</f>
        <v/>
      </c>
      <c r="J1616" s="61">
        <f>IF(OR(G1616="",H1616=""),"",ROUND(MOD(H1616-G1616,1)*24,2))</f>
        <v/>
      </c>
      <c r="K1616" s="62">
        <f>IF(E1616="","",IF(E1616="Werken","JA","NEE"))</f>
        <v/>
      </c>
      <c r="L1616" s="61">
        <f>IF(K1616="JA",N(J1616),IF(E1616="","",0))</f>
        <v/>
      </c>
      <c r="M1616" s="62">
        <f>IF(AND(A1616="",E1616=""),"",IF(E1616="","Segment ontbreekt",IF(OR(G1616="",H1616=""),"Van/tot ontbreekt",IF(N(J1616)=0,"Duur is nul",IF(N(J1616)&gt;12,"Langer dan 12 uur - controleren",IF(AND(E1616="Werken",D1616=""),"Werken zonder klant - koppelen","OK"))))))</f>
        <v/>
      </c>
    </row>
    <row r="1617" ht="15" customHeight="1" s="42">
      <c r="A1617" s="55" t="n"/>
      <c r="B1617" s="56">
        <f>IF(A1617="","",WEEKNUM(A1617,21))</f>
        <v/>
      </c>
      <c r="C1617" s="57" t="n"/>
      <c r="D1617" s="57" t="n"/>
      <c r="E1617" s="58" t="n"/>
      <c r="F1617" s="57" t="n"/>
      <c r="G1617" s="59" t="n"/>
      <c r="H1617" s="59" t="n"/>
      <c r="I1617" s="60">
        <f>IF(OR(G1617="",H1617=""),"",MOD(H1617-G1617,1))</f>
        <v/>
      </c>
      <c r="J1617" s="61">
        <f>IF(OR(G1617="",H1617=""),"",ROUND(MOD(H1617-G1617,1)*24,2))</f>
        <v/>
      </c>
      <c r="K1617" s="62">
        <f>IF(E1617="","",IF(E1617="Werken","JA","NEE"))</f>
        <v/>
      </c>
      <c r="L1617" s="61">
        <f>IF(K1617="JA",N(J1617),IF(E1617="","",0))</f>
        <v/>
      </c>
      <c r="M1617" s="62">
        <f>IF(AND(A1617="",E1617=""),"",IF(E1617="","Segment ontbreekt",IF(OR(G1617="",H1617=""),"Van/tot ontbreekt",IF(N(J1617)=0,"Duur is nul",IF(N(J1617)&gt;12,"Langer dan 12 uur - controleren",IF(AND(E1617="Werken",D1617=""),"Werken zonder klant - koppelen","OK"))))))</f>
        <v/>
      </c>
    </row>
    <row r="1618" ht="15" customHeight="1" s="42">
      <c r="A1618" s="55" t="n"/>
      <c r="B1618" s="56">
        <f>IF(A1618="","",WEEKNUM(A1618,21))</f>
        <v/>
      </c>
      <c r="C1618" s="57" t="n"/>
      <c r="D1618" s="57" t="n"/>
      <c r="E1618" s="58" t="n"/>
      <c r="F1618" s="57" t="n"/>
      <c r="G1618" s="59" t="n"/>
      <c r="H1618" s="59" t="n"/>
      <c r="I1618" s="60">
        <f>IF(OR(G1618="",H1618=""),"",MOD(H1618-G1618,1))</f>
        <v/>
      </c>
      <c r="J1618" s="61">
        <f>IF(OR(G1618="",H1618=""),"",ROUND(MOD(H1618-G1618,1)*24,2))</f>
        <v/>
      </c>
      <c r="K1618" s="62">
        <f>IF(E1618="","",IF(E1618="Werken","JA","NEE"))</f>
        <v/>
      </c>
      <c r="L1618" s="61">
        <f>IF(K1618="JA",N(J1618),IF(E1618="","",0))</f>
        <v/>
      </c>
      <c r="M1618" s="62">
        <f>IF(AND(A1618="",E1618=""),"",IF(E1618="","Segment ontbreekt",IF(OR(G1618="",H1618=""),"Van/tot ontbreekt",IF(N(J1618)=0,"Duur is nul",IF(N(J1618)&gt;12,"Langer dan 12 uur - controleren",IF(AND(E1618="Werken",D1618=""),"Werken zonder klant - koppelen","OK"))))))</f>
        <v/>
      </c>
    </row>
    <row r="1619" ht="15" customHeight="1" s="42">
      <c r="A1619" s="55" t="n"/>
      <c r="B1619" s="56">
        <f>IF(A1619="","",WEEKNUM(A1619,21))</f>
        <v/>
      </c>
      <c r="C1619" s="57" t="n"/>
      <c r="D1619" s="57" t="n"/>
      <c r="E1619" s="58" t="n"/>
      <c r="F1619" s="57" t="n"/>
      <c r="G1619" s="59" t="n"/>
      <c r="H1619" s="59" t="n"/>
      <c r="I1619" s="60">
        <f>IF(OR(G1619="",H1619=""),"",MOD(H1619-G1619,1))</f>
        <v/>
      </c>
      <c r="J1619" s="61">
        <f>IF(OR(G1619="",H1619=""),"",ROUND(MOD(H1619-G1619,1)*24,2))</f>
        <v/>
      </c>
      <c r="K1619" s="62">
        <f>IF(E1619="","",IF(E1619="Werken","JA","NEE"))</f>
        <v/>
      </c>
      <c r="L1619" s="61">
        <f>IF(K1619="JA",N(J1619),IF(E1619="","",0))</f>
        <v/>
      </c>
      <c r="M1619" s="62">
        <f>IF(AND(A1619="",E1619=""),"",IF(E1619="","Segment ontbreekt",IF(OR(G1619="",H1619=""),"Van/tot ontbreekt",IF(N(J1619)=0,"Duur is nul",IF(N(J1619)&gt;12,"Langer dan 12 uur - controleren",IF(AND(E1619="Werken",D1619=""),"Werken zonder klant - koppelen","OK"))))))</f>
        <v/>
      </c>
    </row>
    <row r="1620" ht="15" customHeight="1" s="42">
      <c r="A1620" s="55" t="n"/>
      <c r="B1620" s="56">
        <f>IF(A1620="","",WEEKNUM(A1620,21))</f>
        <v/>
      </c>
      <c r="C1620" s="57" t="n"/>
      <c r="D1620" s="57" t="n"/>
      <c r="E1620" s="58" t="n"/>
      <c r="F1620" s="57" t="n"/>
      <c r="G1620" s="59" t="n"/>
      <c r="H1620" s="59" t="n"/>
      <c r="I1620" s="60">
        <f>IF(OR(G1620="",H1620=""),"",MOD(H1620-G1620,1))</f>
        <v/>
      </c>
      <c r="J1620" s="61">
        <f>IF(OR(G1620="",H1620=""),"",ROUND(MOD(H1620-G1620,1)*24,2))</f>
        <v/>
      </c>
      <c r="K1620" s="62">
        <f>IF(E1620="","",IF(E1620="Werken","JA","NEE"))</f>
        <v/>
      </c>
      <c r="L1620" s="61">
        <f>IF(K1620="JA",N(J1620),IF(E1620="","",0))</f>
        <v/>
      </c>
      <c r="M1620" s="62">
        <f>IF(AND(A1620="",E1620=""),"",IF(E1620="","Segment ontbreekt",IF(OR(G1620="",H1620=""),"Van/tot ontbreekt",IF(N(J1620)=0,"Duur is nul",IF(N(J1620)&gt;12,"Langer dan 12 uur - controleren",IF(AND(E1620="Werken",D1620=""),"Werken zonder klant - koppelen","OK"))))))</f>
        <v/>
      </c>
    </row>
    <row r="1621" ht="15" customHeight="1" s="42">
      <c r="A1621" s="55" t="n"/>
      <c r="B1621" s="56">
        <f>IF(A1621="","",WEEKNUM(A1621,21))</f>
        <v/>
      </c>
      <c r="C1621" s="57" t="n"/>
      <c r="D1621" s="57" t="n"/>
      <c r="E1621" s="58" t="n"/>
      <c r="F1621" s="57" t="n"/>
      <c r="G1621" s="59" t="n"/>
      <c r="H1621" s="59" t="n"/>
      <c r="I1621" s="60">
        <f>IF(OR(G1621="",H1621=""),"",MOD(H1621-G1621,1))</f>
        <v/>
      </c>
      <c r="J1621" s="61">
        <f>IF(OR(G1621="",H1621=""),"",ROUND(MOD(H1621-G1621,1)*24,2))</f>
        <v/>
      </c>
      <c r="K1621" s="62">
        <f>IF(E1621="","",IF(E1621="Werken","JA","NEE"))</f>
        <v/>
      </c>
      <c r="L1621" s="61">
        <f>IF(K1621="JA",N(J1621),IF(E1621="","",0))</f>
        <v/>
      </c>
      <c r="M1621" s="62">
        <f>IF(AND(A1621="",E1621=""),"",IF(E1621="","Segment ontbreekt",IF(OR(G1621="",H1621=""),"Van/tot ontbreekt",IF(N(J1621)=0,"Duur is nul",IF(N(J1621)&gt;12,"Langer dan 12 uur - controleren",IF(AND(E1621="Werken",D1621=""),"Werken zonder klant - koppelen","OK"))))))</f>
        <v/>
      </c>
    </row>
    <row r="1622" ht="15" customHeight="1" s="42">
      <c r="A1622" s="55" t="n"/>
      <c r="B1622" s="56">
        <f>IF(A1622="","",WEEKNUM(A1622,21))</f>
        <v/>
      </c>
      <c r="C1622" s="57" t="n"/>
      <c r="D1622" s="57" t="n"/>
      <c r="E1622" s="58" t="n"/>
      <c r="F1622" s="57" t="n"/>
      <c r="G1622" s="59" t="n"/>
      <c r="H1622" s="59" t="n"/>
      <c r="I1622" s="60">
        <f>IF(OR(G1622="",H1622=""),"",MOD(H1622-G1622,1))</f>
        <v/>
      </c>
      <c r="J1622" s="61">
        <f>IF(OR(G1622="",H1622=""),"",ROUND(MOD(H1622-G1622,1)*24,2))</f>
        <v/>
      </c>
      <c r="K1622" s="62">
        <f>IF(E1622="","",IF(E1622="Werken","JA","NEE"))</f>
        <v/>
      </c>
      <c r="L1622" s="61">
        <f>IF(K1622="JA",N(J1622),IF(E1622="","",0))</f>
        <v/>
      </c>
      <c r="M1622" s="62">
        <f>IF(AND(A1622="",E1622=""),"",IF(E1622="","Segment ontbreekt",IF(OR(G1622="",H1622=""),"Van/tot ontbreekt",IF(N(J1622)=0,"Duur is nul",IF(N(J1622)&gt;12,"Langer dan 12 uur - controleren",IF(AND(E1622="Werken",D1622=""),"Werken zonder klant - koppelen","OK"))))))</f>
        <v/>
      </c>
    </row>
    <row r="1623" ht="15" customHeight="1" s="42">
      <c r="A1623" s="55" t="n"/>
      <c r="B1623" s="56">
        <f>IF(A1623="","",WEEKNUM(A1623,21))</f>
        <v/>
      </c>
      <c r="C1623" s="57" t="n"/>
      <c r="D1623" s="57" t="n"/>
      <c r="E1623" s="58" t="n"/>
      <c r="F1623" s="57" t="n"/>
      <c r="G1623" s="59" t="n"/>
      <c r="H1623" s="59" t="n"/>
      <c r="I1623" s="60">
        <f>IF(OR(G1623="",H1623=""),"",MOD(H1623-G1623,1))</f>
        <v/>
      </c>
      <c r="J1623" s="61">
        <f>IF(OR(G1623="",H1623=""),"",ROUND(MOD(H1623-G1623,1)*24,2))</f>
        <v/>
      </c>
      <c r="K1623" s="62">
        <f>IF(E1623="","",IF(E1623="Werken","JA","NEE"))</f>
        <v/>
      </c>
      <c r="L1623" s="61">
        <f>IF(K1623="JA",N(J1623),IF(E1623="","",0))</f>
        <v/>
      </c>
      <c r="M1623" s="62">
        <f>IF(AND(A1623="",E1623=""),"",IF(E1623="","Segment ontbreekt",IF(OR(G1623="",H1623=""),"Van/tot ontbreekt",IF(N(J1623)=0,"Duur is nul",IF(N(J1623)&gt;12,"Langer dan 12 uur - controleren",IF(AND(E1623="Werken",D1623=""),"Werken zonder klant - koppelen","OK"))))))</f>
        <v/>
      </c>
    </row>
    <row r="1624" ht="15" customHeight="1" s="42">
      <c r="A1624" s="55" t="n"/>
      <c r="B1624" s="56">
        <f>IF(A1624="","",WEEKNUM(A1624,21))</f>
        <v/>
      </c>
      <c r="C1624" s="57" t="n"/>
      <c r="D1624" s="57" t="n"/>
      <c r="E1624" s="58" t="n"/>
      <c r="F1624" s="57" t="n"/>
      <c r="G1624" s="59" t="n"/>
      <c r="H1624" s="59" t="n"/>
      <c r="I1624" s="60">
        <f>IF(OR(G1624="",H1624=""),"",MOD(H1624-G1624,1))</f>
        <v/>
      </c>
      <c r="J1624" s="61">
        <f>IF(OR(G1624="",H1624=""),"",ROUND(MOD(H1624-G1624,1)*24,2))</f>
        <v/>
      </c>
      <c r="K1624" s="62">
        <f>IF(E1624="","",IF(E1624="Werken","JA","NEE"))</f>
        <v/>
      </c>
      <c r="L1624" s="61">
        <f>IF(K1624="JA",N(J1624),IF(E1624="","",0))</f>
        <v/>
      </c>
      <c r="M1624" s="62">
        <f>IF(AND(A1624="",E1624=""),"",IF(E1624="","Segment ontbreekt",IF(OR(G1624="",H1624=""),"Van/tot ontbreekt",IF(N(J1624)=0,"Duur is nul",IF(N(J1624)&gt;12,"Langer dan 12 uur - controleren",IF(AND(E1624="Werken",D1624=""),"Werken zonder klant - koppelen","OK"))))))</f>
        <v/>
      </c>
    </row>
    <row r="1625" ht="15" customHeight="1" s="42">
      <c r="A1625" s="55" t="n"/>
      <c r="B1625" s="56">
        <f>IF(A1625="","",WEEKNUM(A1625,21))</f>
        <v/>
      </c>
      <c r="C1625" s="57" t="n"/>
      <c r="D1625" s="57" t="n"/>
      <c r="E1625" s="58" t="n"/>
      <c r="F1625" s="57" t="n"/>
      <c r="G1625" s="59" t="n"/>
      <c r="H1625" s="59" t="n"/>
      <c r="I1625" s="60">
        <f>IF(OR(G1625="",H1625=""),"",MOD(H1625-G1625,1))</f>
        <v/>
      </c>
      <c r="J1625" s="61">
        <f>IF(OR(G1625="",H1625=""),"",ROUND(MOD(H1625-G1625,1)*24,2))</f>
        <v/>
      </c>
      <c r="K1625" s="62">
        <f>IF(E1625="","",IF(E1625="Werken","JA","NEE"))</f>
        <v/>
      </c>
      <c r="L1625" s="61">
        <f>IF(K1625="JA",N(J1625),IF(E1625="","",0))</f>
        <v/>
      </c>
      <c r="M1625" s="62">
        <f>IF(AND(A1625="",E1625=""),"",IF(E1625="","Segment ontbreekt",IF(OR(G1625="",H1625=""),"Van/tot ontbreekt",IF(N(J1625)=0,"Duur is nul",IF(N(J1625)&gt;12,"Langer dan 12 uur - controleren",IF(AND(E1625="Werken",D1625=""),"Werken zonder klant - koppelen","OK"))))))</f>
        <v/>
      </c>
    </row>
    <row r="1626" ht="15" customHeight="1" s="42">
      <c r="A1626" s="55" t="n"/>
      <c r="B1626" s="56">
        <f>IF(A1626="","",WEEKNUM(A1626,21))</f>
        <v/>
      </c>
      <c r="C1626" s="57" t="n"/>
      <c r="D1626" s="57" t="n"/>
      <c r="E1626" s="58" t="n"/>
      <c r="F1626" s="57" t="n"/>
      <c r="G1626" s="59" t="n"/>
      <c r="H1626" s="59" t="n"/>
      <c r="I1626" s="60">
        <f>IF(OR(G1626="",H1626=""),"",MOD(H1626-G1626,1))</f>
        <v/>
      </c>
      <c r="J1626" s="61">
        <f>IF(OR(G1626="",H1626=""),"",ROUND(MOD(H1626-G1626,1)*24,2))</f>
        <v/>
      </c>
      <c r="K1626" s="62">
        <f>IF(E1626="","",IF(E1626="Werken","JA","NEE"))</f>
        <v/>
      </c>
      <c r="L1626" s="61">
        <f>IF(K1626="JA",N(J1626),IF(E1626="","",0))</f>
        <v/>
      </c>
      <c r="M1626" s="62">
        <f>IF(AND(A1626="",E1626=""),"",IF(E1626="","Segment ontbreekt",IF(OR(G1626="",H1626=""),"Van/tot ontbreekt",IF(N(J1626)=0,"Duur is nul",IF(N(J1626)&gt;12,"Langer dan 12 uur - controleren",IF(AND(E1626="Werken",D1626=""),"Werken zonder klant - koppelen","OK"))))))</f>
        <v/>
      </c>
    </row>
    <row r="1627" ht="15" customHeight="1" s="42">
      <c r="A1627" s="55" t="n"/>
      <c r="B1627" s="56">
        <f>IF(A1627="","",WEEKNUM(A1627,21))</f>
        <v/>
      </c>
      <c r="C1627" s="57" t="n"/>
      <c r="D1627" s="57" t="n"/>
      <c r="E1627" s="58" t="n"/>
      <c r="F1627" s="57" t="n"/>
      <c r="G1627" s="59" t="n"/>
      <c r="H1627" s="59" t="n"/>
      <c r="I1627" s="60">
        <f>IF(OR(G1627="",H1627=""),"",MOD(H1627-G1627,1))</f>
        <v/>
      </c>
      <c r="J1627" s="61">
        <f>IF(OR(G1627="",H1627=""),"",ROUND(MOD(H1627-G1627,1)*24,2))</f>
        <v/>
      </c>
      <c r="K1627" s="62">
        <f>IF(E1627="","",IF(E1627="Werken","JA","NEE"))</f>
        <v/>
      </c>
      <c r="L1627" s="61">
        <f>IF(K1627="JA",N(J1627),IF(E1627="","",0))</f>
        <v/>
      </c>
      <c r="M1627" s="62">
        <f>IF(AND(A1627="",E1627=""),"",IF(E1627="","Segment ontbreekt",IF(OR(G1627="",H1627=""),"Van/tot ontbreekt",IF(N(J1627)=0,"Duur is nul",IF(N(J1627)&gt;12,"Langer dan 12 uur - controleren",IF(AND(E1627="Werken",D1627=""),"Werken zonder klant - koppelen","OK"))))))</f>
        <v/>
      </c>
    </row>
    <row r="1628" ht="15" customHeight="1" s="42">
      <c r="A1628" s="55" t="n"/>
      <c r="B1628" s="56">
        <f>IF(A1628="","",WEEKNUM(A1628,21))</f>
        <v/>
      </c>
      <c r="C1628" s="57" t="n"/>
      <c r="D1628" s="57" t="n"/>
      <c r="E1628" s="58" t="n"/>
      <c r="F1628" s="57" t="n"/>
      <c r="G1628" s="59" t="n"/>
      <c r="H1628" s="59" t="n"/>
      <c r="I1628" s="60">
        <f>IF(OR(G1628="",H1628=""),"",MOD(H1628-G1628,1))</f>
        <v/>
      </c>
      <c r="J1628" s="61">
        <f>IF(OR(G1628="",H1628=""),"",ROUND(MOD(H1628-G1628,1)*24,2))</f>
        <v/>
      </c>
      <c r="K1628" s="62">
        <f>IF(E1628="","",IF(E1628="Werken","JA","NEE"))</f>
        <v/>
      </c>
      <c r="L1628" s="61">
        <f>IF(K1628="JA",N(J1628),IF(E1628="","",0))</f>
        <v/>
      </c>
      <c r="M1628" s="62">
        <f>IF(AND(A1628="",E1628=""),"",IF(E1628="","Segment ontbreekt",IF(OR(G1628="",H1628=""),"Van/tot ontbreekt",IF(N(J1628)=0,"Duur is nul",IF(N(J1628)&gt;12,"Langer dan 12 uur - controleren",IF(AND(E1628="Werken",D1628=""),"Werken zonder klant - koppelen","OK"))))))</f>
        <v/>
      </c>
    </row>
    <row r="1629" ht="15" customHeight="1" s="42">
      <c r="A1629" s="55" t="n"/>
      <c r="B1629" s="56">
        <f>IF(A1629="","",WEEKNUM(A1629,21))</f>
        <v/>
      </c>
      <c r="C1629" s="57" t="n"/>
      <c r="D1629" s="57" t="n"/>
      <c r="E1629" s="58" t="n"/>
      <c r="F1629" s="57" t="n"/>
      <c r="G1629" s="59" t="n"/>
      <c r="H1629" s="59" t="n"/>
      <c r="I1629" s="60">
        <f>IF(OR(G1629="",H1629=""),"",MOD(H1629-G1629,1))</f>
        <v/>
      </c>
      <c r="J1629" s="61">
        <f>IF(OR(G1629="",H1629=""),"",ROUND(MOD(H1629-G1629,1)*24,2))</f>
        <v/>
      </c>
      <c r="K1629" s="62">
        <f>IF(E1629="","",IF(E1629="Werken","JA","NEE"))</f>
        <v/>
      </c>
      <c r="L1629" s="61">
        <f>IF(K1629="JA",N(J1629),IF(E1629="","",0))</f>
        <v/>
      </c>
      <c r="M1629" s="62">
        <f>IF(AND(A1629="",E1629=""),"",IF(E1629="","Segment ontbreekt",IF(OR(G1629="",H1629=""),"Van/tot ontbreekt",IF(N(J1629)=0,"Duur is nul",IF(N(J1629)&gt;12,"Langer dan 12 uur - controleren",IF(AND(E1629="Werken",D1629=""),"Werken zonder klant - koppelen","OK"))))))</f>
        <v/>
      </c>
    </row>
    <row r="1630" ht="15" customHeight="1" s="42">
      <c r="A1630" s="55" t="n"/>
      <c r="B1630" s="56">
        <f>IF(A1630="","",WEEKNUM(A1630,21))</f>
        <v/>
      </c>
      <c r="C1630" s="57" t="n"/>
      <c r="D1630" s="57" t="n"/>
      <c r="E1630" s="58" t="n"/>
      <c r="F1630" s="57" t="n"/>
      <c r="G1630" s="59" t="n"/>
      <c r="H1630" s="59" t="n"/>
      <c r="I1630" s="60">
        <f>IF(OR(G1630="",H1630=""),"",MOD(H1630-G1630,1))</f>
        <v/>
      </c>
      <c r="J1630" s="61">
        <f>IF(OR(G1630="",H1630=""),"",ROUND(MOD(H1630-G1630,1)*24,2))</f>
        <v/>
      </c>
      <c r="K1630" s="62">
        <f>IF(E1630="","",IF(E1630="Werken","JA","NEE"))</f>
        <v/>
      </c>
      <c r="L1630" s="61">
        <f>IF(K1630="JA",N(J1630),IF(E1630="","",0))</f>
        <v/>
      </c>
      <c r="M1630" s="62">
        <f>IF(AND(A1630="",E1630=""),"",IF(E1630="","Segment ontbreekt",IF(OR(G1630="",H1630=""),"Van/tot ontbreekt",IF(N(J1630)=0,"Duur is nul",IF(N(J1630)&gt;12,"Langer dan 12 uur - controleren",IF(AND(E1630="Werken",D1630=""),"Werken zonder klant - koppelen","OK"))))))</f>
        <v/>
      </c>
    </row>
    <row r="1631" ht="15" customHeight="1" s="42">
      <c r="A1631" s="55" t="n"/>
      <c r="B1631" s="56">
        <f>IF(A1631="","",WEEKNUM(A1631,21))</f>
        <v/>
      </c>
      <c r="C1631" s="57" t="n"/>
      <c r="D1631" s="57" t="n"/>
      <c r="E1631" s="58" t="n"/>
      <c r="F1631" s="57" t="n"/>
      <c r="G1631" s="59" t="n"/>
      <c r="H1631" s="59" t="n"/>
      <c r="I1631" s="60">
        <f>IF(OR(G1631="",H1631=""),"",MOD(H1631-G1631,1))</f>
        <v/>
      </c>
      <c r="J1631" s="61">
        <f>IF(OR(G1631="",H1631=""),"",ROUND(MOD(H1631-G1631,1)*24,2))</f>
        <v/>
      </c>
      <c r="K1631" s="62">
        <f>IF(E1631="","",IF(E1631="Werken","JA","NEE"))</f>
        <v/>
      </c>
      <c r="L1631" s="61">
        <f>IF(K1631="JA",N(J1631),IF(E1631="","",0))</f>
        <v/>
      </c>
      <c r="M1631" s="62">
        <f>IF(AND(A1631="",E1631=""),"",IF(E1631="","Segment ontbreekt",IF(OR(G1631="",H1631=""),"Van/tot ontbreekt",IF(N(J1631)=0,"Duur is nul",IF(N(J1631)&gt;12,"Langer dan 12 uur - controleren",IF(AND(E1631="Werken",D1631=""),"Werken zonder klant - koppelen","OK"))))))</f>
        <v/>
      </c>
    </row>
    <row r="1632" ht="15" customHeight="1" s="42">
      <c r="A1632" s="55" t="n"/>
      <c r="B1632" s="56">
        <f>IF(A1632="","",WEEKNUM(A1632,21))</f>
        <v/>
      </c>
      <c r="C1632" s="57" t="n"/>
      <c r="D1632" s="57" t="n"/>
      <c r="E1632" s="58" t="n"/>
      <c r="F1632" s="57" t="n"/>
      <c r="G1632" s="59" t="n"/>
      <c r="H1632" s="59" t="n"/>
      <c r="I1632" s="60">
        <f>IF(OR(G1632="",H1632=""),"",MOD(H1632-G1632,1))</f>
        <v/>
      </c>
      <c r="J1632" s="61">
        <f>IF(OR(G1632="",H1632=""),"",ROUND(MOD(H1632-G1632,1)*24,2))</f>
        <v/>
      </c>
      <c r="K1632" s="62">
        <f>IF(E1632="","",IF(E1632="Werken","JA","NEE"))</f>
        <v/>
      </c>
      <c r="L1632" s="61">
        <f>IF(K1632="JA",N(J1632),IF(E1632="","",0))</f>
        <v/>
      </c>
      <c r="M1632" s="62">
        <f>IF(AND(A1632="",E1632=""),"",IF(E1632="","Segment ontbreekt",IF(OR(G1632="",H1632=""),"Van/tot ontbreekt",IF(N(J1632)=0,"Duur is nul",IF(N(J1632)&gt;12,"Langer dan 12 uur - controleren",IF(AND(E1632="Werken",D1632=""),"Werken zonder klant - koppelen","OK"))))))</f>
        <v/>
      </c>
    </row>
    <row r="1633" ht="15" customHeight="1" s="42">
      <c r="A1633" s="55" t="n"/>
      <c r="B1633" s="56">
        <f>IF(A1633="","",WEEKNUM(A1633,21))</f>
        <v/>
      </c>
      <c r="C1633" s="57" t="n"/>
      <c r="D1633" s="57" t="n"/>
      <c r="E1633" s="58" t="n"/>
      <c r="F1633" s="57" t="n"/>
      <c r="G1633" s="59" t="n"/>
      <c r="H1633" s="59" t="n"/>
      <c r="I1633" s="60">
        <f>IF(OR(G1633="",H1633=""),"",MOD(H1633-G1633,1))</f>
        <v/>
      </c>
      <c r="J1633" s="61">
        <f>IF(OR(G1633="",H1633=""),"",ROUND(MOD(H1633-G1633,1)*24,2))</f>
        <v/>
      </c>
      <c r="K1633" s="62">
        <f>IF(E1633="","",IF(E1633="Werken","JA","NEE"))</f>
        <v/>
      </c>
      <c r="L1633" s="61">
        <f>IF(K1633="JA",N(J1633),IF(E1633="","",0))</f>
        <v/>
      </c>
      <c r="M1633" s="62">
        <f>IF(AND(A1633="",E1633=""),"",IF(E1633="","Segment ontbreekt",IF(OR(G1633="",H1633=""),"Van/tot ontbreekt",IF(N(J1633)=0,"Duur is nul",IF(N(J1633)&gt;12,"Langer dan 12 uur - controleren",IF(AND(E1633="Werken",D1633=""),"Werken zonder klant - koppelen","OK"))))))</f>
        <v/>
      </c>
    </row>
    <row r="1634" ht="15" customHeight="1" s="42">
      <c r="A1634" s="55" t="n"/>
      <c r="B1634" s="56">
        <f>IF(A1634="","",WEEKNUM(A1634,21))</f>
        <v/>
      </c>
      <c r="C1634" s="57" t="n"/>
      <c r="D1634" s="57" t="n"/>
      <c r="E1634" s="58" t="n"/>
      <c r="F1634" s="57" t="n"/>
      <c r="G1634" s="59" t="n"/>
      <c r="H1634" s="59" t="n"/>
      <c r="I1634" s="60">
        <f>IF(OR(G1634="",H1634=""),"",MOD(H1634-G1634,1))</f>
        <v/>
      </c>
      <c r="J1634" s="61">
        <f>IF(OR(G1634="",H1634=""),"",ROUND(MOD(H1634-G1634,1)*24,2))</f>
        <v/>
      </c>
      <c r="K1634" s="62">
        <f>IF(E1634="","",IF(E1634="Werken","JA","NEE"))</f>
        <v/>
      </c>
      <c r="L1634" s="61">
        <f>IF(K1634="JA",N(J1634),IF(E1634="","",0))</f>
        <v/>
      </c>
      <c r="M1634" s="62">
        <f>IF(AND(A1634="",E1634=""),"",IF(E1634="","Segment ontbreekt",IF(OR(G1634="",H1634=""),"Van/tot ontbreekt",IF(N(J1634)=0,"Duur is nul",IF(N(J1634)&gt;12,"Langer dan 12 uur - controleren",IF(AND(E1634="Werken",D1634=""),"Werken zonder klant - koppelen","OK"))))))</f>
        <v/>
      </c>
    </row>
    <row r="1635" ht="15" customHeight="1" s="42">
      <c r="A1635" s="55" t="n"/>
      <c r="B1635" s="56">
        <f>IF(A1635="","",WEEKNUM(A1635,21))</f>
        <v/>
      </c>
      <c r="C1635" s="57" t="n"/>
      <c r="D1635" s="57" t="n"/>
      <c r="E1635" s="58" t="n"/>
      <c r="F1635" s="57" t="n"/>
      <c r="G1635" s="59" t="n"/>
      <c r="H1635" s="59" t="n"/>
      <c r="I1635" s="60">
        <f>IF(OR(G1635="",H1635=""),"",MOD(H1635-G1635,1))</f>
        <v/>
      </c>
      <c r="J1635" s="61">
        <f>IF(OR(G1635="",H1635=""),"",ROUND(MOD(H1635-G1635,1)*24,2))</f>
        <v/>
      </c>
      <c r="K1635" s="62">
        <f>IF(E1635="","",IF(E1635="Werken","JA","NEE"))</f>
        <v/>
      </c>
      <c r="L1635" s="61">
        <f>IF(K1635="JA",N(J1635),IF(E1635="","",0))</f>
        <v/>
      </c>
      <c r="M1635" s="62">
        <f>IF(AND(A1635="",E1635=""),"",IF(E1635="","Segment ontbreekt",IF(OR(G1635="",H1635=""),"Van/tot ontbreekt",IF(N(J1635)=0,"Duur is nul",IF(N(J1635)&gt;12,"Langer dan 12 uur - controleren",IF(AND(E1635="Werken",D1635=""),"Werken zonder klant - koppelen","OK"))))))</f>
        <v/>
      </c>
    </row>
    <row r="1636" ht="15" customHeight="1" s="42">
      <c r="A1636" s="55" t="n"/>
      <c r="B1636" s="56">
        <f>IF(A1636="","",WEEKNUM(A1636,21))</f>
        <v/>
      </c>
      <c r="C1636" s="57" t="n"/>
      <c r="D1636" s="57" t="n"/>
      <c r="E1636" s="58" t="n"/>
      <c r="F1636" s="57" t="n"/>
      <c r="G1636" s="59" t="n"/>
      <c r="H1636" s="59" t="n"/>
      <c r="I1636" s="60">
        <f>IF(OR(G1636="",H1636=""),"",MOD(H1636-G1636,1))</f>
        <v/>
      </c>
      <c r="J1636" s="61">
        <f>IF(OR(G1636="",H1636=""),"",ROUND(MOD(H1636-G1636,1)*24,2))</f>
        <v/>
      </c>
      <c r="K1636" s="62">
        <f>IF(E1636="","",IF(E1636="Werken","JA","NEE"))</f>
        <v/>
      </c>
      <c r="L1636" s="61">
        <f>IF(K1636="JA",N(J1636),IF(E1636="","",0))</f>
        <v/>
      </c>
      <c r="M1636" s="62">
        <f>IF(AND(A1636="",E1636=""),"",IF(E1636="","Segment ontbreekt",IF(OR(G1636="",H1636=""),"Van/tot ontbreekt",IF(N(J1636)=0,"Duur is nul",IF(N(J1636)&gt;12,"Langer dan 12 uur - controleren",IF(AND(E1636="Werken",D1636=""),"Werken zonder klant - koppelen","OK"))))))</f>
        <v/>
      </c>
    </row>
    <row r="1637" ht="15" customHeight="1" s="42">
      <c r="A1637" s="55" t="n"/>
      <c r="B1637" s="56">
        <f>IF(A1637="","",WEEKNUM(A1637,21))</f>
        <v/>
      </c>
      <c r="C1637" s="57" t="n"/>
      <c r="D1637" s="57" t="n"/>
      <c r="E1637" s="58" t="n"/>
      <c r="F1637" s="57" t="n"/>
      <c r="G1637" s="59" t="n"/>
      <c r="H1637" s="59" t="n"/>
      <c r="I1637" s="60">
        <f>IF(OR(G1637="",H1637=""),"",MOD(H1637-G1637,1))</f>
        <v/>
      </c>
      <c r="J1637" s="61">
        <f>IF(OR(G1637="",H1637=""),"",ROUND(MOD(H1637-G1637,1)*24,2))</f>
        <v/>
      </c>
      <c r="K1637" s="62">
        <f>IF(E1637="","",IF(E1637="Werken","JA","NEE"))</f>
        <v/>
      </c>
      <c r="L1637" s="61">
        <f>IF(K1637="JA",N(J1637),IF(E1637="","",0))</f>
        <v/>
      </c>
      <c r="M1637" s="62">
        <f>IF(AND(A1637="",E1637=""),"",IF(E1637="","Segment ontbreekt",IF(OR(G1637="",H1637=""),"Van/tot ontbreekt",IF(N(J1637)=0,"Duur is nul",IF(N(J1637)&gt;12,"Langer dan 12 uur - controleren",IF(AND(E1637="Werken",D1637=""),"Werken zonder klant - koppelen","OK"))))))</f>
        <v/>
      </c>
    </row>
    <row r="1638" ht="15" customHeight="1" s="42">
      <c r="A1638" s="55" t="n"/>
      <c r="B1638" s="56">
        <f>IF(A1638="","",WEEKNUM(A1638,21))</f>
        <v/>
      </c>
      <c r="C1638" s="57" t="n"/>
      <c r="D1638" s="57" t="n"/>
      <c r="E1638" s="58" t="n"/>
      <c r="F1638" s="57" t="n"/>
      <c r="G1638" s="59" t="n"/>
      <c r="H1638" s="59" t="n"/>
      <c r="I1638" s="60">
        <f>IF(OR(G1638="",H1638=""),"",MOD(H1638-G1638,1))</f>
        <v/>
      </c>
      <c r="J1638" s="61">
        <f>IF(OR(G1638="",H1638=""),"",ROUND(MOD(H1638-G1638,1)*24,2))</f>
        <v/>
      </c>
      <c r="K1638" s="62">
        <f>IF(E1638="","",IF(E1638="Werken","JA","NEE"))</f>
        <v/>
      </c>
      <c r="L1638" s="61">
        <f>IF(K1638="JA",N(J1638),IF(E1638="","",0))</f>
        <v/>
      </c>
      <c r="M1638" s="62">
        <f>IF(AND(A1638="",E1638=""),"",IF(E1638="","Segment ontbreekt",IF(OR(G1638="",H1638=""),"Van/tot ontbreekt",IF(N(J1638)=0,"Duur is nul",IF(N(J1638)&gt;12,"Langer dan 12 uur - controleren",IF(AND(E1638="Werken",D1638=""),"Werken zonder klant - koppelen","OK"))))))</f>
        <v/>
      </c>
    </row>
    <row r="1639" ht="15" customHeight="1" s="42">
      <c r="A1639" s="55" t="n"/>
      <c r="B1639" s="56">
        <f>IF(A1639="","",WEEKNUM(A1639,21))</f>
        <v/>
      </c>
      <c r="C1639" s="57" t="n"/>
      <c r="D1639" s="57" t="n"/>
      <c r="E1639" s="58" t="n"/>
      <c r="F1639" s="57" t="n"/>
      <c r="G1639" s="59" t="n"/>
      <c r="H1639" s="59" t="n"/>
      <c r="I1639" s="60">
        <f>IF(OR(G1639="",H1639=""),"",MOD(H1639-G1639,1))</f>
        <v/>
      </c>
      <c r="J1639" s="61">
        <f>IF(OR(G1639="",H1639=""),"",ROUND(MOD(H1639-G1639,1)*24,2))</f>
        <v/>
      </c>
      <c r="K1639" s="62">
        <f>IF(E1639="","",IF(E1639="Werken","JA","NEE"))</f>
        <v/>
      </c>
      <c r="L1639" s="61">
        <f>IF(K1639="JA",N(J1639),IF(E1639="","",0))</f>
        <v/>
      </c>
      <c r="M1639" s="62">
        <f>IF(AND(A1639="",E1639=""),"",IF(E1639="","Segment ontbreekt",IF(OR(G1639="",H1639=""),"Van/tot ontbreekt",IF(N(J1639)=0,"Duur is nul",IF(N(J1639)&gt;12,"Langer dan 12 uur - controleren",IF(AND(E1639="Werken",D1639=""),"Werken zonder klant - koppelen","OK"))))))</f>
        <v/>
      </c>
    </row>
    <row r="1640" ht="15" customHeight="1" s="42">
      <c r="A1640" s="55" t="n"/>
      <c r="B1640" s="56">
        <f>IF(A1640="","",WEEKNUM(A1640,21))</f>
        <v/>
      </c>
      <c r="C1640" s="57" t="n"/>
      <c r="D1640" s="57" t="n"/>
      <c r="E1640" s="58" t="n"/>
      <c r="F1640" s="57" t="n"/>
      <c r="G1640" s="59" t="n"/>
      <c r="H1640" s="59" t="n"/>
      <c r="I1640" s="60">
        <f>IF(OR(G1640="",H1640=""),"",MOD(H1640-G1640,1))</f>
        <v/>
      </c>
      <c r="J1640" s="61">
        <f>IF(OR(G1640="",H1640=""),"",ROUND(MOD(H1640-G1640,1)*24,2))</f>
        <v/>
      </c>
      <c r="K1640" s="62">
        <f>IF(E1640="","",IF(E1640="Werken","JA","NEE"))</f>
        <v/>
      </c>
      <c r="L1640" s="61">
        <f>IF(K1640="JA",N(J1640),IF(E1640="","",0))</f>
        <v/>
      </c>
      <c r="M1640" s="62">
        <f>IF(AND(A1640="",E1640=""),"",IF(E1640="","Segment ontbreekt",IF(OR(G1640="",H1640=""),"Van/tot ontbreekt",IF(N(J1640)=0,"Duur is nul",IF(N(J1640)&gt;12,"Langer dan 12 uur - controleren",IF(AND(E1640="Werken",D1640=""),"Werken zonder klant - koppelen","OK"))))))</f>
        <v/>
      </c>
    </row>
    <row r="1641" ht="15" customHeight="1" s="42">
      <c r="A1641" s="55" t="n"/>
      <c r="B1641" s="56">
        <f>IF(A1641="","",WEEKNUM(A1641,21))</f>
        <v/>
      </c>
      <c r="C1641" s="57" t="n"/>
      <c r="D1641" s="57" t="n"/>
      <c r="E1641" s="58" t="n"/>
      <c r="F1641" s="57" t="n"/>
      <c r="G1641" s="59" t="n"/>
      <c r="H1641" s="59" t="n"/>
      <c r="I1641" s="60">
        <f>IF(OR(G1641="",H1641=""),"",MOD(H1641-G1641,1))</f>
        <v/>
      </c>
      <c r="J1641" s="61">
        <f>IF(OR(G1641="",H1641=""),"",ROUND(MOD(H1641-G1641,1)*24,2))</f>
        <v/>
      </c>
      <c r="K1641" s="62">
        <f>IF(E1641="","",IF(E1641="Werken","JA","NEE"))</f>
        <v/>
      </c>
      <c r="L1641" s="61">
        <f>IF(K1641="JA",N(J1641),IF(E1641="","",0))</f>
        <v/>
      </c>
      <c r="M1641" s="62">
        <f>IF(AND(A1641="",E1641=""),"",IF(E1641="","Segment ontbreekt",IF(OR(G1641="",H1641=""),"Van/tot ontbreekt",IF(N(J1641)=0,"Duur is nul",IF(N(J1641)&gt;12,"Langer dan 12 uur - controleren",IF(AND(E1641="Werken",D1641=""),"Werken zonder klant - koppelen","OK"))))))</f>
        <v/>
      </c>
    </row>
    <row r="1642" ht="15" customHeight="1" s="42">
      <c r="A1642" s="55" t="n"/>
      <c r="B1642" s="56">
        <f>IF(A1642="","",WEEKNUM(A1642,21))</f>
        <v/>
      </c>
      <c r="C1642" s="57" t="n"/>
      <c r="D1642" s="57" t="n"/>
      <c r="E1642" s="58" t="n"/>
      <c r="F1642" s="57" t="n"/>
      <c r="G1642" s="59" t="n"/>
      <c r="H1642" s="59" t="n"/>
      <c r="I1642" s="60">
        <f>IF(OR(G1642="",H1642=""),"",MOD(H1642-G1642,1))</f>
        <v/>
      </c>
      <c r="J1642" s="61">
        <f>IF(OR(G1642="",H1642=""),"",ROUND(MOD(H1642-G1642,1)*24,2))</f>
        <v/>
      </c>
      <c r="K1642" s="62">
        <f>IF(E1642="","",IF(E1642="Werken","JA","NEE"))</f>
        <v/>
      </c>
      <c r="L1642" s="61">
        <f>IF(K1642="JA",N(J1642),IF(E1642="","",0))</f>
        <v/>
      </c>
      <c r="M1642" s="62">
        <f>IF(AND(A1642="",E1642=""),"",IF(E1642="","Segment ontbreekt",IF(OR(G1642="",H1642=""),"Van/tot ontbreekt",IF(N(J1642)=0,"Duur is nul",IF(N(J1642)&gt;12,"Langer dan 12 uur - controleren",IF(AND(E1642="Werken",D1642=""),"Werken zonder klant - koppelen","OK"))))))</f>
        <v/>
      </c>
    </row>
    <row r="1643" ht="15" customHeight="1" s="42">
      <c r="A1643" s="55" t="n"/>
      <c r="B1643" s="56">
        <f>IF(A1643="","",WEEKNUM(A1643,21))</f>
        <v/>
      </c>
      <c r="C1643" s="57" t="n"/>
      <c r="D1643" s="57" t="n"/>
      <c r="E1643" s="58" t="n"/>
      <c r="F1643" s="57" t="n"/>
      <c r="G1643" s="59" t="n"/>
      <c r="H1643" s="59" t="n"/>
      <c r="I1643" s="60">
        <f>IF(OR(G1643="",H1643=""),"",MOD(H1643-G1643,1))</f>
        <v/>
      </c>
      <c r="J1643" s="61">
        <f>IF(OR(G1643="",H1643=""),"",ROUND(MOD(H1643-G1643,1)*24,2))</f>
        <v/>
      </c>
      <c r="K1643" s="62">
        <f>IF(E1643="","",IF(E1643="Werken","JA","NEE"))</f>
        <v/>
      </c>
      <c r="L1643" s="61">
        <f>IF(K1643="JA",N(J1643),IF(E1643="","",0))</f>
        <v/>
      </c>
      <c r="M1643" s="62">
        <f>IF(AND(A1643="",E1643=""),"",IF(E1643="","Segment ontbreekt",IF(OR(G1643="",H1643=""),"Van/tot ontbreekt",IF(N(J1643)=0,"Duur is nul",IF(N(J1643)&gt;12,"Langer dan 12 uur - controleren",IF(AND(E1643="Werken",D1643=""),"Werken zonder klant - koppelen","OK"))))))</f>
        <v/>
      </c>
    </row>
    <row r="1644" ht="15" customHeight="1" s="42">
      <c r="A1644" s="55" t="n"/>
      <c r="B1644" s="56">
        <f>IF(A1644="","",WEEKNUM(A1644,21))</f>
        <v/>
      </c>
      <c r="C1644" s="57" t="n"/>
      <c r="D1644" s="57" t="n"/>
      <c r="E1644" s="58" t="n"/>
      <c r="F1644" s="57" t="n"/>
      <c r="G1644" s="59" t="n"/>
      <c r="H1644" s="59" t="n"/>
      <c r="I1644" s="60">
        <f>IF(OR(G1644="",H1644=""),"",MOD(H1644-G1644,1))</f>
        <v/>
      </c>
      <c r="J1644" s="61">
        <f>IF(OR(G1644="",H1644=""),"",ROUND(MOD(H1644-G1644,1)*24,2))</f>
        <v/>
      </c>
      <c r="K1644" s="62">
        <f>IF(E1644="","",IF(E1644="Werken","JA","NEE"))</f>
        <v/>
      </c>
      <c r="L1644" s="61">
        <f>IF(K1644="JA",N(J1644),IF(E1644="","",0))</f>
        <v/>
      </c>
      <c r="M1644" s="62">
        <f>IF(AND(A1644="",E1644=""),"",IF(E1644="","Segment ontbreekt",IF(OR(G1644="",H1644=""),"Van/tot ontbreekt",IF(N(J1644)=0,"Duur is nul",IF(N(J1644)&gt;12,"Langer dan 12 uur - controleren",IF(AND(E1644="Werken",D1644=""),"Werken zonder klant - koppelen","OK"))))))</f>
        <v/>
      </c>
    </row>
    <row r="1645" ht="15" customHeight="1" s="42">
      <c r="A1645" s="55" t="n"/>
      <c r="B1645" s="56">
        <f>IF(A1645="","",WEEKNUM(A1645,21))</f>
        <v/>
      </c>
      <c r="C1645" s="57" t="n"/>
      <c r="D1645" s="57" t="n"/>
      <c r="E1645" s="58" t="n"/>
      <c r="F1645" s="57" t="n"/>
      <c r="G1645" s="59" t="n"/>
      <c r="H1645" s="59" t="n"/>
      <c r="I1645" s="60">
        <f>IF(OR(G1645="",H1645=""),"",MOD(H1645-G1645,1))</f>
        <v/>
      </c>
      <c r="J1645" s="61">
        <f>IF(OR(G1645="",H1645=""),"",ROUND(MOD(H1645-G1645,1)*24,2))</f>
        <v/>
      </c>
      <c r="K1645" s="62">
        <f>IF(E1645="","",IF(E1645="Werken","JA","NEE"))</f>
        <v/>
      </c>
      <c r="L1645" s="61">
        <f>IF(K1645="JA",N(J1645),IF(E1645="","",0))</f>
        <v/>
      </c>
      <c r="M1645" s="62">
        <f>IF(AND(A1645="",E1645=""),"",IF(E1645="","Segment ontbreekt",IF(OR(G1645="",H1645=""),"Van/tot ontbreekt",IF(N(J1645)=0,"Duur is nul",IF(N(J1645)&gt;12,"Langer dan 12 uur - controleren",IF(AND(E1645="Werken",D1645=""),"Werken zonder klant - koppelen","OK"))))))</f>
        <v/>
      </c>
    </row>
    <row r="1646" ht="15" customHeight="1" s="42">
      <c r="A1646" s="55" t="n"/>
      <c r="B1646" s="56">
        <f>IF(A1646="","",WEEKNUM(A1646,21))</f>
        <v/>
      </c>
      <c r="C1646" s="57" t="n"/>
      <c r="D1646" s="57" t="n"/>
      <c r="E1646" s="58" t="n"/>
      <c r="F1646" s="57" t="n"/>
      <c r="G1646" s="59" t="n"/>
      <c r="H1646" s="59" t="n"/>
      <c r="I1646" s="60">
        <f>IF(OR(G1646="",H1646=""),"",MOD(H1646-G1646,1))</f>
        <v/>
      </c>
      <c r="J1646" s="61">
        <f>IF(OR(G1646="",H1646=""),"",ROUND(MOD(H1646-G1646,1)*24,2))</f>
        <v/>
      </c>
      <c r="K1646" s="62">
        <f>IF(E1646="","",IF(E1646="Werken","JA","NEE"))</f>
        <v/>
      </c>
      <c r="L1646" s="61">
        <f>IF(K1646="JA",N(J1646),IF(E1646="","",0))</f>
        <v/>
      </c>
      <c r="M1646" s="62">
        <f>IF(AND(A1646="",E1646=""),"",IF(E1646="","Segment ontbreekt",IF(OR(G1646="",H1646=""),"Van/tot ontbreekt",IF(N(J1646)=0,"Duur is nul",IF(N(J1646)&gt;12,"Langer dan 12 uur - controleren",IF(AND(E1646="Werken",D1646=""),"Werken zonder klant - koppelen","OK"))))))</f>
        <v/>
      </c>
    </row>
    <row r="1647" ht="15" customHeight="1" s="42">
      <c r="A1647" s="55" t="n"/>
      <c r="B1647" s="56">
        <f>IF(A1647="","",WEEKNUM(A1647,21))</f>
        <v/>
      </c>
      <c r="C1647" s="57" t="n"/>
      <c r="D1647" s="57" t="n"/>
      <c r="E1647" s="58" t="n"/>
      <c r="F1647" s="57" t="n"/>
      <c r="G1647" s="59" t="n"/>
      <c r="H1647" s="59" t="n"/>
      <c r="I1647" s="60">
        <f>IF(OR(G1647="",H1647=""),"",MOD(H1647-G1647,1))</f>
        <v/>
      </c>
      <c r="J1647" s="61">
        <f>IF(OR(G1647="",H1647=""),"",ROUND(MOD(H1647-G1647,1)*24,2))</f>
        <v/>
      </c>
      <c r="K1647" s="62">
        <f>IF(E1647="","",IF(E1647="Werken","JA","NEE"))</f>
        <v/>
      </c>
      <c r="L1647" s="61">
        <f>IF(K1647="JA",N(J1647),IF(E1647="","",0))</f>
        <v/>
      </c>
      <c r="M1647" s="62">
        <f>IF(AND(A1647="",E1647=""),"",IF(E1647="","Segment ontbreekt",IF(OR(G1647="",H1647=""),"Van/tot ontbreekt",IF(N(J1647)=0,"Duur is nul",IF(N(J1647)&gt;12,"Langer dan 12 uur - controleren",IF(AND(E1647="Werken",D1647=""),"Werken zonder klant - koppelen","OK"))))))</f>
        <v/>
      </c>
    </row>
    <row r="1648" ht="15" customHeight="1" s="42">
      <c r="A1648" s="55" t="n"/>
      <c r="B1648" s="56">
        <f>IF(A1648="","",WEEKNUM(A1648,21))</f>
        <v/>
      </c>
      <c r="C1648" s="57" t="n"/>
      <c r="D1648" s="57" t="n"/>
      <c r="E1648" s="58" t="n"/>
      <c r="F1648" s="57" t="n"/>
      <c r="G1648" s="59" t="n"/>
      <c r="H1648" s="59" t="n"/>
      <c r="I1648" s="60">
        <f>IF(OR(G1648="",H1648=""),"",MOD(H1648-G1648,1))</f>
        <v/>
      </c>
      <c r="J1648" s="61">
        <f>IF(OR(G1648="",H1648=""),"",ROUND(MOD(H1648-G1648,1)*24,2))</f>
        <v/>
      </c>
      <c r="K1648" s="62">
        <f>IF(E1648="","",IF(E1648="Werken","JA","NEE"))</f>
        <v/>
      </c>
      <c r="L1648" s="61">
        <f>IF(K1648="JA",N(J1648),IF(E1648="","",0))</f>
        <v/>
      </c>
      <c r="M1648" s="62">
        <f>IF(AND(A1648="",E1648=""),"",IF(E1648="","Segment ontbreekt",IF(OR(G1648="",H1648=""),"Van/tot ontbreekt",IF(N(J1648)=0,"Duur is nul",IF(N(J1648)&gt;12,"Langer dan 12 uur - controleren",IF(AND(E1648="Werken",D1648=""),"Werken zonder klant - koppelen","OK"))))))</f>
        <v/>
      </c>
    </row>
    <row r="1649" ht="15" customHeight="1" s="42">
      <c r="A1649" s="55" t="n"/>
      <c r="B1649" s="56">
        <f>IF(A1649="","",WEEKNUM(A1649,21))</f>
        <v/>
      </c>
      <c r="C1649" s="57" t="n"/>
      <c r="D1649" s="57" t="n"/>
      <c r="E1649" s="58" t="n"/>
      <c r="F1649" s="57" t="n"/>
      <c r="G1649" s="59" t="n"/>
      <c r="H1649" s="59" t="n"/>
      <c r="I1649" s="60">
        <f>IF(OR(G1649="",H1649=""),"",MOD(H1649-G1649,1))</f>
        <v/>
      </c>
      <c r="J1649" s="61">
        <f>IF(OR(G1649="",H1649=""),"",ROUND(MOD(H1649-G1649,1)*24,2))</f>
        <v/>
      </c>
      <c r="K1649" s="62">
        <f>IF(E1649="","",IF(E1649="Werken","JA","NEE"))</f>
        <v/>
      </c>
      <c r="L1649" s="61">
        <f>IF(K1649="JA",N(J1649),IF(E1649="","",0))</f>
        <v/>
      </c>
      <c r="M1649" s="62">
        <f>IF(AND(A1649="",E1649=""),"",IF(E1649="","Segment ontbreekt",IF(OR(G1649="",H1649=""),"Van/tot ontbreekt",IF(N(J1649)=0,"Duur is nul",IF(N(J1649)&gt;12,"Langer dan 12 uur - controleren",IF(AND(E1649="Werken",D1649=""),"Werken zonder klant - koppelen","OK"))))))</f>
        <v/>
      </c>
    </row>
    <row r="1650" ht="15" customHeight="1" s="42">
      <c r="A1650" s="55" t="n"/>
      <c r="B1650" s="56">
        <f>IF(A1650="","",WEEKNUM(A1650,21))</f>
        <v/>
      </c>
      <c r="C1650" s="57" t="n"/>
      <c r="D1650" s="57" t="n"/>
      <c r="E1650" s="58" t="n"/>
      <c r="F1650" s="57" t="n"/>
      <c r="G1650" s="59" t="n"/>
      <c r="H1650" s="59" t="n"/>
      <c r="I1650" s="60">
        <f>IF(OR(G1650="",H1650=""),"",MOD(H1650-G1650,1))</f>
        <v/>
      </c>
      <c r="J1650" s="61">
        <f>IF(OR(G1650="",H1650=""),"",ROUND(MOD(H1650-G1650,1)*24,2))</f>
        <v/>
      </c>
      <c r="K1650" s="62">
        <f>IF(E1650="","",IF(E1650="Werken","JA","NEE"))</f>
        <v/>
      </c>
      <c r="L1650" s="61">
        <f>IF(K1650="JA",N(J1650),IF(E1650="","",0))</f>
        <v/>
      </c>
      <c r="M1650" s="62">
        <f>IF(AND(A1650="",E1650=""),"",IF(E1650="","Segment ontbreekt",IF(OR(G1650="",H1650=""),"Van/tot ontbreekt",IF(N(J1650)=0,"Duur is nul",IF(N(J1650)&gt;12,"Langer dan 12 uur - controleren",IF(AND(E1650="Werken",D1650=""),"Werken zonder klant - koppelen","OK"))))))</f>
        <v/>
      </c>
    </row>
    <row r="1651" ht="15" customHeight="1" s="42">
      <c r="A1651" s="55" t="n"/>
      <c r="B1651" s="56">
        <f>IF(A1651="","",WEEKNUM(A1651,21))</f>
        <v/>
      </c>
      <c r="C1651" s="57" t="n"/>
      <c r="D1651" s="57" t="n"/>
      <c r="E1651" s="58" t="n"/>
      <c r="F1651" s="57" t="n"/>
      <c r="G1651" s="59" t="n"/>
      <c r="H1651" s="59" t="n"/>
      <c r="I1651" s="60">
        <f>IF(OR(G1651="",H1651=""),"",MOD(H1651-G1651,1))</f>
        <v/>
      </c>
      <c r="J1651" s="61">
        <f>IF(OR(G1651="",H1651=""),"",ROUND(MOD(H1651-G1651,1)*24,2))</f>
        <v/>
      </c>
      <c r="K1651" s="62">
        <f>IF(E1651="","",IF(E1651="Werken","JA","NEE"))</f>
        <v/>
      </c>
      <c r="L1651" s="61">
        <f>IF(K1651="JA",N(J1651),IF(E1651="","",0))</f>
        <v/>
      </c>
      <c r="M1651" s="62">
        <f>IF(AND(A1651="",E1651=""),"",IF(E1651="","Segment ontbreekt",IF(OR(G1651="",H1651=""),"Van/tot ontbreekt",IF(N(J1651)=0,"Duur is nul",IF(N(J1651)&gt;12,"Langer dan 12 uur - controleren",IF(AND(E1651="Werken",D1651=""),"Werken zonder klant - koppelen","OK"))))))</f>
        <v/>
      </c>
    </row>
    <row r="1652" ht="15" customHeight="1" s="42">
      <c r="A1652" s="55" t="n"/>
      <c r="B1652" s="56">
        <f>IF(A1652="","",WEEKNUM(A1652,21))</f>
        <v/>
      </c>
      <c r="C1652" s="57" t="n"/>
      <c r="D1652" s="57" t="n"/>
      <c r="E1652" s="58" t="n"/>
      <c r="F1652" s="57" t="n"/>
      <c r="G1652" s="59" t="n"/>
      <c r="H1652" s="59" t="n"/>
      <c r="I1652" s="60">
        <f>IF(OR(G1652="",H1652=""),"",MOD(H1652-G1652,1))</f>
        <v/>
      </c>
      <c r="J1652" s="61">
        <f>IF(OR(G1652="",H1652=""),"",ROUND(MOD(H1652-G1652,1)*24,2))</f>
        <v/>
      </c>
      <c r="K1652" s="62">
        <f>IF(E1652="","",IF(E1652="Werken","JA","NEE"))</f>
        <v/>
      </c>
      <c r="L1652" s="61">
        <f>IF(K1652="JA",N(J1652),IF(E1652="","",0))</f>
        <v/>
      </c>
      <c r="M1652" s="62">
        <f>IF(AND(A1652="",E1652=""),"",IF(E1652="","Segment ontbreekt",IF(OR(G1652="",H1652=""),"Van/tot ontbreekt",IF(N(J1652)=0,"Duur is nul",IF(N(J1652)&gt;12,"Langer dan 12 uur - controleren",IF(AND(E1652="Werken",D1652=""),"Werken zonder klant - koppelen","OK"))))))</f>
        <v/>
      </c>
    </row>
    <row r="1653" ht="15" customHeight="1" s="42">
      <c r="A1653" s="55" t="n"/>
      <c r="B1653" s="56">
        <f>IF(A1653="","",WEEKNUM(A1653,21))</f>
        <v/>
      </c>
      <c r="C1653" s="57" t="n"/>
      <c r="D1653" s="57" t="n"/>
      <c r="E1653" s="58" t="n"/>
      <c r="F1653" s="57" t="n"/>
      <c r="G1653" s="59" t="n"/>
      <c r="H1653" s="59" t="n"/>
      <c r="I1653" s="60">
        <f>IF(OR(G1653="",H1653=""),"",MOD(H1653-G1653,1))</f>
        <v/>
      </c>
      <c r="J1653" s="61">
        <f>IF(OR(G1653="",H1653=""),"",ROUND(MOD(H1653-G1653,1)*24,2))</f>
        <v/>
      </c>
      <c r="K1653" s="62">
        <f>IF(E1653="","",IF(E1653="Werken","JA","NEE"))</f>
        <v/>
      </c>
      <c r="L1653" s="61">
        <f>IF(K1653="JA",N(J1653),IF(E1653="","",0))</f>
        <v/>
      </c>
      <c r="M1653" s="62">
        <f>IF(AND(A1653="",E1653=""),"",IF(E1653="","Segment ontbreekt",IF(OR(G1653="",H1653=""),"Van/tot ontbreekt",IF(N(J1653)=0,"Duur is nul",IF(N(J1653)&gt;12,"Langer dan 12 uur - controleren",IF(AND(E1653="Werken",D1653=""),"Werken zonder klant - koppelen","OK"))))))</f>
        <v/>
      </c>
    </row>
    <row r="1654" ht="15" customHeight="1" s="42">
      <c r="A1654" s="55" t="n"/>
      <c r="B1654" s="56">
        <f>IF(A1654="","",WEEKNUM(A1654,21))</f>
        <v/>
      </c>
      <c r="C1654" s="57" t="n"/>
      <c r="D1654" s="57" t="n"/>
      <c r="E1654" s="58" t="n"/>
      <c r="F1654" s="57" t="n"/>
      <c r="G1654" s="59" t="n"/>
      <c r="H1654" s="59" t="n"/>
      <c r="I1654" s="60">
        <f>IF(OR(G1654="",H1654=""),"",MOD(H1654-G1654,1))</f>
        <v/>
      </c>
      <c r="J1654" s="61">
        <f>IF(OR(G1654="",H1654=""),"",ROUND(MOD(H1654-G1654,1)*24,2))</f>
        <v/>
      </c>
      <c r="K1654" s="62">
        <f>IF(E1654="","",IF(E1654="Werken","JA","NEE"))</f>
        <v/>
      </c>
      <c r="L1654" s="61">
        <f>IF(K1654="JA",N(J1654),IF(E1654="","",0))</f>
        <v/>
      </c>
      <c r="M1654" s="62">
        <f>IF(AND(A1654="",E1654=""),"",IF(E1654="","Segment ontbreekt",IF(OR(G1654="",H1654=""),"Van/tot ontbreekt",IF(N(J1654)=0,"Duur is nul",IF(N(J1654)&gt;12,"Langer dan 12 uur - controleren",IF(AND(E1654="Werken",D1654=""),"Werken zonder klant - koppelen","OK"))))))</f>
        <v/>
      </c>
    </row>
    <row r="1655" ht="15" customHeight="1" s="42">
      <c r="A1655" s="55" t="n"/>
      <c r="B1655" s="56">
        <f>IF(A1655="","",WEEKNUM(A1655,21))</f>
        <v/>
      </c>
      <c r="C1655" s="57" t="n"/>
      <c r="D1655" s="57" t="n"/>
      <c r="E1655" s="58" t="n"/>
      <c r="F1655" s="57" t="n"/>
      <c r="G1655" s="59" t="n"/>
      <c r="H1655" s="59" t="n"/>
      <c r="I1655" s="60">
        <f>IF(OR(G1655="",H1655=""),"",MOD(H1655-G1655,1))</f>
        <v/>
      </c>
      <c r="J1655" s="61">
        <f>IF(OR(G1655="",H1655=""),"",ROUND(MOD(H1655-G1655,1)*24,2))</f>
        <v/>
      </c>
      <c r="K1655" s="62">
        <f>IF(E1655="","",IF(E1655="Werken","JA","NEE"))</f>
        <v/>
      </c>
      <c r="L1655" s="61">
        <f>IF(K1655="JA",N(J1655),IF(E1655="","",0))</f>
        <v/>
      </c>
      <c r="M1655" s="62">
        <f>IF(AND(A1655="",E1655=""),"",IF(E1655="","Segment ontbreekt",IF(OR(G1655="",H1655=""),"Van/tot ontbreekt",IF(N(J1655)=0,"Duur is nul",IF(N(J1655)&gt;12,"Langer dan 12 uur - controleren",IF(AND(E1655="Werken",D1655=""),"Werken zonder klant - koppelen","OK"))))))</f>
        <v/>
      </c>
    </row>
    <row r="1656" ht="15" customHeight="1" s="42">
      <c r="A1656" s="55" t="n"/>
      <c r="B1656" s="56">
        <f>IF(A1656="","",WEEKNUM(A1656,21))</f>
        <v/>
      </c>
      <c r="C1656" s="57" t="n"/>
      <c r="D1656" s="57" t="n"/>
      <c r="E1656" s="58" t="n"/>
      <c r="F1656" s="57" t="n"/>
      <c r="G1656" s="59" t="n"/>
      <c r="H1656" s="59" t="n"/>
      <c r="I1656" s="60">
        <f>IF(OR(G1656="",H1656=""),"",MOD(H1656-G1656,1))</f>
        <v/>
      </c>
      <c r="J1656" s="61">
        <f>IF(OR(G1656="",H1656=""),"",ROUND(MOD(H1656-G1656,1)*24,2))</f>
        <v/>
      </c>
      <c r="K1656" s="62">
        <f>IF(E1656="","",IF(E1656="Werken","JA","NEE"))</f>
        <v/>
      </c>
      <c r="L1656" s="61">
        <f>IF(K1656="JA",N(J1656),IF(E1656="","",0))</f>
        <v/>
      </c>
      <c r="M1656" s="62">
        <f>IF(AND(A1656="",E1656=""),"",IF(E1656="","Segment ontbreekt",IF(OR(G1656="",H1656=""),"Van/tot ontbreekt",IF(N(J1656)=0,"Duur is nul",IF(N(J1656)&gt;12,"Langer dan 12 uur - controleren",IF(AND(E1656="Werken",D1656=""),"Werken zonder klant - koppelen","OK"))))))</f>
        <v/>
      </c>
    </row>
    <row r="1657" ht="15" customHeight="1" s="42">
      <c r="A1657" s="55" t="n"/>
      <c r="B1657" s="56">
        <f>IF(A1657="","",WEEKNUM(A1657,21))</f>
        <v/>
      </c>
      <c r="C1657" s="57" t="n"/>
      <c r="D1657" s="57" t="n"/>
      <c r="E1657" s="58" t="n"/>
      <c r="F1657" s="57" t="n"/>
      <c r="G1657" s="59" t="n"/>
      <c r="H1657" s="59" t="n"/>
      <c r="I1657" s="60">
        <f>IF(OR(G1657="",H1657=""),"",MOD(H1657-G1657,1))</f>
        <v/>
      </c>
      <c r="J1657" s="61">
        <f>IF(OR(G1657="",H1657=""),"",ROUND(MOD(H1657-G1657,1)*24,2))</f>
        <v/>
      </c>
      <c r="K1657" s="62">
        <f>IF(E1657="","",IF(E1657="Werken","JA","NEE"))</f>
        <v/>
      </c>
      <c r="L1657" s="61">
        <f>IF(K1657="JA",N(J1657),IF(E1657="","",0))</f>
        <v/>
      </c>
      <c r="M1657" s="62">
        <f>IF(AND(A1657="",E1657=""),"",IF(E1657="","Segment ontbreekt",IF(OR(G1657="",H1657=""),"Van/tot ontbreekt",IF(N(J1657)=0,"Duur is nul",IF(N(J1657)&gt;12,"Langer dan 12 uur - controleren",IF(AND(E1657="Werken",D1657=""),"Werken zonder klant - koppelen","OK"))))))</f>
        <v/>
      </c>
    </row>
    <row r="1658" ht="15" customHeight="1" s="42">
      <c r="A1658" s="55" t="n"/>
      <c r="B1658" s="56">
        <f>IF(A1658="","",WEEKNUM(A1658,21))</f>
        <v/>
      </c>
      <c r="C1658" s="57" t="n"/>
      <c r="D1658" s="57" t="n"/>
      <c r="E1658" s="58" t="n"/>
      <c r="F1658" s="57" t="n"/>
      <c r="G1658" s="59" t="n"/>
      <c r="H1658" s="59" t="n"/>
      <c r="I1658" s="60">
        <f>IF(OR(G1658="",H1658=""),"",MOD(H1658-G1658,1))</f>
        <v/>
      </c>
      <c r="J1658" s="61">
        <f>IF(OR(G1658="",H1658=""),"",ROUND(MOD(H1658-G1658,1)*24,2))</f>
        <v/>
      </c>
      <c r="K1658" s="62">
        <f>IF(E1658="","",IF(E1658="Werken","JA","NEE"))</f>
        <v/>
      </c>
      <c r="L1658" s="61">
        <f>IF(K1658="JA",N(J1658),IF(E1658="","",0))</f>
        <v/>
      </c>
      <c r="M1658" s="62">
        <f>IF(AND(A1658="",E1658=""),"",IF(E1658="","Segment ontbreekt",IF(OR(G1658="",H1658=""),"Van/tot ontbreekt",IF(N(J1658)=0,"Duur is nul",IF(N(J1658)&gt;12,"Langer dan 12 uur - controleren",IF(AND(E1658="Werken",D1658=""),"Werken zonder klant - koppelen","OK"))))))</f>
        <v/>
      </c>
    </row>
    <row r="1659" ht="15" customHeight="1" s="42">
      <c r="A1659" s="55" t="n"/>
      <c r="B1659" s="56">
        <f>IF(A1659="","",WEEKNUM(A1659,21))</f>
        <v/>
      </c>
      <c r="C1659" s="57" t="n"/>
      <c r="D1659" s="57" t="n"/>
      <c r="E1659" s="58" t="n"/>
      <c r="F1659" s="57" t="n"/>
      <c r="G1659" s="59" t="n"/>
      <c r="H1659" s="59" t="n"/>
      <c r="I1659" s="60">
        <f>IF(OR(G1659="",H1659=""),"",MOD(H1659-G1659,1))</f>
        <v/>
      </c>
      <c r="J1659" s="61">
        <f>IF(OR(G1659="",H1659=""),"",ROUND(MOD(H1659-G1659,1)*24,2))</f>
        <v/>
      </c>
      <c r="K1659" s="62">
        <f>IF(E1659="","",IF(E1659="Werken","JA","NEE"))</f>
        <v/>
      </c>
      <c r="L1659" s="61">
        <f>IF(K1659="JA",N(J1659),IF(E1659="","",0))</f>
        <v/>
      </c>
      <c r="M1659" s="62">
        <f>IF(AND(A1659="",E1659=""),"",IF(E1659="","Segment ontbreekt",IF(OR(G1659="",H1659=""),"Van/tot ontbreekt",IF(N(J1659)=0,"Duur is nul",IF(N(J1659)&gt;12,"Langer dan 12 uur - controleren",IF(AND(E1659="Werken",D1659=""),"Werken zonder klant - koppelen","OK"))))))</f>
        <v/>
      </c>
    </row>
    <row r="1660" ht="15" customHeight="1" s="42">
      <c r="A1660" s="55" t="n"/>
      <c r="B1660" s="56">
        <f>IF(A1660="","",WEEKNUM(A1660,21))</f>
        <v/>
      </c>
      <c r="C1660" s="57" t="n"/>
      <c r="D1660" s="57" t="n"/>
      <c r="E1660" s="58" t="n"/>
      <c r="F1660" s="57" t="n"/>
      <c r="G1660" s="59" t="n"/>
      <c r="H1660" s="59" t="n"/>
      <c r="I1660" s="60">
        <f>IF(OR(G1660="",H1660=""),"",MOD(H1660-G1660,1))</f>
        <v/>
      </c>
      <c r="J1660" s="61">
        <f>IF(OR(G1660="",H1660=""),"",ROUND(MOD(H1660-G1660,1)*24,2))</f>
        <v/>
      </c>
      <c r="K1660" s="62">
        <f>IF(E1660="","",IF(E1660="Werken","JA","NEE"))</f>
        <v/>
      </c>
      <c r="L1660" s="61">
        <f>IF(K1660="JA",N(J1660),IF(E1660="","",0))</f>
        <v/>
      </c>
      <c r="M1660" s="62">
        <f>IF(AND(A1660="",E1660=""),"",IF(E1660="","Segment ontbreekt",IF(OR(G1660="",H1660=""),"Van/tot ontbreekt",IF(N(J1660)=0,"Duur is nul",IF(N(J1660)&gt;12,"Langer dan 12 uur - controleren",IF(AND(E1660="Werken",D1660=""),"Werken zonder klant - koppelen","OK"))))))</f>
        <v/>
      </c>
    </row>
    <row r="1661" ht="15" customHeight="1" s="42">
      <c r="A1661" s="55" t="n"/>
      <c r="B1661" s="56">
        <f>IF(A1661="","",WEEKNUM(A1661,21))</f>
        <v/>
      </c>
      <c r="C1661" s="57" t="n"/>
      <c r="D1661" s="57" t="n"/>
      <c r="E1661" s="58" t="n"/>
      <c r="F1661" s="57" t="n"/>
      <c r="G1661" s="59" t="n"/>
      <c r="H1661" s="59" t="n"/>
      <c r="I1661" s="60">
        <f>IF(OR(G1661="",H1661=""),"",MOD(H1661-G1661,1))</f>
        <v/>
      </c>
      <c r="J1661" s="61">
        <f>IF(OR(G1661="",H1661=""),"",ROUND(MOD(H1661-G1661,1)*24,2))</f>
        <v/>
      </c>
      <c r="K1661" s="62">
        <f>IF(E1661="","",IF(E1661="Werken","JA","NEE"))</f>
        <v/>
      </c>
      <c r="L1661" s="61">
        <f>IF(K1661="JA",N(J1661),IF(E1661="","",0))</f>
        <v/>
      </c>
      <c r="M1661" s="62">
        <f>IF(AND(A1661="",E1661=""),"",IF(E1661="","Segment ontbreekt",IF(OR(G1661="",H1661=""),"Van/tot ontbreekt",IF(N(J1661)=0,"Duur is nul",IF(N(J1661)&gt;12,"Langer dan 12 uur - controleren",IF(AND(E1661="Werken",D1661=""),"Werken zonder klant - koppelen","OK"))))))</f>
        <v/>
      </c>
    </row>
    <row r="1662" ht="15" customHeight="1" s="42">
      <c r="A1662" s="55" t="n"/>
      <c r="B1662" s="56">
        <f>IF(A1662="","",WEEKNUM(A1662,21))</f>
        <v/>
      </c>
      <c r="C1662" s="57" t="n"/>
      <c r="D1662" s="57" t="n"/>
      <c r="E1662" s="58" t="n"/>
      <c r="F1662" s="57" t="n"/>
      <c r="G1662" s="59" t="n"/>
      <c r="H1662" s="59" t="n"/>
      <c r="I1662" s="60">
        <f>IF(OR(G1662="",H1662=""),"",MOD(H1662-G1662,1))</f>
        <v/>
      </c>
      <c r="J1662" s="61">
        <f>IF(OR(G1662="",H1662=""),"",ROUND(MOD(H1662-G1662,1)*24,2))</f>
        <v/>
      </c>
      <c r="K1662" s="62">
        <f>IF(E1662="","",IF(E1662="Werken","JA","NEE"))</f>
        <v/>
      </c>
      <c r="L1662" s="61">
        <f>IF(K1662="JA",N(J1662),IF(E1662="","",0))</f>
        <v/>
      </c>
      <c r="M1662" s="62">
        <f>IF(AND(A1662="",E1662=""),"",IF(E1662="","Segment ontbreekt",IF(OR(G1662="",H1662=""),"Van/tot ontbreekt",IF(N(J1662)=0,"Duur is nul",IF(N(J1662)&gt;12,"Langer dan 12 uur - controleren",IF(AND(E1662="Werken",D1662=""),"Werken zonder klant - koppelen","OK"))))))</f>
        <v/>
      </c>
    </row>
    <row r="1663" ht="15" customHeight="1" s="42">
      <c r="A1663" s="55" t="n"/>
      <c r="B1663" s="56">
        <f>IF(A1663="","",WEEKNUM(A1663,21))</f>
        <v/>
      </c>
      <c r="C1663" s="57" t="n"/>
      <c r="D1663" s="57" t="n"/>
      <c r="E1663" s="58" t="n"/>
      <c r="F1663" s="57" t="n"/>
      <c r="G1663" s="59" t="n"/>
      <c r="H1663" s="59" t="n"/>
      <c r="I1663" s="60">
        <f>IF(OR(G1663="",H1663=""),"",MOD(H1663-G1663,1))</f>
        <v/>
      </c>
      <c r="J1663" s="61">
        <f>IF(OR(G1663="",H1663=""),"",ROUND(MOD(H1663-G1663,1)*24,2))</f>
        <v/>
      </c>
      <c r="K1663" s="62">
        <f>IF(E1663="","",IF(E1663="Werken","JA","NEE"))</f>
        <v/>
      </c>
      <c r="L1663" s="61">
        <f>IF(K1663="JA",N(J1663),IF(E1663="","",0))</f>
        <v/>
      </c>
      <c r="M1663" s="62">
        <f>IF(AND(A1663="",E1663=""),"",IF(E1663="","Segment ontbreekt",IF(OR(G1663="",H1663=""),"Van/tot ontbreekt",IF(N(J1663)=0,"Duur is nul",IF(N(J1663)&gt;12,"Langer dan 12 uur - controleren",IF(AND(E1663="Werken",D1663=""),"Werken zonder klant - koppelen","OK"))))))</f>
        <v/>
      </c>
    </row>
    <row r="1664" ht="15" customHeight="1" s="42">
      <c r="A1664" s="55" t="n"/>
      <c r="B1664" s="56">
        <f>IF(A1664="","",WEEKNUM(A1664,21))</f>
        <v/>
      </c>
      <c r="C1664" s="57" t="n"/>
      <c r="D1664" s="57" t="n"/>
      <c r="E1664" s="58" t="n"/>
      <c r="F1664" s="57" t="n"/>
      <c r="G1664" s="59" t="n"/>
      <c r="H1664" s="59" t="n"/>
      <c r="I1664" s="60">
        <f>IF(OR(G1664="",H1664=""),"",MOD(H1664-G1664,1))</f>
        <v/>
      </c>
      <c r="J1664" s="61">
        <f>IF(OR(G1664="",H1664=""),"",ROUND(MOD(H1664-G1664,1)*24,2))</f>
        <v/>
      </c>
      <c r="K1664" s="62">
        <f>IF(E1664="","",IF(E1664="Werken","JA","NEE"))</f>
        <v/>
      </c>
      <c r="L1664" s="61">
        <f>IF(K1664="JA",N(J1664),IF(E1664="","",0))</f>
        <v/>
      </c>
      <c r="M1664" s="62">
        <f>IF(AND(A1664="",E1664=""),"",IF(E1664="","Segment ontbreekt",IF(OR(G1664="",H1664=""),"Van/tot ontbreekt",IF(N(J1664)=0,"Duur is nul",IF(N(J1664)&gt;12,"Langer dan 12 uur - controleren",IF(AND(E1664="Werken",D1664=""),"Werken zonder klant - koppelen","OK"))))))</f>
        <v/>
      </c>
    </row>
    <row r="1665" ht="15" customHeight="1" s="42">
      <c r="A1665" s="55" t="n"/>
      <c r="B1665" s="56">
        <f>IF(A1665="","",WEEKNUM(A1665,21))</f>
        <v/>
      </c>
      <c r="C1665" s="57" t="n"/>
      <c r="D1665" s="57" t="n"/>
      <c r="E1665" s="58" t="n"/>
      <c r="F1665" s="57" t="n"/>
      <c r="G1665" s="59" t="n"/>
      <c r="H1665" s="59" t="n"/>
      <c r="I1665" s="60">
        <f>IF(OR(G1665="",H1665=""),"",MOD(H1665-G1665,1))</f>
        <v/>
      </c>
      <c r="J1665" s="61">
        <f>IF(OR(G1665="",H1665=""),"",ROUND(MOD(H1665-G1665,1)*24,2))</f>
        <v/>
      </c>
      <c r="K1665" s="62">
        <f>IF(E1665="","",IF(E1665="Werken","JA","NEE"))</f>
        <v/>
      </c>
      <c r="L1665" s="61">
        <f>IF(K1665="JA",N(J1665),IF(E1665="","",0))</f>
        <v/>
      </c>
      <c r="M1665" s="62">
        <f>IF(AND(A1665="",E1665=""),"",IF(E1665="","Segment ontbreekt",IF(OR(G1665="",H1665=""),"Van/tot ontbreekt",IF(N(J1665)=0,"Duur is nul",IF(N(J1665)&gt;12,"Langer dan 12 uur - controleren",IF(AND(E1665="Werken",D1665=""),"Werken zonder klant - koppelen","OK"))))))</f>
        <v/>
      </c>
    </row>
    <row r="1666" ht="15" customHeight="1" s="42">
      <c r="A1666" s="55" t="n"/>
      <c r="B1666" s="56">
        <f>IF(A1666="","",WEEKNUM(A1666,21))</f>
        <v/>
      </c>
      <c r="C1666" s="57" t="n"/>
      <c r="D1666" s="57" t="n"/>
      <c r="E1666" s="58" t="n"/>
      <c r="F1666" s="57" t="n"/>
      <c r="G1666" s="59" t="n"/>
      <c r="H1666" s="59" t="n"/>
      <c r="I1666" s="60">
        <f>IF(OR(G1666="",H1666=""),"",MOD(H1666-G1666,1))</f>
        <v/>
      </c>
      <c r="J1666" s="61">
        <f>IF(OR(G1666="",H1666=""),"",ROUND(MOD(H1666-G1666,1)*24,2))</f>
        <v/>
      </c>
      <c r="K1666" s="62">
        <f>IF(E1666="","",IF(E1666="Werken","JA","NEE"))</f>
        <v/>
      </c>
      <c r="L1666" s="61">
        <f>IF(K1666="JA",N(J1666),IF(E1666="","",0))</f>
        <v/>
      </c>
      <c r="M1666" s="62">
        <f>IF(AND(A1666="",E1666=""),"",IF(E1666="","Segment ontbreekt",IF(OR(G1666="",H1666=""),"Van/tot ontbreekt",IF(N(J1666)=0,"Duur is nul",IF(N(J1666)&gt;12,"Langer dan 12 uur - controleren",IF(AND(E1666="Werken",D1666=""),"Werken zonder klant - koppelen","OK"))))))</f>
        <v/>
      </c>
    </row>
    <row r="1667" ht="15" customHeight="1" s="42">
      <c r="A1667" s="55" t="n"/>
      <c r="B1667" s="56">
        <f>IF(A1667="","",WEEKNUM(A1667,21))</f>
        <v/>
      </c>
      <c r="C1667" s="57" t="n"/>
      <c r="D1667" s="57" t="n"/>
      <c r="E1667" s="58" t="n"/>
      <c r="F1667" s="57" t="n"/>
      <c r="G1667" s="59" t="n"/>
      <c r="H1667" s="59" t="n"/>
      <c r="I1667" s="60">
        <f>IF(OR(G1667="",H1667=""),"",MOD(H1667-G1667,1))</f>
        <v/>
      </c>
      <c r="J1667" s="61">
        <f>IF(OR(G1667="",H1667=""),"",ROUND(MOD(H1667-G1667,1)*24,2))</f>
        <v/>
      </c>
      <c r="K1667" s="62">
        <f>IF(E1667="","",IF(E1667="Werken","JA","NEE"))</f>
        <v/>
      </c>
      <c r="L1667" s="61">
        <f>IF(K1667="JA",N(J1667),IF(E1667="","",0))</f>
        <v/>
      </c>
      <c r="M1667" s="62">
        <f>IF(AND(A1667="",E1667=""),"",IF(E1667="","Segment ontbreekt",IF(OR(G1667="",H1667=""),"Van/tot ontbreekt",IF(N(J1667)=0,"Duur is nul",IF(N(J1667)&gt;12,"Langer dan 12 uur - controleren",IF(AND(E1667="Werken",D1667=""),"Werken zonder klant - koppelen","OK"))))))</f>
        <v/>
      </c>
    </row>
    <row r="1668" ht="15" customHeight="1" s="42">
      <c r="A1668" s="55" t="n"/>
      <c r="B1668" s="56">
        <f>IF(A1668="","",WEEKNUM(A1668,21))</f>
        <v/>
      </c>
      <c r="C1668" s="57" t="n"/>
      <c r="D1668" s="57" t="n"/>
      <c r="E1668" s="58" t="n"/>
      <c r="F1668" s="57" t="n"/>
      <c r="G1668" s="59" t="n"/>
      <c r="H1668" s="59" t="n"/>
      <c r="I1668" s="60">
        <f>IF(OR(G1668="",H1668=""),"",MOD(H1668-G1668,1))</f>
        <v/>
      </c>
      <c r="J1668" s="61">
        <f>IF(OR(G1668="",H1668=""),"",ROUND(MOD(H1668-G1668,1)*24,2))</f>
        <v/>
      </c>
      <c r="K1668" s="62">
        <f>IF(E1668="","",IF(E1668="Werken","JA","NEE"))</f>
        <v/>
      </c>
      <c r="L1668" s="61">
        <f>IF(K1668="JA",N(J1668),IF(E1668="","",0))</f>
        <v/>
      </c>
      <c r="M1668" s="62">
        <f>IF(AND(A1668="",E1668=""),"",IF(E1668="","Segment ontbreekt",IF(OR(G1668="",H1668=""),"Van/tot ontbreekt",IF(N(J1668)=0,"Duur is nul",IF(N(J1668)&gt;12,"Langer dan 12 uur - controleren",IF(AND(E1668="Werken",D1668=""),"Werken zonder klant - koppelen","OK"))))))</f>
        <v/>
      </c>
    </row>
    <row r="1669" ht="15" customHeight="1" s="42">
      <c r="A1669" s="55" t="n"/>
      <c r="B1669" s="56">
        <f>IF(A1669="","",WEEKNUM(A1669,21))</f>
        <v/>
      </c>
      <c r="C1669" s="57" t="n"/>
      <c r="D1669" s="57" t="n"/>
      <c r="E1669" s="58" t="n"/>
      <c r="F1669" s="57" t="n"/>
      <c r="G1669" s="59" t="n"/>
      <c r="H1669" s="59" t="n"/>
      <c r="I1669" s="60">
        <f>IF(OR(G1669="",H1669=""),"",MOD(H1669-G1669,1))</f>
        <v/>
      </c>
      <c r="J1669" s="61">
        <f>IF(OR(G1669="",H1669=""),"",ROUND(MOD(H1669-G1669,1)*24,2))</f>
        <v/>
      </c>
      <c r="K1669" s="62">
        <f>IF(E1669="","",IF(E1669="Werken","JA","NEE"))</f>
        <v/>
      </c>
      <c r="L1669" s="61">
        <f>IF(K1669="JA",N(J1669),IF(E1669="","",0))</f>
        <v/>
      </c>
      <c r="M1669" s="62">
        <f>IF(AND(A1669="",E1669=""),"",IF(E1669="","Segment ontbreekt",IF(OR(G1669="",H1669=""),"Van/tot ontbreekt",IF(N(J1669)=0,"Duur is nul",IF(N(J1669)&gt;12,"Langer dan 12 uur - controleren",IF(AND(E1669="Werken",D1669=""),"Werken zonder klant - koppelen","OK"))))))</f>
        <v/>
      </c>
    </row>
    <row r="1670" ht="15" customHeight="1" s="42">
      <c r="A1670" s="55" t="n"/>
      <c r="B1670" s="56">
        <f>IF(A1670="","",WEEKNUM(A1670,21))</f>
        <v/>
      </c>
      <c r="C1670" s="57" t="n"/>
      <c r="D1670" s="57" t="n"/>
      <c r="E1670" s="58" t="n"/>
      <c r="F1670" s="57" t="n"/>
      <c r="G1670" s="59" t="n"/>
      <c r="H1670" s="59" t="n"/>
      <c r="I1670" s="60">
        <f>IF(OR(G1670="",H1670=""),"",MOD(H1670-G1670,1))</f>
        <v/>
      </c>
      <c r="J1670" s="61">
        <f>IF(OR(G1670="",H1670=""),"",ROUND(MOD(H1670-G1670,1)*24,2))</f>
        <v/>
      </c>
      <c r="K1670" s="62">
        <f>IF(E1670="","",IF(E1670="Werken","JA","NEE"))</f>
        <v/>
      </c>
      <c r="L1670" s="61">
        <f>IF(K1670="JA",N(J1670),IF(E1670="","",0))</f>
        <v/>
      </c>
      <c r="M1670" s="62">
        <f>IF(AND(A1670="",E1670=""),"",IF(E1670="","Segment ontbreekt",IF(OR(G1670="",H1670=""),"Van/tot ontbreekt",IF(N(J1670)=0,"Duur is nul",IF(N(J1670)&gt;12,"Langer dan 12 uur - controleren",IF(AND(E1670="Werken",D1670=""),"Werken zonder klant - koppelen","OK"))))))</f>
        <v/>
      </c>
    </row>
    <row r="1671" ht="15" customHeight="1" s="42">
      <c r="A1671" s="55" t="n"/>
      <c r="B1671" s="56">
        <f>IF(A1671="","",WEEKNUM(A1671,21))</f>
        <v/>
      </c>
      <c r="C1671" s="57" t="n"/>
      <c r="D1671" s="57" t="n"/>
      <c r="E1671" s="58" t="n"/>
      <c r="F1671" s="57" t="n"/>
      <c r="G1671" s="59" t="n"/>
      <c r="H1671" s="59" t="n"/>
      <c r="I1671" s="60">
        <f>IF(OR(G1671="",H1671=""),"",MOD(H1671-G1671,1))</f>
        <v/>
      </c>
      <c r="J1671" s="61">
        <f>IF(OR(G1671="",H1671=""),"",ROUND(MOD(H1671-G1671,1)*24,2))</f>
        <v/>
      </c>
      <c r="K1671" s="62">
        <f>IF(E1671="","",IF(E1671="Werken","JA","NEE"))</f>
        <v/>
      </c>
      <c r="L1671" s="61">
        <f>IF(K1671="JA",N(J1671),IF(E1671="","",0))</f>
        <v/>
      </c>
      <c r="M1671" s="62">
        <f>IF(AND(A1671="",E1671=""),"",IF(E1671="","Segment ontbreekt",IF(OR(G1671="",H1671=""),"Van/tot ontbreekt",IF(N(J1671)=0,"Duur is nul",IF(N(J1671)&gt;12,"Langer dan 12 uur - controleren",IF(AND(E1671="Werken",D1671=""),"Werken zonder klant - koppelen","OK"))))))</f>
        <v/>
      </c>
    </row>
    <row r="1672" ht="15" customHeight="1" s="42">
      <c r="A1672" s="55" t="n"/>
      <c r="B1672" s="56">
        <f>IF(A1672="","",WEEKNUM(A1672,21))</f>
        <v/>
      </c>
      <c r="C1672" s="57" t="n"/>
      <c r="D1672" s="57" t="n"/>
      <c r="E1672" s="58" t="n"/>
      <c r="F1672" s="57" t="n"/>
      <c r="G1672" s="59" t="n"/>
      <c r="H1672" s="59" t="n"/>
      <c r="I1672" s="60">
        <f>IF(OR(G1672="",H1672=""),"",MOD(H1672-G1672,1))</f>
        <v/>
      </c>
      <c r="J1672" s="61">
        <f>IF(OR(G1672="",H1672=""),"",ROUND(MOD(H1672-G1672,1)*24,2))</f>
        <v/>
      </c>
      <c r="K1672" s="62">
        <f>IF(E1672="","",IF(E1672="Werken","JA","NEE"))</f>
        <v/>
      </c>
      <c r="L1672" s="61">
        <f>IF(K1672="JA",N(J1672),IF(E1672="","",0))</f>
        <v/>
      </c>
      <c r="M1672" s="62">
        <f>IF(AND(A1672="",E1672=""),"",IF(E1672="","Segment ontbreekt",IF(OR(G1672="",H1672=""),"Van/tot ontbreekt",IF(N(J1672)=0,"Duur is nul",IF(N(J1672)&gt;12,"Langer dan 12 uur - controleren",IF(AND(E1672="Werken",D1672=""),"Werken zonder klant - koppelen","OK"))))))</f>
        <v/>
      </c>
    </row>
    <row r="1673" ht="15" customHeight="1" s="42">
      <c r="A1673" s="55" t="n"/>
      <c r="B1673" s="56">
        <f>IF(A1673="","",WEEKNUM(A1673,21))</f>
        <v/>
      </c>
      <c r="C1673" s="57" t="n"/>
      <c r="D1673" s="57" t="n"/>
      <c r="E1673" s="58" t="n"/>
      <c r="F1673" s="57" t="n"/>
      <c r="G1673" s="59" t="n"/>
      <c r="H1673" s="59" t="n"/>
      <c r="I1673" s="60">
        <f>IF(OR(G1673="",H1673=""),"",MOD(H1673-G1673,1))</f>
        <v/>
      </c>
      <c r="J1673" s="61">
        <f>IF(OR(G1673="",H1673=""),"",ROUND(MOD(H1673-G1673,1)*24,2))</f>
        <v/>
      </c>
      <c r="K1673" s="62">
        <f>IF(E1673="","",IF(E1673="Werken","JA","NEE"))</f>
        <v/>
      </c>
      <c r="L1673" s="61">
        <f>IF(K1673="JA",N(J1673),IF(E1673="","",0))</f>
        <v/>
      </c>
      <c r="M1673" s="62">
        <f>IF(AND(A1673="",E1673=""),"",IF(E1673="","Segment ontbreekt",IF(OR(G1673="",H1673=""),"Van/tot ontbreekt",IF(N(J1673)=0,"Duur is nul",IF(N(J1673)&gt;12,"Langer dan 12 uur - controleren",IF(AND(E1673="Werken",D1673=""),"Werken zonder klant - koppelen","OK"))))))</f>
        <v/>
      </c>
    </row>
    <row r="1674" ht="15" customHeight="1" s="42">
      <c r="A1674" s="55" t="n"/>
      <c r="B1674" s="56">
        <f>IF(A1674="","",WEEKNUM(A1674,21))</f>
        <v/>
      </c>
      <c r="C1674" s="57" t="n"/>
      <c r="D1674" s="57" t="n"/>
      <c r="E1674" s="58" t="n"/>
      <c r="F1674" s="57" t="n"/>
      <c r="G1674" s="59" t="n"/>
      <c r="H1674" s="59" t="n"/>
      <c r="I1674" s="60">
        <f>IF(OR(G1674="",H1674=""),"",MOD(H1674-G1674,1))</f>
        <v/>
      </c>
      <c r="J1674" s="61">
        <f>IF(OR(G1674="",H1674=""),"",ROUND(MOD(H1674-G1674,1)*24,2))</f>
        <v/>
      </c>
      <c r="K1674" s="62">
        <f>IF(E1674="","",IF(E1674="Werken","JA","NEE"))</f>
        <v/>
      </c>
      <c r="L1674" s="61">
        <f>IF(K1674="JA",N(J1674),IF(E1674="","",0))</f>
        <v/>
      </c>
      <c r="M1674" s="62">
        <f>IF(AND(A1674="",E1674=""),"",IF(E1674="","Segment ontbreekt",IF(OR(G1674="",H1674=""),"Van/tot ontbreekt",IF(N(J1674)=0,"Duur is nul",IF(N(J1674)&gt;12,"Langer dan 12 uur - controleren",IF(AND(E1674="Werken",D1674=""),"Werken zonder klant - koppelen","OK"))))))</f>
        <v/>
      </c>
    </row>
    <row r="1675" ht="15" customHeight="1" s="42">
      <c r="A1675" s="55" t="n"/>
      <c r="B1675" s="56">
        <f>IF(A1675="","",WEEKNUM(A1675,21))</f>
        <v/>
      </c>
      <c r="C1675" s="57" t="n"/>
      <c r="D1675" s="57" t="n"/>
      <c r="E1675" s="58" t="n"/>
      <c r="F1675" s="57" t="n"/>
      <c r="G1675" s="59" t="n"/>
      <c r="H1675" s="59" t="n"/>
      <c r="I1675" s="60">
        <f>IF(OR(G1675="",H1675=""),"",MOD(H1675-G1675,1))</f>
        <v/>
      </c>
      <c r="J1675" s="61">
        <f>IF(OR(G1675="",H1675=""),"",ROUND(MOD(H1675-G1675,1)*24,2))</f>
        <v/>
      </c>
      <c r="K1675" s="62">
        <f>IF(E1675="","",IF(E1675="Werken","JA","NEE"))</f>
        <v/>
      </c>
      <c r="L1675" s="61">
        <f>IF(K1675="JA",N(J1675),IF(E1675="","",0))</f>
        <v/>
      </c>
      <c r="M1675" s="62">
        <f>IF(AND(A1675="",E1675=""),"",IF(E1675="","Segment ontbreekt",IF(OR(G1675="",H1675=""),"Van/tot ontbreekt",IF(N(J1675)=0,"Duur is nul",IF(N(J1675)&gt;12,"Langer dan 12 uur - controleren",IF(AND(E1675="Werken",D1675=""),"Werken zonder klant - koppelen","OK"))))))</f>
        <v/>
      </c>
    </row>
    <row r="1676" ht="15" customHeight="1" s="42">
      <c r="A1676" s="55" t="n"/>
      <c r="B1676" s="56">
        <f>IF(A1676="","",WEEKNUM(A1676,21))</f>
        <v/>
      </c>
      <c r="C1676" s="57" t="n"/>
      <c r="D1676" s="57" t="n"/>
      <c r="E1676" s="58" t="n"/>
      <c r="F1676" s="57" t="n"/>
      <c r="G1676" s="59" t="n"/>
      <c r="H1676" s="59" t="n"/>
      <c r="I1676" s="60">
        <f>IF(OR(G1676="",H1676=""),"",MOD(H1676-G1676,1))</f>
        <v/>
      </c>
      <c r="J1676" s="61">
        <f>IF(OR(G1676="",H1676=""),"",ROUND(MOD(H1676-G1676,1)*24,2))</f>
        <v/>
      </c>
      <c r="K1676" s="62">
        <f>IF(E1676="","",IF(E1676="Werken","JA","NEE"))</f>
        <v/>
      </c>
      <c r="L1676" s="61">
        <f>IF(K1676="JA",N(J1676),IF(E1676="","",0))</f>
        <v/>
      </c>
      <c r="M1676" s="62">
        <f>IF(AND(A1676="",E1676=""),"",IF(E1676="","Segment ontbreekt",IF(OR(G1676="",H1676=""),"Van/tot ontbreekt",IF(N(J1676)=0,"Duur is nul",IF(N(J1676)&gt;12,"Langer dan 12 uur - controleren",IF(AND(E1676="Werken",D1676=""),"Werken zonder klant - koppelen","OK"))))))</f>
        <v/>
      </c>
    </row>
    <row r="1677" ht="15" customHeight="1" s="42">
      <c r="A1677" s="55" t="n"/>
      <c r="B1677" s="56">
        <f>IF(A1677="","",WEEKNUM(A1677,21))</f>
        <v/>
      </c>
      <c r="C1677" s="57" t="n"/>
      <c r="D1677" s="57" t="n"/>
      <c r="E1677" s="58" t="n"/>
      <c r="F1677" s="57" t="n"/>
      <c r="G1677" s="59" t="n"/>
      <c r="H1677" s="59" t="n"/>
      <c r="I1677" s="60">
        <f>IF(OR(G1677="",H1677=""),"",MOD(H1677-G1677,1))</f>
        <v/>
      </c>
      <c r="J1677" s="61">
        <f>IF(OR(G1677="",H1677=""),"",ROUND(MOD(H1677-G1677,1)*24,2))</f>
        <v/>
      </c>
      <c r="K1677" s="62">
        <f>IF(E1677="","",IF(E1677="Werken","JA","NEE"))</f>
        <v/>
      </c>
      <c r="L1677" s="61">
        <f>IF(K1677="JA",N(J1677),IF(E1677="","",0))</f>
        <v/>
      </c>
      <c r="M1677" s="62">
        <f>IF(AND(A1677="",E1677=""),"",IF(E1677="","Segment ontbreekt",IF(OR(G1677="",H1677=""),"Van/tot ontbreekt",IF(N(J1677)=0,"Duur is nul",IF(N(J1677)&gt;12,"Langer dan 12 uur - controleren",IF(AND(E1677="Werken",D1677=""),"Werken zonder klant - koppelen","OK"))))))</f>
        <v/>
      </c>
    </row>
    <row r="1678" ht="15" customHeight="1" s="42">
      <c r="A1678" s="55" t="n"/>
      <c r="B1678" s="56">
        <f>IF(A1678="","",WEEKNUM(A1678,21))</f>
        <v/>
      </c>
      <c r="C1678" s="57" t="n"/>
      <c r="D1678" s="57" t="n"/>
      <c r="E1678" s="58" t="n"/>
      <c r="F1678" s="57" t="n"/>
      <c r="G1678" s="59" t="n"/>
      <c r="H1678" s="59" t="n"/>
      <c r="I1678" s="60">
        <f>IF(OR(G1678="",H1678=""),"",MOD(H1678-G1678,1))</f>
        <v/>
      </c>
      <c r="J1678" s="61">
        <f>IF(OR(G1678="",H1678=""),"",ROUND(MOD(H1678-G1678,1)*24,2))</f>
        <v/>
      </c>
      <c r="K1678" s="62">
        <f>IF(E1678="","",IF(E1678="Werken","JA","NEE"))</f>
        <v/>
      </c>
      <c r="L1678" s="61">
        <f>IF(K1678="JA",N(J1678),IF(E1678="","",0))</f>
        <v/>
      </c>
      <c r="M1678" s="62">
        <f>IF(AND(A1678="",E1678=""),"",IF(E1678="","Segment ontbreekt",IF(OR(G1678="",H1678=""),"Van/tot ontbreekt",IF(N(J1678)=0,"Duur is nul",IF(N(J1678)&gt;12,"Langer dan 12 uur - controleren",IF(AND(E1678="Werken",D1678=""),"Werken zonder klant - koppelen","OK"))))))</f>
        <v/>
      </c>
    </row>
    <row r="1679" ht="15" customHeight="1" s="42">
      <c r="A1679" s="55" t="n"/>
      <c r="B1679" s="56">
        <f>IF(A1679="","",WEEKNUM(A1679,21))</f>
        <v/>
      </c>
      <c r="C1679" s="57" t="n"/>
      <c r="D1679" s="57" t="n"/>
      <c r="E1679" s="58" t="n"/>
      <c r="F1679" s="57" t="n"/>
      <c r="G1679" s="59" t="n"/>
      <c r="H1679" s="59" t="n"/>
      <c r="I1679" s="60">
        <f>IF(OR(G1679="",H1679=""),"",MOD(H1679-G1679,1))</f>
        <v/>
      </c>
      <c r="J1679" s="61">
        <f>IF(OR(G1679="",H1679=""),"",ROUND(MOD(H1679-G1679,1)*24,2))</f>
        <v/>
      </c>
      <c r="K1679" s="62">
        <f>IF(E1679="","",IF(E1679="Werken","JA","NEE"))</f>
        <v/>
      </c>
      <c r="L1679" s="61">
        <f>IF(K1679="JA",N(J1679),IF(E1679="","",0))</f>
        <v/>
      </c>
      <c r="M1679" s="62">
        <f>IF(AND(A1679="",E1679=""),"",IF(E1679="","Segment ontbreekt",IF(OR(G1679="",H1679=""),"Van/tot ontbreekt",IF(N(J1679)=0,"Duur is nul",IF(N(J1679)&gt;12,"Langer dan 12 uur - controleren",IF(AND(E1679="Werken",D1679=""),"Werken zonder klant - koppelen","OK"))))))</f>
        <v/>
      </c>
    </row>
    <row r="1680" ht="15" customHeight="1" s="42">
      <c r="A1680" s="55" t="n"/>
      <c r="B1680" s="56">
        <f>IF(A1680="","",WEEKNUM(A1680,21))</f>
        <v/>
      </c>
      <c r="C1680" s="57" t="n"/>
      <c r="D1680" s="57" t="n"/>
      <c r="E1680" s="58" t="n"/>
      <c r="F1680" s="57" t="n"/>
      <c r="G1680" s="59" t="n"/>
      <c r="H1680" s="59" t="n"/>
      <c r="I1680" s="60">
        <f>IF(OR(G1680="",H1680=""),"",MOD(H1680-G1680,1))</f>
        <v/>
      </c>
      <c r="J1680" s="61">
        <f>IF(OR(G1680="",H1680=""),"",ROUND(MOD(H1680-G1680,1)*24,2))</f>
        <v/>
      </c>
      <c r="K1680" s="62">
        <f>IF(E1680="","",IF(E1680="Werken","JA","NEE"))</f>
        <v/>
      </c>
      <c r="L1680" s="61">
        <f>IF(K1680="JA",N(J1680),IF(E1680="","",0))</f>
        <v/>
      </c>
      <c r="M1680" s="62">
        <f>IF(AND(A1680="",E1680=""),"",IF(E1680="","Segment ontbreekt",IF(OR(G1680="",H1680=""),"Van/tot ontbreekt",IF(N(J1680)=0,"Duur is nul",IF(N(J1680)&gt;12,"Langer dan 12 uur - controleren",IF(AND(E1680="Werken",D1680=""),"Werken zonder klant - koppelen","OK"))))))</f>
        <v/>
      </c>
    </row>
    <row r="1681" ht="15" customHeight="1" s="42">
      <c r="A1681" s="55" t="n"/>
      <c r="B1681" s="56">
        <f>IF(A1681="","",WEEKNUM(A1681,21))</f>
        <v/>
      </c>
      <c r="C1681" s="57" t="n"/>
      <c r="D1681" s="57" t="n"/>
      <c r="E1681" s="58" t="n"/>
      <c r="F1681" s="57" t="n"/>
      <c r="G1681" s="59" t="n"/>
      <c r="H1681" s="59" t="n"/>
      <c r="I1681" s="60">
        <f>IF(OR(G1681="",H1681=""),"",MOD(H1681-G1681,1))</f>
        <v/>
      </c>
      <c r="J1681" s="61">
        <f>IF(OR(G1681="",H1681=""),"",ROUND(MOD(H1681-G1681,1)*24,2))</f>
        <v/>
      </c>
      <c r="K1681" s="62">
        <f>IF(E1681="","",IF(E1681="Werken","JA","NEE"))</f>
        <v/>
      </c>
      <c r="L1681" s="61">
        <f>IF(K1681="JA",N(J1681),IF(E1681="","",0))</f>
        <v/>
      </c>
      <c r="M1681" s="62">
        <f>IF(AND(A1681="",E1681=""),"",IF(E1681="","Segment ontbreekt",IF(OR(G1681="",H1681=""),"Van/tot ontbreekt",IF(N(J1681)=0,"Duur is nul",IF(N(J1681)&gt;12,"Langer dan 12 uur - controleren",IF(AND(E1681="Werken",D1681=""),"Werken zonder klant - koppelen","OK"))))))</f>
        <v/>
      </c>
    </row>
    <row r="1682" ht="15" customHeight="1" s="42">
      <c r="A1682" s="55" t="n"/>
      <c r="B1682" s="56">
        <f>IF(A1682="","",WEEKNUM(A1682,21))</f>
        <v/>
      </c>
      <c r="C1682" s="57" t="n"/>
      <c r="D1682" s="57" t="n"/>
      <c r="E1682" s="58" t="n"/>
      <c r="F1682" s="57" t="n"/>
      <c r="G1682" s="59" t="n"/>
      <c r="H1682" s="59" t="n"/>
      <c r="I1682" s="60">
        <f>IF(OR(G1682="",H1682=""),"",MOD(H1682-G1682,1))</f>
        <v/>
      </c>
      <c r="J1682" s="61">
        <f>IF(OR(G1682="",H1682=""),"",ROUND(MOD(H1682-G1682,1)*24,2))</f>
        <v/>
      </c>
      <c r="K1682" s="62">
        <f>IF(E1682="","",IF(E1682="Werken","JA","NEE"))</f>
        <v/>
      </c>
      <c r="L1682" s="61">
        <f>IF(K1682="JA",N(J1682),IF(E1682="","",0))</f>
        <v/>
      </c>
      <c r="M1682" s="62">
        <f>IF(AND(A1682="",E1682=""),"",IF(E1682="","Segment ontbreekt",IF(OR(G1682="",H1682=""),"Van/tot ontbreekt",IF(N(J1682)=0,"Duur is nul",IF(N(J1682)&gt;12,"Langer dan 12 uur - controleren",IF(AND(E1682="Werken",D1682=""),"Werken zonder klant - koppelen","OK"))))))</f>
        <v/>
      </c>
    </row>
    <row r="1683" ht="15" customHeight="1" s="42">
      <c r="A1683" s="55" t="n"/>
      <c r="B1683" s="56">
        <f>IF(A1683="","",WEEKNUM(A1683,21))</f>
        <v/>
      </c>
      <c r="C1683" s="57" t="n"/>
      <c r="D1683" s="57" t="n"/>
      <c r="E1683" s="58" t="n"/>
      <c r="F1683" s="57" t="n"/>
      <c r="G1683" s="59" t="n"/>
      <c r="H1683" s="59" t="n"/>
      <c r="I1683" s="60">
        <f>IF(OR(G1683="",H1683=""),"",MOD(H1683-G1683,1))</f>
        <v/>
      </c>
      <c r="J1683" s="61">
        <f>IF(OR(G1683="",H1683=""),"",ROUND(MOD(H1683-G1683,1)*24,2))</f>
        <v/>
      </c>
      <c r="K1683" s="62">
        <f>IF(E1683="","",IF(E1683="Werken","JA","NEE"))</f>
        <v/>
      </c>
      <c r="L1683" s="61">
        <f>IF(K1683="JA",N(J1683),IF(E1683="","",0))</f>
        <v/>
      </c>
      <c r="M1683" s="62">
        <f>IF(AND(A1683="",E1683=""),"",IF(E1683="","Segment ontbreekt",IF(OR(G1683="",H1683=""),"Van/tot ontbreekt",IF(N(J1683)=0,"Duur is nul",IF(N(J1683)&gt;12,"Langer dan 12 uur - controleren",IF(AND(E1683="Werken",D1683=""),"Werken zonder klant - koppelen","OK"))))))</f>
        <v/>
      </c>
    </row>
    <row r="1684" ht="15" customHeight="1" s="42">
      <c r="A1684" s="55" t="n"/>
      <c r="B1684" s="56">
        <f>IF(A1684="","",WEEKNUM(A1684,21))</f>
        <v/>
      </c>
      <c r="C1684" s="57" t="n"/>
      <c r="D1684" s="57" t="n"/>
      <c r="E1684" s="58" t="n"/>
      <c r="F1684" s="57" t="n"/>
      <c r="G1684" s="59" t="n"/>
      <c r="H1684" s="59" t="n"/>
      <c r="I1684" s="60">
        <f>IF(OR(G1684="",H1684=""),"",MOD(H1684-G1684,1))</f>
        <v/>
      </c>
      <c r="J1684" s="61">
        <f>IF(OR(G1684="",H1684=""),"",ROUND(MOD(H1684-G1684,1)*24,2))</f>
        <v/>
      </c>
      <c r="K1684" s="62">
        <f>IF(E1684="","",IF(E1684="Werken","JA","NEE"))</f>
        <v/>
      </c>
      <c r="L1684" s="61">
        <f>IF(K1684="JA",N(J1684),IF(E1684="","",0))</f>
        <v/>
      </c>
      <c r="M1684" s="62">
        <f>IF(AND(A1684="",E1684=""),"",IF(E1684="","Segment ontbreekt",IF(OR(G1684="",H1684=""),"Van/tot ontbreekt",IF(N(J1684)=0,"Duur is nul",IF(N(J1684)&gt;12,"Langer dan 12 uur - controleren",IF(AND(E1684="Werken",D1684=""),"Werken zonder klant - koppelen","OK"))))))</f>
        <v/>
      </c>
    </row>
    <row r="1685" ht="15" customHeight="1" s="42">
      <c r="A1685" s="55" t="n"/>
      <c r="B1685" s="56">
        <f>IF(A1685="","",WEEKNUM(A1685,21))</f>
        <v/>
      </c>
      <c r="C1685" s="57" t="n"/>
      <c r="D1685" s="57" t="n"/>
      <c r="E1685" s="58" t="n"/>
      <c r="F1685" s="57" t="n"/>
      <c r="G1685" s="59" t="n"/>
      <c r="H1685" s="59" t="n"/>
      <c r="I1685" s="60">
        <f>IF(OR(G1685="",H1685=""),"",MOD(H1685-G1685,1))</f>
        <v/>
      </c>
      <c r="J1685" s="61">
        <f>IF(OR(G1685="",H1685=""),"",ROUND(MOD(H1685-G1685,1)*24,2))</f>
        <v/>
      </c>
      <c r="K1685" s="62">
        <f>IF(E1685="","",IF(E1685="Werken","JA","NEE"))</f>
        <v/>
      </c>
      <c r="L1685" s="61">
        <f>IF(K1685="JA",N(J1685),IF(E1685="","",0))</f>
        <v/>
      </c>
      <c r="M1685" s="62">
        <f>IF(AND(A1685="",E1685=""),"",IF(E1685="","Segment ontbreekt",IF(OR(G1685="",H1685=""),"Van/tot ontbreekt",IF(N(J1685)=0,"Duur is nul",IF(N(J1685)&gt;12,"Langer dan 12 uur - controleren",IF(AND(E1685="Werken",D1685=""),"Werken zonder klant - koppelen","OK"))))))</f>
        <v/>
      </c>
    </row>
    <row r="1686" ht="15" customHeight="1" s="42">
      <c r="A1686" s="55" t="n"/>
      <c r="B1686" s="56">
        <f>IF(A1686="","",WEEKNUM(A1686,21))</f>
        <v/>
      </c>
      <c r="C1686" s="57" t="n"/>
      <c r="D1686" s="57" t="n"/>
      <c r="E1686" s="58" t="n"/>
      <c r="F1686" s="57" t="n"/>
      <c r="G1686" s="59" t="n"/>
      <c r="H1686" s="59" t="n"/>
      <c r="I1686" s="60">
        <f>IF(OR(G1686="",H1686=""),"",MOD(H1686-G1686,1))</f>
        <v/>
      </c>
      <c r="J1686" s="61">
        <f>IF(OR(G1686="",H1686=""),"",ROUND(MOD(H1686-G1686,1)*24,2))</f>
        <v/>
      </c>
      <c r="K1686" s="62">
        <f>IF(E1686="","",IF(E1686="Werken","JA","NEE"))</f>
        <v/>
      </c>
      <c r="L1686" s="61">
        <f>IF(K1686="JA",N(J1686),IF(E1686="","",0))</f>
        <v/>
      </c>
      <c r="M1686" s="62">
        <f>IF(AND(A1686="",E1686=""),"",IF(E1686="","Segment ontbreekt",IF(OR(G1686="",H1686=""),"Van/tot ontbreekt",IF(N(J1686)=0,"Duur is nul",IF(N(J1686)&gt;12,"Langer dan 12 uur - controleren",IF(AND(E1686="Werken",D1686=""),"Werken zonder klant - koppelen","OK"))))))</f>
        <v/>
      </c>
    </row>
    <row r="1687" ht="15" customHeight="1" s="42">
      <c r="A1687" s="55" t="n"/>
      <c r="B1687" s="56">
        <f>IF(A1687="","",WEEKNUM(A1687,21))</f>
        <v/>
      </c>
      <c r="C1687" s="57" t="n"/>
      <c r="D1687" s="57" t="n"/>
      <c r="E1687" s="58" t="n"/>
      <c r="F1687" s="57" t="n"/>
      <c r="G1687" s="59" t="n"/>
      <c r="H1687" s="59" t="n"/>
      <c r="I1687" s="60">
        <f>IF(OR(G1687="",H1687=""),"",MOD(H1687-G1687,1))</f>
        <v/>
      </c>
      <c r="J1687" s="61">
        <f>IF(OR(G1687="",H1687=""),"",ROUND(MOD(H1687-G1687,1)*24,2))</f>
        <v/>
      </c>
      <c r="K1687" s="62">
        <f>IF(E1687="","",IF(E1687="Werken","JA","NEE"))</f>
        <v/>
      </c>
      <c r="L1687" s="61">
        <f>IF(K1687="JA",N(J1687),IF(E1687="","",0))</f>
        <v/>
      </c>
      <c r="M1687" s="62">
        <f>IF(AND(A1687="",E1687=""),"",IF(E1687="","Segment ontbreekt",IF(OR(G1687="",H1687=""),"Van/tot ontbreekt",IF(N(J1687)=0,"Duur is nul",IF(N(J1687)&gt;12,"Langer dan 12 uur - controleren",IF(AND(E1687="Werken",D1687=""),"Werken zonder klant - koppelen","OK"))))))</f>
        <v/>
      </c>
    </row>
    <row r="1688" ht="15" customHeight="1" s="42">
      <c r="A1688" s="55" t="n"/>
      <c r="B1688" s="56">
        <f>IF(A1688="","",WEEKNUM(A1688,21))</f>
        <v/>
      </c>
      <c r="C1688" s="57" t="n"/>
      <c r="D1688" s="57" t="n"/>
      <c r="E1688" s="58" t="n"/>
      <c r="F1688" s="57" t="n"/>
      <c r="G1688" s="59" t="n"/>
      <c r="H1688" s="59" t="n"/>
      <c r="I1688" s="60">
        <f>IF(OR(G1688="",H1688=""),"",MOD(H1688-G1688,1))</f>
        <v/>
      </c>
      <c r="J1688" s="61">
        <f>IF(OR(G1688="",H1688=""),"",ROUND(MOD(H1688-G1688,1)*24,2))</f>
        <v/>
      </c>
      <c r="K1688" s="62">
        <f>IF(E1688="","",IF(E1688="Werken","JA","NEE"))</f>
        <v/>
      </c>
      <c r="L1688" s="61">
        <f>IF(K1688="JA",N(J1688),IF(E1688="","",0))</f>
        <v/>
      </c>
      <c r="M1688" s="62">
        <f>IF(AND(A1688="",E1688=""),"",IF(E1688="","Segment ontbreekt",IF(OR(G1688="",H1688=""),"Van/tot ontbreekt",IF(N(J1688)=0,"Duur is nul",IF(N(J1688)&gt;12,"Langer dan 12 uur - controleren",IF(AND(E1688="Werken",D1688=""),"Werken zonder klant - koppelen","OK"))))))</f>
        <v/>
      </c>
    </row>
    <row r="1689" ht="15" customHeight="1" s="42">
      <c r="A1689" s="55" t="n"/>
      <c r="B1689" s="56">
        <f>IF(A1689="","",WEEKNUM(A1689,21))</f>
        <v/>
      </c>
      <c r="C1689" s="57" t="n"/>
      <c r="D1689" s="57" t="n"/>
      <c r="E1689" s="58" t="n"/>
      <c r="F1689" s="57" t="n"/>
      <c r="G1689" s="59" t="n"/>
      <c r="H1689" s="59" t="n"/>
      <c r="I1689" s="60">
        <f>IF(OR(G1689="",H1689=""),"",MOD(H1689-G1689,1))</f>
        <v/>
      </c>
      <c r="J1689" s="61">
        <f>IF(OR(G1689="",H1689=""),"",ROUND(MOD(H1689-G1689,1)*24,2))</f>
        <v/>
      </c>
      <c r="K1689" s="62">
        <f>IF(E1689="","",IF(E1689="Werken","JA","NEE"))</f>
        <v/>
      </c>
      <c r="L1689" s="61">
        <f>IF(K1689="JA",N(J1689),IF(E1689="","",0))</f>
        <v/>
      </c>
      <c r="M1689" s="62">
        <f>IF(AND(A1689="",E1689=""),"",IF(E1689="","Segment ontbreekt",IF(OR(G1689="",H1689=""),"Van/tot ontbreekt",IF(N(J1689)=0,"Duur is nul",IF(N(J1689)&gt;12,"Langer dan 12 uur - controleren",IF(AND(E1689="Werken",D1689=""),"Werken zonder klant - koppelen","OK"))))))</f>
        <v/>
      </c>
    </row>
    <row r="1690" ht="15" customHeight="1" s="42">
      <c r="A1690" s="55" t="n"/>
      <c r="B1690" s="56">
        <f>IF(A1690="","",WEEKNUM(A1690,21))</f>
        <v/>
      </c>
      <c r="C1690" s="57" t="n"/>
      <c r="D1690" s="57" t="n"/>
      <c r="E1690" s="58" t="n"/>
      <c r="F1690" s="57" t="n"/>
      <c r="G1690" s="59" t="n"/>
      <c r="H1690" s="59" t="n"/>
      <c r="I1690" s="60">
        <f>IF(OR(G1690="",H1690=""),"",MOD(H1690-G1690,1))</f>
        <v/>
      </c>
      <c r="J1690" s="61">
        <f>IF(OR(G1690="",H1690=""),"",ROUND(MOD(H1690-G1690,1)*24,2))</f>
        <v/>
      </c>
      <c r="K1690" s="62">
        <f>IF(E1690="","",IF(E1690="Werken","JA","NEE"))</f>
        <v/>
      </c>
      <c r="L1690" s="61">
        <f>IF(K1690="JA",N(J1690),IF(E1690="","",0))</f>
        <v/>
      </c>
      <c r="M1690" s="62">
        <f>IF(AND(A1690="",E1690=""),"",IF(E1690="","Segment ontbreekt",IF(OR(G1690="",H1690=""),"Van/tot ontbreekt",IF(N(J1690)=0,"Duur is nul",IF(N(J1690)&gt;12,"Langer dan 12 uur - controleren",IF(AND(E1690="Werken",D1690=""),"Werken zonder klant - koppelen","OK"))))))</f>
        <v/>
      </c>
    </row>
    <row r="1691" ht="15" customHeight="1" s="42">
      <c r="A1691" s="55" t="n"/>
      <c r="B1691" s="56">
        <f>IF(A1691="","",WEEKNUM(A1691,21))</f>
        <v/>
      </c>
      <c r="C1691" s="57" t="n"/>
      <c r="D1691" s="57" t="n"/>
      <c r="E1691" s="58" t="n"/>
      <c r="F1691" s="57" t="n"/>
      <c r="G1691" s="59" t="n"/>
      <c r="H1691" s="59" t="n"/>
      <c r="I1691" s="60">
        <f>IF(OR(G1691="",H1691=""),"",MOD(H1691-G1691,1))</f>
        <v/>
      </c>
      <c r="J1691" s="61">
        <f>IF(OR(G1691="",H1691=""),"",ROUND(MOD(H1691-G1691,1)*24,2))</f>
        <v/>
      </c>
      <c r="K1691" s="62">
        <f>IF(E1691="","",IF(E1691="Werken","JA","NEE"))</f>
        <v/>
      </c>
      <c r="L1691" s="61">
        <f>IF(K1691="JA",N(J1691),IF(E1691="","",0))</f>
        <v/>
      </c>
      <c r="M1691" s="62">
        <f>IF(AND(A1691="",E1691=""),"",IF(E1691="","Segment ontbreekt",IF(OR(G1691="",H1691=""),"Van/tot ontbreekt",IF(N(J1691)=0,"Duur is nul",IF(N(J1691)&gt;12,"Langer dan 12 uur - controleren",IF(AND(E1691="Werken",D1691=""),"Werken zonder klant - koppelen","OK"))))))</f>
        <v/>
      </c>
    </row>
    <row r="1692" ht="15" customHeight="1" s="42">
      <c r="A1692" s="55" t="n"/>
      <c r="B1692" s="56">
        <f>IF(A1692="","",WEEKNUM(A1692,21))</f>
        <v/>
      </c>
      <c r="C1692" s="57" t="n"/>
      <c r="D1692" s="57" t="n"/>
      <c r="E1692" s="58" t="n"/>
      <c r="F1692" s="57" t="n"/>
      <c r="G1692" s="59" t="n"/>
      <c r="H1692" s="59" t="n"/>
      <c r="I1692" s="60">
        <f>IF(OR(G1692="",H1692=""),"",MOD(H1692-G1692,1))</f>
        <v/>
      </c>
      <c r="J1692" s="61">
        <f>IF(OR(G1692="",H1692=""),"",ROUND(MOD(H1692-G1692,1)*24,2))</f>
        <v/>
      </c>
      <c r="K1692" s="62">
        <f>IF(E1692="","",IF(E1692="Werken","JA","NEE"))</f>
        <v/>
      </c>
      <c r="L1692" s="61">
        <f>IF(K1692="JA",N(J1692),IF(E1692="","",0))</f>
        <v/>
      </c>
      <c r="M1692" s="62">
        <f>IF(AND(A1692="",E1692=""),"",IF(E1692="","Segment ontbreekt",IF(OR(G1692="",H1692=""),"Van/tot ontbreekt",IF(N(J1692)=0,"Duur is nul",IF(N(J1692)&gt;12,"Langer dan 12 uur - controleren",IF(AND(E1692="Werken",D1692=""),"Werken zonder klant - koppelen","OK"))))))</f>
        <v/>
      </c>
    </row>
    <row r="1693" ht="15" customHeight="1" s="42">
      <c r="A1693" s="55" t="n"/>
      <c r="B1693" s="56">
        <f>IF(A1693="","",WEEKNUM(A1693,21))</f>
        <v/>
      </c>
      <c r="C1693" s="57" t="n"/>
      <c r="D1693" s="57" t="n"/>
      <c r="E1693" s="58" t="n"/>
      <c r="F1693" s="57" t="n"/>
      <c r="G1693" s="59" t="n"/>
      <c r="H1693" s="59" t="n"/>
      <c r="I1693" s="60">
        <f>IF(OR(G1693="",H1693=""),"",MOD(H1693-G1693,1))</f>
        <v/>
      </c>
      <c r="J1693" s="61">
        <f>IF(OR(G1693="",H1693=""),"",ROUND(MOD(H1693-G1693,1)*24,2))</f>
        <v/>
      </c>
      <c r="K1693" s="62">
        <f>IF(E1693="","",IF(E1693="Werken","JA","NEE"))</f>
        <v/>
      </c>
      <c r="L1693" s="61">
        <f>IF(K1693="JA",N(J1693),IF(E1693="","",0))</f>
        <v/>
      </c>
      <c r="M1693" s="62">
        <f>IF(AND(A1693="",E1693=""),"",IF(E1693="","Segment ontbreekt",IF(OR(G1693="",H1693=""),"Van/tot ontbreekt",IF(N(J1693)=0,"Duur is nul",IF(N(J1693)&gt;12,"Langer dan 12 uur - controleren",IF(AND(E1693="Werken",D1693=""),"Werken zonder klant - koppelen","OK"))))))</f>
        <v/>
      </c>
    </row>
    <row r="1694" ht="15" customHeight="1" s="42">
      <c r="A1694" s="55" t="n"/>
      <c r="B1694" s="56">
        <f>IF(A1694="","",WEEKNUM(A1694,21))</f>
        <v/>
      </c>
      <c r="C1694" s="57" t="n"/>
      <c r="D1694" s="57" t="n"/>
      <c r="E1694" s="58" t="n"/>
      <c r="F1694" s="57" t="n"/>
      <c r="G1694" s="59" t="n"/>
      <c r="H1694" s="59" t="n"/>
      <c r="I1694" s="60">
        <f>IF(OR(G1694="",H1694=""),"",MOD(H1694-G1694,1))</f>
        <v/>
      </c>
      <c r="J1694" s="61">
        <f>IF(OR(G1694="",H1694=""),"",ROUND(MOD(H1694-G1694,1)*24,2))</f>
        <v/>
      </c>
      <c r="K1694" s="62">
        <f>IF(E1694="","",IF(E1694="Werken","JA","NEE"))</f>
        <v/>
      </c>
      <c r="L1694" s="61">
        <f>IF(K1694="JA",N(J1694),IF(E1694="","",0))</f>
        <v/>
      </c>
      <c r="M1694" s="62">
        <f>IF(AND(A1694="",E1694=""),"",IF(E1694="","Segment ontbreekt",IF(OR(G1694="",H1694=""),"Van/tot ontbreekt",IF(N(J1694)=0,"Duur is nul",IF(N(J1694)&gt;12,"Langer dan 12 uur - controleren",IF(AND(E1694="Werken",D1694=""),"Werken zonder klant - koppelen","OK"))))))</f>
        <v/>
      </c>
    </row>
    <row r="1695" ht="15" customHeight="1" s="42">
      <c r="A1695" s="55" t="n"/>
      <c r="B1695" s="56">
        <f>IF(A1695="","",WEEKNUM(A1695,21))</f>
        <v/>
      </c>
      <c r="C1695" s="57" t="n"/>
      <c r="D1695" s="57" t="n"/>
      <c r="E1695" s="58" t="n"/>
      <c r="F1695" s="57" t="n"/>
      <c r="G1695" s="59" t="n"/>
      <c r="H1695" s="59" t="n"/>
      <c r="I1695" s="60">
        <f>IF(OR(G1695="",H1695=""),"",MOD(H1695-G1695,1))</f>
        <v/>
      </c>
      <c r="J1695" s="61">
        <f>IF(OR(G1695="",H1695=""),"",ROUND(MOD(H1695-G1695,1)*24,2))</f>
        <v/>
      </c>
      <c r="K1695" s="62">
        <f>IF(E1695="","",IF(E1695="Werken","JA","NEE"))</f>
        <v/>
      </c>
      <c r="L1695" s="61">
        <f>IF(K1695="JA",N(J1695),IF(E1695="","",0))</f>
        <v/>
      </c>
      <c r="M1695" s="62">
        <f>IF(AND(A1695="",E1695=""),"",IF(E1695="","Segment ontbreekt",IF(OR(G1695="",H1695=""),"Van/tot ontbreekt",IF(N(J1695)=0,"Duur is nul",IF(N(J1695)&gt;12,"Langer dan 12 uur - controleren",IF(AND(E1695="Werken",D1695=""),"Werken zonder klant - koppelen","OK"))))))</f>
        <v/>
      </c>
    </row>
    <row r="1696" ht="15" customHeight="1" s="42">
      <c r="A1696" s="55" t="n"/>
      <c r="B1696" s="56">
        <f>IF(A1696="","",WEEKNUM(A1696,21))</f>
        <v/>
      </c>
      <c r="C1696" s="57" t="n"/>
      <c r="D1696" s="57" t="n"/>
      <c r="E1696" s="58" t="n"/>
      <c r="F1696" s="57" t="n"/>
      <c r="G1696" s="59" t="n"/>
      <c r="H1696" s="59" t="n"/>
      <c r="I1696" s="60">
        <f>IF(OR(G1696="",H1696=""),"",MOD(H1696-G1696,1))</f>
        <v/>
      </c>
      <c r="J1696" s="61">
        <f>IF(OR(G1696="",H1696=""),"",ROUND(MOD(H1696-G1696,1)*24,2))</f>
        <v/>
      </c>
      <c r="K1696" s="62">
        <f>IF(E1696="","",IF(E1696="Werken","JA","NEE"))</f>
        <v/>
      </c>
      <c r="L1696" s="61">
        <f>IF(K1696="JA",N(J1696),IF(E1696="","",0))</f>
        <v/>
      </c>
      <c r="M1696" s="62">
        <f>IF(AND(A1696="",E1696=""),"",IF(E1696="","Segment ontbreekt",IF(OR(G1696="",H1696=""),"Van/tot ontbreekt",IF(N(J1696)=0,"Duur is nul",IF(N(J1696)&gt;12,"Langer dan 12 uur - controleren",IF(AND(E1696="Werken",D1696=""),"Werken zonder klant - koppelen","OK"))))))</f>
        <v/>
      </c>
    </row>
    <row r="1697" ht="15" customHeight="1" s="42">
      <c r="A1697" s="55" t="n"/>
      <c r="B1697" s="56">
        <f>IF(A1697="","",WEEKNUM(A1697,21))</f>
        <v/>
      </c>
      <c r="C1697" s="57" t="n"/>
      <c r="D1697" s="57" t="n"/>
      <c r="E1697" s="58" t="n"/>
      <c r="F1697" s="57" t="n"/>
      <c r="G1697" s="59" t="n"/>
      <c r="H1697" s="59" t="n"/>
      <c r="I1697" s="60">
        <f>IF(OR(G1697="",H1697=""),"",MOD(H1697-G1697,1))</f>
        <v/>
      </c>
      <c r="J1697" s="61">
        <f>IF(OR(G1697="",H1697=""),"",ROUND(MOD(H1697-G1697,1)*24,2))</f>
        <v/>
      </c>
      <c r="K1697" s="62">
        <f>IF(E1697="","",IF(E1697="Werken","JA","NEE"))</f>
        <v/>
      </c>
      <c r="L1697" s="61">
        <f>IF(K1697="JA",N(J1697),IF(E1697="","",0))</f>
        <v/>
      </c>
      <c r="M1697" s="62">
        <f>IF(AND(A1697="",E1697=""),"",IF(E1697="","Segment ontbreekt",IF(OR(G1697="",H1697=""),"Van/tot ontbreekt",IF(N(J1697)=0,"Duur is nul",IF(N(J1697)&gt;12,"Langer dan 12 uur - controleren",IF(AND(E1697="Werken",D1697=""),"Werken zonder klant - koppelen","OK"))))))</f>
        <v/>
      </c>
    </row>
    <row r="1698" ht="15" customHeight="1" s="42">
      <c r="A1698" s="55" t="n"/>
      <c r="B1698" s="56">
        <f>IF(A1698="","",WEEKNUM(A1698,21))</f>
        <v/>
      </c>
      <c r="C1698" s="57" t="n"/>
      <c r="D1698" s="57" t="n"/>
      <c r="E1698" s="58" t="n"/>
      <c r="F1698" s="57" t="n"/>
      <c r="G1698" s="59" t="n"/>
      <c r="H1698" s="59" t="n"/>
      <c r="I1698" s="60">
        <f>IF(OR(G1698="",H1698=""),"",MOD(H1698-G1698,1))</f>
        <v/>
      </c>
      <c r="J1698" s="61">
        <f>IF(OR(G1698="",H1698=""),"",ROUND(MOD(H1698-G1698,1)*24,2))</f>
        <v/>
      </c>
      <c r="K1698" s="62">
        <f>IF(E1698="","",IF(E1698="Werken","JA","NEE"))</f>
        <v/>
      </c>
      <c r="L1698" s="61">
        <f>IF(K1698="JA",N(J1698),IF(E1698="","",0))</f>
        <v/>
      </c>
      <c r="M1698" s="62">
        <f>IF(AND(A1698="",E1698=""),"",IF(E1698="","Segment ontbreekt",IF(OR(G1698="",H1698=""),"Van/tot ontbreekt",IF(N(J1698)=0,"Duur is nul",IF(N(J1698)&gt;12,"Langer dan 12 uur - controleren",IF(AND(E1698="Werken",D1698=""),"Werken zonder klant - koppelen","OK"))))))</f>
        <v/>
      </c>
    </row>
    <row r="1699" ht="15" customHeight="1" s="42">
      <c r="A1699" s="55" t="n"/>
      <c r="B1699" s="56">
        <f>IF(A1699="","",WEEKNUM(A1699,21))</f>
        <v/>
      </c>
      <c r="C1699" s="57" t="n"/>
      <c r="D1699" s="57" t="n"/>
      <c r="E1699" s="58" t="n"/>
      <c r="F1699" s="57" t="n"/>
      <c r="G1699" s="59" t="n"/>
      <c r="H1699" s="59" t="n"/>
      <c r="I1699" s="60">
        <f>IF(OR(G1699="",H1699=""),"",MOD(H1699-G1699,1))</f>
        <v/>
      </c>
      <c r="J1699" s="61">
        <f>IF(OR(G1699="",H1699=""),"",ROUND(MOD(H1699-G1699,1)*24,2))</f>
        <v/>
      </c>
      <c r="K1699" s="62">
        <f>IF(E1699="","",IF(E1699="Werken","JA","NEE"))</f>
        <v/>
      </c>
      <c r="L1699" s="61">
        <f>IF(K1699="JA",N(J1699),IF(E1699="","",0))</f>
        <v/>
      </c>
      <c r="M1699" s="62">
        <f>IF(AND(A1699="",E1699=""),"",IF(E1699="","Segment ontbreekt",IF(OR(G1699="",H1699=""),"Van/tot ontbreekt",IF(N(J1699)=0,"Duur is nul",IF(N(J1699)&gt;12,"Langer dan 12 uur - controleren",IF(AND(E1699="Werken",D1699=""),"Werken zonder klant - koppelen","OK"))))))</f>
        <v/>
      </c>
    </row>
    <row r="1700" ht="15" customHeight="1" s="42">
      <c r="A1700" s="55" t="n"/>
      <c r="B1700" s="56">
        <f>IF(A1700="","",WEEKNUM(A1700,21))</f>
        <v/>
      </c>
      <c r="C1700" s="57" t="n"/>
      <c r="D1700" s="57" t="n"/>
      <c r="E1700" s="58" t="n"/>
      <c r="F1700" s="57" t="n"/>
      <c r="G1700" s="59" t="n"/>
      <c r="H1700" s="59" t="n"/>
      <c r="I1700" s="60">
        <f>IF(OR(G1700="",H1700=""),"",MOD(H1700-G1700,1))</f>
        <v/>
      </c>
      <c r="J1700" s="61">
        <f>IF(OR(G1700="",H1700=""),"",ROUND(MOD(H1700-G1700,1)*24,2))</f>
        <v/>
      </c>
      <c r="K1700" s="62">
        <f>IF(E1700="","",IF(E1700="Werken","JA","NEE"))</f>
        <v/>
      </c>
      <c r="L1700" s="61">
        <f>IF(K1700="JA",N(J1700),IF(E1700="","",0))</f>
        <v/>
      </c>
      <c r="M1700" s="62">
        <f>IF(AND(A1700="",E1700=""),"",IF(E1700="","Segment ontbreekt",IF(OR(G1700="",H1700=""),"Van/tot ontbreekt",IF(N(J1700)=0,"Duur is nul",IF(N(J1700)&gt;12,"Langer dan 12 uur - controleren",IF(AND(E1700="Werken",D1700=""),"Werken zonder klant - koppelen","OK"))))))</f>
        <v/>
      </c>
    </row>
    <row r="1701" ht="15" customHeight="1" s="42">
      <c r="A1701" s="55" t="n"/>
      <c r="B1701" s="56">
        <f>IF(A1701="","",WEEKNUM(A1701,21))</f>
        <v/>
      </c>
      <c r="C1701" s="57" t="n"/>
      <c r="D1701" s="57" t="n"/>
      <c r="E1701" s="58" t="n"/>
      <c r="F1701" s="57" t="n"/>
      <c r="G1701" s="59" t="n"/>
      <c r="H1701" s="59" t="n"/>
      <c r="I1701" s="60">
        <f>IF(OR(G1701="",H1701=""),"",MOD(H1701-G1701,1))</f>
        <v/>
      </c>
      <c r="J1701" s="61">
        <f>IF(OR(G1701="",H1701=""),"",ROUND(MOD(H1701-G1701,1)*24,2))</f>
        <v/>
      </c>
      <c r="K1701" s="62">
        <f>IF(E1701="","",IF(E1701="Werken","JA","NEE"))</f>
        <v/>
      </c>
      <c r="L1701" s="61">
        <f>IF(K1701="JA",N(J1701),IF(E1701="","",0))</f>
        <v/>
      </c>
      <c r="M1701" s="62">
        <f>IF(AND(A1701="",E1701=""),"",IF(E1701="","Segment ontbreekt",IF(OR(G1701="",H1701=""),"Van/tot ontbreekt",IF(N(J1701)=0,"Duur is nul",IF(N(J1701)&gt;12,"Langer dan 12 uur - controleren",IF(AND(E1701="Werken",D1701=""),"Werken zonder klant - koppelen","OK"))))))</f>
        <v/>
      </c>
    </row>
    <row r="1702" ht="15" customHeight="1" s="42">
      <c r="A1702" s="55" t="n"/>
      <c r="B1702" s="56">
        <f>IF(A1702="","",WEEKNUM(A1702,21))</f>
        <v/>
      </c>
      <c r="C1702" s="57" t="n"/>
      <c r="D1702" s="57" t="n"/>
      <c r="E1702" s="58" t="n"/>
      <c r="F1702" s="57" t="n"/>
      <c r="G1702" s="59" t="n"/>
      <c r="H1702" s="59" t="n"/>
      <c r="I1702" s="60">
        <f>IF(OR(G1702="",H1702=""),"",MOD(H1702-G1702,1))</f>
        <v/>
      </c>
      <c r="J1702" s="61">
        <f>IF(OR(G1702="",H1702=""),"",ROUND(MOD(H1702-G1702,1)*24,2))</f>
        <v/>
      </c>
      <c r="K1702" s="62">
        <f>IF(E1702="","",IF(E1702="Werken","JA","NEE"))</f>
        <v/>
      </c>
      <c r="L1702" s="61">
        <f>IF(K1702="JA",N(J1702),IF(E1702="","",0))</f>
        <v/>
      </c>
      <c r="M1702" s="62">
        <f>IF(AND(A1702="",E1702=""),"",IF(E1702="","Segment ontbreekt",IF(OR(G1702="",H1702=""),"Van/tot ontbreekt",IF(N(J1702)=0,"Duur is nul",IF(N(J1702)&gt;12,"Langer dan 12 uur - controleren",IF(AND(E1702="Werken",D1702=""),"Werken zonder klant - koppelen","OK"))))))</f>
        <v/>
      </c>
    </row>
    <row r="1703" ht="15" customHeight="1" s="42">
      <c r="A1703" s="55" t="n"/>
      <c r="B1703" s="56">
        <f>IF(A1703="","",WEEKNUM(A1703,21))</f>
        <v/>
      </c>
      <c r="C1703" s="57" t="n"/>
      <c r="D1703" s="57" t="n"/>
      <c r="E1703" s="58" t="n"/>
      <c r="F1703" s="57" t="n"/>
      <c r="G1703" s="59" t="n"/>
      <c r="H1703" s="59" t="n"/>
      <c r="I1703" s="60">
        <f>IF(OR(G1703="",H1703=""),"",MOD(H1703-G1703,1))</f>
        <v/>
      </c>
      <c r="J1703" s="61">
        <f>IF(OR(G1703="",H1703=""),"",ROUND(MOD(H1703-G1703,1)*24,2))</f>
        <v/>
      </c>
      <c r="K1703" s="62">
        <f>IF(E1703="","",IF(E1703="Werken","JA","NEE"))</f>
        <v/>
      </c>
      <c r="L1703" s="61">
        <f>IF(K1703="JA",N(J1703),IF(E1703="","",0))</f>
        <v/>
      </c>
      <c r="M1703" s="62">
        <f>IF(AND(A1703="",E1703=""),"",IF(E1703="","Segment ontbreekt",IF(OR(G1703="",H1703=""),"Van/tot ontbreekt",IF(N(J1703)=0,"Duur is nul",IF(N(J1703)&gt;12,"Langer dan 12 uur - controleren",IF(AND(E1703="Werken",D1703=""),"Werken zonder klant - koppelen","OK"))))))</f>
        <v/>
      </c>
    </row>
    <row r="1704" ht="15" customHeight="1" s="42">
      <c r="A1704" s="55" t="n"/>
      <c r="B1704" s="56">
        <f>IF(A1704="","",WEEKNUM(A1704,21))</f>
        <v/>
      </c>
      <c r="C1704" s="57" t="n"/>
      <c r="D1704" s="57" t="n"/>
      <c r="E1704" s="58" t="n"/>
      <c r="F1704" s="57" t="n"/>
      <c r="G1704" s="59" t="n"/>
      <c r="H1704" s="59" t="n"/>
      <c r="I1704" s="60">
        <f>IF(OR(G1704="",H1704=""),"",MOD(H1704-G1704,1))</f>
        <v/>
      </c>
      <c r="J1704" s="61">
        <f>IF(OR(G1704="",H1704=""),"",ROUND(MOD(H1704-G1704,1)*24,2))</f>
        <v/>
      </c>
      <c r="K1704" s="62">
        <f>IF(E1704="","",IF(E1704="Werken","JA","NEE"))</f>
        <v/>
      </c>
      <c r="L1704" s="61">
        <f>IF(K1704="JA",N(J1704),IF(E1704="","",0))</f>
        <v/>
      </c>
      <c r="M1704" s="62">
        <f>IF(AND(A1704="",E1704=""),"",IF(E1704="","Segment ontbreekt",IF(OR(G1704="",H1704=""),"Van/tot ontbreekt",IF(N(J1704)=0,"Duur is nul",IF(N(J1704)&gt;12,"Langer dan 12 uur - controleren",IF(AND(E1704="Werken",D1704=""),"Werken zonder klant - koppelen","OK"))))))</f>
        <v/>
      </c>
    </row>
    <row r="1705" ht="15" customHeight="1" s="42">
      <c r="A1705" s="55" t="n"/>
      <c r="B1705" s="56">
        <f>IF(A1705="","",WEEKNUM(A1705,21))</f>
        <v/>
      </c>
      <c r="C1705" s="57" t="n"/>
      <c r="D1705" s="57" t="n"/>
      <c r="E1705" s="58" t="n"/>
      <c r="F1705" s="57" t="n"/>
      <c r="G1705" s="59" t="n"/>
      <c r="H1705" s="59" t="n"/>
      <c r="I1705" s="60">
        <f>IF(OR(G1705="",H1705=""),"",MOD(H1705-G1705,1))</f>
        <v/>
      </c>
      <c r="J1705" s="61">
        <f>IF(OR(G1705="",H1705=""),"",ROUND(MOD(H1705-G1705,1)*24,2))</f>
        <v/>
      </c>
      <c r="K1705" s="62">
        <f>IF(E1705="","",IF(E1705="Werken","JA","NEE"))</f>
        <v/>
      </c>
      <c r="L1705" s="61">
        <f>IF(K1705="JA",N(J1705),IF(E1705="","",0))</f>
        <v/>
      </c>
      <c r="M1705" s="62">
        <f>IF(AND(A1705="",E1705=""),"",IF(E1705="","Segment ontbreekt",IF(OR(G1705="",H1705=""),"Van/tot ontbreekt",IF(N(J1705)=0,"Duur is nul",IF(N(J1705)&gt;12,"Langer dan 12 uur - controleren",IF(AND(E1705="Werken",D1705=""),"Werken zonder klant - koppelen","OK"))))))</f>
        <v/>
      </c>
    </row>
    <row r="1706" ht="15" customHeight="1" s="42">
      <c r="A1706" s="55" t="n"/>
      <c r="B1706" s="56">
        <f>IF(A1706="","",WEEKNUM(A1706,21))</f>
        <v/>
      </c>
      <c r="C1706" s="57" t="n"/>
      <c r="D1706" s="57" t="n"/>
      <c r="E1706" s="58" t="n"/>
      <c r="F1706" s="57" t="n"/>
      <c r="G1706" s="59" t="n"/>
      <c r="H1706" s="59" t="n"/>
      <c r="I1706" s="60">
        <f>IF(OR(G1706="",H1706=""),"",MOD(H1706-G1706,1))</f>
        <v/>
      </c>
      <c r="J1706" s="61">
        <f>IF(OR(G1706="",H1706=""),"",ROUND(MOD(H1706-G1706,1)*24,2))</f>
        <v/>
      </c>
      <c r="K1706" s="62">
        <f>IF(E1706="","",IF(E1706="Werken","JA","NEE"))</f>
        <v/>
      </c>
      <c r="L1706" s="61">
        <f>IF(K1706="JA",N(J1706),IF(E1706="","",0))</f>
        <v/>
      </c>
      <c r="M1706" s="62">
        <f>IF(AND(A1706="",E1706=""),"",IF(E1706="","Segment ontbreekt",IF(OR(G1706="",H1706=""),"Van/tot ontbreekt",IF(N(J1706)=0,"Duur is nul",IF(N(J1706)&gt;12,"Langer dan 12 uur - controleren",IF(AND(E1706="Werken",D1706=""),"Werken zonder klant - koppelen","OK"))))))</f>
        <v/>
      </c>
    </row>
    <row r="1707" ht="15" customHeight="1" s="42">
      <c r="A1707" s="55" t="n"/>
      <c r="B1707" s="56">
        <f>IF(A1707="","",WEEKNUM(A1707,21))</f>
        <v/>
      </c>
      <c r="C1707" s="57" t="n"/>
      <c r="D1707" s="57" t="n"/>
      <c r="E1707" s="58" t="n"/>
      <c r="F1707" s="57" t="n"/>
      <c r="G1707" s="59" t="n"/>
      <c r="H1707" s="59" t="n"/>
      <c r="I1707" s="60">
        <f>IF(OR(G1707="",H1707=""),"",MOD(H1707-G1707,1))</f>
        <v/>
      </c>
      <c r="J1707" s="61">
        <f>IF(OR(G1707="",H1707=""),"",ROUND(MOD(H1707-G1707,1)*24,2))</f>
        <v/>
      </c>
      <c r="K1707" s="62">
        <f>IF(E1707="","",IF(E1707="Werken","JA","NEE"))</f>
        <v/>
      </c>
      <c r="L1707" s="61">
        <f>IF(K1707="JA",N(J1707),IF(E1707="","",0))</f>
        <v/>
      </c>
      <c r="M1707" s="62">
        <f>IF(AND(A1707="",E1707=""),"",IF(E1707="","Segment ontbreekt",IF(OR(G1707="",H1707=""),"Van/tot ontbreekt",IF(N(J1707)=0,"Duur is nul",IF(N(J1707)&gt;12,"Langer dan 12 uur - controleren",IF(AND(E1707="Werken",D1707=""),"Werken zonder klant - koppelen","OK"))))))</f>
        <v/>
      </c>
    </row>
    <row r="1708" ht="15" customHeight="1" s="42">
      <c r="A1708" s="55" t="n"/>
      <c r="B1708" s="56">
        <f>IF(A1708="","",WEEKNUM(A1708,21))</f>
        <v/>
      </c>
      <c r="C1708" s="57" t="n"/>
      <c r="D1708" s="57" t="n"/>
      <c r="E1708" s="58" t="n"/>
      <c r="F1708" s="57" t="n"/>
      <c r="G1708" s="59" t="n"/>
      <c r="H1708" s="59" t="n"/>
      <c r="I1708" s="60">
        <f>IF(OR(G1708="",H1708=""),"",MOD(H1708-G1708,1))</f>
        <v/>
      </c>
      <c r="J1708" s="61">
        <f>IF(OR(G1708="",H1708=""),"",ROUND(MOD(H1708-G1708,1)*24,2))</f>
        <v/>
      </c>
      <c r="K1708" s="62">
        <f>IF(E1708="","",IF(E1708="Werken","JA","NEE"))</f>
        <v/>
      </c>
      <c r="L1708" s="61">
        <f>IF(K1708="JA",N(J1708),IF(E1708="","",0))</f>
        <v/>
      </c>
      <c r="M1708" s="62">
        <f>IF(AND(A1708="",E1708=""),"",IF(E1708="","Segment ontbreekt",IF(OR(G1708="",H1708=""),"Van/tot ontbreekt",IF(N(J1708)=0,"Duur is nul",IF(N(J1708)&gt;12,"Langer dan 12 uur - controleren",IF(AND(E1708="Werken",D1708=""),"Werken zonder klant - koppelen","OK"))))))</f>
        <v/>
      </c>
    </row>
    <row r="1709" ht="15" customHeight="1" s="42">
      <c r="A1709" s="55" t="n"/>
      <c r="B1709" s="56">
        <f>IF(A1709="","",WEEKNUM(A1709,21))</f>
        <v/>
      </c>
      <c r="C1709" s="57" t="n"/>
      <c r="D1709" s="57" t="n"/>
      <c r="E1709" s="58" t="n"/>
      <c r="F1709" s="57" t="n"/>
      <c r="G1709" s="59" t="n"/>
      <c r="H1709" s="59" t="n"/>
      <c r="I1709" s="60">
        <f>IF(OR(G1709="",H1709=""),"",MOD(H1709-G1709,1))</f>
        <v/>
      </c>
      <c r="J1709" s="61">
        <f>IF(OR(G1709="",H1709=""),"",ROUND(MOD(H1709-G1709,1)*24,2))</f>
        <v/>
      </c>
      <c r="K1709" s="62">
        <f>IF(E1709="","",IF(E1709="Werken","JA","NEE"))</f>
        <v/>
      </c>
      <c r="L1709" s="61">
        <f>IF(K1709="JA",N(J1709),IF(E1709="","",0))</f>
        <v/>
      </c>
      <c r="M1709" s="62">
        <f>IF(AND(A1709="",E1709=""),"",IF(E1709="","Segment ontbreekt",IF(OR(G1709="",H1709=""),"Van/tot ontbreekt",IF(N(J1709)=0,"Duur is nul",IF(N(J1709)&gt;12,"Langer dan 12 uur - controleren",IF(AND(E1709="Werken",D1709=""),"Werken zonder klant - koppelen","OK"))))))</f>
        <v/>
      </c>
    </row>
    <row r="1710" ht="15" customHeight="1" s="42">
      <c r="A1710" s="55" t="n"/>
      <c r="B1710" s="56">
        <f>IF(A1710="","",WEEKNUM(A1710,21))</f>
        <v/>
      </c>
      <c r="C1710" s="57" t="n"/>
      <c r="D1710" s="57" t="n"/>
      <c r="E1710" s="58" t="n"/>
      <c r="F1710" s="57" t="n"/>
      <c r="G1710" s="59" t="n"/>
      <c r="H1710" s="59" t="n"/>
      <c r="I1710" s="60">
        <f>IF(OR(G1710="",H1710=""),"",MOD(H1710-G1710,1))</f>
        <v/>
      </c>
      <c r="J1710" s="61">
        <f>IF(OR(G1710="",H1710=""),"",ROUND(MOD(H1710-G1710,1)*24,2))</f>
        <v/>
      </c>
      <c r="K1710" s="62">
        <f>IF(E1710="","",IF(E1710="Werken","JA","NEE"))</f>
        <v/>
      </c>
      <c r="L1710" s="61">
        <f>IF(K1710="JA",N(J1710),IF(E1710="","",0))</f>
        <v/>
      </c>
      <c r="M1710" s="62">
        <f>IF(AND(A1710="",E1710=""),"",IF(E1710="","Segment ontbreekt",IF(OR(G1710="",H1710=""),"Van/tot ontbreekt",IF(N(J1710)=0,"Duur is nul",IF(N(J1710)&gt;12,"Langer dan 12 uur - controleren",IF(AND(E1710="Werken",D1710=""),"Werken zonder klant - koppelen","OK"))))))</f>
        <v/>
      </c>
    </row>
    <row r="1711" ht="15" customHeight="1" s="42">
      <c r="A1711" s="55" t="n"/>
      <c r="B1711" s="56">
        <f>IF(A1711="","",WEEKNUM(A1711,21))</f>
        <v/>
      </c>
      <c r="C1711" s="57" t="n"/>
      <c r="D1711" s="57" t="n"/>
      <c r="E1711" s="58" t="n"/>
      <c r="F1711" s="57" t="n"/>
      <c r="G1711" s="59" t="n"/>
      <c r="H1711" s="59" t="n"/>
      <c r="I1711" s="60">
        <f>IF(OR(G1711="",H1711=""),"",MOD(H1711-G1711,1))</f>
        <v/>
      </c>
      <c r="J1711" s="61">
        <f>IF(OR(G1711="",H1711=""),"",ROUND(MOD(H1711-G1711,1)*24,2))</f>
        <v/>
      </c>
      <c r="K1711" s="62">
        <f>IF(E1711="","",IF(E1711="Werken","JA","NEE"))</f>
        <v/>
      </c>
      <c r="L1711" s="61">
        <f>IF(K1711="JA",N(J1711),IF(E1711="","",0))</f>
        <v/>
      </c>
      <c r="M1711" s="62">
        <f>IF(AND(A1711="",E1711=""),"",IF(E1711="","Segment ontbreekt",IF(OR(G1711="",H1711=""),"Van/tot ontbreekt",IF(N(J1711)=0,"Duur is nul",IF(N(J1711)&gt;12,"Langer dan 12 uur - controleren",IF(AND(E1711="Werken",D1711=""),"Werken zonder klant - koppelen","OK"))))))</f>
        <v/>
      </c>
    </row>
    <row r="1712" ht="15" customHeight="1" s="42">
      <c r="A1712" s="55" t="n"/>
      <c r="B1712" s="56">
        <f>IF(A1712="","",WEEKNUM(A1712,21))</f>
        <v/>
      </c>
      <c r="C1712" s="57" t="n"/>
      <c r="D1712" s="57" t="n"/>
      <c r="E1712" s="58" t="n"/>
      <c r="F1712" s="57" t="n"/>
      <c r="G1712" s="59" t="n"/>
      <c r="H1712" s="59" t="n"/>
      <c r="I1712" s="60">
        <f>IF(OR(G1712="",H1712=""),"",MOD(H1712-G1712,1))</f>
        <v/>
      </c>
      <c r="J1712" s="61">
        <f>IF(OR(G1712="",H1712=""),"",ROUND(MOD(H1712-G1712,1)*24,2))</f>
        <v/>
      </c>
      <c r="K1712" s="62">
        <f>IF(E1712="","",IF(E1712="Werken","JA","NEE"))</f>
        <v/>
      </c>
      <c r="L1712" s="61">
        <f>IF(K1712="JA",N(J1712),IF(E1712="","",0))</f>
        <v/>
      </c>
      <c r="M1712" s="62">
        <f>IF(AND(A1712="",E1712=""),"",IF(E1712="","Segment ontbreekt",IF(OR(G1712="",H1712=""),"Van/tot ontbreekt",IF(N(J1712)=0,"Duur is nul",IF(N(J1712)&gt;12,"Langer dan 12 uur - controleren",IF(AND(E1712="Werken",D1712=""),"Werken zonder klant - koppelen","OK"))))))</f>
        <v/>
      </c>
    </row>
    <row r="1713" ht="15" customHeight="1" s="42">
      <c r="A1713" s="55" t="n"/>
      <c r="B1713" s="56">
        <f>IF(A1713="","",WEEKNUM(A1713,21))</f>
        <v/>
      </c>
      <c r="C1713" s="57" t="n"/>
      <c r="D1713" s="57" t="n"/>
      <c r="E1713" s="58" t="n"/>
      <c r="F1713" s="57" t="n"/>
      <c r="G1713" s="59" t="n"/>
      <c r="H1713" s="59" t="n"/>
      <c r="I1713" s="60">
        <f>IF(OR(G1713="",H1713=""),"",MOD(H1713-G1713,1))</f>
        <v/>
      </c>
      <c r="J1713" s="61">
        <f>IF(OR(G1713="",H1713=""),"",ROUND(MOD(H1713-G1713,1)*24,2))</f>
        <v/>
      </c>
      <c r="K1713" s="62">
        <f>IF(E1713="","",IF(E1713="Werken","JA","NEE"))</f>
        <v/>
      </c>
      <c r="L1713" s="61">
        <f>IF(K1713="JA",N(J1713),IF(E1713="","",0))</f>
        <v/>
      </c>
      <c r="M1713" s="62">
        <f>IF(AND(A1713="",E1713=""),"",IF(E1713="","Segment ontbreekt",IF(OR(G1713="",H1713=""),"Van/tot ontbreekt",IF(N(J1713)=0,"Duur is nul",IF(N(J1713)&gt;12,"Langer dan 12 uur - controleren",IF(AND(E1713="Werken",D1713=""),"Werken zonder klant - koppelen","OK"))))))</f>
        <v/>
      </c>
    </row>
    <row r="1714" ht="15" customHeight="1" s="42">
      <c r="A1714" s="55" t="n"/>
      <c r="B1714" s="56">
        <f>IF(A1714="","",WEEKNUM(A1714,21))</f>
        <v/>
      </c>
      <c r="C1714" s="57" t="n"/>
      <c r="D1714" s="57" t="n"/>
      <c r="E1714" s="58" t="n"/>
      <c r="F1714" s="57" t="n"/>
      <c r="G1714" s="59" t="n"/>
      <c r="H1714" s="59" t="n"/>
      <c r="I1714" s="60">
        <f>IF(OR(G1714="",H1714=""),"",MOD(H1714-G1714,1))</f>
        <v/>
      </c>
      <c r="J1714" s="61">
        <f>IF(OR(G1714="",H1714=""),"",ROUND(MOD(H1714-G1714,1)*24,2))</f>
        <v/>
      </c>
      <c r="K1714" s="62">
        <f>IF(E1714="","",IF(E1714="Werken","JA","NEE"))</f>
        <v/>
      </c>
      <c r="L1714" s="61">
        <f>IF(K1714="JA",N(J1714),IF(E1714="","",0))</f>
        <v/>
      </c>
      <c r="M1714" s="62">
        <f>IF(AND(A1714="",E1714=""),"",IF(E1714="","Segment ontbreekt",IF(OR(G1714="",H1714=""),"Van/tot ontbreekt",IF(N(J1714)=0,"Duur is nul",IF(N(J1714)&gt;12,"Langer dan 12 uur - controleren",IF(AND(E1714="Werken",D1714=""),"Werken zonder klant - koppelen","OK"))))))</f>
        <v/>
      </c>
    </row>
    <row r="1715" ht="15" customHeight="1" s="42">
      <c r="A1715" s="55" t="n"/>
      <c r="B1715" s="56">
        <f>IF(A1715="","",WEEKNUM(A1715,21))</f>
        <v/>
      </c>
      <c r="C1715" s="57" t="n"/>
      <c r="D1715" s="57" t="n"/>
      <c r="E1715" s="58" t="n"/>
      <c r="F1715" s="57" t="n"/>
      <c r="G1715" s="59" t="n"/>
      <c r="H1715" s="59" t="n"/>
      <c r="I1715" s="60">
        <f>IF(OR(G1715="",H1715=""),"",MOD(H1715-G1715,1))</f>
        <v/>
      </c>
      <c r="J1715" s="61">
        <f>IF(OR(G1715="",H1715=""),"",ROUND(MOD(H1715-G1715,1)*24,2))</f>
        <v/>
      </c>
      <c r="K1715" s="62">
        <f>IF(E1715="","",IF(E1715="Werken","JA","NEE"))</f>
        <v/>
      </c>
      <c r="L1715" s="61">
        <f>IF(K1715="JA",N(J1715),IF(E1715="","",0))</f>
        <v/>
      </c>
      <c r="M1715" s="62">
        <f>IF(AND(A1715="",E1715=""),"",IF(E1715="","Segment ontbreekt",IF(OR(G1715="",H1715=""),"Van/tot ontbreekt",IF(N(J1715)=0,"Duur is nul",IF(N(J1715)&gt;12,"Langer dan 12 uur - controleren",IF(AND(E1715="Werken",D1715=""),"Werken zonder klant - koppelen","OK"))))))</f>
        <v/>
      </c>
    </row>
    <row r="1716" ht="15" customHeight="1" s="42">
      <c r="A1716" s="55" t="n"/>
      <c r="B1716" s="56">
        <f>IF(A1716="","",WEEKNUM(A1716,21))</f>
        <v/>
      </c>
      <c r="C1716" s="57" t="n"/>
      <c r="D1716" s="57" t="n"/>
      <c r="E1716" s="58" t="n"/>
      <c r="F1716" s="57" t="n"/>
      <c r="G1716" s="59" t="n"/>
      <c r="H1716" s="59" t="n"/>
      <c r="I1716" s="60">
        <f>IF(OR(G1716="",H1716=""),"",MOD(H1716-G1716,1))</f>
        <v/>
      </c>
      <c r="J1716" s="61">
        <f>IF(OR(G1716="",H1716=""),"",ROUND(MOD(H1716-G1716,1)*24,2))</f>
        <v/>
      </c>
      <c r="K1716" s="62">
        <f>IF(E1716="","",IF(E1716="Werken","JA","NEE"))</f>
        <v/>
      </c>
      <c r="L1716" s="61">
        <f>IF(K1716="JA",N(J1716),IF(E1716="","",0))</f>
        <v/>
      </c>
      <c r="M1716" s="62">
        <f>IF(AND(A1716="",E1716=""),"",IF(E1716="","Segment ontbreekt",IF(OR(G1716="",H1716=""),"Van/tot ontbreekt",IF(N(J1716)=0,"Duur is nul",IF(N(J1716)&gt;12,"Langer dan 12 uur - controleren",IF(AND(E1716="Werken",D1716=""),"Werken zonder klant - koppelen","OK"))))))</f>
        <v/>
      </c>
    </row>
    <row r="1717" ht="15" customHeight="1" s="42">
      <c r="A1717" s="55" t="n"/>
      <c r="B1717" s="56">
        <f>IF(A1717="","",WEEKNUM(A1717,21))</f>
        <v/>
      </c>
      <c r="C1717" s="57" t="n"/>
      <c r="D1717" s="57" t="n"/>
      <c r="E1717" s="58" t="n"/>
      <c r="F1717" s="57" t="n"/>
      <c r="G1717" s="59" t="n"/>
      <c r="H1717" s="59" t="n"/>
      <c r="I1717" s="60">
        <f>IF(OR(G1717="",H1717=""),"",MOD(H1717-G1717,1))</f>
        <v/>
      </c>
      <c r="J1717" s="61">
        <f>IF(OR(G1717="",H1717=""),"",ROUND(MOD(H1717-G1717,1)*24,2))</f>
        <v/>
      </c>
      <c r="K1717" s="62">
        <f>IF(E1717="","",IF(E1717="Werken","JA","NEE"))</f>
        <v/>
      </c>
      <c r="L1717" s="61">
        <f>IF(K1717="JA",N(J1717),IF(E1717="","",0))</f>
        <v/>
      </c>
      <c r="M1717" s="62">
        <f>IF(AND(A1717="",E1717=""),"",IF(E1717="","Segment ontbreekt",IF(OR(G1717="",H1717=""),"Van/tot ontbreekt",IF(N(J1717)=0,"Duur is nul",IF(N(J1717)&gt;12,"Langer dan 12 uur - controleren",IF(AND(E1717="Werken",D1717=""),"Werken zonder klant - koppelen","OK"))))))</f>
        <v/>
      </c>
    </row>
    <row r="1718" ht="15" customHeight="1" s="42">
      <c r="A1718" s="55" t="n"/>
      <c r="B1718" s="56">
        <f>IF(A1718="","",WEEKNUM(A1718,21))</f>
        <v/>
      </c>
      <c r="C1718" s="57" t="n"/>
      <c r="D1718" s="57" t="n"/>
      <c r="E1718" s="58" t="n"/>
      <c r="F1718" s="57" t="n"/>
      <c r="G1718" s="59" t="n"/>
      <c r="H1718" s="59" t="n"/>
      <c r="I1718" s="60">
        <f>IF(OR(G1718="",H1718=""),"",MOD(H1718-G1718,1))</f>
        <v/>
      </c>
      <c r="J1718" s="61">
        <f>IF(OR(G1718="",H1718=""),"",ROUND(MOD(H1718-G1718,1)*24,2))</f>
        <v/>
      </c>
      <c r="K1718" s="62">
        <f>IF(E1718="","",IF(E1718="Werken","JA","NEE"))</f>
        <v/>
      </c>
      <c r="L1718" s="61">
        <f>IF(K1718="JA",N(J1718),IF(E1718="","",0))</f>
        <v/>
      </c>
      <c r="M1718" s="62">
        <f>IF(AND(A1718="",E1718=""),"",IF(E1718="","Segment ontbreekt",IF(OR(G1718="",H1718=""),"Van/tot ontbreekt",IF(N(J1718)=0,"Duur is nul",IF(N(J1718)&gt;12,"Langer dan 12 uur - controleren",IF(AND(E1718="Werken",D1718=""),"Werken zonder klant - koppelen","OK"))))))</f>
        <v/>
      </c>
    </row>
    <row r="1719" ht="15" customHeight="1" s="42">
      <c r="A1719" s="55" t="n"/>
      <c r="B1719" s="56">
        <f>IF(A1719="","",WEEKNUM(A1719,21))</f>
        <v/>
      </c>
      <c r="C1719" s="57" t="n"/>
      <c r="D1719" s="57" t="n"/>
      <c r="E1719" s="58" t="n"/>
      <c r="F1719" s="57" t="n"/>
      <c r="G1719" s="59" t="n"/>
      <c r="H1719" s="59" t="n"/>
      <c r="I1719" s="60">
        <f>IF(OR(G1719="",H1719=""),"",MOD(H1719-G1719,1))</f>
        <v/>
      </c>
      <c r="J1719" s="61">
        <f>IF(OR(G1719="",H1719=""),"",ROUND(MOD(H1719-G1719,1)*24,2))</f>
        <v/>
      </c>
      <c r="K1719" s="62">
        <f>IF(E1719="","",IF(E1719="Werken","JA","NEE"))</f>
        <v/>
      </c>
      <c r="L1719" s="61">
        <f>IF(K1719="JA",N(J1719),IF(E1719="","",0))</f>
        <v/>
      </c>
      <c r="M1719" s="62">
        <f>IF(AND(A1719="",E1719=""),"",IF(E1719="","Segment ontbreekt",IF(OR(G1719="",H1719=""),"Van/tot ontbreekt",IF(N(J1719)=0,"Duur is nul",IF(N(J1719)&gt;12,"Langer dan 12 uur - controleren",IF(AND(E1719="Werken",D1719=""),"Werken zonder klant - koppelen","OK"))))))</f>
        <v/>
      </c>
    </row>
    <row r="1720" ht="15" customHeight="1" s="42">
      <c r="A1720" s="55" t="n"/>
      <c r="B1720" s="56">
        <f>IF(A1720="","",WEEKNUM(A1720,21))</f>
        <v/>
      </c>
      <c r="C1720" s="57" t="n"/>
      <c r="D1720" s="57" t="n"/>
      <c r="E1720" s="58" t="n"/>
      <c r="F1720" s="57" t="n"/>
      <c r="G1720" s="59" t="n"/>
      <c r="H1720" s="59" t="n"/>
      <c r="I1720" s="60">
        <f>IF(OR(G1720="",H1720=""),"",MOD(H1720-G1720,1))</f>
        <v/>
      </c>
      <c r="J1720" s="61">
        <f>IF(OR(G1720="",H1720=""),"",ROUND(MOD(H1720-G1720,1)*24,2))</f>
        <v/>
      </c>
      <c r="K1720" s="62">
        <f>IF(E1720="","",IF(E1720="Werken","JA","NEE"))</f>
        <v/>
      </c>
      <c r="L1720" s="61">
        <f>IF(K1720="JA",N(J1720),IF(E1720="","",0))</f>
        <v/>
      </c>
      <c r="M1720" s="62">
        <f>IF(AND(A1720="",E1720=""),"",IF(E1720="","Segment ontbreekt",IF(OR(G1720="",H1720=""),"Van/tot ontbreekt",IF(N(J1720)=0,"Duur is nul",IF(N(J1720)&gt;12,"Langer dan 12 uur - controleren",IF(AND(E1720="Werken",D1720=""),"Werken zonder klant - koppelen","OK"))))))</f>
        <v/>
      </c>
    </row>
    <row r="1721" ht="15" customHeight="1" s="42">
      <c r="A1721" s="55" t="n"/>
      <c r="B1721" s="56">
        <f>IF(A1721="","",WEEKNUM(A1721,21))</f>
        <v/>
      </c>
      <c r="C1721" s="57" t="n"/>
      <c r="D1721" s="57" t="n"/>
      <c r="E1721" s="58" t="n"/>
      <c r="F1721" s="57" t="n"/>
      <c r="G1721" s="59" t="n"/>
      <c r="H1721" s="59" t="n"/>
      <c r="I1721" s="60">
        <f>IF(OR(G1721="",H1721=""),"",MOD(H1721-G1721,1))</f>
        <v/>
      </c>
      <c r="J1721" s="61">
        <f>IF(OR(G1721="",H1721=""),"",ROUND(MOD(H1721-G1721,1)*24,2))</f>
        <v/>
      </c>
      <c r="K1721" s="62">
        <f>IF(E1721="","",IF(E1721="Werken","JA","NEE"))</f>
        <v/>
      </c>
      <c r="L1721" s="61">
        <f>IF(K1721="JA",N(J1721),IF(E1721="","",0))</f>
        <v/>
      </c>
      <c r="M1721" s="62">
        <f>IF(AND(A1721="",E1721=""),"",IF(E1721="","Segment ontbreekt",IF(OR(G1721="",H1721=""),"Van/tot ontbreekt",IF(N(J1721)=0,"Duur is nul",IF(N(J1721)&gt;12,"Langer dan 12 uur - controleren",IF(AND(E1721="Werken",D1721=""),"Werken zonder klant - koppelen","OK"))))))</f>
        <v/>
      </c>
    </row>
    <row r="1722" ht="15" customHeight="1" s="42">
      <c r="A1722" s="55" t="n"/>
      <c r="B1722" s="56">
        <f>IF(A1722="","",WEEKNUM(A1722,21))</f>
        <v/>
      </c>
      <c r="C1722" s="57" t="n"/>
      <c r="D1722" s="57" t="n"/>
      <c r="E1722" s="58" t="n"/>
      <c r="F1722" s="57" t="n"/>
      <c r="G1722" s="59" t="n"/>
      <c r="H1722" s="59" t="n"/>
      <c r="I1722" s="60">
        <f>IF(OR(G1722="",H1722=""),"",MOD(H1722-G1722,1))</f>
        <v/>
      </c>
      <c r="J1722" s="61">
        <f>IF(OR(G1722="",H1722=""),"",ROUND(MOD(H1722-G1722,1)*24,2))</f>
        <v/>
      </c>
      <c r="K1722" s="62">
        <f>IF(E1722="","",IF(E1722="Werken","JA","NEE"))</f>
        <v/>
      </c>
      <c r="L1722" s="61">
        <f>IF(K1722="JA",N(J1722),IF(E1722="","",0))</f>
        <v/>
      </c>
      <c r="M1722" s="62">
        <f>IF(AND(A1722="",E1722=""),"",IF(E1722="","Segment ontbreekt",IF(OR(G1722="",H1722=""),"Van/tot ontbreekt",IF(N(J1722)=0,"Duur is nul",IF(N(J1722)&gt;12,"Langer dan 12 uur - controleren",IF(AND(E1722="Werken",D1722=""),"Werken zonder klant - koppelen","OK"))))))</f>
        <v/>
      </c>
    </row>
    <row r="1723" ht="15" customHeight="1" s="42">
      <c r="A1723" s="55" t="n"/>
      <c r="B1723" s="56">
        <f>IF(A1723="","",WEEKNUM(A1723,21))</f>
        <v/>
      </c>
      <c r="C1723" s="57" t="n"/>
      <c r="D1723" s="57" t="n"/>
      <c r="E1723" s="58" t="n"/>
      <c r="F1723" s="57" t="n"/>
      <c r="G1723" s="59" t="n"/>
      <c r="H1723" s="59" t="n"/>
      <c r="I1723" s="60">
        <f>IF(OR(G1723="",H1723=""),"",MOD(H1723-G1723,1))</f>
        <v/>
      </c>
      <c r="J1723" s="61">
        <f>IF(OR(G1723="",H1723=""),"",ROUND(MOD(H1723-G1723,1)*24,2))</f>
        <v/>
      </c>
      <c r="K1723" s="62">
        <f>IF(E1723="","",IF(E1723="Werken","JA","NEE"))</f>
        <v/>
      </c>
      <c r="L1723" s="61">
        <f>IF(K1723="JA",N(J1723),IF(E1723="","",0))</f>
        <v/>
      </c>
      <c r="M1723" s="62">
        <f>IF(AND(A1723="",E1723=""),"",IF(E1723="","Segment ontbreekt",IF(OR(G1723="",H1723=""),"Van/tot ontbreekt",IF(N(J1723)=0,"Duur is nul",IF(N(J1723)&gt;12,"Langer dan 12 uur - controleren",IF(AND(E1723="Werken",D1723=""),"Werken zonder klant - koppelen","OK"))))))</f>
        <v/>
      </c>
    </row>
    <row r="1724" ht="15" customHeight="1" s="42">
      <c r="A1724" s="55" t="n"/>
      <c r="B1724" s="56">
        <f>IF(A1724="","",WEEKNUM(A1724,21))</f>
        <v/>
      </c>
      <c r="C1724" s="57" t="n"/>
      <c r="D1724" s="57" t="n"/>
      <c r="E1724" s="58" t="n"/>
      <c r="F1724" s="57" t="n"/>
      <c r="G1724" s="59" t="n"/>
      <c r="H1724" s="59" t="n"/>
      <c r="I1724" s="60">
        <f>IF(OR(G1724="",H1724=""),"",MOD(H1724-G1724,1))</f>
        <v/>
      </c>
      <c r="J1724" s="61">
        <f>IF(OR(G1724="",H1724=""),"",ROUND(MOD(H1724-G1724,1)*24,2))</f>
        <v/>
      </c>
      <c r="K1724" s="62">
        <f>IF(E1724="","",IF(E1724="Werken","JA","NEE"))</f>
        <v/>
      </c>
      <c r="L1724" s="61">
        <f>IF(K1724="JA",N(J1724),IF(E1724="","",0))</f>
        <v/>
      </c>
      <c r="M1724" s="62">
        <f>IF(AND(A1724="",E1724=""),"",IF(E1724="","Segment ontbreekt",IF(OR(G1724="",H1724=""),"Van/tot ontbreekt",IF(N(J1724)=0,"Duur is nul",IF(N(J1724)&gt;12,"Langer dan 12 uur - controleren",IF(AND(E1724="Werken",D1724=""),"Werken zonder klant - koppelen","OK"))))))</f>
        <v/>
      </c>
    </row>
    <row r="1725" ht="15" customHeight="1" s="42">
      <c r="A1725" s="55" t="n"/>
      <c r="B1725" s="56">
        <f>IF(A1725="","",WEEKNUM(A1725,21))</f>
        <v/>
      </c>
      <c r="C1725" s="57" t="n"/>
      <c r="D1725" s="57" t="n"/>
      <c r="E1725" s="58" t="n"/>
      <c r="F1725" s="57" t="n"/>
      <c r="G1725" s="59" t="n"/>
      <c r="H1725" s="59" t="n"/>
      <c r="I1725" s="60">
        <f>IF(OR(G1725="",H1725=""),"",MOD(H1725-G1725,1))</f>
        <v/>
      </c>
      <c r="J1725" s="61">
        <f>IF(OR(G1725="",H1725=""),"",ROUND(MOD(H1725-G1725,1)*24,2))</f>
        <v/>
      </c>
      <c r="K1725" s="62">
        <f>IF(E1725="","",IF(E1725="Werken","JA","NEE"))</f>
        <v/>
      </c>
      <c r="L1725" s="61">
        <f>IF(K1725="JA",N(J1725),IF(E1725="","",0))</f>
        <v/>
      </c>
      <c r="M1725" s="62">
        <f>IF(AND(A1725="",E1725=""),"",IF(E1725="","Segment ontbreekt",IF(OR(G1725="",H1725=""),"Van/tot ontbreekt",IF(N(J1725)=0,"Duur is nul",IF(N(J1725)&gt;12,"Langer dan 12 uur - controleren",IF(AND(E1725="Werken",D1725=""),"Werken zonder klant - koppelen","OK"))))))</f>
        <v/>
      </c>
    </row>
    <row r="1726" ht="15" customHeight="1" s="42">
      <c r="A1726" s="55" t="n"/>
      <c r="B1726" s="56">
        <f>IF(A1726="","",WEEKNUM(A1726,21))</f>
        <v/>
      </c>
      <c r="C1726" s="57" t="n"/>
      <c r="D1726" s="57" t="n"/>
      <c r="E1726" s="58" t="n"/>
      <c r="F1726" s="57" t="n"/>
      <c r="G1726" s="59" t="n"/>
      <c r="H1726" s="59" t="n"/>
      <c r="I1726" s="60">
        <f>IF(OR(G1726="",H1726=""),"",MOD(H1726-G1726,1))</f>
        <v/>
      </c>
      <c r="J1726" s="61">
        <f>IF(OR(G1726="",H1726=""),"",ROUND(MOD(H1726-G1726,1)*24,2))</f>
        <v/>
      </c>
      <c r="K1726" s="62">
        <f>IF(E1726="","",IF(E1726="Werken","JA","NEE"))</f>
        <v/>
      </c>
      <c r="L1726" s="61">
        <f>IF(K1726="JA",N(J1726),IF(E1726="","",0))</f>
        <v/>
      </c>
      <c r="M1726" s="62">
        <f>IF(AND(A1726="",E1726=""),"",IF(E1726="","Segment ontbreekt",IF(OR(G1726="",H1726=""),"Van/tot ontbreekt",IF(N(J1726)=0,"Duur is nul",IF(N(J1726)&gt;12,"Langer dan 12 uur - controleren",IF(AND(E1726="Werken",D1726=""),"Werken zonder klant - koppelen","OK"))))))</f>
        <v/>
      </c>
    </row>
    <row r="1727" ht="15" customHeight="1" s="42">
      <c r="A1727" s="55" t="n"/>
      <c r="B1727" s="56">
        <f>IF(A1727="","",WEEKNUM(A1727,21))</f>
        <v/>
      </c>
      <c r="C1727" s="57" t="n"/>
      <c r="D1727" s="57" t="n"/>
      <c r="E1727" s="58" t="n"/>
      <c r="F1727" s="57" t="n"/>
      <c r="G1727" s="59" t="n"/>
      <c r="H1727" s="59" t="n"/>
      <c r="I1727" s="60">
        <f>IF(OR(G1727="",H1727=""),"",MOD(H1727-G1727,1))</f>
        <v/>
      </c>
      <c r="J1727" s="61">
        <f>IF(OR(G1727="",H1727=""),"",ROUND(MOD(H1727-G1727,1)*24,2))</f>
        <v/>
      </c>
      <c r="K1727" s="62">
        <f>IF(E1727="","",IF(E1727="Werken","JA","NEE"))</f>
        <v/>
      </c>
      <c r="L1727" s="61">
        <f>IF(K1727="JA",N(J1727),IF(E1727="","",0))</f>
        <v/>
      </c>
      <c r="M1727" s="62">
        <f>IF(AND(A1727="",E1727=""),"",IF(E1727="","Segment ontbreekt",IF(OR(G1727="",H1727=""),"Van/tot ontbreekt",IF(N(J1727)=0,"Duur is nul",IF(N(J1727)&gt;12,"Langer dan 12 uur - controleren",IF(AND(E1727="Werken",D1727=""),"Werken zonder klant - koppelen","OK"))))))</f>
        <v/>
      </c>
    </row>
    <row r="1728" ht="15" customHeight="1" s="42">
      <c r="A1728" s="55" t="n"/>
      <c r="B1728" s="56">
        <f>IF(A1728="","",WEEKNUM(A1728,21))</f>
        <v/>
      </c>
      <c r="C1728" s="57" t="n"/>
      <c r="D1728" s="57" t="n"/>
      <c r="E1728" s="58" t="n"/>
      <c r="F1728" s="57" t="n"/>
      <c r="G1728" s="59" t="n"/>
      <c r="H1728" s="59" t="n"/>
      <c r="I1728" s="60">
        <f>IF(OR(G1728="",H1728=""),"",MOD(H1728-G1728,1))</f>
        <v/>
      </c>
      <c r="J1728" s="61">
        <f>IF(OR(G1728="",H1728=""),"",ROUND(MOD(H1728-G1728,1)*24,2))</f>
        <v/>
      </c>
      <c r="K1728" s="62">
        <f>IF(E1728="","",IF(E1728="Werken","JA","NEE"))</f>
        <v/>
      </c>
      <c r="L1728" s="61">
        <f>IF(K1728="JA",N(J1728),IF(E1728="","",0))</f>
        <v/>
      </c>
      <c r="M1728" s="62">
        <f>IF(AND(A1728="",E1728=""),"",IF(E1728="","Segment ontbreekt",IF(OR(G1728="",H1728=""),"Van/tot ontbreekt",IF(N(J1728)=0,"Duur is nul",IF(N(J1728)&gt;12,"Langer dan 12 uur - controleren",IF(AND(E1728="Werken",D1728=""),"Werken zonder klant - koppelen","OK"))))))</f>
        <v/>
      </c>
    </row>
    <row r="1729" ht="15" customHeight="1" s="42">
      <c r="A1729" s="55" t="n"/>
      <c r="B1729" s="56">
        <f>IF(A1729="","",WEEKNUM(A1729,21))</f>
        <v/>
      </c>
      <c r="C1729" s="57" t="n"/>
      <c r="D1729" s="57" t="n"/>
      <c r="E1729" s="58" t="n"/>
      <c r="F1729" s="57" t="n"/>
      <c r="G1729" s="59" t="n"/>
      <c r="H1729" s="59" t="n"/>
      <c r="I1729" s="60">
        <f>IF(OR(G1729="",H1729=""),"",MOD(H1729-G1729,1))</f>
        <v/>
      </c>
      <c r="J1729" s="61">
        <f>IF(OR(G1729="",H1729=""),"",ROUND(MOD(H1729-G1729,1)*24,2))</f>
        <v/>
      </c>
      <c r="K1729" s="62">
        <f>IF(E1729="","",IF(E1729="Werken","JA","NEE"))</f>
        <v/>
      </c>
      <c r="L1729" s="61">
        <f>IF(K1729="JA",N(J1729),IF(E1729="","",0))</f>
        <v/>
      </c>
      <c r="M1729" s="62">
        <f>IF(AND(A1729="",E1729=""),"",IF(E1729="","Segment ontbreekt",IF(OR(G1729="",H1729=""),"Van/tot ontbreekt",IF(N(J1729)=0,"Duur is nul",IF(N(J1729)&gt;12,"Langer dan 12 uur - controleren",IF(AND(E1729="Werken",D1729=""),"Werken zonder klant - koppelen","OK"))))))</f>
        <v/>
      </c>
    </row>
    <row r="1730" ht="15" customHeight="1" s="42">
      <c r="A1730" s="55" t="n"/>
      <c r="B1730" s="56">
        <f>IF(A1730="","",WEEKNUM(A1730,21))</f>
        <v/>
      </c>
      <c r="C1730" s="57" t="n"/>
      <c r="D1730" s="57" t="n"/>
      <c r="E1730" s="58" t="n"/>
      <c r="F1730" s="57" t="n"/>
      <c r="G1730" s="59" t="n"/>
      <c r="H1730" s="59" t="n"/>
      <c r="I1730" s="60">
        <f>IF(OR(G1730="",H1730=""),"",MOD(H1730-G1730,1))</f>
        <v/>
      </c>
      <c r="J1730" s="61">
        <f>IF(OR(G1730="",H1730=""),"",ROUND(MOD(H1730-G1730,1)*24,2))</f>
        <v/>
      </c>
      <c r="K1730" s="62">
        <f>IF(E1730="","",IF(E1730="Werken","JA","NEE"))</f>
        <v/>
      </c>
      <c r="L1730" s="61">
        <f>IF(K1730="JA",N(J1730),IF(E1730="","",0))</f>
        <v/>
      </c>
      <c r="M1730" s="62">
        <f>IF(AND(A1730="",E1730=""),"",IF(E1730="","Segment ontbreekt",IF(OR(G1730="",H1730=""),"Van/tot ontbreekt",IF(N(J1730)=0,"Duur is nul",IF(N(J1730)&gt;12,"Langer dan 12 uur - controleren",IF(AND(E1730="Werken",D1730=""),"Werken zonder klant - koppelen","OK"))))))</f>
        <v/>
      </c>
    </row>
    <row r="1731" ht="15" customHeight="1" s="42">
      <c r="A1731" s="55" t="n"/>
      <c r="B1731" s="56">
        <f>IF(A1731="","",WEEKNUM(A1731,21))</f>
        <v/>
      </c>
      <c r="C1731" s="57" t="n"/>
      <c r="D1731" s="57" t="n"/>
      <c r="E1731" s="58" t="n"/>
      <c r="F1731" s="57" t="n"/>
      <c r="G1731" s="59" t="n"/>
      <c r="H1731" s="59" t="n"/>
      <c r="I1731" s="60">
        <f>IF(OR(G1731="",H1731=""),"",MOD(H1731-G1731,1))</f>
        <v/>
      </c>
      <c r="J1731" s="61">
        <f>IF(OR(G1731="",H1731=""),"",ROUND(MOD(H1731-G1731,1)*24,2))</f>
        <v/>
      </c>
      <c r="K1731" s="62">
        <f>IF(E1731="","",IF(E1731="Werken","JA","NEE"))</f>
        <v/>
      </c>
      <c r="L1731" s="61">
        <f>IF(K1731="JA",N(J1731),IF(E1731="","",0))</f>
        <v/>
      </c>
      <c r="M1731" s="62">
        <f>IF(AND(A1731="",E1731=""),"",IF(E1731="","Segment ontbreekt",IF(OR(G1731="",H1731=""),"Van/tot ontbreekt",IF(N(J1731)=0,"Duur is nul",IF(N(J1731)&gt;12,"Langer dan 12 uur - controleren",IF(AND(E1731="Werken",D1731=""),"Werken zonder klant - koppelen","OK"))))))</f>
        <v/>
      </c>
    </row>
    <row r="1732" ht="15" customHeight="1" s="42">
      <c r="A1732" s="55" t="n"/>
      <c r="B1732" s="56">
        <f>IF(A1732="","",WEEKNUM(A1732,21))</f>
        <v/>
      </c>
      <c r="C1732" s="57" t="n"/>
      <c r="D1732" s="57" t="n"/>
      <c r="E1732" s="58" t="n"/>
      <c r="F1732" s="57" t="n"/>
      <c r="G1732" s="59" t="n"/>
      <c r="H1732" s="59" t="n"/>
      <c r="I1732" s="60">
        <f>IF(OR(G1732="",H1732=""),"",MOD(H1732-G1732,1))</f>
        <v/>
      </c>
      <c r="J1732" s="61">
        <f>IF(OR(G1732="",H1732=""),"",ROUND(MOD(H1732-G1732,1)*24,2))</f>
        <v/>
      </c>
      <c r="K1732" s="62">
        <f>IF(E1732="","",IF(E1732="Werken","JA","NEE"))</f>
        <v/>
      </c>
      <c r="L1732" s="61">
        <f>IF(K1732="JA",N(J1732),IF(E1732="","",0))</f>
        <v/>
      </c>
      <c r="M1732" s="62">
        <f>IF(AND(A1732="",E1732=""),"",IF(E1732="","Segment ontbreekt",IF(OR(G1732="",H1732=""),"Van/tot ontbreekt",IF(N(J1732)=0,"Duur is nul",IF(N(J1732)&gt;12,"Langer dan 12 uur - controleren",IF(AND(E1732="Werken",D1732=""),"Werken zonder klant - koppelen","OK"))))))</f>
        <v/>
      </c>
    </row>
    <row r="1733" ht="15" customHeight="1" s="42">
      <c r="A1733" s="55" t="n"/>
      <c r="B1733" s="56">
        <f>IF(A1733="","",WEEKNUM(A1733,21))</f>
        <v/>
      </c>
      <c r="C1733" s="57" t="n"/>
      <c r="D1733" s="57" t="n"/>
      <c r="E1733" s="58" t="n"/>
      <c r="F1733" s="57" t="n"/>
      <c r="G1733" s="59" t="n"/>
      <c r="H1733" s="59" t="n"/>
      <c r="I1733" s="60">
        <f>IF(OR(G1733="",H1733=""),"",MOD(H1733-G1733,1))</f>
        <v/>
      </c>
      <c r="J1733" s="61">
        <f>IF(OR(G1733="",H1733=""),"",ROUND(MOD(H1733-G1733,1)*24,2))</f>
        <v/>
      </c>
      <c r="K1733" s="62">
        <f>IF(E1733="","",IF(E1733="Werken","JA","NEE"))</f>
        <v/>
      </c>
      <c r="L1733" s="61">
        <f>IF(K1733="JA",N(J1733),IF(E1733="","",0))</f>
        <v/>
      </c>
      <c r="M1733" s="62">
        <f>IF(AND(A1733="",E1733=""),"",IF(E1733="","Segment ontbreekt",IF(OR(G1733="",H1733=""),"Van/tot ontbreekt",IF(N(J1733)=0,"Duur is nul",IF(N(J1733)&gt;12,"Langer dan 12 uur - controleren",IF(AND(E1733="Werken",D1733=""),"Werken zonder klant - koppelen","OK"))))))</f>
        <v/>
      </c>
    </row>
    <row r="1734" ht="15" customHeight="1" s="42">
      <c r="A1734" s="55" t="n"/>
      <c r="B1734" s="56">
        <f>IF(A1734="","",WEEKNUM(A1734,21))</f>
        <v/>
      </c>
      <c r="C1734" s="57" t="n"/>
      <c r="D1734" s="57" t="n"/>
      <c r="E1734" s="58" t="n"/>
      <c r="F1734" s="57" t="n"/>
      <c r="G1734" s="59" t="n"/>
      <c r="H1734" s="59" t="n"/>
      <c r="I1734" s="60">
        <f>IF(OR(G1734="",H1734=""),"",MOD(H1734-G1734,1))</f>
        <v/>
      </c>
      <c r="J1734" s="61">
        <f>IF(OR(G1734="",H1734=""),"",ROUND(MOD(H1734-G1734,1)*24,2))</f>
        <v/>
      </c>
      <c r="K1734" s="62">
        <f>IF(E1734="","",IF(E1734="Werken","JA","NEE"))</f>
        <v/>
      </c>
      <c r="L1734" s="61">
        <f>IF(K1734="JA",N(J1734),IF(E1734="","",0))</f>
        <v/>
      </c>
      <c r="M1734" s="62">
        <f>IF(AND(A1734="",E1734=""),"",IF(E1734="","Segment ontbreekt",IF(OR(G1734="",H1734=""),"Van/tot ontbreekt",IF(N(J1734)=0,"Duur is nul",IF(N(J1734)&gt;12,"Langer dan 12 uur - controleren",IF(AND(E1734="Werken",D1734=""),"Werken zonder klant - koppelen","OK"))))))</f>
        <v/>
      </c>
    </row>
    <row r="1735" ht="15" customHeight="1" s="42">
      <c r="A1735" s="55" t="n"/>
      <c r="B1735" s="56">
        <f>IF(A1735="","",WEEKNUM(A1735,21))</f>
        <v/>
      </c>
      <c r="C1735" s="57" t="n"/>
      <c r="D1735" s="57" t="n"/>
      <c r="E1735" s="58" t="n"/>
      <c r="F1735" s="57" t="n"/>
      <c r="G1735" s="59" t="n"/>
      <c r="H1735" s="59" t="n"/>
      <c r="I1735" s="60">
        <f>IF(OR(G1735="",H1735=""),"",MOD(H1735-G1735,1))</f>
        <v/>
      </c>
      <c r="J1735" s="61">
        <f>IF(OR(G1735="",H1735=""),"",ROUND(MOD(H1735-G1735,1)*24,2))</f>
        <v/>
      </c>
      <c r="K1735" s="62">
        <f>IF(E1735="","",IF(E1735="Werken","JA","NEE"))</f>
        <v/>
      </c>
      <c r="L1735" s="61">
        <f>IF(K1735="JA",N(J1735),IF(E1735="","",0))</f>
        <v/>
      </c>
      <c r="M1735" s="62">
        <f>IF(AND(A1735="",E1735=""),"",IF(E1735="","Segment ontbreekt",IF(OR(G1735="",H1735=""),"Van/tot ontbreekt",IF(N(J1735)=0,"Duur is nul",IF(N(J1735)&gt;12,"Langer dan 12 uur - controleren",IF(AND(E1735="Werken",D1735=""),"Werken zonder klant - koppelen","OK"))))))</f>
        <v/>
      </c>
    </row>
    <row r="1736" ht="15" customHeight="1" s="42">
      <c r="A1736" s="55" t="n"/>
      <c r="B1736" s="56">
        <f>IF(A1736="","",WEEKNUM(A1736,21))</f>
        <v/>
      </c>
      <c r="C1736" s="57" t="n"/>
      <c r="D1736" s="57" t="n"/>
      <c r="E1736" s="58" t="n"/>
      <c r="F1736" s="57" t="n"/>
      <c r="G1736" s="59" t="n"/>
      <c r="H1736" s="59" t="n"/>
      <c r="I1736" s="60">
        <f>IF(OR(G1736="",H1736=""),"",MOD(H1736-G1736,1))</f>
        <v/>
      </c>
      <c r="J1736" s="61">
        <f>IF(OR(G1736="",H1736=""),"",ROUND(MOD(H1736-G1736,1)*24,2))</f>
        <v/>
      </c>
      <c r="K1736" s="62">
        <f>IF(E1736="","",IF(E1736="Werken","JA","NEE"))</f>
        <v/>
      </c>
      <c r="L1736" s="61">
        <f>IF(K1736="JA",N(J1736),IF(E1736="","",0))</f>
        <v/>
      </c>
      <c r="M1736" s="62">
        <f>IF(AND(A1736="",E1736=""),"",IF(E1736="","Segment ontbreekt",IF(OR(G1736="",H1736=""),"Van/tot ontbreekt",IF(N(J1736)=0,"Duur is nul",IF(N(J1736)&gt;12,"Langer dan 12 uur - controleren",IF(AND(E1736="Werken",D1736=""),"Werken zonder klant - koppelen","OK"))))))</f>
        <v/>
      </c>
    </row>
    <row r="1737" ht="15" customHeight="1" s="42">
      <c r="A1737" s="55" t="n"/>
      <c r="B1737" s="56">
        <f>IF(A1737="","",WEEKNUM(A1737,21))</f>
        <v/>
      </c>
      <c r="C1737" s="57" t="n"/>
      <c r="D1737" s="57" t="n"/>
      <c r="E1737" s="58" t="n"/>
      <c r="F1737" s="57" t="n"/>
      <c r="G1737" s="59" t="n"/>
      <c r="H1737" s="59" t="n"/>
      <c r="I1737" s="60">
        <f>IF(OR(G1737="",H1737=""),"",MOD(H1737-G1737,1))</f>
        <v/>
      </c>
      <c r="J1737" s="61">
        <f>IF(OR(G1737="",H1737=""),"",ROUND(MOD(H1737-G1737,1)*24,2))</f>
        <v/>
      </c>
      <c r="K1737" s="62">
        <f>IF(E1737="","",IF(E1737="Werken","JA","NEE"))</f>
        <v/>
      </c>
      <c r="L1737" s="61">
        <f>IF(K1737="JA",N(J1737),IF(E1737="","",0))</f>
        <v/>
      </c>
      <c r="M1737" s="62">
        <f>IF(AND(A1737="",E1737=""),"",IF(E1737="","Segment ontbreekt",IF(OR(G1737="",H1737=""),"Van/tot ontbreekt",IF(N(J1737)=0,"Duur is nul",IF(N(J1737)&gt;12,"Langer dan 12 uur - controleren",IF(AND(E1737="Werken",D1737=""),"Werken zonder klant - koppelen","OK"))))))</f>
        <v/>
      </c>
    </row>
    <row r="1738" ht="15" customHeight="1" s="42">
      <c r="A1738" s="55" t="n"/>
      <c r="B1738" s="56">
        <f>IF(A1738="","",WEEKNUM(A1738,21))</f>
        <v/>
      </c>
      <c r="C1738" s="57" t="n"/>
      <c r="D1738" s="57" t="n"/>
      <c r="E1738" s="58" t="n"/>
      <c r="F1738" s="57" t="n"/>
      <c r="G1738" s="59" t="n"/>
      <c r="H1738" s="59" t="n"/>
      <c r="I1738" s="60">
        <f>IF(OR(G1738="",H1738=""),"",MOD(H1738-G1738,1))</f>
        <v/>
      </c>
      <c r="J1738" s="61">
        <f>IF(OR(G1738="",H1738=""),"",ROUND(MOD(H1738-G1738,1)*24,2))</f>
        <v/>
      </c>
      <c r="K1738" s="62">
        <f>IF(E1738="","",IF(E1738="Werken","JA","NEE"))</f>
        <v/>
      </c>
      <c r="L1738" s="61">
        <f>IF(K1738="JA",N(J1738),IF(E1738="","",0))</f>
        <v/>
      </c>
      <c r="M1738" s="62">
        <f>IF(AND(A1738="",E1738=""),"",IF(E1738="","Segment ontbreekt",IF(OR(G1738="",H1738=""),"Van/tot ontbreekt",IF(N(J1738)=0,"Duur is nul",IF(N(J1738)&gt;12,"Langer dan 12 uur - controleren",IF(AND(E1738="Werken",D1738=""),"Werken zonder klant - koppelen","OK"))))))</f>
        <v/>
      </c>
    </row>
    <row r="1739" ht="15" customHeight="1" s="42">
      <c r="A1739" s="55" t="n"/>
      <c r="B1739" s="56">
        <f>IF(A1739="","",WEEKNUM(A1739,21))</f>
        <v/>
      </c>
      <c r="C1739" s="57" t="n"/>
      <c r="D1739" s="57" t="n"/>
      <c r="E1739" s="58" t="n"/>
      <c r="F1739" s="57" t="n"/>
      <c r="G1739" s="59" t="n"/>
      <c r="H1739" s="59" t="n"/>
      <c r="I1739" s="60">
        <f>IF(OR(G1739="",H1739=""),"",MOD(H1739-G1739,1))</f>
        <v/>
      </c>
      <c r="J1739" s="61">
        <f>IF(OR(G1739="",H1739=""),"",ROUND(MOD(H1739-G1739,1)*24,2))</f>
        <v/>
      </c>
      <c r="K1739" s="62">
        <f>IF(E1739="","",IF(E1739="Werken","JA","NEE"))</f>
        <v/>
      </c>
      <c r="L1739" s="61">
        <f>IF(K1739="JA",N(J1739),IF(E1739="","",0))</f>
        <v/>
      </c>
      <c r="M1739" s="62">
        <f>IF(AND(A1739="",E1739=""),"",IF(E1739="","Segment ontbreekt",IF(OR(G1739="",H1739=""),"Van/tot ontbreekt",IF(N(J1739)=0,"Duur is nul",IF(N(J1739)&gt;12,"Langer dan 12 uur - controleren",IF(AND(E1739="Werken",D1739=""),"Werken zonder klant - koppelen","OK"))))))</f>
        <v/>
      </c>
    </row>
    <row r="1740" ht="15" customHeight="1" s="42">
      <c r="A1740" s="55" t="n"/>
      <c r="B1740" s="56">
        <f>IF(A1740="","",WEEKNUM(A1740,21))</f>
        <v/>
      </c>
      <c r="C1740" s="57" t="n"/>
      <c r="D1740" s="57" t="n"/>
      <c r="E1740" s="58" t="n"/>
      <c r="F1740" s="57" t="n"/>
      <c r="G1740" s="59" t="n"/>
      <c r="H1740" s="59" t="n"/>
      <c r="I1740" s="60">
        <f>IF(OR(G1740="",H1740=""),"",MOD(H1740-G1740,1))</f>
        <v/>
      </c>
      <c r="J1740" s="61">
        <f>IF(OR(G1740="",H1740=""),"",ROUND(MOD(H1740-G1740,1)*24,2))</f>
        <v/>
      </c>
      <c r="K1740" s="62">
        <f>IF(E1740="","",IF(E1740="Werken","JA","NEE"))</f>
        <v/>
      </c>
      <c r="L1740" s="61">
        <f>IF(K1740="JA",N(J1740),IF(E1740="","",0))</f>
        <v/>
      </c>
      <c r="M1740" s="62">
        <f>IF(AND(A1740="",E1740=""),"",IF(E1740="","Segment ontbreekt",IF(OR(G1740="",H1740=""),"Van/tot ontbreekt",IF(N(J1740)=0,"Duur is nul",IF(N(J1740)&gt;12,"Langer dan 12 uur - controleren",IF(AND(E1740="Werken",D1740=""),"Werken zonder klant - koppelen","OK"))))))</f>
        <v/>
      </c>
    </row>
    <row r="1741" ht="15" customHeight="1" s="42">
      <c r="A1741" s="55" t="n"/>
      <c r="B1741" s="56">
        <f>IF(A1741="","",WEEKNUM(A1741,21))</f>
        <v/>
      </c>
      <c r="C1741" s="57" t="n"/>
      <c r="D1741" s="57" t="n"/>
      <c r="E1741" s="58" t="n"/>
      <c r="F1741" s="57" t="n"/>
      <c r="G1741" s="59" t="n"/>
      <c r="H1741" s="59" t="n"/>
      <c r="I1741" s="60">
        <f>IF(OR(G1741="",H1741=""),"",MOD(H1741-G1741,1))</f>
        <v/>
      </c>
      <c r="J1741" s="61">
        <f>IF(OR(G1741="",H1741=""),"",ROUND(MOD(H1741-G1741,1)*24,2))</f>
        <v/>
      </c>
      <c r="K1741" s="62">
        <f>IF(E1741="","",IF(E1741="Werken","JA","NEE"))</f>
        <v/>
      </c>
      <c r="L1741" s="61">
        <f>IF(K1741="JA",N(J1741),IF(E1741="","",0))</f>
        <v/>
      </c>
      <c r="M1741" s="62">
        <f>IF(AND(A1741="",E1741=""),"",IF(E1741="","Segment ontbreekt",IF(OR(G1741="",H1741=""),"Van/tot ontbreekt",IF(N(J1741)=0,"Duur is nul",IF(N(J1741)&gt;12,"Langer dan 12 uur - controleren",IF(AND(E1741="Werken",D1741=""),"Werken zonder klant - koppelen","OK"))))))</f>
        <v/>
      </c>
    </row>
    <row r="1742" ht="15" customHeight="1" s="42">
      <c r="A1742" s="55" t="n"/>
      <c r="B1742" s="56">
        <f>IF(A1742="","",WEEKNUM(A1742,21))</f>
        <v/>
      </c>
      <c r="C1742" s="57" t="n"/>
      <c r="D1742" s="57" t="n"/>
      <c r="E1742" s="58" t="n"/>
      <c r="F1742" s="57" t="n"/>
      <c r="G1742" s="59" t="n"/>
      <c r="H1742" s="59" t="n"/>
      <c r="I1742" s="60">
        <f>IF(OR(G1742="",H1742=""),"",MOD(H1742-G1742,1))</f>
        <v/>
      </c>
      <c r="J1742" s="61">
        <f>IF(OR(G1742="",H1742=""),"",ROUND(MOD(H1742-G1742,1)*24,2))</f>
        <v/>
      </c>
      <c r="K1742" s="62">
        <f>IF(E1742="","",IF(E1742="Werken","JA","NEE"))</f>
        <v/>
      </c>
      <c r="L1742" s="61">
        <f>IF(K1742="JA",N(J1742),IF(E1742="","",0))</f>
        <v/>
      </c>
      <c r="M1742" s="62">
        <f>IF(AND(A1742="",E1742=""),"",IF(E1742="","Segment ontbreekt",IF(OR(G1742="",H1742=""),"Van/tot ontbreekt",IF(N(J1742)=0,"Duur is nul",IF(N(J1742)&gt;12,"Langer dan 12 uur - controleren",IF(AND(E1742="Werken",D1742=""),"Werken zonder klant - koppelen","OK"))))))</f>
        <v/>
      </c>
    </row>
    <row r="1743" ht="15" customHeight="1" s="42">
      <c r="A1743" s="55" t="n"/>
      <c r="B1743" s="56">
        <f>IF(A1743="","",WEEKNUM(A1743,21))</f>
        <v/>
      </c>
      <c r="C1743" s="57" t="n"/>
      <c r="D1743" s="57" t="n"/>
      <c r="E1743" s="58" t="n"/>
      <c r="F1743" s="57" t="n"/>
      <c r="G1743" s="59" t="n"/>
      <c r="H1743" s="59" t="n"/>
      <c r="I1743" s="60">
        <f>IF(OR(G1743="",H1743=""),"",MOD(H1743-G1743,1))</f>
        <v/>
      </c>
      <c r="J1743" s="61">
        <f>IF(OR(G1743="",H1743=""),"",ROUND(MOD(H1743-G1743,1)*24,2))</f>
        <v/>
      </c>
      <c r="K1743" s="62">
        <f>IF(E1743="","",IF(E1743="Werken","JA","NEE"))</f>
        <v/>
      </c>
      <c r="L1743" s="61">
        <f>IF(K1743="JA",N(J1743),IF(E1743="","",0))</f>
        <v/>
      </c>
      <c r="M1743" s="62">
        <f>IF(AND(A1743="",E1743=""),"",IF(E1743="","Segment ontbreekt",IF(OR(G1743="",H1743=""),"Van/tot ontbreekt",IF(N(J1743)=0,"Duur is nul",IF(N(J1743)&gt;12,"Langer dan 12 uur - controleren",IF(AND(E1743="Werken",D1743=""),"Werken zonder klant - koppelen","OK"))))))</f>
        <v/>
      </c>
    </row>
    <row r="1744" ht="15" customHeight="1" s="42">
      <c r="A1744" s="55" t="n"/>
      <c r="B1744" s="56">
        <f>IF(A1744="","",WEEKNUM(A1744,21))</f>
        <v/>
      </c>
      <c r="C1744" s="57" t="n"/>
      <c r="D1744" s="57" t="n"/>
      <c r="E1744" s="58" t="n"/>
      <c r="F1744" s="57" t="n"/>
      <c r="G1744" s="59" t="n"/>
      <c r="H1744" s="59" t="n"/>
      <c r="I1744" s="60">
        <f>IF(OR(G1744="",H1744=""),"",MOD(H1744-G1744,1))</f>
        <v/>
      </c>
      <c r="J1744" s="61">
        <f>IF(OR(G1744="",H1744=""),"",ROUND(MOD(H1744-G1744,1)*24,2))</f>
        <v/>
      </c>
      <c r="K1744" s="62">
        <f>IF(E1744="","",IF(E1744="Werken","JA","NEE"))</f>
        <v/>
      </c>
      <c r="L1744" s="61">
        <f>IF(K1744="JA",N(J1744),IF(E1744="","",0))</f>
        <v/>
      </c>
      <c r="M1744" s="62">
        <f>IF(AND(A1744="",E1744=""),"",IF(E1744="","Segment ontbreekt",IF(OR(G1744="",H1744=""),"Van/tot ontbreekt",IF(N(J1744)=0,"Duur is nul",IF(N(J1744)&gt;12,"Langer dan 12 uur - controleren",IF(AND(E1744="Werken",D1744=""),"Werken zonder klant - koppelen","OK"))))))</f>
        <v/>
      </c>
    </row>
    <row r="1745" ht="15" customHeight="1" s="42">
      <c r="A1745" s="55" t="n"/>
      <c r="B1745" s="56">
        <f>IF(A1745="","",WEEKNUM(A1745,21))</f>
        <v/>
      </c>
      <c r="C1745" s="57" t="n"/>
      <c r="D1745" s="57" t="n"/>
      <c r="E1745" s="58" t="n"/>
      <c r="F1745" s="57" t="n"/>
      <c r="G1745" s="59" t="n"/>
      <c r="H1745" s="59" t="n"/>
      <c r="I1745" s="60">
        <f>IF(OR(G1745="",H1745=""),"",MOD(H1745-G1745,1))</f>
        <v/>
      </c>
      <c r="J1745" s="61">
        <f>IF(OR(G1745="",H1745=""),"",ROUND(MOD(H1745-G1745,1)*24,2))</f>
        <v/>
      </c>
      <c r="K1745" s="62">
        <f>IF(E1745="","",IF(E1745="Werken","JA","NEE"))</f>
        <v/>
      </c>
      <c r="L1745" s="61">
        <f>IF(K1745="JA",N(J1745),IF(E1745="","",0))</f>
        <v/>
      </c>
      <c r="M1745" s="62">
        <f>IF(AND(A1745="",E1745=""),"",IF(E1745="","Segment ontbreekt",IF(OR(G1745="",H1745=""),"Van/tot ontbreekt",IF(N(J1745)=0,"Duur is nul",IF(N(J1745)&gt;12,"Langer dan 12 uur - controleren",IF(AND(E1745="Werken",D1745=""),"Werken zonder klant - koppelen","OK"))))))</f>
        <v/>
      </c>
    </row>
    <row r="1746" ht="15" customHeight="1" s="42">
      <c r="A1746" s="55" t="n"/>
      <c r="B1746" s="56">
        <f>IF(A1746="","",WEEKNUM(A1746,21))</f>
        <v/>
      </c>
      <c r="C1746" s="57" t="n"/>
      <c r="D1746" s="57" t="n"/>
      <c r="E1746" s="58" t="n"/>
      <c r="F1746" s="57" t="n"/>
      <c r="G1746" s="59" t="n"/>
      <c r="H1746" s="59" t="n"/>
      <c r="I1746" s="60">
        <f>IF(OR(G1746="",H1746=""),"",MOD(H1746-G1746,1))</f>
        <v/>
      </c>
      <c r="J1746" s="61">
        <f>IF(OR(G1746="",H1746=""),"",ROUND(MOD(H1746-G1746,1)*24,2))</f>
        <v/>
      </c>
      <c r="K1746" s="62">
        <f>IF(E1746="","",IF(E1746="Werken","JA","NEE"))</f>
        <v/>
      </c>
      <c r="L1746" s="61">
        <f>IF(K1746="JA",N(J1746),IF(E1746="","",0))</f>
        <v/>
      </c>
      <c r="M1746" s="62">
        <f>IF(AND(A1746="",E1746=""),"",IF(E1746="","Segment ontbreekt",IF(OR(G1746="",H1746=""),"Van/tot ontbreekt",IF(N(J1746)=0,"Duur is nul",IF(N(J1746)&gt;12,"Langer dan 12 uur - controleren",IF(AND(E1746="Werken",D1746=""),"Werken zonder klant - koppelen","OK"))))))</f>
        <v/>
      </c>
    </row>
    <row r="1747" ht="15" customHeight="1" s="42">
      <c r="A1747" s="55" t="n"/>
      <c r="B1747" s="56">
        <f>IF(A1747="","",WEEKNUM(A1747,21))</f>
        <v/>
      </c>
      <c r="C1747" s="57" t="n"/>
      <c r="D1747" s="57" t="n"/>
      <c r="E1747" s="58" t="n"/>
      <c r="F1747" s="57" t="n"/>
      <c r="G1747" s="59" t="n"/>
      <c r="H1747" s="59" t="n"/>
      <c r="I1747" s="60">
        <f>IF(OR(G1747="",H1747=""),"",MOD(H1747-G1747,1))</f>
        <v/>
      </c>
      <c r="J1747" s="61">
        <f>IF(OR(G1747="",H1747=""),"",ROUND(MOD(H1747-G1747,1)*24,2))</f>
        <v/>
      </c>
      <c r="K1747" s="62">
        <f>IF(E1747="","",IF(E1747="Werken","JA","NEE"))</f>
        <v/>
      </c>
      <c r="L1747" s="61">
        <f>IF(K1747="JA",N(J1747),IF(E1747="","",0))</f>
        <v/>
      </c>
      <c r="M1747" s="62">
        <f>IF(AND(A1747="",E1747=""),"",IF(E1747="","Segment ontbreekt",IF(OR(G1747="",H1747=""),"Van/tot ontbreekt",IF(N(J1747)=0,"Duur is nul",IF(N(J1747)&gt;12,"Langer dan 12 uur - controleren",IF(AND(E1747="Werken",D1747=""),"Werken zonder klant - koppelen","OK"))))))</f>
        <v/>
      </c>
    </row>
    <row r="1748" ht="15" customHeight="1" s="42">
      <c r="A1748" s="55" t="n"/>
      <c r="B1748" s="56">
        <f>IF(A1748="","",WEEKNUM(A1748,21))</f>
        <v/>
      </c>
      <c r="C1748" s="57" t="n"/>
      <c r="D1748" s="57" t="n"/>
      <c r="E1748" s="58" t="n"/>
      <c r="F1748" s="57" t="n"/>
      <c r="G1748" s="59" t="n"/>
      <c r="H1748" s="59" t="n"/>
      <c r="I1748" s="60">
        <f>IF(OR(G1748="",H1748=""),"",MOD(H1748-G1748,1))</f>
        <v/>
      </c>
      <c r="J1748" s="61">
        <f>IF(OR(G1748="",H1748=""),"",ROUND(MOD(H1748-G1748,1)*24,2))</f>
        <v/>
      </c>
      <c r="K1748" s="62">
        <f>IF(E1748="","",IF(E1748="Werken","JA","NEE"))</f>
        <v/>
      </c>
      <c r="L1748" s="61">
        <f>IF(K1748="JA",N(J1748),IF(E1748="","",0))</f>
        <v/>
      </c>
      <c r="M1748" s="62">
        <f>IF(AND(A1748="",E1748=""),"",IF(E1748="","Segment ontbreekt",IF(OR(G1748="",H1748=""),"Van/tot ontbreekt",IF(N(J1748)=0,"Duur is nul",IF(N(J1748)&gt;12,"Langer dan 12 uur - controleren",IF(AND(E1748="Werken",D1748=""),"Werken zonder klant - koppelen","OK"))))))</f>
        <v/>
      </c>
    </row>
    <row r="1749" ht="15" customHeight="1" s="42">
      <c r="A1749" s="55" t="n"/>
      <c r="B1749" s="56">
        <f>IF(A1749="","",WEEKNUM(A1749,21))</f>
        <v/>
      </c>
      <c r="C1749" s="57" t="n"/>
      <c r="D1749" s="57" t="n"/>
      <c r="E1749" s="58" t="n"/>
      <c r="F1749" s="57" t="n"/>
      <c r="G1749" s="59" t="n"/>
      <c r="H1749" s="59" t="n"/>
      <c r="I1749" s="60">
        <f>IF(OR(G1749="",H1749=""),"",MOD(H1749-G1749,1))</f>
        <v/>
      </c>
      <c r="J1749" s="61">
        <f>IF(OR(G1749="",H1749=""),"",ROUND(MOD(H1749-G1749,1)*24,2))</f>
        <v/>
      </c>
      <c r="K1749" s="62">
        <f>IF(E1749="","",IF(E1749="Werken","JA","NEE"))</f>
        <v/>
      </c>
      <c r="L1749" s="61">
        <f>IF(K1749="JA",N(J1749),IF(E1749="","",0))</f>
        <v/>
      </c>
      <c r="M1749" s="62">
        <f>IF(AND(A1749="",E1749=""),"",IF(E1749="","Segment ontbreekt",IF(OR(G1749="",H1749=""),"Van/tot ontbreekt",IF(N(J1749)=0,"Duur is nul",IF(N(J1749)&gt;12,"Langer dan 12 uur - controleren",IF(AND(E1749="Werken",D1749=""),"Werken zonder klant - koppelen","OK"))))))</f>
        <v/>
      </c>
    </row>
    <row r="1750" ht="15" customHeight="1" s="42">
      <c r="A1750" s="55" t="n"/>
      <c r="B1750" s="56">
        <f>IF(A1750="","",WEEKNUM(A1750,21))</f>
        <v/>
      </c>
      <c r="C1750" s="57" t="n"/>
      <c r="D1750" s="57" t="n"/>
      <c r="E1750" s="58" t="n"/>
      <c r="F1750" s="57" t="n"/>
      <c r="G1750" s="59" t="n"/>
      <c r="H1750" s="59" t="n"/>
      <c r="I1750" s="60">
        <f>IF(OR(G1750="",H1750=""),"",MOD(H1750-G1750,1))</f>
        <v/>
      </c>
      <c r="J1750" s="61">
        <f>IF(OR(G1750="",H1750=""),"",ROUND(MOD(H1750-G1750,1)*24,2))</f>
        <v/>
      </c>
      <c r="K1750" s="62">
        <f>IF(E1750="","",IF(E1750="Werken","JA","NEE"))</f>
        <v/>
      </c>
      <c r="L1750" s="61">
        <f>IF(K1750="JA",N(J1750),IF(E1750="","",0))</f>
        <v/>
      </c>
      <c r="M1750" s="62">
        <f>IF(AND(A1750="",E1750=""),"",IF(E1750="","Segment ontbreekt",IF(OR(G1750="",H1750=""),"Van/tot ontbreekt",IF(N(J1750)=0,"Duur is nul",IF(N(J1750)&gt;12,"Langer dan 12 uur - controleren",IF(AND(E1750="Werken",D1750=""),"Werken zonder klant - koppelen","OK"))))))</f>
        <v/>
      </c>
    </row>
    <row r="1751" ht="15" customHeight="1" s="42">
      <c r="A1751" s="55" t="n"/>
      <c r="B1751" s="56">
        <f>IF(A1751="","",WEEKNUM(A1751,21))</f>
        <v/>
      </c>
      <c r="C1751" s="57" t="n"/>
      <c r="D1751" s="57" t="n"/>
      <c r="E1751" s="58" t="n"/>
      <c r="F1751" s="57" t="n"/>
      <c r="G1751" s="59" t="n"/>
      <c r="H1751" s="59" t="n"/>
      <c r="I1751" s="60">
        <f>IF(OR(G1751="",H1751=""),"",MOD(H1751-G1751,1))</f>
        <v/>
      </c>
      <c r="J1751" s="61">
        <f>IF(OR(G1751="",H1751=""),"",ROUND(MOD(H1751-G1751,1)*24,2))</f>
        <v/>
      </c>
      <c r="K1751" s="62">
        <f>IF(E1751="","",IF(E1751="Werken","JA","NEE"))</f>
        <v/>
      </c>
      <c r="L1751" s="61">
        <f>IF(K1751="JA",N(J1751),IF(E1751="","",0))</f>
        <v/>
      </c>
      <c r="M1751" s="62">
        <f>IF(AND(A1751="",E1751=""),"",IF(E1751="","Segment ontbreekt",IF(OR(G1751="",H1751=""),"Van/tot ontbreekt",IF(N(J1751)=0,"Duur is nul",IF(N(J1751)&gt;12,"Langer dan 12 uur - controleren",IF(AND(E1751="Werken",D1751=""),"Werken zonder klant - koppelen","OK"))))))</f>
        <v/>
      </c>
    </row>
    <row r="1752" ht="15" customHeight="1" s="42">
      <c r="A1752" s="55" t="n"/>
      <c r="B1752" s="56">
        <f>IF(A1752="","",WEEKNUM(A1752,21))</f>
        <v/>
      </c>
      <c r="C1752" s="57" t="n"/>
      <c r="D1752" s="57" t="n"/>
      <c r="E1752" s="58" t="n"/>
      <c r="F1752" s="57" t="n"/>
      <c r="G1752" s="59" t="n"/>
      <c r="H1752" s="59" t="n"/>
      <c r="I1752" s="60">
        <f>IF(OR(G1752="",H1752=""),"",MOD(H1752-G1752,1))</f>
        <v/>
      </c>
      <c r="J1752" s="61">
        <f>IF(OR(G1752="",H1752=""),"",ROUND(MOD(H1752-G1752,1)*24,2))</f>
        <v/>
      </c>
      <c r="K1752" s="62">
        <f>IF(E1752="","",IF(E1752="Werken","JA","NEE"))</f>
        <v/>
      </c>
      <c r="L1752" s="61">
        <f>IF(K1752="JA",N(J1752),IF(E1752="","",0))</f>
        <v/>
      </c>
      <c r="M1752" s="62">
        <f>IF(AND(A1752="",E1752=""),"",IF(E1752="","Segment ontbreekt",IF(OR(G1752="",H1752=""),"Van/tot ontbreekt",IF(N(J1752)=0,"Duur is nul",IF(N(J1752)&gt;12,"Langer dan 12 uur - controleren",IF(AND(E1752="Werken",D1752=""),"Werken zonder klant - koppelen","OK"))))))</f>
        <v/>
      </c>
    </row>
    <row r="1753" ht="15" customHeight="1" s="42">
      <c r="A1753" s="55" t="n"/>
      <c r="B1753" s="56">
        <f>IF(A1753="","",WEEKNUM(A1753,21))</f>
        <v/>
      </c>
      <c r="C1753" s="57" t="n"/>
      <c r="D1753" s="57" t="n"/>
      <c r="E1753" s="58" t="n"/>
      <c r="F1753" s="57" t="n"/>
      <c r="G1753" s="59" t="n"/>
      <c r="H1753" s="59" t="n"/>
      <c r="I1753" s="60">
        <f>IF(OR(G1753="",H1753=""),"",MOD(H1753-G1753,1))</f>
        <v/>
      </c>
      <c r="J1753" s="61">
        <f>IF(OR(G1753="",H1753=""),"",ROUND(MOD(H1753-G1753,1)*24,2))</f>
        <v/>
      </c>
      <c r="K1753" s="62">
        <f>IF(E1753="","",IF(E1753="Werken","JA","NEE"))</f>
        <v/>
      </c>
      <c r="L1753" s="61">
        <f>IF(K1753="JA",N(J1753),IF(E1753="","",0))</f>
        <v/>
      </c>
      <c r="M1753" s="62">
        <f>IF(AND(A1753="",E1753=""),"",IF(E1753="","Segment ontbreekt",IF(OR(G1753="",H1753=""),"Van/tot ontbreekt",IF(N(J1753)=0,"Duur is nul",IF(N(J1753)&gt;12,"Langer dan 12 uur - controleren",IF(AND(E1753="Werken",D1753=""),"Werken zonder klant - koppelen","OK"))))))</f>
        <v/>
      </c>
    </row>
    <row r="1754" ht="15" customHeight="1" s="42">
      <c r="A1754" s="55" t="n"/>
      <c r="B1754" s="56">
        <f>IF(A1754="","",WEEKNUM(A1754,21))</f>
        <v/>
      </c>
      <c r="C1754" s="57" t="n"/>
      <c r="D1754" s="57" t="n"/>
      <c r="E1754" s="58" t="n"/>
      <c r="F1754" s="57" t="n"/>
      <c r="G1754" s="59" t="n"/>
      <c r="H1754" s="59" t="n"/>
      <c r="I1754" s="60">
        <f>IF(OR(G1754="",H1754=""),"",MOD(H1754-G1754,1))</f>
        <v/>
      </c>
      <c r="J1754" s="61">
        <f>IF(OR(G1754="",H1754=""),"",ROUND(MOD(H1754-G1754,1)*24,2))</f>
        <v/>
      </c>
      <c r="K1754" s="62">
        <f>IF(E1754="","",IF(E1754="Werken","JA","NEE"))</f>
        <v/>
      </c>
      <c r="L1754" s="61">
        <f>IF(K1754="JA",N(J1754),IF(E1754="","",0))</f>
        <v/>
      </c>
      <c r="M1754" s="62">
        <f>IF(AND(A1754="",E1754=""),"",IF(E1754="","Segment ontbreekt",IF(OR(G1754="",H1754=""),"Van/tot ontbreekt",IF(N(J1754)=0,"Duur is nul",IF(N(J1754)&gt;12,"Langer dan 12 uur - controleren",IF(AND(E1754="Werken",D1754=""),"Werken zonder klant - koppelen","OK"))))))</f>
        <v/>
      </c>
    </row>
    <row r="1755" ht="15" customHeight="1" s="42">
      <c r="A1755" s="55" t="n"/>
      <c r="B1755" s="56">
        <f>IF(A1755="","",WEEKNUM(A1755,21))</f>
        <v/>
      </c>
      <c r="C1755" s="57" t="n"/>
      <c r="D1755" s="57" t="n"/>
      <c r="E1755" s="58" t="n"/>
      <c r="F1755" s="57" t="n"/>
      <c r="G1755" s="59" t="n"/>
      <c r="H1755" s="59" t="n"/>
      <c r="I1755" s="60">
        <f>IF(OR(G1755="",H1755=""),"",MOD(H1755-G1755,1))</f>
        <v/>
      </c>
      <c r="J1755" s="61">
        <f>IF(OR(G1755="",H1755=""),"",ROUND(MOD(H1755-G1755,1)*24,2))</f>
        <v/>
      </c>
      <c r="K1755" s="62">
        <f>IF(E1755="","",IF(E1755="Werken","JA","NEE"))</f>
        <v/>
      </c>
      <c r="L1755" s="61">
        <f>IF(K1755="JA",N(J1755),IF(E1755="","",0))</f>
        <v/>
      </c>
      <c r="M1755" s="62">
        <f>IF(AND(A1755="",E1755=""),"",IF(E1755="","Segment ontbreekt",IF(OR(G1755="",H1755=""),"Van/tot ontbreekt",IF(N(J1755)=0,"Duur is nul",IF(N(J1755)&gt;12,"Langer dan 12 uur - controleren",IF(AND(E1755="Werken",D1755=""),"Werken zonder klant - koppelen","OK"))))))</f>
        <v/>
      </c>
    </row>
    <row r="1756" ht="15" customHeight="1" s="42">
      <c r="A1756" s="55" t="n"/>
      <c r="B1756" s="56">
        <f>IF(A1756="","",WEEKNUM(A1756,21))</f>
        <v/>
      </c>
      <c r="C1756" s="57" t="n"/>
      <c r="D1756" s="57" t="n"/>
      <c r="E1756" s="58" t="n"/>
      <c r="F1756" s="57" t="n"/>
      <c r="G1756" s="59" t="n"/>
      <c r="H1756" s="59" t="n"/>
      <c r="I1756" s="60">
        <f>IF(OR(G1756="",H1756=""),"",MOD(H1756-G1756,1))</f>
        <v/>
      </c>
      <c r="J1756" s="61">
        <f>IF(OR(G1756="",H1756=""),"",ROUND(MOD(H1756-G1756,1)*24,2))</f>
        <v/>
      </c>
      <c r="K1756" s="62">
        <f>IF(E1756="","",IF(E1756="Werken","JA","NEE"))</f>
        <v/>
      </c>
      <c r="L1756" s="61">
        <f>IF(K1756="JA",N(J1756),IF(E1756="","",0))</f>
        <v/>
      </c>
      <c r="M1756" s="62">
        <f>IF(AND(A1756="",E1756=""),"",IF(E1756="","Segment ontbreekt",IF(OR(G1756="",H1756=""),"Van/tot ontbreekt",IF(N(J1756)=0,"Duur is nul",IF(N(J1756)&gt;12,"Langer dan 12 uur - controleren",IF(AND(E1756="Werken",D1756=""),"Werken zonder klant - koppelen","OK"))))))</f>
        <v/>
      </c>
    </row>
    <row r="1757" ht="15" customHeight="1" s="42">
      <c r="A1757" s="55" t="n"/>
      <c r="B1757" s="56">
        <f>IF(A1757="","",WEEKNUM(A1757,21))</f>
        <v/>
      </c>
      <c r="C1757" s="57" t="n"/>
      <c r="D1757" s="57" t="n"/>
      <c r="E1757" s="58" t="n"/>
      <c r="F1757" s="57" t="n"/>
      <c r="G1757" s="59" t="n"/>
      <c r="H1757" s="59" t="n"/>
      <c r="I1757" s="60">
        <f>IF(OR(G1757="",H1757=""),"",MOD(H1757-G1757,1))</f>
        <v/>
      </c>
      <c r="J1757" s="61">
        <f>IF(OR(G1757="",H1757=""),"",ROUND(MOD(H1757-G1757,1)*24,2))</f>
        <v/>
      </c>
      <c r="K1757" s="62">
        <f>IF(E1757="","",IF(E1757="Werken","JA","NEE"))</f>
        <v/>
      </c>
      <c r="L1757" s="61">
        <f>IF(K1757="JA",N(J1757),IF(E1757="","",0))</f>
        <v/>
      </c>
      <c r="M1757" s="62">
        <f>IF(AND(A1757="",E1757=""),"",IF(E1757="","Segment ontbreekt",IF(OR(G1757="",H1757=""),"Van/tot ontbreekt",IF(N(J1757)=0,"Duur is nul",IF(N(J1757)&gt;12,"Langer dan 12 uur - controleren",IF(AND(E1757="Werken",D1757=""),"Werken zonder klant - koppelen","OK"))))))</f>
        <v/>
      </c>
    </row>
    <row r="1758" ht="15" customHeight="1" s="42">
      <c r="A1758" s="55" t="n"/>
      <c r="B1758" s="56">
        <f>IF(A1758="","",WEEKNUM(A1758,21))</f>
        <v/>
      </c>
      <c r="C1758" s="57" t="n"/>
      <c r="D1758" s="57" t="n"/>
      <c r="E1758" s="58" t="n"/>
      <c r="F1758" s="57" t="n"/>
      <c r="G1758" s="59" t="n"/>
      <c r="H1758" s="59" t="n"/>
      <c r="I1758" s="60">
        <f>IF(OR(G1758="",H1758=""),"",MOD(H1758-G1758,1))</f>
        <v/>
      </c>
      <c r="J1758" s="61">
        <f>IF(OR(G1758="",H1758=""),"",ROUND(MOD(H1758-G1758,1)*24,2))</f>
        <v/>
      </c>
      <c r="K1758" s="62">
        <f>IF(E1758="","",IF(E1758="Werken","JA","NEE"))</f>
        <v/>
      </c>
      <c r="L1758" s="61">
        <f>IF(K1758="JA",N(J1758),IF(E1758="","",0))</f>
        <v/>
      </c>
      <c r="M1758" s="62">
        <f>IF(AND(A1758="",E1758=""),"",IF(E1758="","Segment ontbreekt",IF(OR(G1758="",H1758=""),"Van/tot ontbreekt",IF(N(J1758)=0,"Duur is nul",IF(N(J1758)&gt;12,"Langer dan 12 uur - controleren",IF(AND(E1758="Werken",D1758=""),"Werken zonder klant - koppelen","OK"))))))</f>
        <v/>
      </c>
    </row>
    <row r="1759" ht="15" customHeight="1" s="42">
      <c r="A1759" s="55" t="n"/>
      <c r="B1759" s="56">
        <f>IF(A1759="","",WEEKNUM(A1759,21))</f>
        <v/>
      </c>
      <c r="C1759" s="57" t="n"/>
      <c r="D1759" s="57" t="n"/>
      <c r="E1759" s="58" t="n"/>
      <c r="F1759" s="57" t="n"/>
      <c r="G1759" s="59" t="n"/>
      <c r="H1759" s="59" t="n"/>
      <c r="I1759" s="60">
        <f>IF(OR(G1759="",H1759=""),"",MOD(H1759-G1759,1))</f>
        <v/>
      </c>
      <c r="J1759" s="61">
        <f>IF(OR(G1759="",H1759=""),"",ROUND(MOD(H1759-G1759,1)*24,2))</f>
        <v/>
      </c>
      <c r="K1759" s="62">
        <f>IF(E1759="","",IF(E1759="Werken","JA","NEE"))</f>
        <v/>
      </c>
      <c r="L1759" s="61">
        <f>IF(K1759="JA",N(J1759),IF(E1759="","",0))</f>
        <v/>
      </c>
      <c r="M1759" s="62">
        <f>IF(AND(A1759="",E1759=""),"",IF(E1759="","Segment ontbreekt",IF(OR(G1759="",H1759=""),"Van/tot ontbreekt",IF(N(J1759)=0,"Duur is nul",IF(N(J1759)&gt;12,"Langer dan 12 uur - controleren",IF(AND(E1759="Werken",D1759=""),"Werken zonder klant - koppelen","OK"))))))</f>
        <v/>
      </c>
    </row>
    <row r="1760" ht="15" customHeight="1" s="42">
      <c r="A1760" s="55" t="n"/>
      <c r="B1760" s="56">
        <f>IF(A1760="","",WEEKNUM(A1760,21))</f>
        <v/>
      </c>
      <c r="C1760" s="57" t="n"/>
      <c r="D1760" s="57" t="n"/>
      <c r="E1760" s="58" t="n"/>
      <c r="F1760" s="57" t="n"/>
      <c r="G1760" s="59" t="n"/>
      <c r="H1760" s="59" t="n"/>
      <c r="I1760" s="60">
        <f>IF(OR(G1760="",H1760=""),"",MOD(H1760-G1760,1))</f>
        <v/>
      </c>
      <c r="J1760" s="61">
        <f>IF(OR(G1760="",H1760=""),"",ROUND(MOD(H1760-G1760,1)*24,2))</f>
        <v/>
      </c>
      <c r="K1760" s="62">
        <f>IF(E1760="","",IF(E1760="Werken","JA","NEE"))</f>
        <v/>
      </c>
      <c r="L1760" s="61">
        <f>IF(K1760="JA",N(J1760),IF(E1760="","",0))</f>
        <v/>
      </c>
      <c r="M1760" s="62">
        <f>IF(AND(A1760="",E1760=""),"",IF(E1760="","Segment ontbreekt",IF(OR(G1760="",H1760=""),"Van/tot ontbreekt",IF(N(J1760)=0,"Duur is nul",IF(N(J1760)&gt;12,"Langer dan 12 uur - controleren",IF(AND(E1760="Werken",D1760=""),"Werken zonder klant - koppelen","OK"))))))</f>
        <v/>
      </c>
    </row>
    <row r="1761" ht="15" customHeight="1" s="42">
      <c r="A1761" s="55" t="n"/>
      <c r="B1761" s="56">
        <f>IF(A1761="","",WEEKNUM(A1761,21))</f>
        <v/>
      </c>
      <c r="C1761" s="57" t="n"/>
      <c r="D1761" s="57" t="n"/>
      <c r="E1761" s="58" t="n"/>
      <c r="F1761" s="57" t="n"/>
      <c r="G1761" s="59" t="n"/>
      <c r="H1761" s="59" t="n"/>
      <c r="I1761" s="60">
        <f>IF(OR(G1761="",H1761=""),"",MOD(H1761-G1761,1))</f>
        <v/>
      </c>
      <c r="J1761" s="61">
        <f>IF(OR(G1761="",H1761=""),"",ROUND(MOD(H1761-G1761,1)*24,2))</f>
        <v/>
      </c>
      <c r="K1761" s="62">
        <f>IF(E1761="","",IF(E1761="Werken","JA","NEE"))</f>
        <v/>
      </c>
      <c r="L1761" s="61">
        <f>IF(K1761="JA",N(J1761),IF(E1761="","",0))</f>
        <v/>
      </c>
      <c r="M1761" s="62">
        <f>IF(AND(A1761="",E1761=""),"",IF(E1761="","Segment ontbreekt",IF(OR(G1761="",H1761=""),"Van/tot ontbreekt",IF(N(J1761)=0,"Duur is nul",IF(N(J1761)&gt;12,"Langer dan 12 uur - controleren",IF(AND(E1761="Werken",D1761=""),"Werken zonder klant - koppelen","OK"))))))</f>
        <v/>
      </c>
    </row>
    <row r="1762" ht="15" customHeight="1" s="42">
      <c r="A1762" s="55" t="n"/>
      <c r="B1762" s="56">
        <f>IF(A1762="","",WEEKNUM(A1762,21))</f>
        <v/>
      </c>
      <c r="C1762" s="57" t="n"/>
      <c r="D1762" s="57" t="n"/>
      <c r="E1762" s="58" t="n"/>
      <c r="F1762" s="57" t="n"/>
      <c r="G1762" s="59" t="n"/>
      <c r="H1762" s="59" t="n"/>
      <c r="I1762" s="60">
        <f>IF(OR(G1762="",H1762=""),"",MOD(H1762-G1762,1))</f>
        <v/>
      </c>
      <c r="J1762" s="61">
        <f>IF(OR(G1762="",H1762=""),"",ROUND(MOD(H1762-G1762,1)*24,2))</f>
        <v/>
      </c>
      <c r="K1762" s="62">
        <f>IF(E1762="","",IF(E1762="Werken","JA","NEE"))</f>
        <v/>
      </c>
      <c r="L1762" s="61">
        <f>IF(K1762="JA",N(J1762),IF(E1762="","",0))</f>
        <v/>
      </c>
      <c r="M1762" s="62">
        <f>IF(AND(A1762="",E1762=""),"",IF(E1762="","Segment ontbreekt",IF(OR(G1762="",H1762=""),"Van/tot ontbreekt",IF(N(J1762)=0,"Duur is nul",IF(N(J1762)&gt;12,"Langer dan 12 uur - controleren",IF(AND(E1762="Werken",D1762=""),"Werken zonder klant - koppelen","OK"))))))</f>
        <v/>
      </c>
    </row>
    <row r="1763" ht="15" customHeight="1" s="42">
      <c r="A1763" s="55" t="n"/>
      <c r="B1763" s="56">
        <f>IF(A1763="","",WEEKNUM(A1763,21))</f>
        <v/>
      </c>
      <c r="C1763" s="57" t="n"/>
      <c r="D1763" s="57" t="n"/>
      <c r="E1763" s="58" t="n"/>
      <c r="F1763" s="57" t="n"/>
      <c r="G1763" s="59" t="n"/>
      <c r="H1763" s="59" t="n"/>
      <c r="I1763" s="60">
        <f>IF(OR(G1763="",H1763=""),"",MOD(H1763-G1763,1))</f>
        <v/>
      </c>
      <c r="J1763" s="61">
        <f>IF(OR(G1763="",H1763=""),"",ROUND(MOD(H1763-G1763,1)*24,2))</f>
        <v/>
      </c>
      <c r="K1763" s="62">
        <f>IF(E1763="","",IF(E1763="Werken","JA","NEE"))</f>
        <v/>
      </c>
      <c r="L1763" s="61">
        <f>IF(K1763="JA",N(J1763),IF(E1763="","",0))</f>
        <v/>
      </c>
      <c r="M1763" s="62">
        <f>IF(AND(A1763="",E1763=""),"",IF(E1763="","Segment ontbreekt",IF(OR(G1763="",H1763=""),"Van/tot ontbreekt",IF(N(J1763)=0,"Duur is nul",IF(N(J1763)&gt;12,"Langer dan 12 uur - controleren",IF(AND(E1763="Werken",D1763=""),"Werken zonder klant - koppelen","OK"))))))</f>
        <v/>
      </c>
    </row>
    <row r="1764" ht="15" customHeight="1" s="42">
      <c r="A1764" s="55" t="n"/>
      <c r="B1764" s="56">
        <f>IF(A1764="","",WEEKNUM(A1764,21))</f>
        <v/>
      </c>
      <c r="C1764" s="57" t="n"/>
      <c r="D1764" s="57" t="n"/>
      <c r="E1764" s="58" t="n"/>
      <c r="F1764" s="57" t="n"/>
      <c r="G1764" s="59" t="n"/>
      <c r="H1764" s="59" t="n"/>
      <c r="I1764" s="60">
        <f>IF(OR(G1764="",H1764=""),"",MOD(H1764-G1764,1))</f>
        <v/>
      </c>
      <c r="J1764" s="61">
        <f>IF(OR(G1764="",H1764=""),"",ROUND(MOD(H1764-G1764,1)*24,2))</f>
        <v/>
      </c>
      <c r="K1764" s="62">
        <f>IF(E1764="","",IF(E1764="Werken","JA","NEE"))</f>
        <v/>
      </c>
      <c r="L1764" s="61">
        <f>IF(K1764="JA",N(J1764),IF(E1764="","",0))</f>
        <v/>
      </c>
      <c r="M1764" s="62">
        <f>IF(AND(A1764="",E1764=""),"",IF(E1764="","Segment ontbreekt",IF(OR(G1764="",H1764=""),"Van/tot ontbreekt",IF(N(J1764)=0,"Duur is nul",IF(N(J1764)&gt;12,"Langer dan 12 uur - controleren",IF(AND(E1764="Werken",D1764=""),"Werken zonder klant - koppelen","OK"))))))</f>
        <v/>
      </c>
    </row>
    <row r="1765" ht="15" customHeight="1" s="42">
      <c r="A1765" s="55" t="n"/>
      <c r="B1765" s="56">
        <f>IF(A1765="","",WEEKNUM(A1765,21))</f>
        <v/>
      </c>
      <c r="C1765" s="57" t="n"/>
      <c r="D1765" s="57" t="n"/>
      <c r="E1765" s="58" t="n"/>
      <c r="F1765" s="57" t="n"/>
      <c r="G1765" s="59" t="n"/>
      <c r="H1765" s="59" t="n"/>
      <c r="I1765" s="60">
        <f>IF(OR(G1765="",H1765=""),"",MOD(H1765-G1765,1))</f>
        <v/>
      </c>
      <c r="J1765" s="61">
        <f>IF(OR(G1765="",H1765=""),"",ROUND(MOD(H1765-G1765,1)*24,2))</f>
        <v/>
      </c>
      <c r="K1765" s="62">
        <f>IF(E1765="","",IF(E1765="Werken","JA","NEE"))</f>
        <v/>
      </c>
      <c r="L1765" s="61">
        <f>IF(K1765="JA",N(J1765),IF(E1765="","",0))</f>
        <v/>
      </c>
      <c r="M1765" s="62">
        <f>IF(AND(A1765="",E1765=""),"",IF(E1765="","Segment ontbreekt",IF(OR(G1765="",H1765=""),"Van/tot ontbreekt",IF(N(J1765)=0,"Duur is nul",IF(N(J1765)&gt;12,"Langer dan 12 uur - controleren",IF(AND(E1765="Werken",D1765=""),"Werken zonder klant - koppelen","OK"))))))</f>
        <v/>
      </c>
    </row>
    <row r="1766" ht="15" customHeight="1" s="42">
      <c r="A1766" s="55" t="n"/>
      <c r="B1766" s="56">
        <f>IF(A1766="","",WEEKNUM(A1766,21))</f>
        <v/>
      </c>
      <c r="C1766" s="57" t="n"/>
      <c r="D1766" s="57" t="n"/>
      <c r="E1766" s="58" t="n"/>
      <c r="F1766" s="57" t="n"/>
      <c r="G1766" s="59" t="n"/>
      <c r="H1766" s="59" t="n"/>
      <c r="I1766" s="60">
        <f>IF(OR(G1766="",H1766=""),"",MOD(H1766-G1766,1))</f>
        <v/>
      </c>
      <c r="J1766" s="61">
        <f>IF(OR(G1766="",H1766=""),"",ROUND(MOD(H1766-G1766,1)*24,2))</f>
        <v/>
      </c>
      <c r="K1766" s="62">
        <f>IF(E1766="","",IF(E1766="Werken","JA","NEE"))</f>
        <v/>
      </c>
      <c r="L1766" s="61">
        <f>IF(K1766="JA",N(J1766),IF(E1766="","",0))</f>
        <v/>
      </c>
      <c r="M1766" s="62">
        <f>IF(AND(A1766="",E1766=""),"",IF(E1766="","Segment ontbreekt",IF(OR(G1766="",H1766=""),"Van/tot ontbreekt",IF(N(J1766)=0,"Duur is nul",IF(N(J1766)&gt;12,"Langer dan 12 uur - controleren",IF(AND(E1766="Werken",D1766=""),"Werken zonder klant - koppelen","OK"))))))</f>
        <v/>
      </c>
    </row>
    <row r="1767" ht="15" customHeight="1" s="42">
      <c r="A1767" s="55" t="n"/>
      <c r="B1767" s="56">
        <f>IF(A1767="","",WEEKNUM(A1767,21))</f>
        <v/>
      </c>
      <c r="C1767" s="57" t="n"/>
      <c r="D1767" s="57" t="n"/>
      <c r="E1767" s="58" t="n"/>
      <c r="F1767" s="57" t="n"/>
      <c r="G1767" s="59" t="n"/>
      <c r="H1767" s="59" t="n"/>
      <c r="I1767" s="60">
        <f>IF(OR(G1767="",H1767=""),"",MOD(H1767-G1767,1))</f>
        <v/>
      </c>
      <c r="J1767" s="61">
        <f>IF(OR(G1767="",H1767=""),"",ROUND(MOD(H1767-G1767,1)*24,2))</f>
        <v/>
      </c>
      <c r="K1767" s="62">
        <f>IF(E1767="","",IF(E1767="Werken","JA","NEE"))</f>
        <v/>
      </c>
      <c r="L1767" s="61">
        <f>IF(K1767="JA",N(J1767),IF(E1767="","",0))</f>
        <v/>
      </c>
      <c r="M1767" s="62">
        <f>IF(AND(A1767="",E1767=""),"",IF(E1767="","Segment ontbreekt",IF(OR(G1767="",H1767=""),"Van/tot ontbreekt",IF(N(J1767)=0,"Duur is nul",IF(N(J1767)&gt;12,"Langer dan 12 uur - controleren",IF(AND(E1767="Werken",D1767=""),"Werken zonder klant - koppelen","OK"))))))</f>
        <v/>
      </c>
    </row>
    <row r="1768" ht="15" customHeight="1" s="42">
      <c r="A1768" s="55" t="n"/>
      <c r="B1768" s="56">
        <f>IF(A1768="","",WEEKNUM(A1768,21))</f>
        <v/>
      </c>
      <c r="C1768" s="57" t="n"/>
      <c r="D1768" s="57" t="n"/>
      <c r="E1768" s="58" t="n"/>
      <c r="F1768" s="57" t="n"/>
      <c r="G1768" s="59" t="n"/>
      <c r="H1768" s="59" t="n"/>
      <c r="I1768" s="60">
        <f>IF(OR(G1768="",H1768=""),"",MOD(H1768-G1768,1))</f>
        <v/>
      </c>
      <c r="J1768" s="61">
        <f>IF(OR(G1768="",H1768=""),"",ROUND(MOD(H1768-G1768,1)*24,2))</f>
        <v/>
      </c>
      <c r="K1768" s="62">
        <f>IF(E1768="","",IF(E1768="Werken","JA","NEE"))</f>
        <v/>
      </c>
      <c r="L1768" s="61">
        <f>IF(K1768="JA",N(J1768),IF(E1768="","",0))</f>
        <v/>
      </c>
      <c r="M1768" s="62">
        <f>IF(AND(A1768="",E1768=""),"",IF(E1768="","Segment ontbreekt",IF(OR(G1768="",H1768=""),"Van/tot ontbreekt",IF(N(J1768)=0,"Duur is nul",IF(N(J1768)&gt;12,"Langer dan 12 uur - controleren",IF(AND(E1768="Werken",D1768=""),"Werken zonder klant - koppelen","OK"))))))</f>
        <v/>
      </c>
    </row>
    <row r="1769" ht="15" customHeight="1" s="42">
      <c r="A1769" s="55" t="n"/>
      <c r="B1769" s="56">
        <f>IF(A1769="","",WEEKNUM(A1769,21))</f>
        <v/>
      </c>
      <c r="C1769" s="57" t="n"/>
      <c r="D1769" s="57" t="n"/>
      <c r="E1769" s="58" t="n"/>
      <c r="F1769" s="57" t="n"/>
      <c r="G1769" s="59" t="n"/>
      <c r="H1769" s="59" t="n"/>
      <c r="I1769" s="60">
        <f>IF(OR(G1769="",H1769=""),"",MOD(H1769-G1769,1))</f>
        <v/>
      </c>
      <c r="J1769" s="61">
        <f>IF(OR(G1769="",H1769=""),"",ROUND(MOD(H1769-G1769,1)*24,2))</f>
        <v/>
      </c>
      <c r="K1769" s="62">
        <f>IF(E1769="","",IF(E1769="Werken","JA","NEE"))</f>
        <v/>
      </c>
      <c r="L1769" s="61">
        <f>IF(K1769="JA",N(J1769),IF(E1769="","",0))</f>
        <v/>
      </c>
      <c r="M1769" s="62">
        <f>IF(AND(A1769="",E1769=""),"",IF(E1769="","Segment ontbreekt",IF(OR(G1769="",H1769=""),"Van/tot ontbreekt",IF(N(J1769)=0,"Duur is nul",IF(N(J1769)&gt;12,"Langer dan 12 uur - controleren",IF(AND(E1769="Werken",D1769=""),"Werken zonder klant - koppelen","OK"))))))</f>
        <v/>
      </c>
    </row>
    <row r="1770" ht="15" customHeight="1" s="42">
      <c r="A1770" s="55" t="n"/>
      <c r="B1770" s="56">
        <f>IF(A1770="","",WEEKNUM(A1770,21))</f>
        <v/>
      </c>
      <c r="C1770" s="57" t="n"/>
      <c r="D1770" s="57" t="n"/>
      <c r="E1770" s="58" t="n"/>
      <c r="F1770" s="57" t="n"/>
      <c r="G1770" s="59" t="n"/>
      <c r="H1770" s="59" t="n"/>
      <c r="I1770" s="60">
        <f>IF(OR(G1770="",H1770=""),"",MOD(H1770-G1770,1))</f>
        <v/>
      </c>
      <c r="J1770" s="61">
        <f>IF(OR(G1770="",H1770=""),"",ROUND(MOD(H1770-G1770,1)*24,2))</f>
        <v/>
      </c>
      <c r="K1770" s="62">
        <f>IF(E1770="","",IF(E1770="Werken","JA","NEE"))</f>
        <v/>
      </c>
      <c r="L1770" s="61">
        <f>IF(K1770="JA",N(J1770),IF(E1770="","",0))</f>
        <v/>
      </c>
      <c r="M1770" s="62">
        <f>IF(AND(A1770="",E1770=""),"",IF(E1770="","Segment ontbreekt",IF(OR(G1770="",H1770=""),"Van/tot ontbreekt",IF(N(J1770)=0,"Duur is nul",IF(N(J1770)&gt;12,"Langer dan 12 uur - controleren",IF(AND(E1770="Werken",D1770=""),"Werken zonder klant - koppelen","OK"))))))</f>
        <v/>
      </c>
    </row>
    <row r="1771" ht="15" customHeight="1" s="42">
      <c r="A1771" s="55" t="n"/>
      <c r="B1771" s="56">
        <f>IF(A1771="","",WEEKNUM(A1771,21))</f>
        <v/>
      </c>
      <c r="C1771" s="57" t="n"/>
      <c r="D1771" s="57" t="n"/>
      <c r="E1771" s="58" t="n"/>
      <c r="F1771" s="57" t="n"/>
      <c r="G1771" s="59" t="n"/>
      <c r="H1771" s="59" t="n"/>
      <c r="I1771" s="60">
        <f>IF(OR(G1771="",H1771=""),"",MOD(H1771-G1771,1))</f>
        <v/>
      </c>
      <c r="J1771" s="61">
        <f>IF(OR(G1771="",H1771=""),"",ROUND(MOD(H1771-G1771,1)*24,2))</f>
        <v/>
      </c>
      <c r="K1771" s="62">
        <f>IF(E1771="","",IF(E1771="Werken","JA","NEE"))</f>
        <v/>
      </c>
      <c r="L1771" s="61">
        <f>IF(K1771="JA",N(J1771),IF(E1771="","",0))</f>
        <v/>
      </c>
      <c r="M1771" s="62">
        <f>IF(AND(A1771="",E1771=""),"",IF(E1771="","Segment ontbreekt",IF(OR(G1771="",H1771=""),"Van/tot ontbreekt",IF(N(J1771)=0,"Duur is nul",IF(N(J1771)&gt;12,"Langer dan 12 uur - controleren",IF(AND(E1771="Werken",D1771=""),"Werken zonder klant - koppelen","OK"))))))</f>
        <v/>
      </c>
    </row>
    <row r="1772" ht="15" customHeight="1" s="42">
      <c r="A1772" s="55" t="n"/>
      <c r="B1772" s="56">
        <f>IF(A1772="","",WEEKNUM(A1772,21))</f>
        <v/>
      </c>
      <c r="C1772" s="57" t="n"/>
      <c r="D1772" s="57" t="n"/>
      <c r="E1772" s="58" t="n"/>
      <c r="F1772" s="57" t="n"/>
      <c r="G1772" s="59" t="n"/>
      <c r="H1772" s="59" t="n"/>
      <c r="I1772" s="60">
        <f>IF(OR(G1772="",H1772=""),"",MOD(H1772-G1772,1))</f>
        <v/>
      </c>
      <c r="J1772" s="61">
        <f>IF(OR(G1772="",H1772=""),"",ROUND(MOD(H1772-G1772,1)*24,2))</f>
        <v/>
      </c>
      <c r="K1772" s="62">
        <f>IF(E1772="","",IF(E1772="Werken","JA","NEE"))</f>
        <v/>
      </c>
      <c r="L1772" s="61">
        <f>IF(K1772="JA",N(J1772),IF(E1772="","",0))</f>
        <v/>
      </c>
      <c r="M1772" s="62">
        <f>IF(AND(A1772="",E1772=""),"",IF(E1772="","Segment ontbreekt",IF(OR(G1772="",H1772=""),"Van/tot ontbreekt",IF(N(J1772)=0,"Duur is nul",IF(N(J1772)&gt;12,"Langer dan 12 uur - controleren",IF(AND(E1772="Werken",D1772=""),"Werken zonder klant - koppelen","OK"))))))</f>
        <v/>
      </c>
    </row>
    <row r="1773" ht="15" customHeight="1" s="42">
      <c r="A1773" s="55" t="n"/>
      <c r="B1773" s="56">
        <f>IF(A1773="","",WEEKNUM(A1773,21))</f>
        <v/>
      </c>
      <c r="C1773" s="57" t="n"/>
      <c r="D1773" s="57" t="n"/>
      <c r="E1773" s="58" t="n"/>
      <c r="F1773" s="57" t="n"/>
      <c r="G1773" s="59" t="n"/>
      <c r="H1773" s="59" t="n"/>
      <c r="I1773" s="60">
        <f>IF(OR(G1773="",H1773=""),"",MOD(H1773-G1773,1))</f>
        <v/>
      </c>
      <c r="J1773" s="61">
        <f>IF(OR(G1773="",H1773=""),"",ROUND(MOD(H1773-G1773,1)*24,2))</f>
        <v/>
      </c>
      <c r="K1773" s="62">
        <f>IF(E1773="","",IF(E1773="Werken","JA","NEE"))</f>
        <v/>
      </c>
      <c r="L1773" s="61">
        <f>IF(K1773="JA",N(J1773),IF(E1773="","",0))</f>
        <v/>
      </c>
      <c r="M1773" s="62">
        <f>IF(AND(A1773="",E1773=""),"",IF(E1773="","Segment ontbreekt",IF(OR(G1773="",H1773=""),"Van/tot ontbreekt",IF(N(J1773)=0,"Duur is nul",IF(N(J1773)&gt;12,"Langer dan 12 uur - controleren",IF(AND(E1773="Werken",D1773=""),"Werken zonder klant - koppelen","OK"))))))</f>
        <v/>
      </c>
    </row>
    <row r="1774" ht="15" customHeight="1" s="42">
      <c r="A1774" s="55" t="n"/>
      <c r="B1774" s="56">
        <f>IF(A1774="","",WEEKNUM(A1774,21))</f>
        <v/>
      </c>
      <c r="C1774" s="57" t="n"/>
      <c r="D1774" s="57" t="n"/>
      <c r="E1774" s="58" t="n"/>
      <c r="F1774" s="57" t="n"/>
      <c r="G1774" s="59" t="n"/>
      <c r="H1774" s="59" t="n"/>
      <c r="I1774" s="60">
        <f>IF(OR(G1774="",H1774=""),"",MOD(H1774-G1774,1))</f>
        <v/>
      </c>
      <c r="J1774" s="61">
        <f>IF(OR(G1774="",H1774=""),"",ROUND(MOD(H1774-G1774,1)*24,2))</f>
        <v/>
      </c>
      <c r="K1774" s="62">
        <f>IF(E1774="","",IF(E1774="Werken","JA","NEE"))</f>
        <v/>
      </c>
      <c r="L1774" s="61">
        <f>IF(K1774="JA",N(J1774),IF(E1774="","",0))</f>
        <v/>
      </c>
      <c r="M1774" s="62">
        <f>IF(AND(A1774="",E1774=""),"",IF(E1774="","Segment ontbreekt",IF(OR(G1774="",H1774=""),"Van/tot ontbreekt",IF(N(J1774)=0,"Duur is nul",IF(N(J1774)&gt;12,"Langer dan 12 uur - controleren",IF(AND(E1774="Werken",D1774=""),"Werken zonder klant - koppelen","OK"))))))</f>
        <v/>
      </c>
    </row>
    <row r="1775" ht="15" customHeight="1" s="42">
      <c r="A1775" s="55" t="n"/>
      <c r="B1775" s="56">
        <f>IF(A1775="","",WEEKNUM(A1775,21))</f>
        <v/>
      </c>
      <c r="C1775" s="57" t="n"/>
      <c r="D1775" s="57" t="n"/>
      <c r="E1775" s="58" t="n"/>
      <c r="F1775" s="57" t="n"/>
      <c r="G1775" s="59" t="n"/>
      <c r="H1775" s="59" t="n"/>
      <c r="I1775" s="60">
        <f>IF(OR(G1775="",H1775=""),"",MOD(H1775-G1775,1))</f>
        <v/>
      </c>
      <c r="J1775" s="61">
        <f>IF(OR(G1775="",H1775=""),"",ROUND(MOD(H1775-G1775,1)*24,2))</f>
        <v/>
      </c>
      <c r="K1775" s="62">
        <f>IF(E1775="","",IF(E1775="Werken","JA","NEE"))</f>
        <v/>
      </c>
      <c r="L1775" s="61">
        <f>IF(K1775="JA",N(J1775),IF(E1775="","",0))</f>
        <v/>
      </c>
      <c r="M1775" s="62">
        <f>IF(AND(A1775="",E1775=""),"",IF(E1775="","Segment ontbreekt",IF(OR(G1775="",H1775=""),"Van/tot ontbreekt",IF(N(J1775)=0,"Duur is nul",IF(N(J1775)&gt;12,"Langer dan 12 uur - controleren",IF(AND(E1775="Werken",D1775=""),"Werken zonder klant - koppelen","OK"))))))</f>
        <v/>
      </c>
    </row>
    <row r="1776" ht="15" customHeight="1" s="42">
      <c r="A1776" s="55" t="n"/>
      <c r="B1776" s="56">
        <f>IF(A1776="","",WEEKNUM(A1776,21))</f>
        <v/>
      </c>
      <c r="C1776" s="57" t="n"/>
      <c r="D1776" s="57" t="n"/>
      <c r="E1776" s="58" t="n"/>
      <c r="F1776" s="57" t="n"/>
      <c r="G1776" s="59" t="n"/>
      <c r="H1776" s="59" t="n"/>
      <c r="I1776" s="60">
        <f>IF(OR(G1776="",H1776=""),"",MOD(H1776-G1776,1))</f>
        <v/>
      </c>
      <c r="J1776" s="61">
        <f>IF(OR(G1776="",H1776=""),"",ROUND(MOD(H1776-G1776,1)*24,2))</f>
        <v/>
      </c>
      <c r="K1776" s="62">
        <f>IF(E1776="","",IF(E1776="Werken","JA","NEE"))</f>
        <v/>
      </c>
      <c r="L1776" s="61">
        <f>IF(K1776="JA",N(J1776),IF(E1776="","",0))</f>
        <v/>
      </c>
      <c r="M1776" s="62">
        <f>IF(AND(A1776="",E1776=""),"",IF(E1776="","Segment ontbreekt",IF(OR(G1776="",H1776=""),"Van/tot ontbreekt",IF(N(J1776)=0,"Duur is nul",IF(N(J1776)&gt;12,"Langer dan 12 uur - controleren",IF(AND(E1776="Werken",D1776=""),"Werken zonder klant - koppelen","OK"))))))</f>
        <v/>
      </c>
    </row>
    <row r="1777" ht="15" customHeight="1" s="42">
      <c r="A1777" s="55" t="n"/>
      <c r="B1777" s="56">
        <f>IF(A1777="","",WEEKNUM(A1777,21))</f>
        <v/>
      </c>
      <c r="C1777" s="57" t="n"/>
      <c r="D1777" s="57" t="n"/>
      <c r="E1777" s="58" t="n"/>
      <c r="F1777" s="57" t="n"/>
      <c r="G1777" s="59" t="n"/>
      <c r="H1777" s="59" t="n"/>
      <c r="I1777" s="60">
        <f>IF(OR(G1777="",H1777=""),"",MOD(H1777-G1777,1))</f>
        <v/>
      </c>
      <c r="J1777" s="61">
        <f>IF(OR(G1777="",H1777=""),"",ROUND(MOD(H1777-G1777,1)*24,2))</f>
        <v/>
      </c>
      <c r="K1777" s="62">
        <f>IF(E1777="","",IF(E1777="Werken","JA","NEE"))</f>
        <v/>
      </c>
      <c r="L1777" s="61">
        <f>IF(K1777="JA",N(J1777),IF(E1777="","",0))</f>
        <v/>
      </c>
      <c r="M1777" s="62">
        <f>IF(AND(A1777="",E1777=""),"",IF(E1777="","Segment ontbreekt",IF(OR(G1777="",H1777=""),"Van/tot ontbreekt",IF(N(J1777)=0,"Duur is nul",IF(N(J1777)&gt;12,"Langer dan 12 uur - controleren",IF(AND(E1777="Werken",D1777=""),"Werken zonder klant - koppelen","OK"))))))</f>
        <v/>
      </c>
    </row>
    <row r="1778" ht="15" customHeight="1" s="42">
      <c r="A1778" s="55" t="n"/>
      <c r="B1778" s="56">
        <f>IF(A1778="","",WEEKNUM(A1778,21))</f>
        <v/>
      </c>
      <c r="C1778" s="57" t="n"/>
      <c r="D1778" s="57" t="n"/>
      <c r="E1778" s="58" t="n"/>
      <c r="F1778" s="57" t="n"/>
      <c r="G1778" s="59" t="n"/>
      <c r="H1778" s="59" t="n"/>
      <c r="I1778" s="60">
        <f>IF(OR(G1778="",H1778=""),"",MOD(H1778-G1778,1))</f>
        <v/>
      </c>
      <c r="J1778" s="61">
        <f>IF(OR(G1778="",H1778=""),"",ROUND(MOD(H1778-G1778,1)*24,2))</f>
        <v/>
      </c>
      <c r="K1778" s="62">
        <f>IF(E1778="","",IF(E1778="Werken","JA","NEE"))</f>
        <v/>
      </c>
      <c r="L1778" s="61">
        <f>IF(K1778="JA",N(J1778),IF(E1778="","",0))</f>
        <v/>
      </c>
      <c r="M1778" s="62">
        <f>IF(AND(A1778="",E1778=""),"",IF(E1778="","Segment ontbreekt",IF(OR(G1778="",H1778=""),"Van/tot ontbreekt",IF(N(J1778)=0,"Duur is nul",IF(N(J1778)&gt;12,"Langer dan 12 uur - controleren",IF(AND(E1778="Werken",D1778=""),"Werken zonder klant - koppelen","OK"))))))</f>
        <v/>
      </c>
    </row>
    <row r="1779" ht="15" customHeight="1" s="42">
      <c r="A1779" s="55" t="n"/>
      <c r="B1779" s="56">
        <f>IF(A1779="","",WEEKNUM(A1779,21))</f>
        <v/>
      </c>
      <c r="C1779" s="57" t="n"/>
      <c r="D1779" s="57" t="n"/>
      <c r="E1779" s="58" t="n"/>
      <c r="F1779" s="57" t="n"/>
      <c r="G1779" s="59" t="n"/>
      <c r="H1779" s="59" t="n"/>
      <c r="I1779" s="60">
        <f>IF(OR(G1779="",H1779=""),"",MOD(H1779-G1779,1))</f>
        <v/>
      </c>
      <c r="J1779" s="61">
        <f>IF(OR(G1779="",H1779=""),"",ROUND(MOD(H1779-G1779,1)*24,2))</f>
        <v/>
      </c>
      <c r="K1779" s="62">
        <f>IF(E1779="","",IF(E1779="Werken","JA","NEE"))</f>
        <v/>
      </c>
      <c r="L1779" s="61">
        <f>IF(K1779="JA",N(J1779),IF(E1779="","",0))</f>
        <v/>
      </c>
      <c r="M1779" s="62">
        <f>IF(AND(A1779="",E1779=""),"",IF(E1779="","Segment ontbreekt",IF(OR(G1779="",H1779=""),"Van/tot ontbreekt",IF(N(J1779)=0,"Duur is nul",IF(N(J1779)&gt;12,"Langer dan 12 uur - controleren",IF(AND(E1779="Werken",D1779=""),"Werken zonder klant - koppelen","OK"))))))</f>
        <v/>
      </c>
    </row>
    <row r="1780" ht="15" customHeight="1" s="42">
      <c r="A1780" s="55" t="n"/>
      <c r="B1780" s="56">
        <f>IF(A1780="","",WEEKNUM(A1780,21))</f>
        <v/>
      </c>
      <c r="C1780" s="57" t="n"/>
      <c r="D1780" s="57" t="n"/>
      <c r="E1780" s="58" t="n"/>
      <c r="F1780" s="57" t="n"/>
      <c r="G1780" s="59" t="n"/>
      <c r="H1780" s="59" t="n"/>
      <c r="I1780" s="60">
        <f>IF(OR(G1780="",H1780=""),"",MOD(H1780-G1780,1))</f>
        <v/>
      </c>
      <c r="J1780" s="61">
        <f>IF(OR(G1780="",H1780=""),"",ROUND(MOD(H1780-G1780,1)*24,2))</f>
        <v/>
      </c>
      <c r="K1780" s="62">
        <f>IF(E1780="","",IF(E1780="Werken","JA","NEE"))</f>
        <v/>
      </c>
      <c r="L1780" s="61">
        <f>IF(K1780="JA",N(J1780),IF(E1780="","",0))</f>
        <v/>
      </c>
      <c r="M1780" s="62">
        <f>IF(AND(A1780="",E1780=""),"",IF(E1780="","Segment ontbreekt",IF(OR(G1780="",H1780=""),"Van/tot ontbreekt",IF(N(J1780)=0,"Duur is nul",IF(N(J1780)&gt;12,"Langer dan 12 uur - controleren",IF(AND(E1780="Werken",D1780=""),"Werken zonder klant - koppelen","OK"))))))</f>
        <v/>
      </c>
    </row>
    <row r="1781" ht="15" customHeight="1" s="42">
      <c r="A1781" s="55" t="n"/>
      <c r="B1781" s="56">
        <f>IF(A1781="","",WEEKNUM(A1781,21))</f>
        <v/>
      </c>
      <c r="C1781" s="57" t="n"/>
      <c r="D1781" s="57" t="n"/>
      <c r="E1781" s="58" t="n"/>
      <c r="F1781" s="57" t="n"/>
      <c r="G1781" s="59" t="n"/>
      <c r="H1781" s="59" t="n"/>
      <c r="I1781" s="60">
        <f>IF(OR(G1781="",H1781=""),"",MOD(H1781-G1781,1))</f>
        <v/>
      </c>
      <c r="J1781" s="61">
        <f>IF(OR(G1781="",H1781=""),"",ROUND(MOD(H1781-G1781,1)*24,2))</f>
        <v/>
      </c>
      <c r="K1781" s="62">
        <f>IF(E1781="","",IF(E1781="Werken","JA","NEE"))</f>
        <v/>
      </c>
      <c r="L1781" s="61">
        <f>IF(K1781="JA",N(J1781),IF(E1781="","",0))</f>
        <v/>
      </c>
      <c r="M1781" s="62">
        <f>IF(AND(A1781="",E1781=""),"",IF(E1781="","Segment ontbreekt",IF(OR(G1781="",H1781=""),"Van/tot ontbreekt",IF(N(J1781)=0,"Duur is nul",IF(N(J1781)&gt;12,"Langer dan 12 uur - controleren",IF(AND(E1781="Werken",D1781=""),"Werken zonder klant - koppelen","OK"))))))</f>
        <v/>
      </c>
    </row>
    <row r="1782" ht="15" customHeight="1" s="42">
      <c r="A1782" s="55" t="n"/>
      <c r="B1782" s="56">
        <f>IF(A1782="","",WEEKNUM(A1782,21))</f>
        <v/>
      </c>
      <c r="C1782" s="57" t="n"/>
      <c r="D1782" s="57" t="n"/>
      <c r="E1782" s="58" t="n"/>
      <c r="F1782" s="57" t="n"/>
      <c r="G1782" s="59" t="n"/>
      <c r="H1782" s="59" t="n"/>
      <c r="I1782" s="60">
        <f>IF(OR(G1782="",H1782=""),"",MOD(H1782-G1782,1))</f>
        <v/>
      </c>
      <c r="J1782" s="61">
        <f>IF(OR(G1782="",H1782=""),"",ROUND(MOD(H1782-G1782,1)*24,2))</f>
        <v/>
      </c>
      <c r="K1782" s="62">
        <f>IF(E1782="","",IF(E1782="Werken","JA","NEE"))</f>
        <v/>
      </c>
      <c r="L1782" s="61">
        <f>IF(K1782="JA",N(J1782),IF(E1782="","",0))</f>
        <v/>
      </c>
      <c r="M1782" s="62">
        <f>IF(AND(A1782="",E1782=""),"",IF(E1782="","Segment ontbreekt",IF(OR(G1782="",H1782=""),"Van/tot ontbreekt",IF(N(J1782)=0,"Duur is nul",IF(N(J1782)&gt;12,"Langer dan 12 uur - controleren",IF(AND(E1782="Werken",D1782=""),"Werken zonder klant - koppelen","OK"))))))</f>
        <v/>
      </c>
    </row>
    <row r="1783" ht="15" customHeight="1" s="42">
      <c r="A1783" s="55" t="n"/>
      <c r="B1783" s="56">
        <f>IF(A1783="","",WEEKNUM(A1783,21))</f>
        <v/>
      </c>
      <c r="C1783" s="57" t="n"/>
      <c r="D1783" s="57" t="n"/>
      <c r="E1783" s="58" t="n"/>
      <c r="F1783" s="57" t="n"/>
      <c r="G1783" s="59" t="n"/>
      <c r="H1783" s="59" t="n"/>
      <c r="I1783" s="60">
        <f>IF(OR(G1783="",H1783=""),"",MOD(H1783-G1783,1))</f>
        <v/>
      </c>
      <c r="J1783" s="61">
        <f>IF(OR(G1783="",H1783=""),"",ROUND(MOD(H1783-G1783,1)*24,2))</f>
        <v/>
      </c>
      <c r="K1783" s="62">
        <f>IF(E1783="","",IF(E1783="Werken","JA","NEE"))</f>
        <v/>
      </c>
      <c r="L1783" s="61">
        <f>IF(K1783="JA",N(J1783),IF(E1783="","",0))</f>
        <v/>
      </c>
      <c r="M1783" s="62">
        <f>IF(AND(A1783="",E1783=""),"",IF(E1783="","Segment ontbreekt",IF(OR(G1783="",H1783=""),"Van/tot ontbreekt",IF(N(J1783)=0,"Duur is nul",IF(N(J1783)&gt;12,"Langer dan 12 uur - controleren",IF(AND(E1783="Werken",D1783=""),"Werken zonder klant - koppelen","OK"))))))</f>
        <v/>
      </c>
    </row>
    <row r="1784" ht="15" customHeight="1" s="42">
      <c r="A1784" s="55" t="n"/>
      <c r="B1784" s="56">
        <f>IF(A1784="","",WEEKNUM(A1784,21))</f>
        <v/>
      </c>
      <c r="C1784" s="57" t="n"/>
      <c r="D1784" s="57" t="n"/>
      <c r="E1784" s="58" t="n"/>
      <c r="F1784" s="57" t="n"/>
      <c r="G1784" s="59" t="n"/>
      <c r="H1784" s="59" t="n"/>
      <c r="I1784" s="60">
        <f>IF(OR(G1784="",H1784=""),"",MOD(H1784-G1784,1))</f>
        <v/>
      </c>
      <c r="J1784" s="61">
        <f>IF(OR(G1784="",H1784=""),"",ROUND(MOD(H1784-G1784,1)*24,2))</f>
        <v/>
      </c>
      <c r="K1784" s="62">
        <f>IF(E1784="","",IF(E1784="Werken","JA","NEE"))</f>
        <v/>
      </c>
      <c r="L1784" s="61">
        <f>IF(K1784="JA",N(J1784),IF(E1784="","",0))</f>
        <v/>
      </c>
      <c r="M1784" s="62">
        <f>IF(AND(A1784="",E1784=""),"",IF(E1784="","Segment ontbreekt",IF(OR(G1784="",H1784=""),"Van/tot ontbreekt",IF(N(J1784)=0,"Duur is nul",IF(N(J1784)&gt;12,"Langer dan 12 uur - controleren",IF(AND(E1784="Werken",D1784=""),"Werken zonder klant - koppelen","OK"))))))</f>
        <v/>
      </c>
    </row>
    <row r="1785" ht="15" customHeight="1" s="42">
      <c r="A1785" s="55" t="n"/>
      <c r="B1785" s="56">
        <f>IF(A1785="","",WEEKNUM(A1785,21))</f>
        <v/>
      </c>
      <c r="C1785" s="57" t="n"/>
      <c r="D1785" s="57" t="n"/>
      <c r="E1785" s="58" t="n"/>
      <c r="F1785" s="57" t="n"/>
      <c r="G1785" s="59" t="n"/>
      <c r="H1785" s="59" t="n"/>
      <c r="I1785" s="60">
        <f>IF(OR(G1785="",H1785=""),"",MOD(H1785-G1785,1))</f>
        <v/>
      </c>
      <c r="J1785" s="61">
        <f>IF(OR(G1785="",H1785=""),"",ROUND(MOD(H1785-G1785,1)*24,2))</f>
        <v/>
      </c>
      <c r="K1785" s="62">
        <f>IF(E1785="","",IF(E1785="Werken","JA","NEE"))</f>
        <v/>
      </c>
      <c r="L1785" s="61">
        <f>IF(K1785="JA",N(J1785),IF(E1785="","",0))</f>
        <v/>
      </c>
      <c r="M1785" s="62">
        <f>IF(AND(A1785="",E1785=""),"",IF(E1785="","Segment ontbreekt",IF(OR(G1785="",H1785=""),"Van/tot ontbreekt",IF(N(J1785)=0,"Duur is nul",IF(N(J1785)&gt;12,"Langer dan 12 uur - controleren",IF(AND(E1785="Werken",D1785=""),"Werken zonder klant - koppelen","OK"))))))</f>
        <v/>
      </c>
    </row>
    <row r="1786" ht="15" customHeight="1" s="42">
      <c r="A1786" s="55" t="n"/>
      <c r="B1786" s="56">
        <f>IF(A1786="","",WEEKNUM(A1786,21))</f>
        <v/>
      </c>
      <c r="C1786" s="57" t="n"/>
      <c r="D1786" s="57" t="n"/>
      <c r="E1786" s="58" t="n"/>
      <c r="F1786" s="57" t="n"/>
      <c r="G1786" s="59" t="n"/>
      <c r="H1786" s="59" t="n"/>
      <c r="I1786" s="60">
        <f>IF(OR(G1786="",H1786=""),"",MOD(H1786-G1786,1))</f>
        <v/>
      </c>
      <c r="J1786" s="61">
        <f>IF(OR(G1786="",H1786=""),"",ROUND(MOD(H1786-G1786,1)*24,2))</f>
        <v/>
      </c>
      <c r="K1786" s="62">
        <f>IF(E1786="","",IF(E1786="Werken","JA","NEE"))</f>
        <v/>
      </c>
      <c r="L1786" s="61">
        <f>IF(K1786="JA",N(J1786),IF(E1786="","",0))</f>
        <v/>
      </c>
      <c r="M1786" s="62">
        <f>IF(AND(A1786="",E1786=""),"",IF(E1786="","Segment ontbreekt",IF(OR(G1786="",H1786=""),"Van/tot ontbreekt",IF(N(J1786)=0,"Duur is nul",IF(N(J1786)&gt;12,"Langer dan 12 uur - controleren",IF(AND(E1786="Werken",D1786=""),"Werken zonder klant - koppelen","OK"))))))</f>
        <v/>
      </c>
    </row>
    <row r="1787" ht="15" customHeight="1" s="42">
      <c r="A1787" s="55" t="n"/>
      <c r="B1787" s="56">
        <f>IF(A1787="","",WEEKNUM(A1787,21))</f>
        <v/>
      </c>
      <c r="C1787" s="57" t="n"/>
      <c r="D1787" s="57" t="n"/>
      <c r="E1787" s="58" t="n"/>
      <c r="F1787" s="57" t="n"/>
      <c r="G1787" s="59" t="n"/>
      <c r="H1787" s="59" t="n"/>
      <c r="I1787" s="60">
        <f>IF(OR(G1787="",H1787=""),"",MOD(H1787-G1787,1))</f>
        <v/>
      </c>
      <c r="J1787" s="61">
        <f>IF(OR(G1787="",H1787=""),"",ROUND(MOD(H1787-G1787,1)*24,2))</f>
        <v/>
      </c>
      <c r="K1787" s="62">
        <f>IF(E1787="","",IF(E1787="Werken","JA","NEE"))</f>
        <v/>
      </c>
      <c r="L1787" s="61">
        <f>IF(K1787="JA",N(J1787),IF(E1787="","",0))</f>
        <v/>
      </c>
      <c r="M1787" s="62">
        <f>IF(AND(A1787="",E1787=""),"",IF(E1787="","Segment ontbreekt",IF(OR(G1787="",H1787=""),"Van/tot ontbreekt",IF(N(J1787)=0,"Duur is nul",IF(N(J1787)&gt;12,"Langer dan 12 uur - controleren",IF(AND(E1787="Werken",D1787=""),"Werken zonder klant - koppelen","OK"))))))</f>
        <v/>
      </c>
    </row>
    <row r="1788" ht="15" customHeight="1" s="42">
      <c r="A1788" s="55" t="n"/>
      <c r="B1788" s="56">
        <f>IF(A1788="","",WEEKNUM(A1788,21))</f>
        <v/>
      </c>
      <c r="C1788" s="57" t="n"/>
      <c r="D1788" s="57" t="n"/>
      <c r="E1788" s="58" t="n"/>
      <c r="F1788" s="57" t="n"/>
      <c r="G1788" s="59" t="n"/>
      <c r="H1788" s="59" t="n"/>
      <c r="I1788" s="60">
        <f>IF(OR(G1788="",H1788=""),"",MOD(H1788-G1788,1))</f>
        <v/>
      </c>
      <c r="J1788" s="61">
        <f>IF(OR(G1788="",H1788=""),"",ROUND(MOD(H1788-G1788,1)*24,2))</f>
        <v/>
      </c>
      <c r="K1788" s="62">
        <f>IF(E1788="","",IF(E1788="Werken","JA","NEE"))</f>
        <v/>
      </c>
      <c r="L1788" s="61">
        <f>IF(K1788="JA",N(J1788),IF(E1788="","",0))</f>
        <v/>
      </c>
      <c r="M1788" s="62">
        <f>IF(AND(A1788="",E1788=""),"",IF(E1788="","Segment ontbreekt",IF(OR(G1788="",H1788=""),"Van/tot ontbreekt",IF(N(J1788)=0,"Duur is nul",IF(N(J1788)&gt;12,"Langer dan 12 uur - controleren",IF(AND(E1788="Werken",D1788=""),"Werken zonder klant - koppelen","OK"))))))</f>
        <v/>
      </c>
    </row>
    <row r="1789" ht="15" customHeight="1" s="42">
      <c r="A1789" s="55" t="n"/>
      <c r="B1789" s="56">
        <f>IF(A1789="","",WEEKNUM(A1789,21))</f>
        <v/>
      </c>
      <c r="C1789" s="57" t="n"/>
      <c r="D1789" s="57" t="n"/>
      <c r="E1789" s="58" t="n"/>
      <c r="F1789" s="57" t="n"/>
      <c r="G1789" s="59" t="n"/>
      <c r="H1789" s="59" t="n"/>
      <c r="I1789" s="60">
        <f>IF(OR(G1789="",H1789=""),"",MOD(H1789-G1789,1))</f>
        <v/>
      </c>
      <c r="J1789" s="61">
        <f>IF(OR(G1789="",H1789=""),"",ROUND(MOD(H1789-G1789,1)*24,2))</f>
        <v/>
      </c>
      <c r="K1789" s="62">
        <f>IF(E1789="","",IF(E1789="Werken","JA","NEE"))</f>
        <v/>
      </c>
      <c r="L1789" s="61">
        <f>IF(K1789="JA",N(J1789),IF(E1789="","",0))</f>
        <v/>
      </c>
      <c r="M1789" s="62">
        <f>IF(AND(A1789="",E1789=""),"",IF(E1789="","Segment ontbreekt",IF(OR(G1789="",H1789=""),"Van/tot ontbreekt",IF(N(J1789)=0,"Duur is nul",IF(N(J1789)&gt;12,"Langer dan 12 uur - controleren",IF(AND(E1789="Werken",D1789=""),"Werken zonder klant - koppelen","OK"))))))</f>
        <v/>
      </c>
    </row>
    <row r="1790" ht="15" customHeight="1" s="42">
      <c r="A1790" s="55" t="n"/>
      <c r="B1790" s="56">
        <f>IF(A1790="","",WEEKNUM(A1790,21))</f>
        <v/>
      </c>
      <c r="C1790" s="57" t="n"/>
      <c r="D1790" s="57" t="n"/>
      <c r="E1790" s="58" t="n"/>
      <c r="F1790" s="57" t="n"/>
      <c r="G1790" s="59" t="n"/>
      <c r="H1790" s="59" t="n"/>
      <c r="I1790" s="60">
        <f>IF(OR(G1790="",H1790=""),"",MOD(H1790-G1790,1))</f>
        <v/>
      </c>
      <c r="J1790" s="61">
        <f>IF(OR(G1790="",H1790=""),"",ROUND(MOD(H1790-G1790,1)*24,2))</f>
        <v/>
      </c>
      <c r="K1790" s="62">
        <f>IF(E1790="","",IF(E1790="Werken","JA","NEE"))</f>
        <v/>
      </c>
      <c r="L1790" s="61">
        <f>IF(K1790="JA",N(J1790),IF(E1790="","",0))</f>
        <v/>
      </c>
      <c r="M1790" s="62">
        <f>IF(AND(A1790="",E1790=""),"",IF(E1790="","Segment ontbreekt",IF(OR(G1790="",H1790=""),"Van/tot ontbreekt",IF(N(J1790)=0,"Duur is nul",IF(N(J1790)&gt;12,"Langer dan 12 uur - controleren",IF(AND(E1790="Werken",D1790=""),"Werken zonder klant - koppelen","OK"))))))</f>
        <v/>
      </c>
    </row>
    <row r="1791" ht="15" customHeight="1" s="42">
      <c r="A1791" s="55" t="n"/>
      <c r="B1791" s="56">
        <f>IF(A1791="","",WEEKNUM(A1791,21))</f>
        <v/>
      </c>
      <c r="C1791" s="57" t="n"/>
      <c r="D1791" s="57" t="n"/>
      <c r="E1791" s="58" t="n"/>
      <c r="F1791" s="57" t="n"/>
      <c r="G1791" s="59" t="n"/>
      <c r="H1791" s="59" t="n"/>
      <c r="I1791" s="60">
        <f>IF(OR(G1791="",H1791=""),"",MOD(H1791-G1791,1))</f>
        <v/>
      </c>
      <c r="J1791" s="61">
        <f>IF(OR(G1791="",H1791=""),"",ROUND(MOD(H1791-G1791,1)*24,2))</f>
        <v/>
      </c>
      <c r="K1791" s="62">
        <f>IF(E1791="","",IF(E1791="Werken","JA","NEE"))</f>
        <v/>
      </c>
      <c r="L1791" s="61">
        <f>IF(K1791="JA",N(J1791),IF(E1791="","",0))</f>
        <v/>
      </c>
      <c r="M1791" s="62">
        <f>IF(AND(A1791="",E1791=""),"",IF(E1791="","Segment ontbreekt",IF(OR(G1791="",H1791=""),"Van/tot ontbreekt",IF(N(J1791)=0,"Duur is nul",IF(N(J1791)&gt;12,"Langer dan 12 uur - controleren",IF(AND(E1791="Werken",D1791=""),"Werken zonder klant - koppelen","OK"))))))</f>
        <v/>
      </c>
    </row>
    <row r="1792" ht="15" customHeight="1" s="42">
      <c r="A1792" s="55" t="n"/>
      <c r="B1792" s="56">
        <f>IF(A1792="","",WEEKNUM(A1792,21))</f>
        <v/>
      </c>
      <c r="C1792" s="57" t="n"/>
      <c r="D1792" s="57" t="n"/>
      <c r="E1792" s="58" t="n"/>
      <c r="F1792" s="57" t="n"/>
      <c r="G1792" s="59" t="n"/>
      <c r="H1792" s="59" t="n"/>
      <c r="I1792" s="60">
        <f>IF(OR(G1792="",H1792=""),"",MOD(H1792-G1792,1))</f>
        <v/>
      </c>
      <c r="J1792" s="61">
        <f>IF(OR(G1792="",H1792=""),"",ROUND(MOD(H1792-G1792,1)*24,2))</f>
        <v/>
      </c>
      <c r="K1792" s="62">
        <f>IF(E1792="","",IF(E1792="Werken","JA","NEE"))</f>
        <v/>
      </c>
      <c r="L1792" s="61">
        <f>IF(K1792="JA",N(J1792),IF(E1792="","",0))</f>
        <v/>
      </c>
      <c r="M1792" s="62">
        <f>IF(AND(A1792="",E1792=""),"",IF(E1792="","Segment ontbreekt",IF(OR(G1792="",H1792=""),"Van/tot ontbreekt",IF(N(J1792)=0,"Duur is nul",IF(N(J1792)&gt;12,"Langer dan 12 uur - controleren",IF(AND(E1792="Werken",D1792=""),"Werken zonder klant - koppelen","OK"))))))</f>
        <v/>
      </c>
    </row>
    <row r="1793" ht="15" customHeight="1" s="42">
      <c r="A1793" s="55" t="n"/>
      <c r="B1793" s="56">
        <f>IF(A1793="","",WEEKNUM(A1793,21))</f>
        <v/>
      </c>
      <c r="C1793" s="57" t="n"/>
      <c r="D1793" s="57" t="n"/>
      <c r="E1793" s="58" t="n"/>
      <c r="F1793" s="57" t="n"/>
      <c r="G1793" s="59" t="n"/>
      <c r="H1793" s="59" t="n"/>
      <c r="I1793" s="60">
        <f>IF(OR(G1793="",H1793=""),"",MOD(H1793-G1793,1))</f>
        <v/>
      </c>
      <c r="J1793" s="61">
        <f>IF(OR(G1793="",H1793=""),"",ROUND(MOD(H1793-G1793,1)*24,2))</f>
        <v/>
      </c>
      <c r="K1793" s="62">
        <f>IF(E1793="","",IF(E1793="Werken","JA","NEE"))</f>
        <v/>
      </c>
      <c r="L1793" s="61">
        <f>IF(K1793="JA",N(J1793),IF(E1793="","",0))</f>
        <v/>
      </c>
      <c r="M1793" s="62">
        <f>IF(AND(A1793="",E1793=""),"",IF(E1793="","Segment ontbreekt",IF(OR(G1793="",H1793=""),"Van/tot ontbreekt",IF(N(J1793)=0,"Duur is nul",IF(N(J1793)&gt;12,"Langer dan 12 uur - controleren",IF(AND(E1793="Werken",D1793=""),"Werken zonder klant - koppelen","OK"))))))</f>
        <v/>
      </c>
    </row>
    <row r="1794" ht="15" customHeight="1" s="42">
      <c r="A1794" s="55" t="n"/>
      <c r="B1794" s="56">
        <f>IF(A1794="","",WEEKNUM(A1794,21))</f>
        <v/>
      </c>
      <c r="C1794" s="57" t="n"/>
      <c r="D1794" s="57" t="n"/>
      <c r="E1794" s="58" t="n"/>
      <c r="F1794" s="57" t="n"/>
      <c r="G1794" s="59" t="n"/>
      <c r="H1794" s="59" t="n"/>
      <c r="I1794" s="60">
        <f>IF(OR(G1794="",H1794=""),"",MOD(H1794-G1794,1))</f>
        <v/>
      </c>
      <c r="J1794" s="61">
        <f>IF(OR(G1794="",H1794=""),"",ROUND(MOD(H1794-G1794,1)*24,2))</f>
        <v/>
      </c>
      <c r="K1794" s="62">
        <f>IF(E1794="","",IF(E1794="Werken","JA","NEE"))</f>
        <v/>
      </c>
      <c r="L1794" s="61">
        <f>IF(K1794="JA",N(J1794),IF(E1794="","",0))</f>
        <v/>
      </c>
      <c r="M1794" s="62">
        <f>IF(AND(A1794="",E1794=""),"",IF(E1794="","Segment ontbreekt",IF(OR(G1794="",H1794=""),"Van/tot ontbreekt",IF(N(J1794)=0,"Duur is nul",IF(N(J1794)&gt;12,"Langer dan 12 uur - controleren",IF(AND(E1794="Werken",D1794=""),"Werken zonder klant - koppelen","OK"))))))</f>
        <v/>
      </c>
    </row>
    <row r="1795" ht="15" customHeight="1" s="42">
      <c r="A1795" s="55" t="n"/>
      <c r="B1795" s="56">
        <f>IF(A1795="","",WEEKNUM(A1795,21))</f>
        <v/>
      </c>
      <c r="C1795" s="57" t="n"/>
      <c r="D1795" s="57" t="n"/>
      <c r="E1795" s="58" t="n"/>
      <c r="F1795" s="57" t="n"/>
      <c r="G1795" s="59" t="n"/>
      <c r="H1795" s="59" t="n"/>
      <c r="I1795" s="60">
        <f>IF(OR(G1795="",H1795=""),"",MOD(H1795-G1795,1))</f>
        <v/>
      </c>
      <c r="J1795" s="61">
        <f>IF(OR(G1795="",H1795=""),"",ROUND(MOD(H1795-G1795,1)*24,2))</f>
        <v/>
      </c>
      <c r="K1795" s="62">
        <f>IF(E1795="","",IF(E1795="Werken","JA","NEE"))</f>
        <v/>
      </c>
      <c r="L1795" s="61">
        <f>IF(K1795="JA",N(J1795),IF(E1795="","",0))</f>
        <v/>
      </c>
      <c r="M1795" s="62">
        <f>IF(AND(A1795="",E1795=""),"",IF(E1795="","Segment ontbreekt",IF(OR(G1795="",H1795=""),"Van/tot ontbreekt",IF(N(J1795)=0,"Duur is nul",IF(N(J1795)&gt;12,"Langer dan 12 uur - controleren",IF(AND(E1795="Werken",D1795=""),"Werken zonder klant - koppelen","OK"))))))</f>
        <v/>
      </c>
    </row>
    <row r="1796" ht="15" customHeight="1" s="42">
      <c r="A1796" s="55" t="n"/>
      <c r="B1796" s="56">
        <f>IF(A1796="","",WEEKNUM(A1796,21))</f>
        <v/>
      </c>
      <c r="C1796" s="57" t="n"/>
      <c r="D1796" s="57" t="n"/>
      <c r="E1796" s="58" t="n"/>
      <c r="F1796" s="57" t="n"/>
      <c r="G1796" s="59" t="n"/>
      <c r="H1796" s="59" t="n"/>
      <c r="I1796" s="60">
        <f>IF(OR(G1796="",H1796=""),"",MOD(H1796-G1796,1))</f>
        <v/>
      </c>
      <c r="J1796" s="61">
        <f>IF(OR(G1796="",H1796=""),"",ROUND(MOD(H1796-G1796,1)*24,2))</f>
        <v/>
      </c>
      <c r="K1796" s="62">
        <f>IF(E1796="","",IF(E1796="Werken","JA","NEE"))</f>
        <v/>
      </c>
      <c r="L1796" s="61">
        <f>IF(K1796="JA",N(J1796),IF(E1796="","",0))</f>
        <v/>
      </c>
      <c r="M1796" s="62">
        <f>IF(AND(A1796="",E1796=""),"",IF(E1796="","Segment ontbreekt",IF(OR(G1796="",H1796=""),"Van/tot ontbreekt",IF(N(J1796)=0,"Duur is nul",IF(N(J1796)&gt;12,"Langer dan 12 uur - controleren",IF(AND(E1796="Werken",D1796=""),"Werken zonder klant - koppelen","OK"))))))</f>
        <v/>
      </c>
    </row>
    <row r="1797" ht="15" customHeight="1" s="42">
      <c r="A1797" s="55" t="n"/>
      <c r="B1797" s="56">
        <f>IF(A1797="","",WEEKNUM(A1797,21))</f>
        <v/>
      </c>
      <c r="C1797" s="57" t="n"/>
      <c r="D1797" s="57" t="n"/>
      <c r="E1797" s="58" t="n"/>
      <c r="F1797" s="57" t="n"/>
      <c r="G1797" s="59" t="n"/>
      <c r="H1797" s="59" t="n"/>
      <c r="I1797" s="60">
        <f>IF(OR(G1797="",H1797=""),"",MOD(H1797-G1797,1))</f>
        <v/>
      </c>
      <c r="J1797" s="61">
        <f>IF(OR(G1797="",H1797=""),"",ROUND(MOD(H1797-G1797,1)*24,2))</f>
        <v/>
      </c>
      <c r="K1797" s="62">
        <f>IF(E1797="","",IF(E1797="Werken","JA","NEE"))</f>
        <v/>
      </c>
      <c r="L1797" s="61">
        <f>IF(K1797="JA",N(J1797),IF(E1797="","",0))</f>
        <v/>
      </c>
      <c r="M1797" s="62">
        <f>IF(AND(A1797="",E1797=""),"",IF(E1797="","Segment ontbreekt",IF(OR(G1797="",H1797=""),"Van/tot ontbreekt",IF(N(J1797)=0,"Duur is nul",IF(N(J1797)&gt;12,"Langer dan 12 uur - controleren",IF(AND(E1797="Werken",D1797=""),"Werken zonder klant - koppelen","OK"))))))</f>
        <v/>
      </c>
    </row>
    <row r="1798" ht="15" customHeight="1" s="42">
      <c r="A1798" s="55" t="n"/>
      <c r="B1798" s="56">
        <f>IF(A1798="","",WEEKNUM(A1798,21))</f>
        <v/>
      </c>
      <c r="C1798" s="57" t="n"/>
      <c r="D1798" s="57" t="n"/>
      <c r="E1798" s="58" t="n"/>
      <c r="F1798" s="57" t="n"/>
      <c r="G1798" s="59" t="n"/>
      <c r="H1798" s="59" t="n"/>
      <c r="I1798" s="60">
        <f>IF(OR(G1798="",H1798=""),"",MOD(H1798-G1798,1))</f>
        <v/>
      </c>
      <c r="J1798" s="61">
        <f>IF(OR(G1798="",H1798=""),"",ROUND(MOD(H1798-G1798,1)*24,2))</f>
        <v/>
      </c>
      <c r="K1798" s="62">
        <f>IF(E1798="","",IF(E1798="Werken","JA","NEE"))</f>
        <v/>
      </c>
      <c r="L1798" s="61">
        <f>IF(K1798="JA",N(J1798),IF(E1798="","",0))</f>
        <v/>
      </c>
      <c r="M1798" s="62">
        <f>IF(AND(A1798="",E1798=""),"",IF(E1798="","Segment ontbreekt",IF(OR(G1798="",H1798=""),"Van/tot ontbreekt",IF(N(J1798)=0,"Duur is nul",IF(N(J1798)&gt;12,"Langer dan 12 uur - controleren",IF(AND(E1798="Werken",D1798=""),"Werken zonder klant - koppelen","OK"))))))</f>
        <v/>
      </c>
    </row>
    <row r="1799" ht="15" customHeight="1" s="42">
      <c r="A1799" s="55" t="n"/>
      <c r="B1799" s="56">
        <f>IF(A1799="","",WEEKNUM(A1799,21))</f>
        <v/>
      </c>
      <c r="C1799" s="57" t="n"/>
      <c r="D1799" s="57" t="n"/>
      <c r="E1799" s="58" t="n"/>
      <c r="F1799" s="57" t="n"/>
      <c r="G1799" s="59" t="n"/>
      <c r="H1799" s="59" t="n"/>
      <c r="I1799" s="60">
        <f>IF(OR(G1799="",H1799=""),"",MOD(H1799-G1799,1))</f>
        <v/>
      </c>
      <c r="J1799" s="61">
        <f>IF(OR(G1799="",H1799=""),"",ROUND(MOD(H1799-G1799,1)*24,2))</f>
        <v/>
      </c>
      <c r="K1799" s="62">
        <f>IF(E1799="","",IF(E1799="Werken","JA","NEE"))</f>
        <v/>
      </c>
      <c r="L1799" s="61">
        <f>IF(K1799="JA",N(J1799),IF(E1799="","",0))</f>
        <v/>
      </c>
      <c r="M1799" s="62">
        <f>IF(AND(A1799="",E1799=""),"",IF(E1799="","Segment ontbreekt",IF(OR(G1799="",H1799=""),"Van/tot ontbreekt",IF(N(J1799)=0,"Duur is nul",IF(N(J1799)&gt;12,"Langer dan 12 uur - controleren",IF(AND(E1799="Werken",D1799=""),"Werken zonder klant - koppelen","OK"))))))</f>
        <v/>
      </c>
    </row>
    <row r="1800" ht="15" customHeight="1" s="42">
      <c r="A1800" s="55" t="n"/>
      <c r="B1800" s="56">
        <f>IF(A1800="","",WEEKNUM(A1800,21))</f>
        <v/>
      </c>
      <c r="C1800" s="57" t="n"/>
      <c r="D1800" s="57" t="n"/>
      <c r="E1800" s="58" t="n"/>
      <c r="F1800" s="57" t="n"/>
      <c r="G1800" s="59" t="n"/>
      <c r="H1800" s="59" t="n"/>
      <c r="I1800" s="60">
        <f>IF(OR(G1800="",H1800=""),"",MOD(H1800-G1800,1))</f>
        <v/>
      </c>
      <c r="J1800" s="61">
        <f>IF(OR(G1800="",H1800=""),"",ROUND(MOD(H1800-G1800,1)*24,2))</f>
        <v/>
      </c>
      <c r="K1800" s="62">
        <f>IF(E1800="","",IF(E1800="Werken","JA","NEE"))</f>
        <v/>
      </c>
      <c r="L1800" s="61">
        <f>IF(K1800="JA",N(J1800),IF(E1800="","",0))</f>
        <v/>
      </c>
      <c r="M1800" s="62">
        <f>IF(AND(A1800="",E1800=""),"",IF(E1800="","Segment ontbreekt",IF(OR(G1800="",H1800=""),"Van/tot ontbreekt",IF(N(J1800)=0,"Duur is nul",IF(N(J1800)&gt;12,"Langer dan 12 uur - controleren",IF(AND(E1800="Werken",D1800=""),"Werken zonder klant - koppelen","OK"))))))</f>
        <v/>
      </c>
    </row>
    <row r="1801" ht="15" customHeight="1" s="42">
      <c r="A1801" s="55" t="n"/>
      <c r="B1801" s="56">
        <f>IF(A1801="","",WEEKNUM(A1801,21))</f>
        <v/>
      </c>
      <c r="C1801" s="57" t="n"/>
      <c r="D1801" s="57" t="n"/>
      <c r="E1801" s="58" t="n"/>
      <c r="F1801" s="57" t="n"/>
      <c r="G1801" s="59" t="n"/>
      <c r="H1801" s="59" t="n"/>
      <c r="I1801" s="60">
        <f>IF(OR(G1801="",H1801=""),"",MOD(H1801-G1801,1))</f>
        <v/>
      </c>
      <c r="J1801" s="61">
        <f>IF(OR(G1801="",H1801=""),"",ROUND(MOD(H1801-G1801,1)*24,2))</f>
        <v/>
      </c>
      <c r="K1801" s="62">
        <f>IF(E1801="","",IF(E1801="Werken","JA","NEE"))</f>
        <v/>
      </c>
      <c r="L1801" s="61">
        <f>IF(K1801="JA",N(J1801),IF(E1801="","",0))</f>
        <v/>
      </c>
      <c r="M1801" s="62">
        <f>IF(AND(A1801="",E1801=""),"",IF(E1801="","Segment ontbreekt",IF(OR(G1801="",H1801=""),"Van/tot ontbreekt",IF(N(J1801)=0,"Duur is nul",IF(N(J1801)&gt;12,"Langer dan 12 uur - controleren",IF(AND(E1801="Werken",D1801=""),"Werken zonder klant - koppelen","OK"))))))</f>
        <v/>
      </c>
    </row>
    <row r="1802" ht="15" customHeight="1" s="42">
      <c r="A1802" s="55" t="n"/>
      <c r="B1802" s="56">
        <f>IF(A1802="","",WEEKNUM(A1802,21))</f>
        <v/>
      </c>
      <c r="C1802" s="57" t="n"/>
      <c r="D1802" s="57" t="n"/>
      <c r="E1802" s="58" t="n"/>
      <c r="F1802" s="57" t="n"/>
      <c r="G1802" s="59" t="n"/>
      <c r="H1802" s="59" t="n"/>
      <c r="I1802" s="60">
        <f>IF(OR(G1802="",H1802=""),"",MOD(H1802-G1802,1))</f>
        <v/>
      </c>
      <c r="J1802" s="61">
        <f>IF(OR(G1802="",H1802=""),"",ROUND(MOD(H1802-G1802,1)*24,2))</f>
        <v/>
      </c>
      <c r="K1802" s="62">
        <f>IF(E1802="","",IF(E1802="Werken","JA","NEE"))</f>
        <v/>
      </c>
      <c r="L1802" s="61">
        <f>IF(K1802="JA",N(J1802),IF(E1802="","",0))</f>
        <v/>
      </c>
      <c r="M1802" s="62">
        <f>IF(AND(A1802="",E1802=""),"",IF(E1802="","Segment ontbreekt",IF(OR(G1802="",H1802=""),"Van/tot ontbreekt",IF(N(J1802)=0,"Duur is nul",IF(N(J1802)&gt;12,"Langer dan 12 uur - controleren",IF(AND(E1802="Werken",D1802=""),"Werken zonder klant - koppelen","OK"))))))</f>
        <v/>
      </c>
    </row>
    <row r="1803" ht="15" customHeight="1" s="42">
      <c r="A1803" s="55" t="n"/>
      <c r="B1803" s="56">
        <f>IF(A1803="","",WEEKNUM(A1803,21))</f>
        <v/>
      </c>
      <c r="C1803" s="57" t="n"/>
      <c r="D1803" s="57" t="n"/>
      <c r="E1803" s="58" t="n"/>
      <c r="F1803" s="57" t="n"/>
      <c r="G1803" s="59" t="n"/>
      <c r="H1803" s="59" t="n"/>
      <c r="I1803" s="60">
        <f>IF(OR(G1803="",H1803=""),"",MOD(H1803-G1803,1))</f>
        <v/>
      </c>
      <c r="J1803" s="61">
        <f>IF(OR(G1803="",H1803=""),"",ROUND(MOD(H1803-G1803,1)*24,2))</f>
        <v/>
      </c>
      <c r="K1803" s="62">
        <f>IF(E1803="","",IF(E1803="Werken","JA","NEE"))</f>
        <v/>
      </c>
      <c r="L1803" s="61">
        <f>IF(K1803="JA",N(J1803),IF(E1803="","",0))</f>
        <v/>
      </c>
      <c r="M1803" s="62">
        <f>IF(AND(A1803="",E1803=""),"",IF(E1803="","Segment ontbreekt",IF(OR(G1803="",H1803=""),"Van/tot ontbreekt",IF(N(J1803)=0,"Duur is nul",IF(N(J1803)&gt;12,"Langer dan 12 uur - controleren",IF(AND(E1803="Werken",D1803=""),"Werken zonder klant - koppelen","OK"))))))</f>
        <v/>
      </c>
    </row>
    <row r="1804" ht="15" customHeight="1" s="42">
      <c r="A1804" s="55" t="n"/>
      <c r="B1804" s="56">
        <f>IF(A1804="","",WEEKNUM(A1804,21))</f>
        <v/>
      </c>
      <c r="C1804" s="57" t="n"/>
      <c r="D1804" s="57" t="n"/>
      <c r="E1804" s="58" t="n"/>
      <c r="F1804" s="57" t="n"/>
      <c r="G1804" s="59" t="n"/>
      <c r="H1804" s="59" t="n"/>
      <c r="I1804" s="60">
        <f>IF(OR(G1804="",H1804=""),"",MOD(H1804-G1804,1))</f>
        <v/>
      </c>
      <c r="J1804" s="61">
        <f>IF(OR(G1804="",H1804=""),"",ROUND(MOD(H1804-G1804,1)*24,2))</f>
        <v/>
      </c>
      <c r="K1804" s="62">
        <f>IF(E1804="","",IF(E1804="Werken","JA","NEE"))</f>
        <v/>
      </c>
      <c r="L1804" s="61">
        <f>IF(K1804="JA",N(J1804),IF(E1804="","",0))</f>
        <v/>
      </c>
      <c r="M1804" s="62">
        <f>IF(AND(A1804="",E1804=""),"",IF(E1804="","Segment ontbreekt",IF(OR(G1804="",H1804=""),"Van/tot ontbreekt",IF(N(J1804)=0,"Duur is nul",IF(N(J1804)&gt;12,"Langer dan 12 uur - controleren",IF(AND(E1804="Werken",D1804=""),"Werken zonder klant - koppelen","OK"))))))</f>
        <v/>
      </c>
    </row>
    <row r="1805" ht="15" customHeight="1" s="42">
      <c r="A1805" s="55" t="n"/>
      <c r="B1805" s="56">
        <f>IF(A1805="","",WEEKNUM(A1805,21))</f>
        <v/>
      </c>
      <c r="C1805" s="57" t="n"/>
      <c r="D1805" s="57" t="n"/>
      <c r="E1805" s="58" t="n"/>
      <c r="F1805" s="57" t="n"/>
      <c r="G1805" s="59" t="n"/>
      <c r="H1805" s="59" t="n"/>
      <c r="I1805" s="60">
        <f>IF(OR(G1805="",H1805=""),"",MOD(H1805-G1805,1))</f>
        <v/>
      </c>
      <c r="J1805" s="61">
        <f>IF(OR(G1805="",H1805=""),"",ROUND(MOD(H1805-G1805,1)*24,2))</f>
        <v/>
      </c>
      <c r="K1805" s="62">
        <f>IF(E1805="","",IF(E1805="Werken","JA","NEE"))</f>
        <v/>
      </c>
      <c r="L1805" s="61">
        <f>IF(K1805="JA",N(J1805),IF(E1805="","",0))</f>
        <v/>
      </c>
      <c r="M1805" s="62">
        <f>IF(AND(A1805="",E1805=""),"",IF(E1805="","Segment ontbreekt",IF(OR(G1805="",H1805=""),"Van/tot ontbreekt",IF(N(J1805)=0,"Duur is nul",IF(N(J1805)&gt;12,"Langer dan 12 uur - controleren",IF(AND(E1805="Werken",D1805=""),"Werken zonder klant - koppelen","OK"))))))</f>
        <v/>
      </c>
    </row>
    <row r="1806" ht="15" customHeight="1" s="42">
      <c r="A1806" s="55" t="n"/>
      <c r="B1806" s="56">
        <f>IF(A1806="","",WEEKNUM(A1806,21))</f>
        <v/>
      </c>
      <c r="C1806" s="57" t="n"/>
      <c r="D1806" s="57" t="n"/>
      <c r="E1806" s="58" t="n"/>
      <c r="F1806" s="57" t="n"/>
      <c r="G1806" s="59" t="n"/>
      <c r="H1806" s="59" t="n"/>
      <c r="I1806" s="60">
        <f>IF(OR(G1806="",H1806=""),"",MOD(H1806-G1806,1))</f>
        <v/>
      </c>
      <c r="J1806" s="61">
        <f>IF(OR(G1806="",H1806=""),"",ROUND(MOD(H1806-G1806,1)*24,2))</f>
        <v/>
      </c>
      <c r="K1806" s="62">
        <f>IF(E1806="","",IF(E1806="Werken","JA","NEE"))</f>
        <v/>
      </c>
      <c r="L1806" s="61">
        <f>IF(K1806="JA",N(J1806),IF(E1806="","",0))</f>
        <v/>
      </c>
      <c r="M1806" s="62">
        <f>IF(AND(A1806="",E1806=""),"",IF(E1806="","Segment ontbreekt",IF(OR(G1806="",H1806=""),"Van/tot ontbreekt",IF(N(J1806)=0,"Duur is nul",IF(N(J1806)&gt;12,"Langer dan 12 uur - controleren",IF(AND(E1806="Werken",D1806=""),"Werken zonder klant - koppelen","OK"))))))</f>
        <v/>
      </c>
    </row>
    <row r="1807" ht="15" customHeight="1" s="42">
      <c r="A1807" s="55" t="n"/>
      <c r="B1807" s="56">
        <f>IF(A1807="","",WEEKNUM(A1807,21))</f>
        <v/>
      </c>
      <c r="C1807" s="57" t="n"/>
      <c r="D1807" s="57" t="n"/>
      <c r="E1807" s="58" t="n"/>
      <c r="F1807" s="57" t="n"/>
      <c r="G1807" s="59" t="n"/>
      <c r="H1807" s="59" t="n"/>
      <c r="I1807" s="60">
        <f>IF(OR(G1807="",H1807=""),"",MOD(H1807-G1807,1))</f>
        <v/>
      </c>
      <c r="J1807" s="61">
        <f>IF(OR(G1807="",H1807=""),"",ROUND(MOD(H1807-G1807,1)*24,2))</f>
        <v/>
      </c>
      <c r="K1807" s="62">
        <f>IF(E1807="","",IF(E1807="Werken","JA","NEE"))</f>
        <v/>
      </c>
      <c r="L1807" s="61">
        <f>IF(K1807="JA",N(J1807),IF(E1807="","",0))</f>
        <v/>
      </c>
      <c r="M1807" s="62">
        <f>IF(AND(A1807="",E1807=""),"",IF(E1807="","Segment ontbreekt",IF(OR(G1807="",H1807=""),"Van/tot ontbreekt",IF(N(J1807)=0,"Duur is nul",IF(N(J1807)&gt;12,"Langer dan 12 uur - controleren",IF(AND(E1807="Werken",D1807=""),"Werken zonder klant - koppelen","OK"))))))</f>
        <v/>
      </c>
    </row>
    <row r="1808" ht="15" customHeight="1" s="42">
      <c r="A1808" s="55" t="n"/>
      <c r="B1808" s="56">
        <f>IF(A1808="","",WEEKNUM(A1808,21))</f>
        <v/>
      </c>
      <c r="C1808" s="57" t="n"/>
      <c r="D1808" s="57" t="n"/>
      <c r="E1808" s="58" t="n"/>
      <c r="F1808" s="57" t="n"/>
      <c r="G1808" s="59" t="n"/>
      <c r="H1808" s="59" t="n"/>
      <c r="I1808" s="60">
        <f>IF(OR(G1808="",H1808=""),"",MOD(H1808-G1808,1))</f>
        <v/>
      </c>
      <c r="J1808" s="61">
        <f>IF(OR(G1808="",H1808=""),"",ROUND(MOD(H1808-G1808,1)*24,2))</f>
        <v/>
      </c>
      <c r="K1808" s="62">
        <f>IF(E1808="","",IF(E1808="Werken","JA","NEE"))</f>
        <v/>
      </c>
      <c r="L1808" s="61">
        <f>IF(K1808="JA",N(J1808),IF(E1808="","",0))</f>
        <v/>
      </c>
      <c r="M1808" s="62">
        <f>IF(AND(A1808="",E1808=""),"",IF(E1808="","Segment ontbreekt",IF(OR(G1808="",H1808=""),"Van/tot ontbreekt",IF(N(J1808)=0,"Duur is nul",IF(N(J1808)&gt;12,"Langer dan 12 uur - controleren",IF(AND(E1808="Werken",D1808=""),"Werken zonder klant - koppelen","OK"))))))</f>
        <v/>
      </c>
    </row>
    <row r="1809" ht="15" customHeight="1" s="42">
      <c r="A1809" s="55" t="n"/>
      <c r="B1809" s="56">
        <f>IF(A1809="","",WEEKNUM(A1809,21))</f>
        <v/>
      </c>
      <c r="C1809" s="57" t="n"/>
      <c r="D1809" s="57" t="n"/>
      <c r="E1809" s="58" t="n"/>
      <c r="F1809" s="57" t="n"/>
      <c r="G1809" s="59" t="n"/>
      <c r="H1809" s="59" t="n"/>
      <c r="I1809" s="60">
        <f>IF(OR(G1809="",H1809=""),"",MOD(H1809-G1809,1))</f>
        <v/>
      </c>
      <c r="J1809" s="61">
        <f>IF(OR(G1809="",H1809=""),"",ROUND(MOD(H1809-G1809,1)*24,2))</f>
        <v/>
      </c>
      <c r="K1809" s="62">
        <f>IF(E1809="","",IF(E1809="Werken","JA","NEE"))</f>
        <v/>
      </c>
      <c r="L1809" s="61">
        <f>IF(K1809="JA",N(J1809),IF(E1809="","",0))</f>
        <v/>
      </c>
      <c r="M1809" s="62">
        <f>IF(AND(A1809="",E1809=""),"",IF(E1809="","Segment ontbreekt",IF(OR(G1809="",H1809=""),"Van/tot ontbreekt",IF(N(J1809)=0,"Duur is nul",IF(N(J1809)&gt;12,"Langer dan 12 uur - controleren",IF(AND(E1809="Werken",D1809=""),"Werken zonder klant - koppelen","OK"))))))</f>
        <v/>
      </c>
    </row>
    <row r="1810" ht="15" customHeight="1" s="42">
      <c r="A1810" s="55" t="n"/>
      <c r="B1810" s="56">
        <f>IF(A1810="","",WEEKNUM(A1810,21))</f>
        <v/>
      </c>
      <c r="C1810" s="57" t="n"/>
      <c r="D1810" s="57" t="n"/>
      <c r="E1810" s="58" t="n"/>
      <c r="F1810" s="57" t="n"/>
      <c r="G1810" s="59" t="n"/>
      <c r="H1810" s="59" t="n"/>
      <c r="I1810" s="60">
        <f>IF(OR(G1810="",H1810=""),"",MOD(H1810-G1810,1))</f>
        <v/>
      </c>
      <c r="J1810" s="61">
        <f>IF(OR(G1810="",H1810=""),"",ROUND(MOD(H1810-G1810,1)*24,2))</f>
        <v/>
      </c>
      <c r="K1810" s="62">
        <f>IF(E1810="","",IF(E1810="Werken","JA","NEE"))</f>
        <v/>
      </c>
      <c r="L1810" s="61">
        <f>IF(K1810="JA",N(J1810),IF(E1810="","",0))</f>
        <v/>
      </c>
      <c r="M1810" s="62">
        <f>IF(AND(A1810="",E1810=""),"",IF(E1810="","Segment ontbreekt",IF(OR(G1810="",H1810=""),"Van/tot ontbreekt",IF(N(J1810)=0,"Duur is nul",IF(N(J1810)&gt;12,"Langer dan 12 uur - controleren",IF(AND(E1810="Werken",D1810=""),"Werken zonder klant - koppelen","OK"))))))</f>
        <v/>
      </c>
    </row>
    <row r="1811" ht="15" customHeight="1" s="42">
      <c r="A1811" s="55" t="n"/>
      <c r="B1811" s="56">
        <f>IF(A1811="","",WEEKNUM(A1811,21))</f>
        <v/>
      </c>
      <c r="C1811" s="57" t="n"/>
      <c r="D1811" s="57" t="n"/>
      <c r="E1811" s="58" t="n"/>
      <c r="F1811" s="57" t="n"/>
      <c r="G1811" s="59" t="n"/>
      <c r="H1811" s="59" t="n"/>
      <c r="I1811" s="60">
        <f>IF(OR(G1811="",H1811=""),"",MOD(H1811-G1811,1))</f>
        <v/>
      </c>
      <c r="J1811" s="61">
        <f>IF(OR(G1811="",H1811=""),"",ROUND(MOD(H1811-G1811,1)*24,2))</f>
        <v/>
      </c>
      <c r="K1811" s="62">
        <f>IF(E1811="","",IF(E1811="Werken","JA","NEE"))</f>
        <v/>
      </c>
      <c r="L1811" s="61">
        <f>IF(K1811="JA",N(J1811),IF(E1811="","",0))</f>
        <v/>
      </c>
      <c r="M1811" s="62">
        <f>IF(AND(A1811="",E1811=""),"",IF(E1811="","Segment ontbreekt",IF(OR(G1811="",H1811=""),"Van/tot ontbreekt",IF(N(J1811)=0,"Duur is nul",IF(N(J1811)&gt;12,"Langer dan 12 uur - controleren",IF(AND(E1811="Werken",D1811=""),"Werken zonder klant - koppelen","OK"))))))</f>
        <v/>
      </c>
    </row>
    <row r="1812" ht="15" customHeight="1" s="42">
      <c r="A1812" s="55" t="n"/>
      <c r="B1812" s="56">
        <f>IF(A1812="","",WEEKNUM(A1812,21))</f>
        <v/>
      </c>
      <c r="C1812" s="57" t="n"/>
      <c r="D1812" s="57" t="n"/>
      <c r="E1812" s="58" t="n"/>
      <c r="F1812" s="57" t="n"/>
      <c r="G1812" s="59" t="n"/>
      <c r="H1812" s="59" t="n"/>
      <c r="I1812" s="60">
        <f>IF(OR(G1812="",H1812=""),"",MOD(H1812-G1812,1))</f>
        <v/>
      </c>
      <c r="J1812" s="61">
        <f>IF(OR(G1812="",H1812=""),"",ROUND(MOD(H1812-G1812,1)*24,2))</f>
        <v/>
      </c>
      <c r="K1812" s="62">
        <f>IF(E1812="","",IF(E1812="Werken","JA","NEE"))</f>
        <v/>
      </c>
      <c r="L1812" s="61">
        <f>IF(K1812="JA",N(J1812),IF(E1812="","",0))</f>
        <v/>
      </c>
      <c r="M1812" s="62">
        <f>IF(AND(A1812="",E1812=""),"",IF(E1812="","Segment ontbreekt",IF(OR(G1812="",H1812=""),"Van/tot ontbreekt",IF(N(J1812)=0,"Duur is nul",IF(N(J1812)&gt;12,"Langer dan 12 uur - controleren",IF(AND(E1812="Werken",D1812=""),"Werken zonder klant - koppelen","OK"))))))</f>
        <v/>
      </c>
    </row>
    <row r="1813" ht="15" customHeight="1" s="42">
      <c r="A1813" s="55" t="n"/>
      <c r="B1813" s="56">
        <f>IF(A1813="","",WEEKNUM(A1813,21))</f>
        <v/>
      </c>
      <c r="C1813" s="57" t="n"/>
      <c r="D1813" s="57" t="n"/>
      <c r="E1813" s="58" t="n"/>
      <c r="F1813" s="57" t="n"/>
      <c r="G1813" s="59" t="n"/>
      <c r="H1813" s="59" t="n"/>
      <c r="I1813" s="60">
        <f>IF(OR(G1813="",H1813=""),"",MOD(H1813-G1813,1))</f>
        <v/>
      </c>
      <c r="J1813" s="61">
        <f>IF(OR(G1813="",H1813=""),"",ROUND(MOD(H1813-G1813,1)*24,2))</f>
        <v/>
      </c>
      <c r="K1813" s="62">
        <f>IF(E1813="","",IF(E1813="Werken","JA","NEE"))</f>
        <v/>
      </c>
      <c r="L1813" s="61">
        <f>IF(K1813="JA",N(J1813),IF(E1813="","",0))</f>
        <v/>
      </c>
      <c r="M1813" s="62">
        <f>IF(AND(A1813="",E1813=""),"",IF(E1813="","Segment ontbreekt",IF(OR(G1813="",H1813=""),"Van/tot ontbreekt",IF(N(J1813)=0,"Duur is nul",IF(N(J1813)&gt;12,"Langer dan 12 uur - controleren",IF(AND(E1813="Werken",D1813=""),"Werken zonder klant - koppelen","OK"))))))</f>
        <v/>
      </c>
    </row>
    <row r="1814" ht="15" customHeight="1" s="42">
      <c r="A1814" s="55" t="n"/>
      <c r="B1814" s="56">
        <f>IF(A1814="","",WEEKNUM(A1814,21))</f>
        <v/>
      </c>
      <c r="C1814" s="57" t="n"/>
      <c r="D1814" s="57" t="n"/>
      <c r="E1814" s="58" t="n"/>
      <c r="F1814" s="57" t="n"/>
      <c r="G1814" s="59" t="n"/>
      <c r="H1814" s="59" t="n"/>
      <c r="I1814" s="60">
        <f>IF(OR(G1814="",H1814=""),"",MOD(H1814-G1814,1))</f>
        <v/>
      </c>
      <c r="J1814" s="61">
        <f>IF(OR(G1814="",H1814=""),"",ROUND(MOD(H1814-G1814,1)*24,2))</f>
        <v/>
      </c>
      <c r="K1814" s="62">
        <f>IF(E1814="","",IF(E1814="Werken","JA","NEE"))</f>
        <v/>
      </c>
      <c r="L1814" s="61">
        <f>IF(K1814="JA",N(J1814),IF(E1814="","",0))</f>
        <v/>
      </c>
      <c r="M1814" s="62">
        <f>IF(AND(A1814="",E1814=""),"",IF(E1814="","Segment ontbreekt",IF(OR(G1814="",H1814=""),"Van/tot ontbreekt",IF(N(J1814)=0,"Duur is nul",IF(N(J1814)&gt;12,"Langer dan 12 uur - controleren",IF(AND(E1814="Werken",D1814=""),"Werken zonder klant - koppelen","OK"))))))</f>
        <v/>
      </c>
    </row>
    <row r="1815" ht="15" customHeight="1" s="42">
      <c r="A1815" s="55" t="n"/>
      <c r="B1815" s="56">
        <f>IF(A1815="","",WEEKNUM(A1815,21))</f>
        <v/>
      </c>
      <c r="C1815" s="57" t="n"/>
      <c r="D1815" s="57" t="n"/>
      <c r="E1815" s="58" t="n"/>
      <c r="F1815" s="57" t="n"/>
      <c r="G1815" s="59" t="n"/>
      <c r="H1815" s="59" t="n"/>
      <c r="I1815" s="60">
        <f>IF(OR(G1815="",H1815=""),"",MOD(H1815-G1815,1))</f>
        <v/>
      </c>
      <c r="J1815" s="61">
        <f>IF(OR(G1815="",H1815=""),"",ROUND(MOD(H1815-G1815,1)*24,2))</f>
        <v/>
      </c>
      <c r="K1815" s="62">
        <f>IF(E1815="","",IF(E1815="Werken","JA","NEE"))</f>
        <v/>
      </c>
      <c r="L1815" s="61">
        <f>IF(K1815="JA",N(J1815),IF(E1815="","",0))</f>
        <v/>
      </c>
      <c r="M1815" s="62">
        <f>IF(AND(A1815="",E1815=""),"",IF(E1815="","Segment ontbreekt",IF(OR(G1815="",H1815=""),"Van/tot ontbreekt",IF(N(J1815)=0,"Duur is nul",IF(N(J1815)&gt;12,"Langer dan 12 uur - controleren",IF(AND(E1815="Werken",D1815=""),"Werken zonder klant - koppelen","OK"))))))</f>
        <v/>
      </c>
    </row>
    <row r="1816" ht="15" customHeight="1" s="42">
      <c r="A1816" s="55" t="n"/>
      <c r="B1816" s="56">
        <f>IF(A1816="","",WEEKNUM(A1816,21))</f>
        <v/>
      </c>
      <c r="C1816" s="57" t="n"/>
      <c r="D1816" s="57" t="n"/>
      <c r="E1816" s="58" t="n"/>
      <c r="F1816" s="57" t="n"/>
      <c r="G1816" s="59" t="n"/>
      <c r="H1816" s="59" t="n"/>
      <c r="I1816" s="60">
        <f>IF(OR(G1816="",H1816=""),"",MOD(H1816-G1816,1))</f>
        <v/>
      </c>
      <c r="J1816" s="61">
        <f>IF(OR(G1816="",H1816=""),"",ROUND(MOD(H1816-G1816,1)*24,2))</f>
        <v/>
      </c>
      <c r="K1816" s="62">
        <f>IF(E1816="","",IF(E1816="Werken","JA","NEE"))</f>
        <v/>
      </c>
      <c r="L1816" s="61">
        <f>IF(K1816="JA",N(J1816),IF(E1816="","",0))</f>
        <v/>
      </c>
      <c r="M1816" s="62">
        <f>IF(AND(A1816="",E1816=""),"",IF(E1816="","Segment ontbreekt",IF(OR(G1816="",H1816=""),"Van/tot ontbreekt",IF(N(J1816)=0,"Duur is nul",IF(N(J1816)&gt;12,"Langer dan 12 uur - controleren",IF(AND(E1816="Werken",D1816=""),"Werken zonder klant - koppelen","OK"))))))</f>
        <v/>
      </c>
    </row>
    <row r="1817" ht="15" customHeight="1" s="42">
      <c r="A1817" s="55" t="n"/>
      <c r="B1817" s="56">
        <f>IF(A1817="","",WEEKNUM(A1817,21))</f>
        <v/>
      </c>
      <c r="C1817" s="57" t="n"/>
      <c r="D1817" s="57" t="n"/>
      <c r="E1817" s="58" t="n"/>
      <c r="F1817" s="57" t="n"/>
      <c r="G1817" s="59" t="n"/>
      <c r="H1817" s="59" t="n"/>
      <c r="I1817" s="60">
        <f>IF(OR(G1817="",H1817=""),"",MOD(H1817-G1817,1))</f>
        <v/>
      </c>
      <c r="J1817" s="61">
        <f>IF(OR(G1817="",H1817=""),"",ROUND(MOD(H1817-G1817,1)*24,2))</f>
        <v/>
      </c>
      <c r="K1817" s="62">
        <f>IF(E1817="","",IF(E1817="Werken","JA","NEE"))</f>
        <v/>
      </c>
      <c r="L1817" s="61">
        <f>IF(K1817="JA",N(J1817),IF(E1817="","",0))</f>
        <v/>
      </c>
      <c r="M1817" s="62">
        <f>IF(AND(A1817="",E1817=""),"",IF(E1817="","Segment ontbreekt",IF(OR(G1817="",H1817=""),"Van/tot ontbreekt",IF(N(J1817)=0,"Duur is nul",IF(N(J1817)&gt;12,"Langer dan 12 uur - controleren",IF(AND(E1817="Werken",D1817=""),"Werken zonder klant - koppelen","OK"))))))</f>
        <v/>
      </c>
    </row>
    <row r="1818" ht="15" customHeight="1" s="42">
      <c r="A1818" s="55" t="n"/>
      <c r="B1818" s="56">
        <f>IF(A1818="","",WEEKNUM(A1818,21))</f>
        <v/>
      </c>
      <c r="C1818" s="57" t="n"/>
      <c r="D1818" s="57" t="n"/>
      <c r="E1818" s="58" t="n"/>
      <c r="F1818" s="57" t="n"/>
      <c r="G1818" s="59" t="n"/>
      <c r="H1818" s="59" t="n"/>
      <c r="I1818" s="60">
        <f>IF(OR(G1818="",H1818=""),"",MOD(H1818-G1818,1))</f>
        <v/>
      </c>
      <c r="J1818" s="61">
        <f>IF(OR(G1818="",H1818=""),"",ROUND(MOD(H1818-G1818,1)*24,2))</f>
        <v/>
      </c>
      <c r="K1818" s="62">
        <f>IF(E1818="","",IF(E1818="Werken","JA","NEE"))</f>
        <v/>
      </c>
      <c r="L1818" s="61">
        <f>IF(K1818="JA",N(J1818),IF(E1818="","",0))</f>
        <v/>
      </c>
      <c r="M1818" s="62">
        <f>IF(AND(A1818="",E1818=""),"",IF(E1818="","Segment ontbreekt",IF(OR(G1818="",H1818=""),"Van/tot ontbreekt",IF(N(J1818)=0,"Duur is nul",IF(N(J1818)&gt;12,"Langer dan 12 uur - controleren",IF(AND(E1818="Werken",D1818=""),"Werken zonder klant - koppelen","OK"))))))</f>
        <v/>
      </c>
    </row>
    <row r="1819" ht="15" customHeight="1" s="42">
      <c r="A1819" s="55" t="n"/>
      <c r="B1819" s="56">
        <f>IF(A1819="","",WEEKNUM(A1819,21))</f>
        <v/>
      </c>
      <c r="C1819" s="57" t="n"/>
      <c r="D1819" s="57" t="n"/>
      <c r="E1819" s="58" t="n"/>
      <c r="F1819" s="57" t="n"/>
      <c r="G1819" s="59" t="n"/>
      <c r="H1819" s="59" t="n"/>
      <c r="I1819" s="60">
        <f>IF(OR(G1819="",H1819=""),"",MOD(H1819-G1819,1))</f>
        <v/>
      </c>
      <c r="J1819" s="61">
        <f>IF(OR(G1819="",H1819=""),"",ROUND(MOD(H1819-G1819,1)*24,2))</f>
        <v/>
      </c>
      <c r="K1819" s="62">
        <f>IF(E1819="","",IF(E1819="Werken","JA","NEE"))</f>
        <v/>
      </c>
      <c r="L1819" s="61">
        <f>IF(K1819="JA",N(J1819),IF(E1819="","",0))</f>
        <v/>
      </c>
      <c r="M1819" s="62">
        <f>IF(AND(A1819="",E1819=""),"",IF(E1819="","Segment ontbreekt",IF(OR(G1819="",H1819=""),"Van/tot ontbreekt",IF(N(J1819)=0,"Duur is nul",IF(N(J1819)&gt;12,"Langer dan 12 uur - controleren",IF(AND(E1819="Werken",D1819=""),"Werken zonder klant - koppelen","OK"))))))</f>
        <v/>
      </c>
    </row>
    <row r="1820" ht="15" customHeight="1" s="42">
      <c r="A1820" s="55" t="n"/>
      <c r="B1820" s="56">
        <f>IF(A1820="","",WEEKNUM(A1820,21))</f>
        <v/>
      </c>
      <c r="C1820" s="57" t="n"/>
      <c r="D1820" s="57" t="n"/>
      <c r="E1820" s="58" t="n"/>
      <c r="F1820" s="57" t="n"/>
      <c r="G1820" s="59" t="n"/>
      <c r="H1820" s="59" t="n"/>
      <c r="I1820" s="60">
        <f>IF(OR(G1820="",H1820=""),"",MOD(H1820-G1820,1))</f>
        <v/>
      </c>
      <c r="J1820" s="61">
        <f>IF(OR(G1820="",H1820=""),"",ROUND(MOD(H1820-G1820,1)*24,2))</f>
        <v/>
      </c>
      <c r="K1820" s="62">
        <f>IF(E1820="","",IF(E1820="Werken","JA","NEE"))</f>
        <v/>
      </c>
      <c r="L1820" s="61">
        <f>IF(K1820="JA",N(J1820),IF(E1820="","",0))</f>
        <v/>
      </c>
      <c r="M1820" s="62">
        <f>IF(AND(A1820="",E1820=""),"",IF(E1820="","Segment ontbreekt",IF(OR(G1820="",H1820=""),"Van/tot ontbreekt",IF(N(J1820)=0,"Duur is nul",IF(N(J1820)&gt;12,"Langer dan 12 uur - controleren",IF(AND(E1820="Werken",D1820=""),"Werken zonder klant - koppelen","OK"))))))</f>
        <v/>
      </c>
    </row>
    <row r="1821" ht="15" customHeight="1" s="42">
      <c r="A1821" s="55" t="n"/>
      <c r="B1821" s="56">
        <f>IF(A1821="","",WEEKNUM(A1821,21))</f>
        <v/>
      </c>
      <c r="C1821" s="57" t="n"/>
      <c r="D1821" s="57" t="n"/>
      <c r="E1821" s="58" t="n"/>
      <c r="F1821" s="57" t="n"/>
      <c r="G1821" s="59" t="n"/>
      <c r="H1821" s="59" t="n"/>
      <c r="I1821" s="60">
        <f>IF(OR(G1821="",H1821=""),"",MOD(H1821-G1821,1))</f>
        <v/>
      </c>
      <c r="J1821" s="61">
        <f>IF(OR(G1821="",H1821=""),"",ROUND(MOD(H1821-G1821,1)*24,2))</f>
        <v/>
      </c>
      <c r="K1821" s="62">
        <f>IF(E1821="","",IF(E1821="Werken","JA","NEE"))</f>
        <v/>
      </c>
      <c r="L1821" s="61">
        <f>IF(K1821="JA",N(J1821),IF(E1821="","",0))</f>
        <v/>
      </c>
      <c r="M1821" s="62">
        <f>IF(AND(A1821="",E1821=""),"",IF(E1821="","Segment ontbreekt",IF(OR(G1821="",H1821=""),"Van/tot ontbreekt",IF(N(J1821)=0,"Duur is nul",IF(N(J1821)&gt;12,"Langer dan 12 uur - controleren",IF(AND(E1821="Werken",D1821=""),"Werken zonder klant - koppelen","OK"))))))</f>
        <v/>
      </c>
    </row>
    <row r="1822" ht="15" customHeight="1" s="42">
      <c r="A1822" s="55" t="n"/>
      <c r="B1822" s="56">
        <f>IF(A1822="","",WEEKNUM(A1822,21))</f>
        <v/>
      </c>
      <c r="C1822" s="57" t="n"/>
      <c r="D1822" s="57" t="n"/>
      <c r="E1822" s="58" t="n"/>
      <c r="F1822" s="57" t="n"/>
      <c r="G1822" s="59" t="n"/>
      <c r="H1822" s="59" t="n"/>
      <c r="I1822" s="60">
        <f>IF(OR(G1822="",H1822=""),"",MOD(H1822-G1822,1))</f>
        <v/>
      </c>
      <c r="J1822" s="61">
        <f>IF(OR(G1822="",H1822=""),"",ROUND(MOD(H1822-G1822,1)*24,2))</f>
        <v/>
      </c>
      <c r="K1822" s="62">
        <f>IF(E1822="","",IF(E1822="Werken","JA","NEE"))</f>
        <v/>
      </c>
      <c r="L1822" s="61">
        <f>IF(K1822="JA",N(J1822),IF(E1822="","",0))</f>
        <v/>
      </c>
      <c r="M1822" s="62">
        <f>IF(AND(A1822="",E1822=""),"",IF(E1822="","Segment ontbreekt",IF(OR(G1822="",H1822=""),"Van/tot ontbreekt",IF(N(J1822)=0,"Duur is nul",IF(N(J1822)&gt;12,"Langer dan 12 uur - controleren",IF(AND(E1822="Werken",D1822=""),"Werken zonder klant - koppelen","OK"))))))</f>
        <v/>
      </c>
    </row>
    <row r="1823" ht="15" customHeight="1" s="42">
      <c r="A1823" s="55" t="n"/>
      <c r="B1823" s="56">
        <f>IF(A1823="","",WEEKNUM(A1823,21))</f>
        <v/>
      </c>
      <c r="C1823" s="57" t="n"/>
      <c r="D1823" s="57" t="n"/>
      <c r="E1823" s="58" t="n"/>
      <c r="F1823" s="57" t="n"/>
      <c r="G1823" s="59" t="n"/>
      <c r="H1823" s="59" t="n"/>
      <c r="I1823" s="60">
        <f>IF(OR(G1823="",H1823=""),"",MOD(H1823-G1823,1))</f>
        <v/>
      </c>
      <c r="J1823" s="61">
        <f>IF(OR(G1823="",H1823=""),"",ROUND(MOD(H1823-G1823,1)*24,2))</f>
        <v/>
      </c>
      <c r="K1823" s="62">
        <f>IF(E1823="","",IF(E1823="Werken","JA","NEE"))</f>
        <v/>
      </c>
      <c r="L1823" s="61">
        <f>IF(K1823="JA",N(J1823),IF(E1823="","",0))</f>
        <v/>
      </c>
      <c r="M1823" s="62">
        <f>IF(AND(A1823="",E1823=""),"",IF(E1823="","Segment ontbreekt",IF(OR(G1823="",H1823=""),"Van/tot ontbreekt",IF(N(J1823)=0,"Duur is nul",IF(N(J1823)&gt;12,"Langer dan 12 uur - controleren",IF(AND(E1823="Werken",D1823=""),"Werken zonder klant - koppelen","OK"))))))</f>
        <v/>
      </c>
    </row>
    <row r="1824" ht="15" customHeight="1" s="42">
      <c r="A1824" s="55" t="n"/>
      <c r="B1824" s="56">
        <f>IF(A1824="","",WEEKNUM(A1824,21))</f>
        <v/>
      </c>
      <c r="C1824" s="57" t="n"/>
      <c r="D1824" s="57" t="n"/>
      <c r="E1824" s="58" t="n"/>
      <c r="F1824" s="57" t="n"/>
      <c r="G1824" s="59" t="n"/>
      <c r="H1824" s="59" t="n"/>
      <c r="I1824" s="60">
        <f>IF(OR(G1824="",H1824=""),"",MOD(H1824-G1824,1))</f>
        <v/>
      </c>
      <c r="J1824" s="61">
        <f>IF(OR(G1824="",H1824=""),"",ROUND(MOD(H1824-G1824,1)*24,2))</f>
        <v/>
      </c>
      <c r="K1824" s="62">
        <f>IF(E1824="","",IF(E1824="Werken","JA","NEE"))</f>
        <v/>
      </c>
      <c r="L1824" s="61">
        <f>IF(K1824="JA",N(J1824),IF(E1824="","",0))</f>
        <v/>
      </c>
      <c r="M1824" s="62">
        <f>IF(AND(A1824="",E1824=""),"",IF(E1824="","Segment ontbreekt",IF(OR(G1824="",H1824=""),"Van/tot ontbreekt",IF(N(J1824)=0,"Duur is nul",IF(N(J1824)&gt;12,"Langer dan 12 uur - controleren",IF(AND(E1824="Werken",D1824=""),"Werken zonder klant - koppelen","OK"))))))</f>
        <v/>
      </c>
    </row>
    <row r="1825" ht="15" customHeight="1" s="42">
      <c r="A1825" s="55" t="n"/>
      <c r="B1825" s="56">
        <f>IF(A1825="","",WEEKNUM(A1825,21))</f>
        <v/>
      </c>
      <c r="C1825" s="57" t="n"/>
      <c r="D1825" s="57" t="n"/>
      <c r="E1825" s="58" t="n"/>
      <c r="F1825" s="57" t="n"/>
      <c r="G1825" s="59" t="n"/>
      <c r="H1825" s="59" t="n"/>
      <c r="I1825" s="60">
        <f>IF(OR(G1825="",H1825=""),"",MOD(H1825-G1825,1))</f>
        <v/>
      </c>
      <c r="J1825" s="61">
        <f>IF(OR(G1825="",H1825=""),"",ROUND(MOD(H1825-G1825,1)*24,2))</f>
        <v/>
      </c>
      <c r="K1825" s="62">
        <f>IF(E1825="","",IF(E1825="Werken","JA","NEE"))</f>
        <v/>
      </c>
      <c r="L1825" s="61">
        <f>IF(K1825="JA",N(J1825),IF(E1825="","",0))</f>
        <v/>
      </c>
      <c r="M1825" s="62">
        <f>IF(AND(A1825="",E1825=""),"",IF(E1825="","Segment ontbreekt",IF(OR(G1825="",H1825=""),"Van/tot ontbreekt",IF(N(J1825)=0,"Duur is nul",IF(N(J1825)&gt;12,"Langer dan 12 uur - controleren",IF(AND(E1825="Werken",D1825=""),"Werken zonder klant - koppelen","OK"))))))</f>
        <v/>
      </c>
    </row>
    <row r="1826" ht="15" customHeight="1" s="42">
      <c r="A1826" s="55" t="n"/>
      <c r="B1826" s="56">
        <f>IF(A1826="","",WEEKNUM(A1826,21))</f>
        <v/>
      </c>
      <c r="C1826" s="57" t="n"/>
      <c r="D1826" s="57" t="n"/>
      <c r="E1826" s="58" t="n"/>
      <c r="F1826" s="57" t="n"/>
      <c r="G1826" s="59" t="n"/>
      <c r="H1826" s="59" t="n"/>
      <c r="I1826" s="60">
        <f>IF(OR(G1826="",H1826=""),"",MOD(H1826-G1826,1))</f>
        <v/>
      </c>
      <c r="J1826" s="61">
        <f>IF(OR(G1826="",H1826=""),"",ROUND(MOD(H1826-G1826,1)*24,2))</f>
        <v/>
      </c>
      <c r="K1826" s="62">
        <f>IF(E1826="","",IF(E1826="Werken","JA","NEE"))</f>
        <v/>
      </c>
      <c r="L1826" s="61">
        <f>IF(K1826="JA",N(J1826),IF(E1826="","",0))</f>
        <v/>
      </c>
      <c r="M1826" s="62">
        <f>IF(AND(A1826="",E1826=""),"",IF(E1826="","Segment ontbreekt",IF(OR(G1826="",H1826=""),"Van/tot ontbreekt",IF(N(J1826)=0,"Duur is nul",IF(N(J1826)&gt;12,"Langer dan 12 uur - controleren",IF(AND(E1826="Werken",D1826=""),"Werken zonder klant - koppelen","OK"))))))</f>
        <v/>
      </c>
    </row>
    <row r="1827" ht="15" customHeight="1" s="42">
      <c r="A1827" s="55" t="n"/>
      <c r="B1827" s="56">
        <f>IF(A1827="","",WEEKNUM(A1827,21))</f>
        <v/>
      </c>
      <c r="C1827" s="57" t="n"/>
      <c r="D1827" s="57" t="n"/>
      <c r="E1827" s="58" t="n"/>
      <c r="F1827" s="57" t="n"/>
      <c r="G1827" s="59" t="n"/>
      <c r="H1827" s="59" t="n"/>
      <c r="I1827" s="60">
        <f>IF(OR(G1827="",H1827=""),"",MOD(H1827-G1827,1))</f>
        <v/>
      </c>
      <c r="J1827" s="61">
        <f>IF(OR(G1827="",H1827=""),"",ROUND(MOD(H1827-G1827,1)*24,2))</f>
        <v/>
      </c>
      <c r="K1827" s="62">
        <f>IF(E1827="","",IF(E1827="Werken","JA","NEE"))</f>
        <v/>
      </c>
      <c r="L1827" s="61">
        <f>IF(K1827="JA",N(J1827),IF(E1827="","",0))</f>
        <v/>
      </c>
      <c r="M1827" s="62">
        <f>IF(AND(A1827="",E1827=""),"",IF(E1827="","Segment ontbreekt",IF(OR(G1827="",H1827=""),"Van/tot ontbreekt",IF(N(J1827)=0,"Duur is nul",IF(N(J1827)&gt;12,"Langer dan 12 uur - controleren",IF(AND(E1827="Werken",D1827=""),"Werken zonder klant - koppelen","OK"))))))</f>
        <v/>
      </c>
    </row>
    <row r="1828" ht="15" customHeight="1" s="42">
      <c r="A1828" s="55" t="n"/>
      <c r="B1828" s="56">
        <f>IF(A1828="","",WEEKNUM(A1828,21))</f>
        <v/>
      </c>
      <c r="C1828" s="57" t="n"/>
      <c r="D1828" s="57" t="n"/>
      <c r="E1828" s="58" t="n"/>
      <c r="F1828" s="57" t="n"/>
      <c r="G1828" s="59" t="n"/>
      <c r="H1828" s="59" t="n"/>
      <c r="I1828" s="60">
        <f>IF(OR(G1828="",H1828=""),"",MOD(H1828-G1828,1))</f>
        <v/>
      </c>
      <c r="J1828" s="61">
        <f>IF(OR(G1828="",H1828=""),"",ROUND(MOD(H1828-G1828,1)*24,2))</f>
        <v/>
      </c>
      <c r="K1828" s="62">
        <f>IF(E1828="","",IF(E1828="Werken","JA","NEE"))</f>
        <v/>
      </c>
      <c r="L1828" s="61">
        <f>IF(K1828="JA",N(J1828),IF(E1828="","",0))</f>
        <v/>
      </c>
      <c r="M1828" s="62">
        <f>IF(AND(A1828="",E1828=""),"",IF(E1828="","Segment ontbreekt",IF(OR(G1828="",H1828=""),"Van/tot ontbreekt",IF(N(J1828)=0,"Duur is nul",IF(N(J1828)&gt;12,"Langer dan 12 uur - controleren",IF(AND(E1828="Werken",D1828=""),"Werken zonder klant - koppelen","OK"))))))</f>
        <v/>
      </c>
    </row>
    <row r="1829" ht="15" customHeight="1" s="42">
      <c r="A1829" s="55" t="n"/>
      <c r="B1829" s="56">
        <f>IF(A1829="","",WEEKNUM(A1829,21))</f>
        <v/>
      </c>
      <c r="C1829" s="57" t="n"/>
      <c r="D1829" s="57" t="n"/>
      <c r="E1829" s="58" t="n"/>
      <c r="F1829" s="57" t="n"/>
      <c r="G1829" s="59" t="n"/>
      <c r="H1829" s="59" t="n"/>
      <c r="I1829" s="60">
        <f>IF(OR(G1829="",H1829=""),"",MOD(H1829-G1829,1))</f>
        <v/>
      </c>
      <c r="J1829" s="61">
        <f>IF(OR(G1829="",H1829=""),"",ROUND(MOD(H1829-G1829,1)*24,2))</f>
        <v/>
      </c>
      <c r="K1829" s="62">
        <f>IF(E1829="","",IF(E1829="Werken","JA","NEE"))</f>
        <v/>
      </c>
      <c r="L1829" s="61">
        <f>IF(K1829="JA",N(J1829),IF(E1829="","",0))</f>
        <v/>
      </c>
      <c r="M1829" s="62">
        <f>IF(AND(A1829="",E1829=""),"",IF(E1829="","Segment ontbreekt",IF(OR(G1829="",H1829=""),"Van/tot ontbreekt",IF(N(J1829)=0,"Duur is nul",IF(N(J1829)&gt;12,"Langer dan 12 uur - controleren",IF(AND(E1829="Werken",D1829=""),"Werken zonder klant - koppelen","OK"))))))</f>
        <v/>
      </c>
    </row>
    <row r="1830" ht="15" customHeight="1" s="42">
      <c r="A1830" s="55" t="n"/>
      <c r="B1830" s="56">
        <f>IF(A1830="","",WEEKNUM(A1830,21))</f>
        <v/>
      </c>
      <c r="C1830" s="57" t="n"/>
      <c r="D1830" s="57" t="n"/>
      <c r="E1830" s="58" t="n"/>
      <c r="F1830" s="57" t="n"/>
      <c r="G1830" s="59" t="n"/>
      <c r="H1830" s="59" t="n"/>
      <c r="I1830" s="60">
        <f>IF(OR(G1830="",H1830=""),"",MOD(H1830-G1830,1))</f>
        <v/>
      </c>
      <c r="J1830" s="61">
        <f>IF(OR(G1830="",H1830=""),"",ROUND(MOD(H1830-G1830,1)*24,2))</f>
        <v/>
      </c>
      <c r="K1830" s="62">
        <f>IF(E1830="","",IF(E1830="Werken","JA","NEE"))</f>
        <v/>
      </c>
      <c r="L1830" s="61">
        <f>IF(K1830="JA",N(J1830),IF(E1830="","",0))</f>
        <v/>
      </c>
      <c r="M1830" s="62">
        <f>IF(AND(A1830="",E1830=""),"",IF(E1830="","Segment ontbreekt",IF(OR(G1830="",H1830=""),"Van/tot ontbreekt",IF(N(J1830)=0,"Duur is nul",IF(N(J1830)&gt;12,"Langer dan 12 uur - controleren",IF(AND(E1830="Werken",D1830=""),"Werken zonder klant - koppelen","OK"))))))</f>
        <v/>
      </c>
    </row>
    <row r="1831" ht="15" customHeight="1" s="42">
      <c r="A1831" s="55" t="n"/>
      <c r="B1831" s="56">
        <f>IF(A1831="","",WEEKNUM(A1831,21))</f>
        <v/>
      </c>
      <c r="C1831" s="57" t="n"/>
      <c r="D1831" s="57" t="n"/>
      <c r="E1831" s="58" t="n"/>
      <c r="F1831" s="57" t="n"/>
      <c r="G1831" s="59" t="n"/>
      <c r="H1831" s="59" t="n"/>
      <c r="I1831" s="60">
        <f>IF(OR(G1831="",H1831=""),"",MOD(H1831-G1831,1))</f>
        <v/>
      </c>
      <c r="J1831" s="61">
        <f>IF(OR(G1831="",H1831=""),"",ROUND(MOD(H1831-G1831,1)*24,2))</f>
        <v/>
      </c>
      <c r="K1831" s="62">
        <f>IF(E1831="","",IF(E1831="Werken","JA","NEE"))</f>
        <v/>
      </c>
      <c r="L1831" s="61">
        <f>IF(K1831="JA",N(J1831),IF(E1831="","",0))</f>
        <v/>
      </c>
      <c r="M1831" s="62">
        <f>IF(AND(A1831="",E1831=""),"",IF(E1831="","Segment ontbreekt",IF(OR(G1831="",H1831=""),"Van/tot ontbreekt",IF(N(J1831)=0,"Duur is nul",IF(N(J1831)&gt;12,"Langer dan 12 uur - controleren",IF(AND(E1831="Werken",D1831=""),"Werken zonder klant - koppelen","OK"))))))</f>
        <v/>
      </c>
    </row>
    <row r="1832" ht="15" customHeight="1" s="42">
      <c r="A1832" s="55" t="n"/>
      <c r="B1832" s="56">
        <f>IF(A1832="","",WEEKNUM(A1832,21))</f>
        <v/>
      </c>
      <c r="C1832" s="57" t="n"/>
      <c r="D1832" s="57" t="n"/>
      <c r="E1832" s="58" t="n"/>
      <c r="F1832" s="57" t="n"/>
      <c r="G1832" s="59" t="n"/>
      <c r="H1832" s="59" t="n"/>
      <c r="I1832" s="60">
        <f>IF(OR(G1832="",H1832=""),"",MOD(H1832-G1832,1))</f>
        <v/>
      </c>
      <c r="J1832" s="61">
        <f>IF(OR(G1832="",H1832=""),"",ROUND(MOD(H1832-G1832,1)*24,2))</f>
        <v/>
      </c>
      <c r="K1832" s="62">
        <f>IF(E1832="","",IF(E1832="Werken","JA","NEE"))</f>
        <v/>
      </c>
      <c r="L1832" s="61">
        <f>IF(K1832="JA",N(J1832),IF(E1832="","",0))</f>
        <v/>
      </c>
      <c r="M1832" s="62">
        <f>IF(AND(A1832="",E1832=""),"",IF(E1832="","Segment ontbreekt",IF(OR(G1832="",H1832=""),"Van/tot ontbreekt",IF(N(J1832)=0,"Duur is nul",IF(N(J1832)&gt;12,"Langer dan 12 uur - controleren",IF(AND(E1832="Werken",D1832=""),"Werken zonder klant - koppelen","OK"))))))</f>
        <v/>
      </c>
    </row>
    <row r="1833" ht="15" customHeight="1" s="42">
      <c r="A1833" s="55" t="n"/>
      <c r="B1833" s="56">
        <f>IF(A1833="","",WEEKNUM(A1833,21))</f>
        <v/>
      </c>
      <c r="C1833" s="57" t="n"/>
      <c r="D1833" s="57" t="n"/>
      <c r="E1833" s="58" t="n"/>
      <c r="F1833" s="57" t="n"/>
      <c r="G1833" s="59" t="n"/>
      <c r="H1833" s="59" t="n"/>
      <c r="I1833" s="60">
        <f>IF(OR(G1833="",H1833=""),"",MOD(H1833-G1833,1))</f>
        <v/>
      </c>
      <c r="J1833" s="61">
        <f>IF(OR(G1833="",H1833=""),"",ROUND(MOD(H1833-G1833,1)*24,2))</f>
        <v/>
      </c>
      <c r="K1833" s="62">
        <f>IF(E1833="","",IF(E1833="Werken","JA","NEE"))</f>
        <v/>
      </c>
      <c r="L1833" s="61">
        <f>IF(K1833="JA",N(J1833),IF(E1833="","",0))</f>
        <v/>
      </c>
      <c r="M1833" s="62">
        <f>IF(AND(A1833="",E1833=""),"",IF(E1833="","Segment ontbreekt",IF(OR(G1833="",H1833=""),"Van/tot ontbreekt",IF(N(J1833)=0,"Duur is nul",IF(N(J1833)&gt;12,"Langer dan 12 uur - controleren",IF(AND(E1833="Werken",D1833=""),"Werken zonder klant - koppelen","OK"))))))</f>
        <v/>
      </c>
    </row>
    <row r="1834" ht="15" customHeight="1" s="42">
      <c r="A1834" s="55" t="n"/>
      <c r="B1834" s="56">
        <f>IF(A1834="","",WEEKNUM(A1834,21))</f>
        <v/>
      </c>
      <c r="C1834" s="57" t="n"/>
      <c r="D1834" s="57" t="n"/>
      <c r="E1834" s="58" t="n"/>
      <c r="F1834" s="57" t="n"/>
      <c r="G1834" s="59" t="n"/>
      <c r="H1834" s="59" t="n"/>
      <c r="I1834" s="60">
        <f>IF(OR(G1834="",H1834=""),"",MOD(H1834-G1834,1))</f>
        <v/>
      </c>
      <c r="J1834" s="61">
        <f>IF(OR(G1834="",H1834=""),"",ROUND(MOD(H1834-G1834,1)*24,2))</f>
        <v/>
      </c>
      <c r="K1834" s="62">
        <f>IF(E1834="","",IF(E1834="Werken","JA","NEE"))</f>
        <v/>
      </c>
      <c r="L1834" s="61">
        <f>IF(K1834="JA",N(J1834),IF(E1834="","",0))</f>
        <v/>
      </c>
      <c r="M1834" s="62">
        <f>IF(AND(A1834="",E1834=""),"",IF(E1834="","Segment ontbreekt",IF(OR(G1834="",H1834=""),"Van/tot ontbreekt",IF(N(J1834)=0,"Duur is nul",IF(N(J1834)&gt;12,"Langer dan 12 uur - controleren",IF(AND(E1834="Werken",D1834=""),"Werken zonder klant - koppelen","OK"))))))</f>
        <v/>
      </c>
    </row>
    <row r="1835" ht="15" customHeight="1" s="42">
      <c r="A1835" s="55" t="n"/>
      <c r="B1835" s="56">
        <f>IF(A1835="","",WEEKNUM(A1835,21))</f>
        <v/>
      </c>
      <c r="C1835" s="57" t="n"/>
      <c r="D1835" s="57" t="n"/>
      <c r="E1835" s="58" t="n"/>
      <c r="F1835" s="57" t="n"/>
      <c r="G1835" s="59" t="n"/>
      <c r="H1835" s="59" t="n"/>
      <c r="I1835" s="60">
        <f>IF(OR(G1835="",H1835=""),"",MOD(H1835-G1835,1))</f>
        <v/>
      </c>
      <c r="J1835" s="61">
        <f>IF(OR(G1835="",H1835=""),"",ROUND(MOD(H1835-G1835,1)*24,2))</f>
        <v/>
      </c>
      <c r="K1835" s="62">
        <f>IF(E1835="","",IF(E1835="Werken","JA","NEE"))</f>
        <v/>
      </c>
      <c r="L1835" s="61">
        <f>IF(K1835="JA",N(J1835),IF(E1835="","",0))</f>
        <v/>
      </c>
      <c r="M1835" s="62">
        <f>IF(AND(A1835="",E1835=""),"",IF(E1835="","Segment ontbreekt",IF(OR(G1835="",H1835=""),"Van/tot ontbreekt",IF(N(J1835)=0,"Duur is nul",IF(N(J1835)&gt;12,"Langer dan 12 uur - controleren",IF(AND(E1835="Werken",D1835=""),"Werken zonder klant - koppelen","OK"))))))</f>
        <v/>
      </c>
    </row>
    <row r="1836" ht="15" customHeight="1" s="42">
      <c r="A1836" s="55" t="n"/>
      <c r="B1836" s="56">
        <f>IF(A1836="","",WEEKNUM(A1836,21))</f>
        <v/>
      </c>
      <c r="C1836" s="57" t="n"/>
      <c r="D1836" s="57" t="n"/>
      <c r="E1836" s="58" t="n"/>
      <c r="F1836" s="57" t="n"/>
      <c r="G1836" s="59" t="n"/>
      <c r="H1836" s="59" t="n"/>
      <c r="I1836" s="60">
        <f>IF(OR(G1836="",H1836=""),"",MOD(H1836-G1836,1))</f>
        <v/>
      </c>
      <c r="J1836" s="61">
        <f>IF(OR(G1836="",H1836=""),"",ROUND(MOD(H1836-G1836,1)*24,2))</f>
        <v/>
      </c>
      <c r="K1836" s="62">
        <f>IF(E1836="","",IF(E1836="Werken","JA","NEE"))</f>
        <v/>
      </c>
      <c r="L1836" s="61">
        <f>IF(K1836="JA",N(J1836),IF(E1836="","",0))</f>
        <v/>
      </c>
      <c r="M1836" s="62">
        <f>IF(AND(A1836="",E1836=""),"",IF(E1836="","Segment ontbreekt",IF(OR(G1836="",H1836=""),"Van/tot ontbreekt",IF(N(J1836)=0,"Duur is nul",IF(N(J1836)&gt;12,"Langer dan 12 uur - controleren",IF(AND(E1836="Werken",D1836=""),"Werken zonder klant - koppelen","OK"))))))</f>
        <v/>
      </c>
    </row>
    <row r="1837" ht="15" customHeight="1" s="42">
      <c r="A1837" s="55" t="n"/>
      <c r="B1837" s="56">
        <f>IF(A1837="","",WEEKNUM(A1837,21))</f>
        <v/>
      </c>
      <c r="C1837" s="57" t="n"/>
      <c r="D1837" s="57" t="n"/>
      <c r="E1837" s="58" t="n"/>
      <c r="F1837" s="57" t="n"/>
      <c r="G1837" s="59" t="n"/>
      <c r="H1837" s="59" t="n"/>
      <c r="I1837" s="60">
        <f>IF(OR(G1837="",H1837=""),"",MOD(H1837-G1837,1))</f>
        <v/>
      </c>
      <c r="J1837" s="61">
        <f>IF(OR(G1837="",H1837=""),"",ROUND(MOD(H1837-G1837,1)*24,2))</f>
        <v/>
      </c>
      <c r="K1837" s="62">
        <f>IF(E1837="","",IF(E1837="Werken","JA","NEE"))</f>
        <v/>
      </c>
      <c r="L1837" s="61">
        <f>IF(K1837="JA",N(J1837),IF(E1837="","",0))</f>
        <v/>
      </c>
      <c r="M1837" s="62">
        <f>IF(AND(A1837="",E1837=""),"",IF(E1837="","Segment ontbreekt",IF(OR(G1837="",H1837=""),"Van/tot ontbreekt",IF(N(J1837)=0,"Duur is nul",IF(N(J1837)&gt;12,"Langer dan 12 uur - controleren",IF(AND(E1837="Werken",D1837=""),"Werken zonder klant - koppelen","OK"))))))</f>
        <v/>
      </c>
    </row>
    <row r="1838" ht="15" customHeight="1" s="42">
      <c r="A1838" s="55" t="n"/>
      <c r="B1838" s="56">
        <f>IF(A1838="","",WEEKNUM(A1838,21))</f>
        <v/>
      </c>
      <c r="C1838" s="57" t="n"/>
      <c r="D1838" s="57" t="n"/>
      <c r="E1838" s="58" t="n"/>
      <c r="F1838" s="57" t="n"/>
      <c r="G1838" s="59" t="n"/>
      <c r="H1838" s="59" t="n"/>
      <c r="I1838" s="60">
        <f>IF(OR(G1838="",H1838=""),"",MOD(H1838-G1838,1))</f>
        <v/>
      </c>
      <c r="J1838" s="61">
        <f>IF(OR(G1838="",H1838=""),"",ROUND(MOD(H1838-G1838,1)*24,2))</f>
        <v/>
      </c>
      <c r="K1838" s="62">
        <f>IF(E1838="","",IF(E1838="Werken","JA","NEE"))</f>
        <v/>
      </c>
      <c r="L1838" s="61">
        <f>IF(K1838="JA",N(J1838),IF(E1838="","",0))</f>
        <v/>
      </c>
      <c r="M1838" s="62">
        <f>IF(AND(A1838="",E1838=""),"",IF(E1838="","Segment ontbreekt",IF(OR(G1838="",H1838=""),"Van/tot ontbreekt",IF(N(J1838)=0,"Duur is nul",IF(N(J1838)&gt;12,"Langer dan 12 uur - controleren",IF(AND(E1838="Werken",D1838=""),"Werken zonder klant - koppelen","OK"))))))</f>
        <v/>
      </c>
    </row>
    <row r="1839" ht="15" customHeight="1" s="42">
      <c r="A1839" s="55" t="n"/>
      <c r="B1839" s="56">
        <f>IF(A1839="","",WEEKNUM(A1839,21))</f>
        <v/>
      </c>
      <c r="C1839" s="57" t="n"/>
      <c r="D1839" s="57" t="n"/>
      <c r="E1839" s="58" t="n"/>
      <c r="F1839" s="57" t="n"/>
      <c r="G1839" s="59" t="n"/>
      <c r="H1839" s="59" t="n"/>
      <c r="I1839" s="60">
        <f>IF(OR(G1839="",H1839=""),"",MOD(H1839-G1839,1))</f>
        <v/>
      </c>
      <c r="J1839" s="61">
        <f>IF(OR(G1839="",H1839=""),"",ROUND(MOD(H1839-G1839,1)*24,2))</f>
        <v/>
      </c>
      <c r="K1839" s="62">
        <f>IF(E1839="","",IF(E1839="Werken","JA","NEE"))</f>
        <v/>
      </c>
      <c r="L1839" s="61">
        <f>IF(K1839="JA",N(J1839),IF(E1839="","",0))</f>
        <v/>
      </c>
      <c r="M1839" s="62">
        <f>IF(AND(A1839="",E1839=""),"",IF(E1839="","Segment ontbreekt",IF(OR(G1839="",H1839=""),"Van/tot ontbreekt",IF(N(J1839)=0,"Duur is nul",IF(N(J1839)&gt;12,"Langer dan 12 uur - controleren",IF(AND(E1839="Werken",D1839=""),"Werken zonder klant - koppelen","OK"))))))</f>
        <v/>
      </c>
    </row>
    <row r="1840" ht="15" customHeight="1" s="42">
      <c r="A1840" s="55" t="n"/>
      <c r="B1840" s="56">
        <f>IF(A1840="","",WEEKNUM(A1840,21))</f>
        <v/>
      </c>
      <c r="C1840" s="57" t="n"/>
      <c r="D1840" s="57" t="n"/>
      <c r="E1840" s="58" t="n"/>
      <c r="F1840" s="57" t="n"/>
      <c r="G1840" s="59" t="n"/>
      <c r="H1840" s="59" t="n"/>
      <c r="I1840" s="60">
        <f>IF(OR(G1840="",H1840=""),"",MOD(H1840-G1840,1))</f>
        <v/>
      </c>
      <c r="J1840" s="61">
        <f>IF(OR(G1840="",H1840=""),"",ROUND(MOD(H1840-G1840,1)*24,2))</f>
        <v/>
      </c>
      <c r="K1840" s="62">
        <f>IF(E1840="","",IF(E1840="Werken","JA","NEE"))</f>
        <v/>
      </c>
      <c r="L1840" s="61">
        <f>IF(K1840="JA",N(J1840),IF(E1840="","",0))</f>
        <v/>
      </c>
      <c r="M1840" s="62">
        <f>IF(AND(A1840="",E1840=""),"",IF(E1840="","Segment ontbreekt",IF(OR(G1840="",H1840=""),"Van/tot ontbreekt",IF(N(J1840)=0,"Duur is nul",IF(N(J1840)&gt;12,"Langer dan 12 uur - controleren",IF(AND(E1840="Werken",D1840=""),"Werken zonder klant - koppelen","OK"))))))</f>
        <v/>
      </c>
    </row>
    <row r="1841" ht="15" customHeight="1" s="42">
      <c r="A1841" s="55" t="n"/>
      <c r="B1841" s="56">
        <f>IF(A1841="","",WEEKNUM(A1841,21))</f>
        <v/>
      </c>
      <c r="C1841" s="57" t="n"/>
      <c r="D1841" s="57" t="n"/>
      <c r="E1841" s="58" t="n"/>
      <c r="F1841" s="57" t="n"/>
      <c r="G1841" s="59" t="n"/>
      <c r="H1841" s="59" t="n"/>
      <c r="I1841" s="60">
        <f>IF(OR(G1841="",H1841=""),"",MOD(H1841-G1841,1))</f>
        <v/>
      </c>
      <c r="J1841" s="61">
        <f>IF(OR(G1841="",H1841=""),"",ROUND(MOD(H1841-G1841,1)*24,2))</f>
        <v/>
      </c>
      <c r="K1841" s="62">
        <f>IF(E1841="","",IF(E1841="Werken","JA","NEE"))</f>
        <v/>
      </c>
      <c r="L1841" s="61">
        <f>IF(K1841="JA",N(J1841),IF(E1841="","",0))</f>
        <v/>
      </c>
      <c r="M1841" s="62">
        <f>IF(AND(A1841="",E1841=""),"",IF(E1841="","Segment ontbreekt",IF(OR(G1841="",H1841=""),"Van/tot ontbreekt",IF(N(J1841)=0,"Duur is nul",IF(N(J1841)&gt;12,"Langer dan 12 uur - controleren",IF(AND(E1841="Werken",D1841=""),"Werken zonder klant - koppelen","OK"))))))</f>
        <v/>
      </c>
    </row>
    <row r="1842" ht="15" customHeight="1" s="42">
      <c r="A1842" s="55" t="n"/>
      <c r="B1842" s="56">
        <f>IF(A1842="","",WEEKNUM(A1842,21))</f>
        <v/>
      </c>
      <c r="C1842" s="57" t="n"/>
      <c r="D1842" s="57" t="n"/>
      <c r="E1842" s="58" t="n"/>
      <c r="F1842" s="57" t="n"/>
      <c r="G1842" s="59" t="n"/>
      <c r="H1842" s="59" t="n"/>
      <c r="I1842" s="60">
        <f>IF(OR(G1842="",H1842=""),"",MOD(H1842-G1842,1))</f>
        <v/>
      </c>
      <c r="J1842" s="61">
        <f>IF(OR(G1842="",H1842=""),"",ROUND(MOD(H1842-G1842,1)*24,2))</f>
        <v/>
      </c>
      <c r="K1842" s="62">
        <f>IF(E1842="","",IF(E1842="Werken","JA","NEE"))</f>
        <v/>
      </c>
      <c r="L1842" s="61">
        <f>IF(K1842="JA",N(J1842),IF(E1842="","",0))</f>
        <v/>
      </c>
      <c r="M1842" s="62">
        <f>IF(AND(A1842="",E1842=""),"",IF(E1842="","Segment ontbreekt",IF(OR(G1842="",H1842=""),"Van/tot ontbreekt",IF(N(J1842)=0,"Duur is nul",IF(N(J1842)&gt;12,"Langer dan 12 uur - controleren",IF(AND(E1842="Werken",D1842=""),"Werken zonder klant - koppelen","OK"))))))</f>
        <v/>
      </c>
    </row>
    <row r="1843" ht="15" customHeight="1" s="42">
      <c r="A1843" s="55" t="n"/>
      <c r="B1843" s="56">
        <f>IF(A1843="","",WEEKNUM(A1843,21))</f>
        <v/>
      </c>
      <c r="C1843" s="57" t="n"/>
      <c r="D1843" s="57" t="n"/>
      <c r="E1843" s="58" t="n"/>
      <c r="F1843" s="57" t="n"/>
      <c r="G1843" s="59" t="n"/>
      <c r="H1843" s="59" t="n"/>
      <c r="I1843" s="60">
        <f>IF(OR(G1843="",H1843=""),"",MOD(H1843-G1843,1))</f>
        <v/>
      </c>
      <c r="J1843" s="61">
        <f>IF(OR(G1843="",H1843=""),"",ROUND(MOD(H1843-G1843,1)*24,2))</f>
        <v/>
      </c>
      <c r="K1843" s="62">
        <f>IF(E1843="","",IF(E1843="Werken","JA","NEE"))</f>
        <v/>
      </c>
      <c r="L1843" s="61">
        <f>IF(K1843="JA",N(J1843),IF(E1843="","",0))</f>
        <v/>
      </c>
      <c r="M1843" s="62">
        <f>IF(AND(A1843="",E1843=""),"",IF(E1843="","Segment ontbreekt",IF(OR(G1843="",H1843=""),"Van/tot ontbreekt",IF(N(J1843)=0,"Duur is nul",IF(N(J1843)&gt;12,"Langer dan 12 uur - controleren",IF(AND(E1843="Werken",D1843=""),"Werken zonder klant - koppelen","OK"))))))</f>
        <v/>
      </c>
    </row>
    <row r="1844" ht="15" customHeight="1" s="42">
      <c r="A1844" s="55" t="n"/>
      <c r="B1844" s="56">
        <f>IF(A1844="","",WEEKNUM(A1844,21))</f>
        <v/>
      </c>
      <c r="C1844" s="57" t="n"/>
      <c r="D1844" s="57" t="n"/>
      <c r="E1844" s="58" t="n"/>
      <c r="F1844" s="57" t="n"/>
      <c r="G1844" s="59" t="n"/>
      <c r="H1844" s="59" t="n"/>
      <c r="I1844" s="60">
        <f>IF(OR(G1844="",H1844=""),"",MOD(H1844-G1844,1))</f>
        <v/>
      </c>
      <c r="J1844" s="61">
        <f>IF(OR(G1844="",H1844=""),"",ROUND(MOD(H1844-G1844,1)*24,2))</f>
        <v/>
      </c>
      <c r="K1844" s="62">
        <f>IF(E1844="","",IF(E1844="Werken","JA","NEE"))</f>
        <v/>
      </c>
      <c r="L1844" s="61">
        <f>IF(K1844="JA",N(J1844),IF(E1844="","",0))</f>
        <v/>
      </c>
      <c r="M1844" s="62">
        <f>IF(AND(A1844="",E1844=""),"",IF(E1844="","Segment ontbreekt",IF(OR(G1844="",H1844=""),"Van/tot ontbreekt",IF(N(J1844)=0,"Duur is nul",IF(N(J1844)&gt;12,"Langer dan 12 uur - controleren",IF(AND(E1844="Werken",D1844=""),"Werken zonder klant - koppelen","OK"))))))</f>
        <v/>
      </c>
    </row>
    <row r="1845" ht="15" customHeight="1" s="42">
      <c r="A1845" s="55" t="n"/>
      <c r="B1845" s="56">
        <f>IF(A1845="","",WEEKNUM(A1845,21))</f>
        <v/>
      </c>
      <c r="C1845" s="57" t="n"/>
      <c r="D1845" s="57" t="n"/>
      <c r="E1845" s="58" t="n"/>
      <c r="F1845" s="57" t="n"/>
      <c r="G1845" s="59" t="n"/>
      <c r="H1845" s="59" t="n"/>
      <c r="I1845" s="60">
        <f>IF(OR(G1845="",H1845=""),"",MOD(H1845-G1845,1))</f>
        <v/>
      </c>
      <c r="J1845" s="61">
        <f>IF(OR(G1845="",H1845=""),"",ROUND(MOD(H1845-G1845,1)*24,2))</f>
        <v/>
      </c>
      <c r="K1845" s="62">
        <f>IF(E1845="","",IF(E1845="Werken","JA","NEE"))</f>
        <v/>
      </c>
      <c r="L1845" s="61">
        <f>IF(K1845="JA",N(J1845),IF(E1845="","",0))</f>
        <v/>
      </c>
      <c r="M1845" s="62">
        <f>IF(AND(A1845="",E1845=""),"",IF(E1845="","Segment ontbreekt",IF(OR(G1845="",H1845=""),"Van/tot ontbreekt",IF(N(J1845)=0,"Duur is nul",IF(N(J1845)&gt;12,"Langer dan 12 uur - controleren",IF(AND(E1845="Werken",D1845=""),"Werken zonder klant - koppelen","OK"))))))</f>
        <v/>
      </c>
    </row>
    <row r="1846" ht="15" customHeight="1" s="42">
      <c r="A1846" s="55" t="n"/>
      <c r="B1846" s="56">
        <f>IF(A1846="","",WEEKNUM(A1846,21))</f>
        <v/>
      </c>
      <c r="C1846" s="57" t="n"/>
      <c r="D1846" s="57" t="n"/>
      <c r="E1846" s="58" t="n"/>
      <c r="F1846" s="57" t="n"/>
      <c r="G1846" s="59" t="n"/>
      <c r="H1846" s="59" t="n"/>
      <c r="I1846" s="60">
        <f>IF(OR(G1846="",H1846=""),"",MOD(H1846-G1846,1))</f>
        <v/>
      </c>
      <c r="J1846" s="61">
        <f>IF(OR(G1846="",H1846=""),"",ROUND(MOD(H1846-G1846,1)*24,2))</f>
        <v/>
      </c>
      <c r="K1846" s="62">
        <f>IF(E1846="","",IF(E1846="Werken","JA","NEE"))</f>
        <v/>
      </c>
      <c r="L1846" s="61">
        <f>IF(K1846="JA",N(J1846),IF(E1846="","",0))</f>
        <v/>
      </c>
      <c r="M1846" s="62">
        <f>IF(AND(A1846="",E1846=""),"",IF(E1846="","Segment ontbreekt",IF(OR(G1846="",H1846=""),"Van/tot ontbreekt",IF(N(J1846)=0,"Duur is nul",IF(N(J1846)&gt;12,"Langer dan 12 uur - controleren",IF(AND(E1846="Werken",D1846=""),"Werken zonder klant - koppelen","OK"))))))</f>
        <v/>
      </c>
    </row>
    <row r="1847" ht="15" customHeight="1" s="42">
      <c r="A1847" s="55" t="n"/>
      <c r="B1847" s="56">
        <f>IF(A1847="","",WEEKNUM(A1847,21))</f>
        <v/>
      </c>
      <c r="C1847" s="57" t="n"/>
      <c r="D1847" s="57" t="n"/>
      <c r="E1847" s="58" t="n"/>
      <c r="F1847" s="57" t="n"/>
      <c r="G1847" s="59" t="n"/>
      <c r="H1847" s="59" t="n"/>
      <c r="I1847" s="60">
        <f>IF(OR(G1847="",H1847=""),"",MOD(H1847-G1847,1))</f>
        <v/>
      </c>
      <c r="J1847" s="61">
        <f>IF(OR(G1847="",H1847=""),"",ROUND(MOD(H1847-G1847,1)*24,2))</f>
        <v/>
      </c>
      <c r="K1847" s="62">
        <f>IF(E1847="","",IF(E1847="Werken","JA","NEE"))</f>
        <v/>
      </c>
      <c r="L1847" s="61">
        <f>IF(K1847="JA",N(J1847),IF(E1847="","",0))</f>
        <v/>
      </c>
      <c r="M1847" s="62">
        <f>IF(AND(A1847="",E1847=""),"",IF(E1847="","Segment ontbreekt",IF(OR(G1847="",H1847=""),"Van/tot ontbreekt",IF(N(J1847)=0,"Duur is nul",IF(N(J1847)&gt;12,"Langer dan 12 uur - controleren",IF(AND(E1847="Werken",D1847=""),"Werken zonder klant - koppelen","OK"))))))</f>
        <v/>
      </c>
    </row>
    <row r="1848" ht="15" customHeight="1" s="42">
      <c r="A1848" s="55" t="n"/>
      <c r="B1848" s="56">
        <f>IF(A1848="","",WEEKNUM(A1848,21))</f>
        <v/>
      </c>
      <c r="C1848" s="57" t="n"/>
      <c r="D1848" s="57" t="n"/>
      <c r="E1848" s="58" t="n"/>
      <c r="F1848" s="57" t="n"/>
      <c r="G1848" s="59" t="n"/>
      <c r="H1848" s="59" t="n"/>
      <c r="I1848" s="60">
        <f>IF(OR(G1848="",H1848=""),"",MOD(H1848-G1848,1))</f>
        <v/>
      </c>
      <c r="J1848" s="61">
        <f>IF(OR(G1848="",H1848=""),"",ROUND(MOD(H1848-G1848,1)*24,2))</f>
        <v/>
      </c>
      <c r="K1848" s="62">
        <f>IF(E1848="","",IF(E1848="Werken","JA","NEE"))</f>
        <v/>
      </c>
      <c r="L1848" s="61">
        <f>IF(K1848="JA",N(J1848),IF(E1848="","",0))</f>
        <v/>
      </c>
      <c r="M1848" s="62">
        <f>IF(AND(A1848="",E1848=""),"",IF(E1848="","Segment ontbreekt",IF(OR(G1848="",H1848=""),"Van/tot ontbreekt",IF(N(J1848)=0,"Duur is nul",IF(N(J1848)&gt;12,"Langer dan 12 uur - controleren",IF(AND(E1848="Werken",D1848=""),"Werken zonder klant - koppelen","OK"))))))</f>
        <v/>
      </c>
    </row>
    <row r="1849" ht="15" customHeight="1" s="42">
      <c r="A1849" s="55" t="n"/>
      <c r="B1849" s="56">
        <f>IF(A1849="","",WEEKNUM(A1849,21))</f>
        <v/>
      </c>
      <c r="C1849" s="57" t="n"/>
      <c r="D1849" s="57" t="n"/>
      <c r="E1849" s="58" t="n"/>
      <c r="F1849" s="57" t="n"/>
      <c r="G1849" s="59" t="n"/>
      <c r="H1849" s="59" t="n"/>
      <c r="I1849" s="60">
        <f>IF(OR(G1849="",H1849=""),"",MOD(H1849-G1849,1))</f>
        <v/>
      </c>
      <c r="J1849" s="61">
        <f>IF(OR(G1849="",H1849=""),"",ROUND(MOD(H1849-G1849,1)*24,2))</f>
        <v/>
      </c>
      <c r="K1849" s="62">
        <f>IF(E1849="","",IF(E1849="Werken","JA","NEE"))</f>
        <v/>
      </c>
      <c r="L1849" s="61">
        <f>IF(K1849="JA",N(J1849),IF(E1849="","",0))</f>
        <v/>
      </c>
      <c r="M1849" s="62">
        <f>IF(AND(A1849="",E1849=""),"",IF(E1849="","Segment ontbreekt",IF(OR(G1849="",H1849=""),"Van/tot ontbreekt",IF(N(J1849)=0,"Duur is nul",IF(N(J1849)&gt;12,"Langer dan 12 uur - controleren",IF(AND(E1849="Werken",D1849=""),"Werken zonder klant - koppelen","OK"))))))</f>
        <v/>
      </c>
    </row>
    <row r="1850" ht="15" customHeight="1" s="42">
      <c r="A1850" s="55" t="n"/>
      <c r="B1850" s="56">
        <f>IF(A1850="","",WEEKNUM(A1850,21))</f>
        <v/>
      </c>
      <c r="C1850" s="57" t="n"/>
      <c r="D1850" s="57" t="n"/>
      <c r="E1850" s="58" t="n"/>
      <c r="F1850" s="57" t="n"/>
      <c r="G1850" s="59" t="n"/>
      <c r="H1850" s="59" t="n"/>
      <c r="I1850" s="60">
        <f>IF(OR(G1850="",H1850=""),"",MOD(H1850-G1850,1))</f>
        <v/>
      </c>
      <c r="J1850" s="61">
        <f>IF(OR(G1850="",H1850=""),"",ROUND(MOD(H1850-G1850,1)*24,2))</f>
        <v/>
      </c>
      <c r="K1850" s="62">
        <f>IF(E1850="","",IF(E1850="Werken","JA","NEE"))</f>
        <v/>
      </c>
      <c r="L1850" s="61">
        <f>IF(K1850="JA",N(J1850),IF(E1850="","",0))</f>
        <v/>
      </c>
      <c r="M1850" s="62">
        <f>IF(AND(A1850="",E1850=""),"",IF(E1850="","Segment ontbreekt",IF(OR(G1850="",H1850=""),"Van/tot ontbreekt",IF(N(J1850)=0,"Duur is nul",IF(N(J1850)&gt;12,"Langer dan 12 uur - controleren",IF(AND(E1850="Werken",D1850=""),"Werken zonder klant - koppelen","OK"))))))</f>
        <v/>
      </c>
    </row>
    <row r="1851" ht="15" customHeight="1" s="42">
      <c r="A1851" s="55" t="n"/>
      <c r="B1851" s="56">
        <f>IF(A1851="","",WEEKNUM(A1851,21))</f>
        <v/>
      </c>
      <c r="C1851" s="57" t="n"/>
      <c r="D1851" s="57" t="n"/>
      <c r="E1851" s="58" t="n"/>
      <c r="F1851" s="57" t="n"/>
      <c r="G1851" s="59" t="n"/>
      <c r="H1851" s="59" t="n"/>
      <c r="I1851" s="60">
        <f>IF(OR(G1851="",H1851=""),"",MOD(H1851-G1851,1))</f>
        <v/>
      </c>
      <c r="J1851" s="61">
        <f>IF(OR(G1851="",H1851=""),"",ROUND(MOD(H1851-G1851,1)*24,2))</f>
        <v/>
      </c>
      <c r="K1851" s="62">
        <f>IF(E1851="","",IF(E1851="Werken","JA","NEE"))</f>
        <v/>
      </c>
      <c r="L1851" s="61">
        <f>IF(K1851="JA",N(J1851),IF(E1851="","",0))</f>
        <v/>
      </c>
      <c r="M1851" s="62">
        <f>IF(AND(A1851="",E1851=""),"",IF(E1851="","Segment ontbreekt",IF(OR(G1851="",H1851=""),"Van/tot ontbreekt",IF(N(J1851)=0,"Duur is nul",IF(N(J1851)&gt;12,"Langer dan 12 uur - controleren",IF(AND(E1851="Werken",D1851=""),"Werken zonder klant - koppelen","OK"))))))</f>
        <v/>
      </c>
    </row>
    <row r="1852" ht="15" customHeight="1" s="42">
      <c r="A1852" s="55" t="n"/>
      <c r="B1852" s="56">
        <f>IF(A1852="","",WEEKNUM(A1852,21))</f>
        <v/>
      </c>
      <c r="C1852" s="57" t="n"/>
      <c r="D1852" s="57" t="n"/>
      <c r="E1852" s="58" t="n"/>
      <c r="F1852" s="57" t="n"/>
      <c r="G1852" s="59" t="n"/>
      <c r="H1852" s="59" t="n"/>
      <c r="I1852" s="60">
        <f>IF(OR(G1852="",H1852=""),"",MOD(H1852-G1852,1))</f>
        <v/>
      </c>
      <c r="J1852" s="61">
        <f>IF(OR(G1852="",H1852=""),"",ROUND(MOD(H1852-G1852,1)*24,2))</f>
        <v/>
      </c>
      <c r="K1852" s="62">
        <f>IF(E1852="","",IF(E1852="Werken","JA","NEE"))</f>
        <v/>
      </c>
      <c r="L1852" s="61">
        <f>IF(K1852="JA",N(J1852),IF(E1852="","",0))</f>
        <v/>
      </c>
      <c r="M1852" s="62">
        <f>IF(AND(A1852="",E1852=""),"",IF(E1852="","Segment ontbreekt",IF(OR(G1852="",H1852=""),"Van/tot ontbreekt",IF(N(J1852)=0,"Duur is nul",IF(N(J1852)&gt;12,"Langer dan 12 uur - controleren",IF(AND(E1852="Werken",D1852=""),"Werken zonder klant - koppelen","OK"))))))</f>
        <v/>
      </c>
    </row>
    <row r="1853" ht="15" customHeight="1" s="42">
      <c r="A1853" s="55" t="n"/>
      <c r="B1853" s="56">
        <f>IF(A1853="","",WEEKNUM(A1853,21))</f>
        <v/>
      </c>
      <c r="C1853" s="57" t="n"/>
      <c r="D1853" s="57" t="n"/>
      <c r="E1853" s="58" t="n"/>
      <c r="F1853" s="57" t="n"/>
      <c r="G1853" s="59" t="n"/>
      <c r="H1853" s="59" t="n"/>
      <c r="I1853" s="60">
        <f>IF(OR(G1853="",H1853=""),"",MOD(H1853-G1853,1))</f>
        <v/>
      </c>
      <c r="J1853" s="61">
        <f>IF(OR(G1853="",H1853=""),"",ROUND(MOD(H1853-G1853,1)*24,2))</f>
        <v/>
      </c>
      <c r="K1853" s="62">
        <f>IF(E1853="","",IF(E1853="Werken","JA","NEE"))</f>
        <v/>
      </c>
      <c r="L1853" s="61">
        <f>IF(K1853="JA",N(J1853),IF(E1853="","",0))</f>
        <v/>
      </c>
      <c r="M1853" s="62">
        <f>IF(AND(A1853="",E1853=""),"",IF(E1853="","Segment ontbreekt",IF(OR(G1853="",H1853=""),"Van/tot ontbreekt",IF(N(J1853)=0,"Duur is nul",IF(N(J1853)&gt;12,"Langer dan 12 uur - controleren",IF(AND(E1853="Werken",D1853=""),"Werken zonder klant - koppelen","OK"))))))</f>
        <v/>
      </c>
    </row>
    <row r="1854" ht="15" customHeight="1" s="42">
      <c r="A1854" s="55" t="n"/>
      <c r="B1854" s="56">
        <f>IF(A1854="","",WEEKNUM(A1854,21))</f>
        <v/>
      </c>
      <c r="C1854" s="57" t="n"/>
      <c r="D1854" s="57" t="n"/>
      <c r="E1854" s="58" t="n"/>
      <c r="F1854" s="57" t="n"/>
      <c r="G1854" s="59" t="n"/>
      <c r="H1854" s="59" t="n"/>
      <c r="I1854" s="60">
        <f>IF(OR(G1854="",H1854=""),"",MOD(H1854-G1854,1))</f>
        <v/>
      </c>
      <c r="J1854" s="61">
        <f>IF(OR(G1854="",H1854=""),"",ROUND(MOD(H1854-G1854,1)*24,2))</f>
        <v/>
      </c>
      <c r="K1854" s="62">
        <f>IF(E1854="","",IF(E1854="Werken","JA","NEE"))</f>
        <v/>
      </c>
      <c r="L1854" s="61">
        <f>IF(K1854="JA",N(J1854),IF(E1854="","",0))</f>
        <v/>
      </c>
      <c r="M1854" s="62">
        <f>IF(AND(A1854="",E1854=""),"",IF(E1854="","Segment ontbreekt",IF(OR(G1854="",H1854=""),"Van/tot ontbreekt",IF(N(J1854)=0,"Duur is nul",IF(N(J1854)&gt;12,"Langer dan 12 uur - controleren",IF(AND(E1854="Werken",D1854=""),"Werken zonder klant - koppelen","OK"))))))</f>
        <v/>
      </c>
    </row>
    <row r="1855" ht="15" customHeight="1" s="42">
      <c r="A1855" s="55" t="n"/>
      <c r="B1855" s="56">
        <f>IF(A1855="","",WEEKNUM(A1855,21))</f>
        <v/>
      </c>
      <c r="C1855" s="57" t="n"/>
      <c r="D1855" s="57" t="n"/>
      <c r="E1855" s="58" t="n"/>
      <c r="F1855" s="57" t="n"/>
      <c r="G1855" s="59" t="n"/>
      <c r="H1855" s="59" t="n"/>
      <c r="I1855" s="60">
        <f>IF(OR(G1855="",H1855=""),"",MOD(H1855-G1855,1))</f>
        <v/>
      </c>
      <c r="J1855" s="61">
        <f>IF(OR(G1855="",H1855=""),"",ROUND(MOD(H1855-G1855,1)*24,2))</f>
        <v/>
      </c>
      <c r="K1855" s="62">
        <f>IF(E1855="","",IF(E1855="Werken","JA","NEE"))</f>
        <v/>
      </c>
      <c r="L1855" s="61">
        <f>IF(K1855="JA",N(J1855),IF(E1855="","",0))</f>
        <v/>
      </c>
      <c r="M1855" s="62">
        <f>IF(AND(A1855="",E1855=""),"",IF(E1855="","Segment ontbreekt",IF(OR(G1855="",H1855=""),"Van/tot ontbreekt",IF(N(J1855)=0,"Duur is nul",IF(N(J1855)&gt;12,"Langer dan 12 uur - controleren",IF(AND(E1855="Werken",D1855=""),"Werken zonder klant - koppelen","OK"))))))</f>
        <v/>
      </c>
    </row>
    <row r="1856" ht="15" customHeight="1" s="42">
      <c r="A1856" s="55" t="n"/>
      <c r="B1856" s="56">
        <f>IF(A1856="","",WEEKNUM(A1856,21))</f>
        <v/>
      </c>
      <c r="C1856" s="57" t="n"/>
      <c r="D1856" s="57" t="n"/>
      <c r="E1856" s="58" t="n"/>
      <c r="F1856" s="57" t="n"/>
      <c r="G1856" s="59" t="n"/>
      <c r="H1856" s="59" t="n"/>
      <c r="I1856" s="60">
        <f>IF(OR(G1856="",H1856=""),"",MOD(H1856-G1856,1))</f>
        <v/>
      </c>
      <c r="J1856" s="61">
        <f>IF(OR(G1856="",H1856=""),"",ROUND(MOD(H1856-G1856,1)*24,2))</f>
        <v/>
      </c>
      <c r="K1856" s="62">
        <f>IF(E1856="","",IF(E1856="Werken","JA","NEE"))</f>
        <v/>
      </c>
      <c r="L1856" s="61">
        <f>IF(K1856="JA",N(J1856),IF(E1856="","",0))</f>
        <v/>
      </c>
      <c r="M1856" s="62">
        <f>IF(AND(A1856="",E1856=""),"",IF(E1856="","Segment ontbreekt",IF(OR(G1856="",H1856=""),"Van/tot ontbreekt",IF(N(J1856)=0,"Duur is nul",IF(N(J1856)&gt;12,"Langer dan 12 uur - controleren",IF(AND(E1856="Werken",D1856=""),"Werken zonder klant - koppelen","OK"))))))</f>
        <v/>
      </c>
    </row>
    <row r="1857" ht="15" customHeight="1" s="42">
      <c r="A1857" s="55" t="n"/>
      <c r="B1857" s="56">
        <f>IF(A1857="","",WEEKNUM(A1857,21))</f>
        <v/>
      </c>
      <c r="C1857" s="57" t="n"/>
      <c r="D1857" s="57" t="n"/>
      <c r="E1857" s="58" t="n"/>
      <c r="F1857" s="57" t="n"/>
      <c r="G1857" s="59" t="n"/>
      <c r="H1857" s="59" t="n"/>
      <c r="I1857" s="60">
        <f>IF(OR(G1857="",H1857=""),"",MOD(H1857-G1857,1))</f>
        <v/>
      </c>
      <c r="J1857" s="61">
        <f>IF(OR(G1857="",H1857=""),"",ROUND(MOD(H1857-G1857,1)*24,2))</f>
        <v/>
      </c>
      <c r="K1857" s="62">
        <f>IF(E1857="","",IF(E1857="Werken","JA","NEE"))</f>
        <v/>
      </c>
      <c r="L1857" s="61">
        <f>IF(K1857="JA",N(J1857),IF(E1857="","",0))</f>
        <v/>
      </c>
      <c r="M1857" s="62">
        <f>IF(AND(A1857="",E1857=""),"",IF(E1857="","Segment ontbreekt",IF(OR(G1857="",H1857=""),"Van/tot ontbreekt",IF(N(J1857)=0,"Duur is nul",IF(N(J1857)&gt;12,"Langer dan 12 uur - controleren",IF(AND(E1857="Werken",D1857=""),"Werken zonder klant - koppelen","OK"))))))</f>
        <v/>
      </c>
    </row>
    <row r="1858" ht="15" customHeight="1" s="42">
      <c r="A1858" s="55" t="n"/>
      <c r="B1858" s="56">
        <f>IF(A1858="","",WEEKNUM(A1858,21))</f>
        <v/>
      </c>
      <c r="C1858" s="57" t="n"/>
      <c r="D1858" s="57" t="n"/>
      <c r="E1858" s="58" t="n"/>
      <c r="F1858" s="57" t="n"/>
      <c r="G1858" s="59" t="n"/>
      <c r="H1858" s="59" t="n"/>
      <c r="I1858" s="60">
        <f>IF(OR(G1858="",H1858=""),"",MOD(H1858-G1858,1))</f>
        <v/>
      </c>
      <c r="J1858" s="61">
        <f>IF(OR(G1858="",H1858=""),"",ROUND(MOD(H1858-G1858,1)*24,2))</f>
        <v/>
      </c>
      <c r="K1858" s="62">
        <f>IF(E1858="","",IF(E1858="Werken","JA","NEE"))</f>
        <v/>
      </c>
      <c r="L1858" s="61">
        <f>IF(K1858="JA",N(J1858),IF(E1858="","",0))</f>
        <v/>
      </c>
      <c r="M1858" s="62">
        <f>IF(AND(A1858="",E1858=""),"",IF(E1858="","Segment ontbreekt",IF(OR(G1858="",H1858=""),"Van/tot ontbreekt",IF(N(J1858)=0,"Duur is nul",IF(N(J1858)&gt;12,"Langer dan 12 uur - controleren",IF(AND(E1858="Werken",D1858=""),"Werken zonder klant - koppelen","OK"))))))</f>
        <v/>
      </c>
    </row>
    <row r="1859" ht="15" customHeight="1" s="42">
      <c r="A1859" s="55" t="n"/>
      <c r="B1859" s="56">
        <f>IF(A1859="","",WEEKNUM(A1859,21))</f>
        <v/>
      </c>
      <c r="C1859" s="57" t="n"/>
      <c r="D1859" s="57" t="n"/>
      <c r="E1859" s="58" t="n"/>
      <c r="F1859" s="57" t="n"/>
      <c r="G1859" s="59" t="n"/>
      <c r="H1859" s="59" t="n"/>
      <c r="I1859" s="60">
        <f>IF(OR(G1859="",H1859=""),"",MOD(H1859-G1859,1))</f>
        <v/>
      </c>
      <c r="J1859" s="61">
        <f>IF(OR(G1859="",H1859=""),"",ROUND(MOD(H1859-G1859,1)*24,2))</f>
        <v/>
      </c>
      <c r="K1859" s="62">
        <f>IF(E1859="","",IF(E1859="Werken","JA","NEE"))</f>
        <v/>
      </c>
      <c r="L1859" s="61">
        <f>IF(K1859="JA",N(J1859),IF(E1859="","",0))</f>
        <v/>
      </c>
      <c r="M1859" s="62">
        <f>IF(AND(A1859="",E1859=""),"",IF(E1859="","Segment ontbreekt",IF(OR(G1859="",H1859=""),"Van/tot ontbreekt",IF(N(J1859)=0,"Duur is nul",IF(N(J1859)&gt;12,"Langer dan 12 uur - controleren",IF(AND(E1859="Werken",D1859=""),"Werken zonder klant - koppelen","OK"))))))</f>
        <v/>
      </c>
    </row>
    <row r="1860" ht="15" customHeight="1" s="42">
      <c r="A1860" s="55" t="n"/>
      <c r="B1860" s="56">
        <f>IF(A1860="","",WEEKNUM(A1860,21))</f>
        <v/>
      </c>
      <c r="C1860" s="57" t="n"/>
      <c r="D1860" s="57" t="n"/>
      <c r="E1860" s="58" t="n"/>
      <c r="F1860" s="57" t="n"/>
      <c r="G1860" s="59" t="n"/>
      <c r="H1860" s="59" t="n"/>
      <c r="I1860" s="60">
        <f>IF(OR(G1860="",H1860=""),"",MOD(H1860-G1860,1))</f>
        <v/>
      </c>
      <c r="J1860" s="61">
        <f>IF(OR(G1860="",H1860=""),"",ROUND(MOD(H1860-G1860,1)*24,2))</f>
        <v/>
      </c>
      <c r="K1860" s="62">
        <f>IF(E1860="","",IF(E1860="Werken","JA","NEE"))</f>
        <v/>
      </c>
      <c r="L1860" s="61">
        <f>IF(K1860="JA",N(J1860),IF(E1860="","",0))</f>
        <v/>
      </c>
      <c r="M1860" s="62">
        <f>IF(AND(A1860="",E1860=""),"",IF(E1860="","Segment ontbreekt",IF(OR(G1860="",H1860=""),"Van/tot ontbreekt",IF(N(J1860)=0,"Duur is nul",IF(N(J1860)&gt;12,"Langer dan 12 uur - controleren",IF(AND(E1860="Werken",D1860=""),"Werken zonder klant - koppelen","OK"))))))</f>
        <v/>
      </c>
    </row>
    <row r="1861" ht="15" customHeight="1" s="42">
      <c r="A1861" s="55" t="n"/>
      <c r="B1861" s="56">
        <f>IF(A1861="","",WEEKNUM(A1861,21))</f>
        <v/>
      </c>
      <c r="C1861" s="57" t="n"/>
      <c r="D1861" s="57" t="n"/>
      <c r="E1861" s="58" t="n"/>
      <c r="F1861" s="57" t="n"/>
      <c r="G1861" s="59" t="n"/>
      <c r="H1861" s="59" t="n"/>
      <c r="I1861" s="60">
        <f>IF(OR(G1861="",H1861=""),"",MOD(H1861-G1861,1))</f>
        <v/>
      </c>
      <c r="J1861" s="61">
        <f>IF(OR(G1861="",H1861=""),"",ROUND(MOD(H1861-G1861,1)*24,2))</f>
        <v/>
      </c>
      <c r="K1861" s="62">
        <f>IF(E1861="","",IF(E1861="Werken","JA","NEE"))</f>
        <v/>
      </c>
      <c r="L1861" s="61">
        <f>IF(K1861="JA",N(J1861),IF(E1861="","",0))</f>
        <v/>
      </c>
      <c r="M1861" s="62">
        <f>IF(AND(A1861="",E1861=""),"",IF(E1861="","Segment ontbreekt",IF(OR(G1861="",H1861=""),"Van/tot ontbreekt",IF(N(J1861)=0,"Duur is nul",IF(N(J1861)&gt;12,"Langer dan 12 uur - controleren",IF(AND(E1861="Werken",D1861=""),"Werken zonder klant - koppelen","OK"))))))</f>
        <v/>
      </c>
    </row>
    <row r="1862" ht="15" customHeight="1" s="42">
      <c r="A1862" s="55" t="n"/>
      <c r="B1862" s="56">
        <f>IF(A1862="","",WEEKNUM(A1862,21))</f>
        <v/>
      </c>
      <c r="C1862" s="57" t="n"/>
      <c r="D1862" s="57" t="n"/>
      <c r="E1862" s="58" t="n"/>
      <c r="F1862" s="57" t="n"/>
      <c r="G1862" s="59" t="n"/>
      <c r="H1862" s="59" t="n"/>
      <c r="I1862" s="60">
        <f>IF(OR(G1862="",H1862=""),"",MOD(H1862-G1862,1))</f>
        <v/>
      </c>
      <c r="J1862" s="61">
        <f>IF(OR(G1862="",H1862=""),"",ROUND(MOD(H1862-G1862,1)*24,2))</f>
        <v/>
      </c>
      <c r="K1862" s="62">
        <f>IF(E1862="","",IF(E1862="Werken","JA","NEE"))</f>
        <v/>
      </c>
      <c r="L1862" s="61">
        <f>IF(K1862="JA",N(J1862),IF(E1862="","",0))</f>
        <v/>
      </c>
      <c r="M1862" s="62">
        <f>IF(AND(A1862="",E1862=""),"",IF(E1862="","Segment ontbreekt",IF(OR(G1862="",H1862=""),"Van/tot ontbreekt",IF(N(J1862)=0,"Duur is nul",IF(N(J1862)&gt;12,"Langer dan 12 uur - controleren",IF(AND(E1862="Werken",D1862=""),"Werken zonder klant - koppelen","OK"))))))</f>
        <v/>
      </c>
    </row>
    <row r="1863" ht="15" customHeight="1" s="42">
      <c r="A1863" s="55" t="n"/>
      <c r="B1863" s="56">
        <f>IF(A1863="","",WEEKNUM(A1863,21))</f>
        <v/>
      </c>
      <c r="C1863" s="57" t="n"/>
      <c r="D1863" s="57" t="n"/>
      <c r="E1863" s="58" t="n"/>
      <c r="F1863" s="57" t="n"/>
      <c r="G1863" s="59" t="n"/>
      <c r="H1863" s="59" t="n"/>
      <c r="I1863" s="60">
        <f>IF(OR(G1863="",H1863=""),"",MOD(H1863-G1863,1))</f>
        <v/>
      </c>
      <c r="J1863" s="61">
        <f>IF(OR(G1863="",H1863=""),"",ROUND(MOD(H1863-G1863,1)*24,2))</f>
        <v/>
      </c>
      <c r="K1863" s="62">
        <f>IF(E1863="","",IF(E1863="Werken","JA","NEE"))</f>
        <v/>
      </c>
      <c r="L1863" s="61">
        <f>IF(K1863="JA",N(J1863),IF(E1863="","",0))</f>
        <v/>
      </c>
      <c r="M1863" s="62">
        <f>IF(AND(A1863="",E1863=""),"",IF(E1863="","Segment ontbreekt",IF(OR(G1863="",H1863=""),"Van/tot ontbreekt",IF(N(J1863)=0,"Duur is nul",IF(N(J1863)&gt;12,"Langer dan 12 uur - controleren",IF(AND(E1863="Werken",D1863=""),"Werken zonder klant - koppelen","OK"))))))</f>
        <v/>
      </c>
    </row>
    <row r="1864" ht="15" customHeight="1" s="42">
      <c r="A1864" s="55" t="n"/>
      <c r="B1864" s="56">
        <f>IF(A1864="","",WEEKNUM(A1864,21))</f>
        <v/>
      </c>
      <c r="C1864" s="57" t="n"/>
      <c r="D1864" s="57" t="n"/>
      <c r="E1864" s="58" t="n"/>
      <c r="F1864" s="57" t="n"/>
      <c r="G1864" s="59" t="n"/>
      <c r="H1864" s="59" t="n"/>
      <c r="I1864" s="60">
        <f>IF(OR(G1864="",H1864=""),"",MOD(H1864-G1864,1))</f>
        <v/>
      </c>
      <c r="J1864" s="61">
        <f>IF(OR(G1864="",H1864=""),"",ROUND(MOD(H1864-G1864,1)*24,2))</f>
        <v/>
      </c>
      <c r="K1864" s="62">
        <f>IF(E1864="","",IF(E1864="Werken","JA","NEE"))</f>
        <v/>
      </c>
      <c r="L1864" s="61">
        <f>IF(K1864="JA",N(J1864),IF(E1864="","",0))</f>
        <v/>
      </c>
      <c r="M1864" s="62">
        <f>IF(AND(A1864="",E1864=""),"",IF(E1864="","Segment ontbreekt",IF(OR(G1864="",H1864=""),"Van/tot ontbreekt",IF(N(J1864)=0,"Duur is nul",IF(N(J1864)&gt;12,"Langer dan 12 uur - controleren",IF(AND(E1864="Werken",D1864=""),"Werken zonder klant - koppelen","OK"))))))</f>
        <v/>
      </c>
    </row>
    <row r="1865" ht="15" customHeight="1" s="42">
      <c r="A1865" s="55" t="n"/>
      <c r="B1865" s="56">
        <f>IF(A1865="","",WEEKNUM(A1865,21))</f>
        <v/>
      </c>
      <c r="C1865" s="57" t="n"/>
      <c r="D1865" s="57" t="n"/>
      <c r="E1865" s="58" t="n"/>
      <c r="F1865" s="57" t="n"/>
      <c r="G1865" s="59" t="n"/>
      <c r="H1865" s="59" t="n"/>
      <c r="I1865" s="60">
        <f>IF(OR(G1865="",H1865=""),"",MOD(H1865-G1865,1))</f>
        <v/>
      </c>
      <c r="J1865" s="61">
        <f>IF(OR(G1865="",H1865=""),"",ROUND(MOD(H1865-G1865,1)*24,2))</f>
        <v/>
      </c>
      <c r="K1865" s="62">
        <f>IF(E1865="","",IF(E1865="Werken","JA","NEE"))</f>
        <v/>
      </c>
      <c r="L1865" s="61">
        <f>IF(K1865="JA",N(J1865),IF(E1865="","",0))</f>
        <v/>
      </c>
      <c r="M1865" s="62">
        <f>IF(AND(A1865="",E1865=""),"",IF(E1865="","Segment ontbreekt",IF(OR(G1865="",H1865=""),"Van/tot ontbreekt",IF(N(J1865)=0,"Duur is nul",IF(N(J1865)&gt;12,"Langer dan 12 uur - controleren",IF(AND(E1865="Werken",D1865=""),"Werken zonder klant - koppelen","OK"))))))</f>
        <v/>
      </c>
    </row>
    <row r="1866" ht="15" customHeight="1" s="42">
      <c r="A1866" s="55" t="n"/>
      <c r="B1866" s="56">
        <f>IF(A1866="","",WEEKNUM(A1866,21))</f>
        <v/>
      </c>
      <c r="C1866" s="57" t="n"/>
      <c r="D1866" s="57" t="n"/>
      <c r="E1866" s="58" t="n"/>
      <c r="F1866" s="57" t="n"/>
      <c r="G1866" s="59" t="n"/>
      <c r="H1866" s="59" t="n"/>
      <c r="I1866" s="60">
        <f>IF(OR(G1866="",H1866=""),"",MOD(H1866-G1866,1))</f>
        <v/>
      </c>
      <c r="J1866" s="61">
        <f>IF(OR(G1866="",H1866=""),"",ROUND(MOD(H1866-G1866,1)*24,2))</f>
        <v/>
      </c>
      <c r="K1866" s="62">
        <f>IF(E1866="","",IF(E1866="Werken","JA","NEE"))</f>
        <v/>
      </c>
      <c r="L1866" s="61">
        <f>IF(K1866="JA",N(J1866),IF(E1866="","",0))</f>
        <v/>
      </c>
      <c r="M1866" s="62">
        <f>IF(AND(A1866="",E1866=""),"",IF(E1866="","Segment ontbreekt",IF(OR(G1866="",H1866=""),"Van/tot ontbreekt",IF(N(J1866)=0,"Duur is nul",IF(N(J1866)&gt;12,"Langer dan 12 uur - controleren",IF(AND(E1866="Werken",D1866=""),"Werken zonder klant - koppelen","OK"))))))</f>
        <v/>
      </c>
    </row>
    <row r="1867" ht="15" customHeight="1" s="42">
      <c r="A1867" s="55" t="n"/>
      <c r="B1867" s="56">
        <f>IF(A1867="","",WEEKNUM(A1867,21))</f>
        <v/>
      </c>
      <c r="C1867" s="57" t="n"/>
      <c r="D1867" s="57" t="n"/>
      <c r="E1867" s="58" t="n"/>
      <c r="F1867" s="57" t="n"/>
      <c r="G1867" s="59" t="n"/>
      <c r="H1867" s="59" t="n"/>
      <c r="I1867" s="60">
        <f>IF(OR(G1867="",H1867=""),"",MOD(H1867-G1867,1))</f>
        <v/>
      </c>
      <c r="J1867" s="61">
        <f>IF(OR(G1867="",H1867=""),"",ROUND(MOD(H1867-G1867,1)*24,2))</f>
        <v/>
      </c>
      <c r="K1867" s="62">
        <f>IF(E1867="","",IF(E1867="Werken","JA","NEE"))</f>
        <v/>
      </c>
      <c r="L1867" s="61">
        <f>IF(K1867="JA",N(J1867),IF(E1867="","",0))</f>
        <v/>
      </c>
      <c r="M1867" s="62">
        <f>IF(AND(A1867="",E1867=""),"",IF(E1867="","Segment ontbreekt",IF(OR(G1867="",H1867=""),"Van/tot ontbreekt",IF(N(J1867)=0,"Duur is nul",IF(N(J1867)&gt;12,"Langer dan 12 uur - controleren",IF(AND(E1867="Werken",D1867=""),"Werken zonder klant - koppelen","OK"))))))</f>
        <v/>
      </c>
    </row>
    <row r="1868" ht="15" customHeight="1" s="42">
      <c r="A1868" s="55" t="n"/>
      <c r="B1868" s="56">
        <f>IF(A1868="","",WEEKNUM(A1868,21))</f>
        <v/>
      </c>
      <c r="C1868" s="57" t="n"/>
      <c r="D1868" s="57" t="n"/>
      <c r="E1868" s="58" t="n"/>
      <c r="F1868" s="57" t="n"/>
      <c r="G1868" s="59" t="n"/>
      <c r="H1868" s="59" t="n"/>
      <c r="I1868" s="60">
        <f>IF(OR(G1868="",H1868=""),"",MOD(H1868-G1868,1))</f>
        <v/>
      </c>
      <c r="J1868" s="61">
        <f>IF(OR(G1868="",H1868=""),"",ROUND(MOD(H1868-G1868,1)*24,2))</f>
        <v/>
      </c>
      <c r="K1868" s="62">
        <f>IF(E1868="","",IF(E1868="Werken","JA","NEE"))</f>
        <v/>
      </c>
      <c r="L1868" s="61">
        <f>IF(K1868="JA",N(J1868),IF(E1868="","",0))</f>
        <v/>
      </c>
      <c r="M1868" s="62">
        <f>IF(AND(A1868="",E1868=""),"",IF(E1868="","Segment ontbreekt",IF(OR(G1868="",H1868=""),"Van/tot ontbreekt",IF(N(J1868)=0,"Duur is nul",IF(N(J1868)&gt;12,"Langer dan 12 uur - controleren",IF(AND(E1868="Werken",D1868=""),"Werken zonder klant - koppelen","OK"))))))</f>
        <v/>
      </c>
    </row>
    <row r="1869" ht="15" customHeight="1" s="42">
      <c r="A1869" s="55" t="n"/>
      <c r="B1869" s="56">
        <f>IF(A1869="","",WEEKNUM(A1869,21))</f>
        <v/>
      </c>
      <c r="C1869" s="57" t="n"/>
      <c r="D1869" s="57" t="n"/>
      <c r="E1869" s="58" t="n"/>
      <c r="F1869" s="57" t="n"/>
      <c r="G1869" s="59" t="n"/>
      <c r="H1869" s="59" t="n"/>
      <c r="I1869" s="60">
        <f>IF(OR(G1869="",H1869=""),"",MOD(H1869-G1869,1))</f>
        <v/>
      </c>
      <c r="J1869" s="61">
        <f>IF(OR(G1869="",H1869=""),"",ROUND(MOD(H1869-G1869,1)*24,2))</f>
        <v/>
      </c>
      <c r="K1869" s="62">
        <f>IF(E1869="","",IF(E1869="Werken","JA","NEE"))</f>
        <v/>
      </c>
      <c r="L1869" s="61">
        <f>IF(K1869="JA",N(J1869),IF(E1869="","",0))</f>
        <v/>
      </c>
      <c r="M1869" s="62">
        <f>IF(AND(A1869="",E1869=""),"",IF(E1869="","Segment ontbreekt",IF(OR(G1869="",H1869=""),"Van/tot ontbreekt",IF(N(J1869)=0,"Duur is nul",IF(N(J1869)&gt;12,"Langer dan 12 uur - controleren",IF(AND(E1869="Werken",D1869=""),"Werken zonder klant - koppelen","OK"))))))</f>
        <v/>
      </c>
    </row>
    <row r="1870" ht="15" customHeight="1" s="42">
      <c r="A1870" s="55" t="n"/>
      <c r="B1870" s="56">
        <f>IF(A1870="","",WEEKNUM(A1870,21))</f>
        <v/>
      </c>
      <c r="C1870" s="57" t="n"/>
      <c r="D1870" s="57" t="n"/>
      <c r="E1870" s="58" t="n"/>
      <c r="F1870" s="57" t="n"/>
      <c r="G1870" s="59" t="n"/>
      <c r="H1870" s="59" t="n"/>
      <c r="I1870" s="60">
        <f>IF(OR(G1870="",H1870=""),"",MOD(H1870-G1870,1))</f>
        <v/>
      </c>
      <c r="J1870" s="61">
        <f>IF(OR(G1870="",H1870=""),"",ROUND(MOD(H1870-G1870,1)*24,2))</f>
        <v/>
      </c>
      <c r="K1870" s="62">
        <f>IF(E1870="","",IF(E1870="Werken","JA","NEE"))</f>
        <v/>
      </c>
      <c r="L1870" s="61">
        <f>IF(K1870="JA",N(J1870),IF(E1870="","",0))</f>
        <v/>
      </c>
      <c r="M1870" s="62">
        <f>IF(AND(A1870="",E1870=""),"",IF(E1870="","Segment ontbreekt",IF(OR(G1870="",H1870=""),"Van/tot ontbreekt",IF(N(J1870)=0,"Duur is nul",IF(N(J1870)&gt;12,"Langer dan 12 uur - controleren",IF(AND(E1870="Werken",D1870=""),"Werken zonder klant - koppelen","OK"))))))</f>
        <v/>
      </c>
    </row>
    <row r="1871" ht="15" customHeight="1" s="42">
      <c r="A1871" s="55" t="n"/>
      <c r="B1871" s="56">
        <f>IF(A1871="","",WEEKNUM(A1871,21))</f>
        <v/>
      </c>
      <c r="C1871" s="57" t="n"/>
      <c r="D1871" s="57" t="n"/>
      <c r="E1871" s="58" t="n"/>
      <c r="F1871" s="57" t="n"/>
      <c r="G1871" s="59" t="n"/>
      <c r="H1871" s="59" t="n"/>
      <c r="I1871" s="60">
        <f>IF(OR(G1871="",H1871=""),"",MOD(H1871-G1871,1))</f>
        <v/>
      </c>
      <c r="J1871" s="61">
        <f>IF(OR(G1871="",H1871=""),"",ROUND(MOD(H1871-G1871,1)*24,2))</f>
        <v/>
      </c>
      <c r="K1871" s="62">
        <f>IF(E1871="","",IF(E1871="Werken","JA","NEE"))</f>
        <v/>
      </c>
      <c r="L1871" s="61">
        <f>IF(K1871="JA",N(J1871),IF(E1871="","",0))</f>
        <v/>
      </c>
      <c r="M1871" s="62">
        <f>IF(AND(A1871="",E1871=""),"",IF(E1871="","Segment ontbreekt",IF(OR(G1871="",H1871=""),"Van/tot ontbreekt",IF(N(J1871)=0,"Duur is nul",IF(N(J1871)&gt;12,"Langer dan 12 uur - controleren",IF(AND(E1871="Werken",D1871=""),"Werken zonder klant - koppelen","OK"))))))</f>
        <v/>
      </c>
    </row>
    <row r="1872" ht="15" customHeight="1" s="42">
      <c r="A1872" s="55" t="n"/>
      <c r="B1872" s="56">
        <f>IF(A1872="","",WEEKNUM(A1872,21))</f>
        <v/>
      </c>
      <c r="C1872" s="57" t="n"/>
      <c r="D1872" s="57" t="n"/>
      <c r="E1872" s="58" t="n"/>
      <c r="F1872" s="57" t="n"/>
      <c r="G1872" s="59" t="n"/>
      <c r="H1872" s="59" t="n"/>
      <c r="I1872" s="60">
        <f>IF(OR(G1872="",H1872=""),"",MOD(H1872-G1872,1))</f>
        <v/>
      </c>
      <c r="J1872" s="61">
        <f>IF(OR(G1872="",H1872=""),"",ROUND(MOD(H1872-G1872,1)*24,2))</f>
        <v/>
      </c>
      <c r="K1872" s="62">
        <f>IF(E1872="","",IF(E1872="Werken","JA","NEE"))</f>
        <v/>
      </c>
      <c r="L1872" s="61">
        <f>IF(K1872="JA",N(J1872),IF(E1872="","",0))</f>
        <v/>
      </c>
      <c r="M1872" s="62">
        <f>IF(AND(A1872="",E1872=""),"",IF(E1872="","Segment ontbreekt",IF(OR(G1872="",H1872=""),"Van/tot ontbreekt",IF(N(J1872)=0,"Duur is nul",IF(N(J1872)&gt;12,"Langer dan 12 uur - controleren",IF(AND(E1872="Werken",D1872=""),"Werken zonder klant - koppelen","OK"))))))</f>
        <v/>
      </c>
    </row>
    <row r="1873" ht="15" customHeight="1" s="42">
      <c r="A1873" s="55" t="n"/>
      <c r="B1873" s="56">
        <f>IF(A1873="","",WEEKNUM(A1873,21))</f>
        <v/>
      </c>
      <c r="C1873" s="57" t="n"/>
      <c r="D1873" s="57" t="n"/>
      <c r="E1873" s="58" t="n"/>
      <c r="F1873" s="57" t="n"/>
      <c r="G1873" s="59" t="n"/>
      <c r="H1873" s="59" t="n"/>
      <c r="I1873" s="60">
        <f>IF(OR(G1873="",H1873=""),"",MOD(H1873-G1873,1))</f>
        <v/>
      </c>
      <c r="J1873" s="61">
        <f>IF(OR(G1873="",H1873=""),"",ROUND(MOD(H1873-G1873,1)*24,2))</f>
        <v/>
      </c>
      <c r="K1873" s="62">
        <f>IF(E1873="","",IF(E1873="Werken","JA","NEE"))</f>
        <v/>
      </c>
      <c r="L1873" s="61">
        <f>IF(K1873="JA",N(J1873),IF(E1873="","",0))</f>
        <v/>
      </c>
      <c r="M1873" s="62">
        <f>IF(AND(A1873="",E1873=""),"",IF(E1873="","Segment ontbreekt",IF(OR(G1873="",H1873=""),"Van/tot ontbreekt",IF(N(J1873)=0,"Duur is nul",IF(N(J1873)&gt;12,"Langer dan 12 uur - controleren",IF(AND(E1873="Werken",D1873=""),"Werken zonder klant - koppelen","OK"))))))</f>
        <v/>
      </c>
    </row>
    <row r="1874" ht="15" customHeight="1" s="42">
      <c r="A1874" s="55" t="n"/>
      <c r="B1874" s="56">
        <f>IF(A1874="","",WEEKNUM(A1874,21))</f>
        <v/>
      </c>
      <c r="C1874" s="57" t="n"/>
      <c r="D1874" s="57" t="n"/>
      <c r="E1874" s="58" t="n"/>
      <c r="F1874" s="57" t="n"/>
      <c r="G1874" s="59" t="n"/>
      <c r="H1874" s="59" t="n"/>
      <c r="I1874" s="60">
        <f>IF(OR(G1874="",H1874=""),"",MOD(H1874-G1874,1))</f>
        <v/>
      </c>
      <c r="J1874" s="61">
        <f>IF(OR(G1874="",H1874=""),"",ROUND(MOD(H1874-G1874,1)*24,2))</f>
        <v/>
      </c>
      <c r="K1874" s="62">
        <f>IF(E1874="","",IF(E1874="Werken","JA","NEE"))</f>
        <v/>
      </c>
      <c r="L1874" s="61">
        <f>IF(K1874="JA",N(J1874),IF(E1874="","",0))</f>
        <v/>
      </c>
      <c r="M1874" s="62">
        <f>IF(AND(A1874="",E1874=""),"",IF(E1874="","Segment ontbreekt",IF(OR(G1874="",H1874=""),"Van/tot ontbreekt",IF(N(J1874)=0,"Duur is nul",IF(N(J1874)&gt;12,"Langer dan 12 uur - controleren",IF(AND(E1874="Werken",D1874=""),"Werken zonder klant - koppelen","OK"))))))</f>
        <v/>
      </c>
    </row>
    <row r="1875" ht="15" customHeight="1" s="42">
      <c r="A1875" s="55" t="n"/>
      <c r="B1875" s="56">
        <f>IF(A1875="","",WEEKNUM(A1875,21))</f>
        <v/>
      </c>
      <c r="C1875" s="57" t="n"/>
      <c r="D1875" s="57" t="n"/>
      <c r="E1875" s="58" t="n"/>
      <c r="F1875" s="57" t="n"/>
      <c r="G1875" s="59" t="n"/>
      <c r="H1875" s="59" t="n"/>
      <c r="I1875" s="60">
        <f>IF(OR(G1875="",H1875=""),"",MOD(H1875-G1875,1))</f>
        <v/>
      </c>
      <c r="J1875" s="61">
        <f>IF(OR(G1875="",H1875=""),"",ROUND(MOD(H1875-G1875,1)*24,2))</f>
        <v/>
      </c>
      <c r="K1875" s="62">
        <f>IF(E1875="","",IF(E1875="Werken","JA","NEE"))</f>
        <v/>
      </c>
      <c r="L1875" s="61">
        <f>IF(K1875="JA",N(J1875),IF(E1875="","",0))</f>
        <v/>
      </c>
      <c r="M1875" s="62">
        <f>IF(AND(A1875="",E1875=""),"",IF(E1875="","Segment ontbreekt",IF(OR(G1875="",H1875=""),"Van/tot ontbreekt",IF(N(J1875)=0,"Duur is nul",IF(N(J1875)&gt;12,"Langer dan 12 uur - controleren",IF(AND(E1875="Werken",D1875=""),"Werken zonder klant - koppelen","OK"))))))</f>
        <v/>
      </c>
    </row>
    <row r="1876" ht="15" customHeight="1" s="42">
      <c r="A1876" s="55" t="n"/>
      <c r="B1876" s="56">
        <f>IF(A1876="","",WEEKNUM(A1876,21))</f>
        <v/>
      </c>
      <c r="C1876" s="57" t="n"/>
      <c r="D1876" s="57" t="n"/>
      <c r="E1876" s="58" t="n"/>
      <c r="F1876" s="57" t="n"/>
      <c r="G1876" s="59" t="n"/>
      <c r="H1876" s="59" t="n"/>
      <c r="I1876" s="60">
        <f>IF(OR(G1876="",H1876=""),"",MOD(H1876-G1876,1))</f>
        <v/>
      </c>
      <c r="J1876" s="61">
        <f>IF(OR(G1876="",H1876=""),"",ROUND(MOD(H1876-G1876,1)*24,2))</f>
        <v/>
      </c>
      <c r="K1876" s="62">
        <f>IF(E1876="","",IF(E1876="Werken","JA","NEE"))</f>
        <v/>
      </c>
      <c r="L1876" s="61">
        <f>IF(K1876="JA",N(J1876),IF(E1876="","",0))</f>
        <v/>
      </c>
      <c r="M1876" s="62">
        <f>IF(AND(A1876="",E1876=""),"",IF(E1876="","Segment ontbreekt",IF(OR(G1876="",H1876=""),"Van/tot ontbreekt",IF(N(J1876)=0,"Duur is nul",IF(N(J1876)&gt;12,"Langer dan 12 uur - controleren",IF(AND(E1876="Werken",D1876=""),"Werken zonder klant - koppelen","OK"))))))</f>
        <v/>
      </c>
    </row>
    <row r="1877" ht="15" customHeight="1" s="42">
      <c r="A1877" s="55" t="n"/>
      <c r="B1877" s="56">
        <f>IF(A1877="","",WEEKNUM(A1877,21))</f>
        <v/>
      </c>
      <c r="C1877" s="57" t="n"/>
      <c r="D1877" s="57" t="n"/>
      <c r="E1877" s="58" t="n"/>
      <c r="F1877" s="57" t="n"/>
      <c r="G1877" s="59" t="n"/>
      <c r="H1877" s="59" t="n"/>
      <c r="I1877" s="60">
        <f>IF(OR(G1877="",H1877=""),"",MOD(H1877-G1877,1))</f>
        <v/>
      </c>
      <c r="J1877" s="61">
        <f>IF(OR(G1877="",H1877=""),"",ROUND(MOD(H1877-G1877,1)*24,2))</f>
        <v/>
      </c>
      <c r="K1877" s="62">
        <f>IF(E1877="","",IF(E1877="Werken","JA","NEE"))</f>
        <v/>
      </c>
      <c r="L1877" s="61">
        <f>IF(K1877="JA",N(J1877),IF(E1877="","",0))</f>
        <v/>
      </c>
      <c r="M1877" s="62">
        <f>IF(AND(A1877="",E1877=""),"",IF(E1877="","Segment ontbreekt",IF(OR(G1877="",H1877=""),"Van/tot ontbreekt",IF(N(J1877)=0,"Duur is nul",IF(N(J1877)&gt;12,"Langer dan 12 uur - controleren",IF(AND(E1877="Werken",D1877=""),"Werken zonder klant - koppelen","OK"))))))</f>
        <v/>
      </c>
    </row>
    <row r="1878" ht="15" customHeight="1" s="42">
      <c r="A1878" s="55" t="n"/>
      <c r="B1878" s="56">
        <f>IF(A1878="","",WEEKNUM(A1878,21))</f>
        <v/>
      </c>
      <c r="C1878" s="57" t="n"/>
      <c r="D1878" s="57" t="n"/>
      <c r="E1878" s="58" t="n"/>
      <c r="F1878" s="57" t="n"/>
      <c r="G1878" s="59" t="n"/>
      <c r="H1878" s="59" t="n"/>
      <c r="I1878" s="60">
        <f>IF(OR(G1878="",H1878=""),"",MOD(H1878-G1878,1))</f>
        <v/>
      </c>
      <c r="J1878" s="61">
        <f>IF(OR(G1878="",H1878=""),"",ROUND(MOD(H1878-G1878,1)*24,2))</f>
        <v/>
      </c>
      <c r="K1878" s="62">
        <f>IF(E1878="","",IF(E1878="Werken","JA","NEE"))</f>
        <v/>
      </c>
      <c r="L1878" s="61">
        <f>IF(K1878="JA",N(J1878),IF(E1878="","",0))</f>
        <v/>
      </c>
      <c r="M1878" s="62">
        <f>IF(AND(A1878="",E1878=""),"",IF(E1878="","Segment ontbreekt",IF(OR(G1878="",H1878=""),"Van/tot ontbreekt",IF(N(J1878)=0,"Duur is nul",IF(N(J1878)&gt;12,"Langer dan 12 uur - controleren",IF(AND(E1878="Werken",D1878=""),"Werken zonder klant - koppelen","OK"))))))</f>
        <v/>
      </c>
    </row>
    <row r="1879" ht="15" customHeight="1" s="42">
      <c r="A1879" s="55" t="n"/>
      <c r="B1879" s="56">
        <f>IF(A1879="","",WEEKNUM(A1879,21))</f>
        <v/>
      </c>
      <c r="C1879" s="57" t="n"/>
      <c r="D1879" s="57" t="n"/>
      <c r="E1879" s="58" t="n"/>
      <c r="F1879" s="57" t="n"/>
      <c r="G1879" s="59" t="n"/>
      <c r="H1879" s="59" t="n"/>
      <c r="I1879" s="60">
        <f>IF(OR(G1879="",H1879=""),"",MOD(H1879-G1879,1))</f>
        <v/>
      </c>
      <c r="J1879" s="61">
        <f>IF(OR(G1879="",H1879=""),"",ROUND(MOD(H1879-G1879,1)*24,2))</f>
        <v/>
      </c>
      <c r="K1879" s="62">
        <f>IF(E1879="","",IF(E1879="Werken","JA","NEE"))</f>
        <v/>
      </c>
      <c r="L1879" s="61">
        <f>IF(K1879="JA",N(J1879),IF(E1879="","",0))</f>
        <v/>
      </c>
      <c r="M1879" s="62">
        <f>IF(AND(A1879="",E1879=""),"",IF(E1879="","Segment ontbreekt",IF(OR(G1879="",H1879=""),"Van/tot ontbreekt",IF(N(J1879)=0,"Duur is nul",IF(N(J1879)&gt;12,"Langer dan 12 uur - controleren",IF(AND(E1879="Werken",D1879=""),"Werken zonder klant - koppelen","OK"))))))</f>
        <v/>
      </c>
    </row>
    <row r="1880" ht="15" customHeight="1" s="42">
      <c r="A1880" s="55" t="n"/>
      <c r="B1880" s="56">
        <f>IF(A1880="","",WEEKNUM(A1880,21))</f>
        <v/>
      </c>
      <c r="C1880" s="57" t="n"/>
      <c r="D1880" s="57" t="n"/>
      <c r="E1880" s="58" t="n"/>
      <c r="F1880" s="57" t="n"/>
      <c r="G1880" s="59" t="n"/>
      <c r="H1880" s="59" t="n"/>
      <c r="I1880" s="60">
        <f>IF(OR(G1880="",H1880=""),"",MOD(H1880-G1880,1))</f>
        <v/>
      </c>
      <c r="J1880" s="61">
        <f>IF(OR(G1880="",H1880=""),"",ROUND(MOD(H1880-G1880,1)*24,2))</f>
        <v/>
      </c>
      <c r="K1880" s="62">
        <f>IF(E1880="","",IF(E1880="Werken","JA","NEE"))</f>
        <v/>
      </c>
      <c r="L1880" s="61">
        <f>IF(K1880="JA",N(J1880),IF(E1880="","",0))</f>
        <v/>
      </c>
      <c r="M1880" s="62">
        <f>IF(AND(A1880="",E1880=""),"",IF(E1880="","Segment ontbreekt",IF(OR(G1880="",H1880=""),"Van/tot ontbreekt",IF(N(J1880)=0,"Duur is nul",IF(N(J1880)&gt;12,"Langer dan 12 uur - controleren",IF(AND(E1880="Werken",D1880=""),"Werken zonder klant - koppelen","OK"))))))</f>
        <v/>
      </c>
    </row>
    <row r="1881" ht="15" customHeight="1" s="42">
      <c r="A1881" s="55" t="n"/>
      <c r="B1881" s="56">
        <f>IF(A1881="","",WEEKNUM(A1881,21))</f>
        <v/>
      </c>
      <c r="C1881" s="57" t="n"/>
      <c r="D1881" s="57" t="n"/>
      <c r="E1881" s="58" t="n"/>
      <c r="F1881" s="57" t="n"/>
      <c r="G1881" s="59" t="n"/>
      <c r="H1881" s="59" t="n"/>
      <c r="I1881" s="60">
        <f>IF(OR(G1881="",H1881=""),"",MOD(H1881-G1881,1))</f>
        <v/>
      </c>
      <c r="J1881" s="61">
        <f>IF(OR(G1881="",H1881=""),"",ROUND(MOD(H1881-G1881,1)*24,2))</f>
        <v/>
      </c>
      <c r="K1881" s="62">
        <f>IF(E1881="","",IF(E1881="Werken","JA","NEE"))</f>
        <v/>
      </c>
      <c r="L1881" s="61">
        <f>IF(K1881="JA",N(J1881),IF(E1881="","",0))</f>
        <v/>
      </c>
      <c r="M1881" s="62">
        <f>IF(AND(A1881="",E1881=""),"",IF(E1881="","Segment ontbreekt",IF(OR(G1881="",H1881=""),"Van/tot ontbreekt",IF(N(J1881)=0,"Duur is nul",IF(N(J1881)&gt;12,"Langer dan 12 uur - controleren",IF(AND(E1881="Werken",D1881=""),"Werken zonder klant - koppelen","OK"))))))</f>
        <v/>
      </c>
    </row>
    <row r="1882" ht="15" customHeight="1" s="42">
      <c r="A1882" s="55" t="n"/>
      <c r="B1882" s="56">
        <f>IF(A1882="","",WEEKNUM(A1882,21))</f>
        <v/>
      </c>
      <c r="C1882" s="57" t="n"/>
      <c r="D1882" s="57" t="n"/>
      <c r="E1882" s="58" t="n"/>
      <c r="F1882" s="57" t="n"/>
      <c r="G1882" s="59" t="n"/>
      <c r="H1882" s="59" t="n"/>
      <c r="I1882" s="60">
        <f>IF(OR(G1882="",H1882=""),"",MOD(H1882-G1882,1))</f>
        <v/>
      </c>
      <c r="J1882" s="61">
        <f>IF(OR(G1882="",H1882=""),"",ROUND(MOD(H1882-G1882,1)*24,2))</f>
        <v/>
      </c>
      <c r="K1882" s="62">
        <f>IF(E1882="","",IF(E1882="Werken","JA","NEE"))</f>
        <v/>
      </c>
      <c r="L1882" s="61">
        <f>IF(K1882="JA",N(J1882),IF(E1882="","",0))</f>
        <v/>
      </c>
      <c r="M1882" s="62">
        <f>IF(AND(A1882="",E1882=""),"",IF(E1882="","Segment ontbreekt",IF(OR(G1882="",H1882=""),"Van/tot ontbreekt",IF(N(J1882)=0,"Duur is nul",IF(N(J1882)&gt;12,"Langer dan 12 uur - controleren",IF(AND(E1882="Werken",D1882=""),"Werken zonder klant - koppelen","OK"))))))</f>
        <v/>
      </c>
    </row>
    <row r="1883" ht="15" customHeight="1" s="42">
      <c r="A1883" s="55" t="n"/>
      <c r="B1883" s="56">
        <f>IF(A1883="","",WEEKNUM(A1883,21))</f>
        <v/>
      </c>
      <c r="C1883" s="57" t="n"/>
      <c r="D1883" s="57" t="n"/>
      <c r="E1883" s="58" t="n"/>
      <c r="F1883" s="57" t="n"/>
      <c r="G1883" s="59" t="n"/>
      <c r="H1883" s="59" t="n"/>
      <c r="I1883" s="60">
        <f>IF(OR(G1883="",H1883=""),"",MOD(H1883-G1883,1))</f>
        <v/>
      </c>
      <c r="J1883" s="61">
        <f>IF(OR(G1883="",H1883=""),"",ROUND(MOD(H1883-G1883,1)*24,2))</f>
        <v/>
      </c>
      <c r="K1883" s="62">
        <f>IF(E1883="","",IF(E1883="Werken","JA","NEE"))</f>
        <v/>
      </c>
      <c r="L1883" s="61">
        <f>IF(K1883="JA",N(J1883),IF(E1883="","",0))</f>
        <v/>
      </c>
      <c r="M1883" s="62">
        <f>IF(AND(A1883="",E1883=""),"",IF(E1883="","Segment ontbreekt",IF(OR(G1883="",H1883=""),"Van/tot ontbreekt",IF(N(J1883)=0,"Duur is nul",IF(N(J1883)&gt;12,"Langer dan 12 uur - controleren",IF(AND(E1883="Werken",D1883=""),"Werken zonder klant - koppelen","OK"))))))</f>
        <v/>
      </c>
    </row>
    <row r="1884" ht="15" customHeight="1" s="42">
      <c r="A1884" s="55" t="n"/>
      <c r="B1884" s="56">
        <f>IF(A1884="","",WEEKNUM(A1884,21))</f>
        <v/>
      </c>
      <c r="C1884" s="57" t="n"/>
      <c r="D1884" s="57" t="n"/>
      <c r="E1884" s="58" t="n"/>
      <c r="F1884" s="57" t="n"/>
      <c r="G1884" s="59" t="n"/>
      <c r="H1884" s="59" t="n"/>
      <c r="I1884" s="60">
        <f>IF(OR(G1884="",H1884=""),"",MOD(H1884-G1884,1))</f>
        <v/>
      </c>
      <c r="J1884" s="61">
        <f>IF(OR(G1884="",H1884=""),"",ROUND(MOD(H1884-G1884,1)*24,2))</f>
        <v/>
      </c>
      <c r="K1884" s="62">
        <f>IF(E1884="","",IF(E1884="Werken","JA","NEE"))</f>
        <v/>
      </c>
      <c r="L1884" s="61">
        <f>IF(K1884="JA",N(J1884),IF(E1884="","",0))</f>
        <v/>
      </c>
      <c r="M1884" s="62">
        <f>IF(AND(A1884="",E1884=""),"",IF(E1884="","Segment ontbreekt",IF(OR(G1884="",H1884=""),"Van/tot ontbreekt",IF(N(J1884)=0,"Duur is nul",IF(N(J1884)&gt;12,"Langer dan 12 uur - controleren",IF(AND(E1884="Werken",D1884=""),"Werken zonder klant - koppelen","OK"))))))</f>
        <v/>
      </c>
    </row>
    <row r="1885" ht="15" customHeight="1" s="42">
      <c r="A1885" s="55" t="n"/>
      <c r="B1885" s="56">
        <f>IF(A1885="","",WEEKNUM(A1885,21))</f>
        <v/>
      </c>
      <c r="C1885" s="57" t="n"/>
      <c r="D1885" s="57" t="n"/>
      <c r="E1885" s="58" t="n"/>
      <c r="F1885" s="57" t="n"/>
      <c r="G1885" s="59" t="n"/>
      <c r="H1885" s="59" t="n"/>
      <c r="I1885" s="60">
        <f>IF(OR(G1885="",H1885=""),"",MOD(H1885-G1885,1))</f>
        <v/>
      </c>
      <c r="J1885" s="61">
        <f>IF(OR(G1885="",H1885=""),"",ROUND(MOD(H1885-G1885,1)*24,2))</f>
        <v/>
      </c>
      <c r="K1885" s="62">
        <f>IF(E1885="","",IF(E1885="Werken","JA","NEE"))</f>
        <v/>
      </c>
      <c r="L1885" s="61">
        <f>IF(K1885="JA",N(J1885),IF(E1885="","",0))</f>
        <v/>
      </c>
      <c r="M1885" s="62">
        <f>IF(AND(A1885="",E1885=""),"",IF(E1885="","Segment ontbreekt",IF(OR(G1885="",H1885=""),"Van/tot ontbreekt",IF(N(J1885)=0,"Duur is nul",IF(N(J1885)&gt;12,"Langer dan 12 uur - controleren",IF(AND(E1885="Werken",D1885=""),"Werken zonder klant - koppelen","OK"))))))</f>
        <v/>
      </c>
    </row>
    <row r="1886" ht="15" customHeight="1" s="42">
      <c r="A1886" s="55" t="n"/>
      <c r="B1886" s="56">
        <f>IF(A1886="","",WEEKNUM(A1886,21))</f>
        <v/>
      </c>
      <c r="C1886" s="57" t="n"/>
      <c r="D1886" s="57" t="n"/>
      <c r="E1886" s="58" t="n"/>
      <c r="F1886" s="57" t="n"/>
      <c r="G1886" s="59" t="n"/>
      <c r="H1886" s="59" t="n"/>
      <c r="I1886" s="60">
        <f>IF(OR(G1886="",H1886=""),"",MOD(H1886-G1886,1))</f>
        <v/>
      </c>
      <c r="J1886" s="61">
        <f>IF(OR(G1886="",H1886=""),"",ROUND(MOD(H1886-G1886,1)*24,2))</f>
        <v/>
      </c>
      <c r="K1886" s="62">
        <f>IF(E1886="","",IF(E1886="Werken","JA","NEE"))</f>
        <v/>
      </c>
      <c r="L1886" s="61">
        <f>IF(K1886="JA",N(J1886),IF(E1886="","",0))</f>
        <v/>
      </c>
      <c r="M1886" s="62">
        <f>IF(AND(A1886="",E1886=""),"",IF(E1886="","Segment ontbreekt",IF(OR(G1886="",H1886=""),"Van/tot ontbreekt",IF(N(J1886)=0,"Duur is nul",IF(N(J1886)&gt;12,"Langer dan 12 uur - controleren",IF(AND(E1886="Werken",D1886=""),"Werken zonder klant - koppelen","OK"))))))</f>
        <v/>
      </c>
    </row>
    <row r="1887" ht="15" customHeight="1" s="42">
      <c r="A1887" s="55" t="n"/>
      <c r="B1887" s="56">
        <f>IF(A1887="","",WEEKNUM(A1887,21))</f>
        <v/>
      </c>
      <c r="C1887" s="57" t="n"/>
      <c r="D1887" s="57" t="n"/>
      <c r="E1887" s="58" t="n"/>
      <c r="F1887" s="57" t="n"/>
      <c r="G1887" s="59" t="n"/>
      <c r="H1887" s="59" t="n"/>
      <c r="I1887" s="60">
        <f>IF(OR(G1887="",H1887=""),"",MOD(H1887-G1887,1))</f>
        <v/>
      </c>
      <c r="J1887" s="61">
        <f>IF(OR(G1887="",H1887=""),"",ROUND(MOD(H1887-G1887,1)*24,2))</f>
        <v/>
      </c>
      <c r="K1887" s="62">
        <f>IF(E1887="","",IF(E1887="Werken","JA","NEE"))</f>
        <v/>
      </c>
      <c r="L1887" s="61">
        <f>IF(K1887="JA",N(J1887),IF(E1887="","",0))</f>
        <v/>
      </c>
      <c r="M1887" s="62">
        <f>IF(AND(A1887="",E1887=""),"",IF(E1887="","Segment ontbreekt",IF(OR(G1887="",H1887=""),"Van/tot ontbreekt",IF(N(J1887)=0,"Duur is nul",IF(N(J1887)&gt;12,"Langer dan 12 uur - controleren",IF(AND(E1887="Werken",D1887=""),"Werken zonder klant - koppelen","OK"))))))</f>
        <v/>
      </c>
    </row>
    <row r="1888" ht="15" customHeight="1" s="42">
      <c r="A1888" s="55" t="n"/>
      <c r="B1888" s="56">
        <f>IF(A1888="","",WEEKNUM(A1888,21))</f>
        <v/>
      </c>
      <c r="C1888" s="57" t="n"/>
      <c r="D1888" s="57" t="n"/>
      <c r="E1888" s="58" t="n"/>
      <c r="F1888" s="57" t="n"/>
      <c r="G1888" s="59" t="n"/>
      <c r="H1888" s="59" t="n"/>
      <c r="I1888" s="60">
        <f>IF(OR(G1888="",H1888=""),"",MOD(H1888-G1888,1))</f>
        <v/>
      </c>
      <c r="J1888" s="61">
        <f>IF(OR(G1888="",H1888=""),"",ROUND(MOD(H1888-G1888,1)*24,2))</f>
        <v/>
      </c>
      <c r="K1888" s="62">
        <f>IF(E1888="","",IF(E1888="Werken","JA","NEE"))</f>
        <v/>
      </c>
      <c r="L1888" s="61">
        <f>IF(K1888="JA",N(J1888),IF(E1888="","",0))</f>
        <v/>
      </c>
      <c r="M1888" s="62">
        <f>IF(AND(A1888="",E1888=""),"",IF(E1888="","Segment ontbreekt",IF(OR(G1888="",H1888=""),"Van/tot ontbreekt",IF(N(J1888)=0,"Duur is nul",IF(N(J1888)&gt;12,"Langer dan 12 uur - controleren",IF(AND(E1888="Werken",D1888=""),"Werken zonder klant - koppelen","OK"))))))</f>
        <v/>
      </c>
    </row>
    <row r="1889" ht="15" customHeight="1" s="42">
      <c r="A1889" s="55" t="n"/>
      <c r="B1889" s="56">
        <f>IF(A1889="","",WEEKNUM(A1889,21))</f>
        <v/>
      </c>
      <c r="C1889" s="57" t="n"/>
      <c r="D1889" s="57" t="n"/>
      <c r="E1889" s="58" t="n"/>
      <c r="F1889" s="57" t="n"/>
      <c r="G1889" s="59" t="n"/>
      <c r="H1889" s="59" t="n"/>
      <c r="I1889" s="60">
        <f>IF(OR(G1889="",H1889=""),"",MOD(H1889-G1889,1))</f>
        <v/>
      </c>
      <c r="J1889" s="61">
        <f>IF(OR(G1889="",H1889=""),"",ROUND(MOD(H1889-G1889,1)*24,2))</f>
        <v/>
      </c>
      <c r="K1889" s="62">
        <f>IF(E1889="","",IF(E1889="Werken","JA","NEE"))</f>
        <v/>
      </c>
      <c r="L1889" s="61">
        <f>IF(K1889="JA",N(J1889),IF(E1889="","",0))</f>
        <v/>
      </c>
      <c r="M1889" s="62">
        <f>IF(AND(A1889="",E1889=""),"",IF(E1889="","Segment ontbreekt",IF(OR(G1889="",H1889=""),"Van/tot ontbreekt",IF(N(J1889)=0,"Duur is nul",IF(N(J1889)&gt;12,"Langer dan 12 uur - controleren",IF(AND(E1889="Werken",D1889=""),"Werken zonder klant - koppelen","OK"))))))</f>
        <v/>
      </c>
    </row>
    <row r="1890" ht="15" customHeight="1" s="42">
      <c r="A1890" s="55" t="n"/>
      <c r="B1890" s="56">
        <f>IF(A1890="","",WEEKNUM(A1890,21))</f>
        <v/>
      </c>
      <c r="C1890" s="57" t="n"/>
      <c r="D1890" s="57" t="n"/>
      <c r="E1890" s="58" t="n"/>
      <c r="F1890" s="57" t="n"/>
      <c r="G1890" s="59" t="n"/>
      <c r="H1890" s="59" t="n"/>
      <c r="I1890" s="60">
        <f>IF(OR(G1890="",H1890=""),"",MOD(H1890-G1890,1))</f>
        <v/>
      </c>
      <c r="J1890" s="61">
        <f>IF(OR(G1890="",H1890=""),"",ROUND(MOD(H1890-G1890,1)*24,2))</f>
        <v/>
      </c>
      <c r="K1890" s="62">
        <f>IF(E1890="","",IF(E1890="Werken","JA","NEE"))</f>
        <v/>
      </c>
      <c r="L1890" s="61">
        <f>IF(K1890="JA",N(J1890),IF(E1890="","",0))</f>
        <v/>
      </c>
      <c r="M1890" s="62">
        <f>IF(AND(A1890="",E1890=""),"",IF(E1890="","Segment ontbreekt",IF(OR(G1890="",H1890=""),"Van/tot ontbreekt",IF(N(J1890)=0,"Duur is nul",IF(N(J1890)&gt;12,"Langer dan 12 uur - controleren",IF(AND(E1890="Werken",D1890=""),"Werken zonder klant - koppelen","OK"))))))</f>
        <v/>
      </c>
    </row>
    <row r="1891" ht="15" customHeight="1" s="42">
      <c r="A1891" s="55" t="n"/>
      <c r="B1891" s="56">
        <f>IF(A1891="","",WEEKNUM(A1891,21))</f>
        <v/>
      </c>
      <c r="C1891" s="57" t="n"/>
      <c r="D1891" s="57" t="n"/>
      <c r="E1891" s="58" t="n"/>
      <c r="F1891" s="57" t="n"/>
      <c r="G1891" s="59" t="n"/>
      <c r="H1891" s="59" t="n"/>
      <c r="I1891" s="60">
        <f>IF(OR(G1891="",H1891=""),"",MOD(H1891-G1891,1))</f>
        <v/>
      </c>
      <c r="J1891" s="61">
        <f>IF(OR(G1891="",H1891=""),"",ROUND(MOD(H1891-G1891,1)*24,2))</f>
        <v/>
      </c>
      <c r="K1891" s="62">
        <f>IF(E1891="","",IF(E1891="Werken","JA","NEE"))</f>
        <v/>
      </c>
      <c r="L1891" s="61">
        <f>IF(K1891="JA",N(J1891),IF(E1891="","",0))</f>
        <v/>
      </c>
      <c r="M1891" s="62">
        <f>IF(AND(A1891="",E1891=""),"",IF(E1891="","Segment ontbreekt",IF(OR(G1891="",H1891=""),"Van/tot ontbreekt",IF(N(J1891)=0,"Duur is nul",IF(N(J1891)&gt;12,"Langer dan 12 uur - controleren",IF(AND(E1891="Werken",D1891=""),"Werken zonder klant - koppelen","OK"))))))</f>
        <v/>
      </c>
    </row>
    <row r="1892" ht="15" customHeight="1" s="42">
      <c r="A1892" s="55" t="n"/>
      <c r="B1892" s="56">
        <f>IF(A1892="","",WEEKNUM(A1892,21))</f>
        <v/>
      </c>
      <c r="C1892" s="57" t="n"/>
      <c r="D1892" s="57" t="n"/>
      <c r="E1892" s="58" t="n"/>
      <c r="F1892" s="57" t="n"/>
      <c r="G1892" s="59" t="n"/>
      <c r="H1892" s="59" t="n"/>
      <c r="I1892" s="60">
        <f>IF(OR(G1892="",H1892=""),"",MOD(H1892-G1892,1))</f>
        <v/>
      </c>
      <c r="J1892" s="61">
        <f>IF(OR(G1892="",H1892=""),"",ROUND(MOD(H1892-G1892,1)*24,2))</f>
        <v/>
      </c>
      <c r="K1892" s="62">
        <f>IF(E1892="","",IF(E1892="Werken","JA","NEE"))</f>
        <v/>
      </c>
      <c r="L1892" s="61">
        <f>IF(K1892="JA",N(J1892),IF(E1892="","",0))</f>
        <v/>
      </c>
      <c r="M1892" s="62">
        <f>IF(AND(A1892="",E1892=""),"",IF(E1892="","Segment ontbreekt",IF(OR(G1892="",H1892=""),"Van/tot ontbreekt",IF(N(J1892)=0,"Duur is nul",IF(N(J1892)&gt;12,"Langer dan 12 uur - controleren",IF(AND(E1892="Werken",D1892=""),"Werken zonder klant - koppelen","OK"))))))</f>
        <v/>
      </c>
    </row>
    <row r="1893" ht="15" customHeight="1" s="42">
      <c r="A1893" s="55" t="n"/>
      <c r="B1893" s="56">
        <f>IF(A1893="","",WEEKNUM(A1893,21))</f>
        <v/>
      </c>
      <c r="C1893" s="57" t="n"/>
      <c r="D1893" s="57" t="n"/>
      <c r="E1893" s="58" t="n"/>
      <c r="F1893" s="57" t="n"/>
      <c r="G1893" s="59" t="n"/>
      <c r="H1893" s="59" t="n"/>
      <c r="I1893" s="60">
        <f>IF(OR(G1893="",H1893=""),"",MOD(H1893-G1893,1))</f>
        <v/>
      </c>
      <c r="J1893" s="61">
        <f>IF(OR(G1893="",H1893=""),"",ROUND(MOD(H1893-G1893,1)*24,2))</f>
        <v/>
      </c>
      <c r="K1893" s="62">
        <f>IF(E1893="","",IF(E1893="Werken","JA","NEE"))</f>
        <v/>
      </c>
      <c r="L1893" s="61">
        <f>IF(K1893="JA",N(J1893),IF(E1893="","",0))</f>
        <v/>
      </c>
      <c r="M1893" s="62">
        <f>IF(AND(A1893="",E1893=""),"",IF(E1893="","Segment ontbreekt",IF(OR(G1893="",H1893=""),"Van/tot ontbreekt",IF(N(J1893)=0,"Duur is nul",IF(N(J1893)&gt;12,"Langer dan 12 uur - controleren",IF(AND(E1893="Werken",D1893=""),"Werken zonder klant - koppelen","OK"))))))</f>
        <v/>
      </c>
    </row>
    <row r="1894" ht="15" customHeight="1" s="42">
      <c r="A1894" s="55" t="n"/>
      <c r="B1894" s="56">
        <f>IF(A1894="","",WEEKNUM(A1894,21))</f>
        <v/>
      </c>
      <c r="C1894" s="57" t="n"/>
      <c r="D1894" s="57" t="n"/>
      <c r="E1894" s="58" t="n"/>
      <c r="F1894" s="57" t="n"/>
      <c r="G1894" s="59" t="n"/>
      <c r="H1894" s="59" t="n"/>
      <c r="I1894" s="60">
        <f>IF(OR(G1894="",H1894=""),"",MOD(H1894-G1894,1))</f>
        <v/>
      </c>
      <c r="J1894" s="61">
        <f>IF(OR(G1894="",H1894=""),"",ROUND(MOD(H1894-G1894,1)*24,2))</f>
        <v/>
      </c>
      <c r="K1894" s="62">
        <f>IF(E1894="","",IF(E1894="Werken","JA","NEE"))</f>
        <v/>
      </c>
      <c r="L1894" s="61">
        <f>IF(K1894="JA",N(J1894),IF(E1894="","",0))</f>
        <v/>
      </c>
      <c r="M1894" s="62">
        <f>IF(AND(A1894="",E1894=""),"",IF(E1894="","Segment ontbreekt",IF(OR(G1894="",H1894=""),"Van/tot ontbreekt",IF(N(J1894)=0,"Duur is nul",IF(N(J1894)&gt;12,"Langer dan 12 uur - controleren",IF(AND(E1894="Werken",D1894=""),"Werken zonder klant - koppelen","OK"))))))</f>
        <v/>
      </c>
    </row>
    <row r="1895" ht="15" customHeight="1" s="42">
      <c r="A1895" s="55" t="n"/>
      <c r="B1895" s="56">
        <f>IF(A1895="","",WEEKNUM(A1895,21))</f>
        <v/>
      </c>
      <c r="C1895" s="57" t="n"/>
      <c r="D1895" s="57" t="n"/>
      <c r="E1895" s="58" t="n"/>
      <c r="F1895" s="57" t="n"/>
      <c r="G1895" s="59" t="n"/>
      <c r="H1895" s="59" t="n"/>
      <c r="I1895" s="60">
        <f>IF(OR(G1895="",H1895=""),"",MOD(H1895-G1895,1))</f>
        <v/>
      </c>
      <c r="J1895" s="61">
        <f>IF(OR(G1895="",H1895=""),"",ROUND(MOD(H1895-G1895,1)*24,2))</f>
        <v/>
      </c>
      <c r="K1895" s="62">
        <f>IF(E1895="","",IF(E1895="Werken","JA","NEE"))</f>
        <v/>
      </c>
      <c r="L1895" s="61">
        <f>IF(K1895="JA",N(J1895),IF(E1895="","",0))</f>
        <v/>
      </c>
      <c r="M1895" s="62">
        <f>IF(AND(A1895="",E1895=""),"",IF(E1895="","Segment ontbreekt",IF(OR(G1895="",H1895=""),"Van/tot ontbreekt",IF(N(J1895)=0,"Duur is nul",IF(N(J1895)&gt;12,"Langer dan 12 uur - controleren",IF(AND(E1895="Werken",D1895=""),"Werken zonder klant - koppelen","OK"))))))</f>
        <v/>
      </c>
    </row>
    <row r="1896" ht="15" customHeight="1" s="42">
      <c r="A1896" s="55" t="n"/>
      <c r="B1896" s="56">
        <f>IF(A1896="","",WEEKNUM(A1896,21))</f>
        <v/>
      </c>
      <c r="C1896" s="57" t="n"/>
      <c r="D1896" s="57" t="n"/>
      <c r="E1896" s="58" t="n"/>
      <c r="F1896" s="57" t="n"/>
      <c r="G1896" s="59" t="n"/>
      <c r="H1896" s="59" t="n"/>
      <c r="I1896" s="60">
        <f>IF(OR(G1896="",H1896=""),"",MOD(H1896-G1896,1))</f>
        <v/>
      </c>
      <c r="J1896" s="61">
        <f>IF(OR(G1896="",H1896=""),"",ROUND(MOD(H1896-G1896,1)*24,2))</f>
        <v/>
      </c>
      <c r="K1896" s="62">
        <f>IF(E1896="","",IF(E1896="Werken","JA","NEE"))</f>
        <v/>
      </c>
      <c r="L1896" s="61">
        <f>IF(K1896="JA",N(J1896),IF(E1896="","",0))</f>
        <v/>
      </c>
      <c r="M1896" s="62">
        <f>IF(AND(A1896="",E1896=""),"",IF(E1896="","Segment ontbreekt",IF(OR(G1896="",H1896=""),"Van/tot ontbreekt",IF(N(J1896)=0,"Duur is nul",IF(N(J1896)&gt;12,"Langer dan 12 uur - controleren",IF(AND(E1896="Werken",D1896=""),"Werken zonder klant - koppelen","OK"))))))</f>
        <v/>
      </c>
    </row>
    <row r="1897" ht="15" customHeight="1" s="42">
      <c r="A1897" s="55" t="n"/>
      <c r="B1897" s="56">
        <f>IF(A1897="","",WEEKNUM(A1897,21))</f>
        <v/>
      </c>
      <c r="C1897" s="57" t="n"/>
      <c r="D1897" s="57" t="n"/>
      <c r="E1897" s="58" t="n"/>
      <c r="F1897" s="57" t="n"/>
      <c r="G1897" s="59" t="n"/>
      <c r="H1897" s="59" t="n"/>
      <c r="I1897" s="60">
        <f>IF(OR(G1897="",H1897=""),"",MOD(H1897-G1897,1))</f>
        <v/>
      </c>
      <c r="J1897" s="61">
        <f>IF(OR(G1897="",H1897=""),"",ROUND(MOD(H1897-G1897,1)*24,2))</f>
        <v/>
      </c>
      <c r="K1897" s="62">
        <f>IF(E1897="","",IF(E1897="Werken","JA","NEE"))</f>
        <v/>
      </c>
      <c r="L1897" s="61">
        <f>IF(K1897="JA",N(J1897),IF(E1897="","",0))</f>
        <v/>
      </c>
      <c r="M1897" s="62">
        <f>IF(AND(A1897="",E1897=""),"",IF(E1897="","Segment ontbreekt",IF(OR(G1897="",H1897=""),"Van/tot ontbreekt",IF(N(J1897)=0,"Duur is nul",IF(N(J1897)&gt;12,"Langer dan 12 uur - controleren",IF(AND(E1897="Werken",D1897=""),"Werken zonder klant - koppelen","OK"))))))</f>
        <v/>
      </c>
    </row>
    <row r="1898" ht="15" customHeight="1" s="42">
      <c r="A1898" s="55" t="n"/>
      <c r="B1898" s="56">
        <f>IF(A1898="","",WEEKNUM(A1898,21))</f>
        <v/>
      </c>
      <c r="C1898" s="57" t="n"/>
      <c r="D1898" s="57" t="n"/>
      <c r="E1898" s="58" t="n"/>
      <c r="F1898" s="57" t="n"/>
      <c r="G1898" s="59" t="n"/>
      <c r="H1898" s="59" t="n"/>
      <c r="I1898" s="60">
        <f>IF(OR(G1898="",H1898=""),"",MOD(H1898-G1898,1))</f>
        <v/>
      </c>
      <c r="J1898" s="61">
        <f>IF(OR(G1898="",H1898=""),"",ROUND(MOD(H1898-G1898,1)*24,2))</f>
        <v/>
      </c>
      <c r="K1898" s="62">
        <f>IF(E1898="","",IF(E1898="Werken","JA","NEE"))</f>
        <v/>
      </c>
      <c r="L1898" s="61">
        <f>IF(K1898="JA",N(J1898),IF(E1898="","",0))</f>
        <v/>
      </c>
      <c r="M1898" s="62">
        <f>IF(AND(A1898="",E1898=""),"",IF(E1898="","Segment ontbreekt",IF(OR(G1898="",H1898=""),"Van/tot ontbreekt",IF(N(J1898)=0,"Duur is nul",IF(N(J1898)&gt;12,"Langer dan 12 uur - controleren",IF(AND(E1898="Werken",D1898=""),"Werken zonder klant - koppelen","OK"))))))</f>
        <v/>
      </c>
    </row>
    <row r="1899" ht="15" customHeight="1" s="42">
      <c r="A1899" s="55" t="n"/>
      <c r="B1899" s="56">
        <f>IF(A1899="","",WEEKNUM(A1899,21))</f>
        <v/>
      </c>
      <c r="C1899" s="57" t="n"/>
      <c r="D1899" s="57" t="n"/>
      <c r="E1899" s="58" t="n"/>
      <c r="F1899" s="57" t="n"/>
      <c r="G1899" s="59" t="n"/>
      <c r="H1899" s="59" t="n"/>
      <c r="I1899" s="60">
        <f>IF(OR(G1899="",H1899=""),"",MOD(H1899-G1899,1))</f>
        <v/>
      </c>
      <c r="J1899" s="61">
        <f>IF(OR(G1899="",H1899=""),"",ROUND(MOD(H1899-G1899,1)*24,2))</f>
        <v/>
      </c>
      <c r="K1899" s="62">
        <f>IF(E1899="","",IF(E1899="Werken","JA","NEE"))</f>
        <v/>
      </c>
      <c r="L1899" s="61">
        <f>IF(K1899="JA",N(J1899),IF(E1899="","",0))</f>
        <v/>
      </c>
      <c r="M1899" s="62">
        <f>IF(AND(A1899="",E1899=""),"",IF(E1899="","Segment ontbreekt",IF(OR(G1899="",H1899=""),"Van/tot ontbreekt",IF(N(J1899)=0,"Duur is nul",IF(N(J1899)&gt;12,"Langer dan 12 uur - controleren",IF(AND(E1899="Werken",D1899=""),"Werken zonder klant - koppelen","OK"))))))</f>
        <v/>
      </c>
    </row>
    <row r="1900" ht="15" customHeight="1" s="42">
      <c r="A1900" s="55" t="n"/>
      <c r="B1900" s="56">
        <f>IF(A1900="","",WEEKNUM(A1900,21))</f>
        <v/>
      </c>
      <c r="C1900" s="57" t="n"/>
      <c r="D1900" s="57" t="n"/>
      <c r="E1900" s="58" t="n"/>
      <c r="F1900" s="57" t="n"/>
      <c r="G1900" s="59" t="n"/>
      <c r="H1900" s="59" t="n"/>
      <c r="I1900" s="60">
        <f>IF(OR(G1900="",H1900=""),"",MOD(H1900-G1900,1))</f>
        <v/>
      </c>
      <c r="J1900" s="61">
        <f>IF(OR(G1900="",H1900=""),"",ROUND(MOD(H1900-G1900,1)*24,2))</f>
        <v/>
      </c>
      <c r="K1900" s="62">
        <f>IF(E1900="","",IF(E1900="Werken","JA","NEE"))</f>
        <v/>
      </c>
      <c r="L1900" s="61">
        <f>IF(K1900="JA",N(J1900),IF(E1900="","",0))</f>
        <v/>
      </c>
      <c r="M1900" s="62">
        <f>IF(AND(A1900="",E1900=""),"",IF(E1900="","Segment ontbreekt",IF(OR(G1900="",H1900=""),"Van/tot ontbreekt",IF(N(J1900)=0,"Duur is nul",IF(N(J1900)&gt;12,"Langer dan 12 uur - controleren",IF(AND(E1900="Werken",D1900=""),"Werken zonder klant - koppelen","OK"))))))</f>
        <v/>
      </c>
    </row>
    <row r="1901" ht="15" customHeight="1" s="42">
      <c r="A1901" s="55" t="n"/>
      <c r="B1901" s="56">
        <f>IF(A1901="","",WEEKNUM(A1901,21))</f>
        <v/>
      </c>
      <c r="C1901" s="57" t="n"/>
      <c r="D1901" s="57" t="n"/>
      <c r="E1901" s="58" t="n"/>
      <c r="F1901" s="57" t="n"/>
      <c r="G1901" s="59" t="n"/>
      <c r="H1901" s="59" t="n"/>
      <c r="I1901" s="60">
        <f>IF(OR(G1901="",H1901=""),"",MOD(H1901-G1901,1))</f>
        <v/>
      </c>
      <c r="J1901" s="61">
        <f>IF(OR(G1901="",H1901=""),"",ROUND(MOD(H1901-G1901,1)*24,2))</f>
        <v/>
      </c>
      <c r="K1901" s="62">
        <f>IF(E1901="","",IF(E1901="Werken","JA","NEE"))</f>
        <v/>
      </c>
      <c r="L1901" s="61">
        <f>IF(K1901="JA",N(J1901),IF(E1901="","",0))</f>
        <v/>
      </c>
      <c r="M1901" s="62">
        <f>IF(AND(A1901="",E1901=""),"",IF(E1901="","Segment ontbreekt",IF(OR(G1901="",H1901=""),"Van/tot ontbreekt",IF(N(J1901)=0,"Duur is nul",IF(N(J1901)&gt;12,"Langer dan 12 uur - controleren",IF(AND(E1901="Werken",D1901=""),"Werken zonder klant - koppelen","OK"))))))</f>
        <v/>
      </c>
    </row>
    <row r="1902" ht="15" customHeight="1" s="42">
      <c r="A1902" s="55" t="n"/>
      <c r="B1902" s="56">
        <f>IF(A1902="","",WEEKNUM(A1902,21))</f>
        <v/>
      </c>
      <c r="C1902" s="57" t="n"/>
      <c r="D1902" s="57" t="n"/>
      <c r="E1902" s="58" t="n"/>
      <c r="F1902" s="57" t="n"/>
      <c r="G1902" s="59" t="n"/>
      <c r="H1902" s="59" t="n"/>
      <c r="I1902" s="60">
        <f>IF(OR(G1902="",H1902=""),"",MOD(H1902-G1902,1))</f>
        <v/>
      </c>
      <c r="J1902" s="61">
        <f>IF(OR(G1902="",H1902=""),"",ROUND(MOD(H1902-G1902,1)*24,2))</f>
        <v/>
      </c>
      <c r="K1902" s="62">
        <f>IF(E1902="","",IF(E1902="Werken","JA","NEE"))</f>
        <v/>
      </c>
      <c r="L1902" s="61">
        <f>IF(K1902="JA",N(J1902),IF(E1902="","",0))</f>
        <v/>
      </c>
      <c r="M1902" s="62">
        <f>IF(AND(A1902="",E1902=""),"",IF(E1902="","Segment ontbreekt",IF(OR(G1902="",H1902=""),"Van/tot ontbreekt",IF(N(J1902)=0,"Duur is nul",IF(N(J1902)&gt;12,"Langer dan 12 uur - controleren",IF(AND(E1902="Werken",D1902=""),"Werken zonder klant - koppelen","OK"))))))</f>
        <v/>
      </c>
    </row>
    <row r="1903" ht="15" customHeight="1" s="42">
      <c r="A1903" s="55" t="n"/>
      <c r="B1903" s="56">
        <f>IF(A1903="","",WEEKNUM(A1903,21))</f>
        <v/>
      </c>
      <c r="C1903" s="57" t="n"/>
      <c r="D1903" s="57" t="n"/>
      <c r="E1903" s="58" t="n"/>
      <c r="F1903" s="57" t="n"/>
      <c r="G1903" s="59" t="n"/>
      <c r="H1903" s="59" t="n"/>
      <c r="I1903" s="60">
        <f>IF(OR(G1903="",H1903=""),"",MOD(H1903-G1903,1))</f>
        <v/>
      </c>
      <c r="J1903" s="61">
        <f>IF(OR(G1903="",H1903=""),"",ROUND(MOD(H1903-G1903,1)*24,2))</f>
        <v/>
      </c>
      <c r="K1903" s="62">
        <f>IF(E1903="","",IF(E1903="Werken","JA","NEE"))</f>
        <v/>
      </c>
      <c r="L1903" s="61">
        <f>IF(K1903="JA",N(J1903),IF(E1903="","",0))</f>
        <v/>
      </c>
      <c r="M1903" s="62">
        <f>IF(AND(A1903="",E1903=""),"",IF(E1903="","Segment ontbreekt",IF(OR(G1903="",H1903=""),"Van/tot ontbreekt",IF(N(J1903)=0,"Duur is nul",IF(N(J1903)&gt;12,"Langer dan 12 uur - controleren",IF(AND(E1903="Werken",D1903=""),"Werken zonder klant - koppelen","OK"))))))</f>
        <v/>
      </c>
    </row>
    <row r="1904" ht="15" customHeight="1" s="42">
      <c r="A1904" s="55" t="n"/>
      <c r="B1904" s="56">
        <f>IF(A1904="","",WEEKNUM(A1904,21))</f>
        <v/>
      </c>
      <c r="C1904" s="57" t="n"/>
      <c r="D1904" s="57" t="n"/>
      <c r="E1904" s="58" t="n"/>
      <c r="F1904" s="57" t="n"/>
      <c r="G1904" s="59" t="n"/>
      <c r="H1904" s="59" t="n"/>
      <c r="I1904" s="60">
        <f>IF(OR(G1904="",H1904=""),"",MOD(H1904-G1904,1))</f>
        <v/>
      </c>
      <c r="J1904" s="61">
        <f>IF(OR(G1904="",H1904=""),"",ROUND(MOD(H1904-G1904,1)*24,2))</f>
        <v/>
      </c>
      <c r="K1904" s="62">
        <f>IF(E1904="","",IF(E1904="Werken","JA","NEE"))</f>
        <v/>
      </c>
      <c r="L1904" s="61">
        <f>IF(K1904="JA",N(J1904),IF(E1904="","",0))</f>
        <v/>
      </c>
      <c r="M1904" s="62">
        <f>IF(AND(A1904="",E1904=""),"",IF(E1904="","Segment ontbreekt",IF(OR(G1904="",H1904=""),"Van/tot ontbreekt",IF(N(J1904)=0,"Duur is nul",IF(N(J1904)&gt;12,"Langer dan 12 uur - controleren",IF(AND(E1904="Werken",D1904=""),"Werken zonder klant - koppelen","OK"))))))</f>
        <v/>
      </c>
    </row>
    <row r="1905" ht="15" customHeight="1" s="42">
      <c r="A1905" s="55" t="n"/>
      <c r="B1905" s="56">
        <f>IF(A1905="","",WEEKNUM(A1905,21))</f>
        <v/>
      </c>
      <c r="C1905" s="57" t="n"/>
      <c r="D1905" s="57" t="n"/>
      <c r="E1905" s="58" t="n"/>
      <c r="F1905" s="57" t="n"/>
      <c r="G1905" s="59" t="n"/>
      <c r="H1905" s="59" t="n"/>
      <c r="I1905" s="60">
        <f>IF(OR(G1905="",H1905=""),"",MOD(H1905-G1905,1))</f>
        <v/>
      </c>
      <c r="J1905" s="61">
        <f>IF(OR(G1905="",H1905=""),"",ROUND(MOD(H1905-G1905,1)*24,2))</f>
        <v/>
      </c>
      <c r="K1905" s="62">
        <f>IF(E1905="","",IF(E1905="Werken","JA","NEE"))</f>
        <v/>
      </c>
      <c r="L1905" s="61">
        <f>IF(K1905="JA",N(J1905),IF(E1905="","",0))</f>
        <v/>
      </c>
      <c r="M1905" s="62">
        <f>IF(AND(A1905="",E1905=""),"",IF(E1905="","Segment ontbreekt",IF(OR(G1905="",H1905=""),"Van/tot ontbreekt",IF(N(J1905)=0,"Duur is nul",IF(N(J1905)&gt;12,"Langer dan 12 uur - controleren",IF(AND(E1905="Werken",D1905=""),"Werken zonder klant - koppelen","OK"))))))</f>
        <v/>
      </c>
    </row>
    <row r="1906" ht="15" customHeight="1" s="42">
      <c r="A1906" s="55" t="n"/>
      <c r="B1906" s="56">
        <f>IF(A1906="","",WEEKNUM(A1906,21))</f>
        <v/>
      </c>
      <c r="C1906" s="57" t="n"/>
      <c r="D1906" s="57" t="n"/>
      <c r="E1906" s="58" t="n"/>
      <c r="F1906" s="57" t="n"/>
      <c r="G1906" s="59" t="n"/>
      <c r="H1906" s="59" t="n"/>
      <c r="I1906" s="60">
        <f>IF(OR(G1906="",H1906=""),"",MOD(H1906-G1906,1))</f>
        <v/>
      </c>
      <c r="J1906" s="61">
        <f>IF(OR(G1906="",H1906=""),"",ROUND(MOD(H1906-G1906,1)*24,2))</f>
        <v/>
      </c>
      <c r="K1906" s="62">
        <f>IF(E1906="","",IF(E1906="Werken","JA","NEE"))</f>
        <v/>
      </c>
      <c r="L1906" s="61">
        <f>IF(K1906="JA",N(J1906),IF(E1906="","",0))</f>
        <v/>
      </c>
      <c r="M1906" s="62">
        <f>IF(AND(A1906="",E1906=""),"",IF(E1906="","Segment ontbreekt",IF(OR(G1906="",H1906=""),"Van/tot ontbreekt",IF(N(J1906)=0,"Duur is nul",IF(N(J1906)&gt;12,"Langer dan 12 uur - controleren",IF(AND(E1906="Werken",D1906=""),"Werken zonder klant - koppelen","OK"))))))</f>
        <v/>
      </c>
    </row>
    <row r="1907" ht="15" customHeight="1" s="42">
      <c r="A1907" s="55" t="n"/>
      <c r="B1907" s="56">
        <f>IF(A1907="","",WEEKNUM(A1907,21))</f>
        <v/>
      </c>
      <c r="C1907" s="57" t="n"/>
      <c r="D1907" s="57" t="n"/>
      <c r="E1907" s="58" t="n"/>
      <c r="F1907" s="57" t="n"/>
      <c r="G1907" s="59" t="n"/>
      <c r="H1907" s="59" t="n"/>
      <c r="I1907" s="60">
        <f>IF(OR(G1907="",H1907=""),"",MOD(H1907-G1907,1))</f>
        <v/>
      </c>
      <c r="J1907" s="61">
        <f>IF(OR(G1907="",H1907=""),"",ROUND(MOD(H1907-G1907,1)*24,2))</f>
        <v/>
      </c>
      <c r="K1907" s="62">
        <f>IF(E1907="","",IF(E1907="Werken","JA","NEE"))</f>
        <v/>
      </c>
      <c r="L1907" s="61">
        <f>IF(K1907="JA",N(J1907),IF(E1907="","",0))</f>
        <v/>
      </c>
      <c r="M1907" s="62">
        <f>IF(AND(A1907="",E1907=""),"",IF(E1907="","Segment ontbreekt",IF(OR(G1907="",H1907=""),"Van/tot ontbreekt",IF(N(J1907)=0,"Duur is nul",IF(N(J1907)&gt;12,"Langer dan 12 uur - controleren",IF(AND(E1907="Werken",D1907=""),"Werken zonder klant - koppelen","OK"))))))</f>
        <v/>
      </c>
    </row>
    <row r="1908" ht="15" customHeight="1" s="42">
      <c r="A1908" s="55" t="n"/>
      <c r="B1908" s="56">
        <f>IF(A1908="","",WEEKNUM(A1908,21))</f>
        <v/>
      </c>
      <c r="C1908" s="57" t="n"/>
      <c r="D1908" s="57" t="n"/>
      <c r="E1908" s="58" t="n"/>
      <c r="F1908" s="57" t="n"/>
      <c r="G1908" s="59" t="n"/>
      <c r="H1908" s="59" t="n"/>
      <c r="I1908" s="60">
        <f>IF(OR(G1908="",H1908=""),"",MOD(H1908-G1908,1))</f>
        <v/>
      </c>
      <c r="J1908" s="61">
        <f>IF(OR(G1908="",H1908=""),"",ROUND(MOD(H1908-G1908,1)*24,2))</f>
        <v/>
      </c>
      <c r="K1908" s="62">
        <f>IF(E1908="","",IF(E1908="Werken","JA","NEE"))</f>
        <v/>
      </c>
      <c r="L1908" s="61">
        <f>IF(K1908="JA",N(J1908),IF(E1908="","",0))</f>
        <v/>
      </c>
      <c r="M1908" s="62">
        <f>IF(AND(A1908="",E1908=""),"",IF(E1908="","Segment ontbreekt",IF(OR(G1908="",H1908=""),"Van/tot ontbreekt",IF(N(J1908)=0,"Duur is nul",IF(N(J1908)&gt;12,"Langer dan 12 uur - controleren",IF(AND(E1908="Werken",D1908=""),"Werken zonder klant - koppelen","OK"))))))</f>
        <v/>
      </c>
    </row>
    <row r="1909" ht="15" customHeight="1" s="42">
      <c r="A1909" s="55" t="n"/>
      <c r="B1909" s="56">
        <f>IF(A1909="","",WEEKNUM(A1909,21))</f>
        <v/>
      </c>
      <c r="C1909" s="57" t="n"/>
      <c r="D1909" s="57" t="n"/>
      <c r="E1909" s="58" t="n"/>
      <c r="F1909" s="57" t="n"/>
      <c r="G1909" s="59" t="n"/>
      <c r="H1909" s="59" t="n"/>
      <c r="I1909" s="60">
        <f>IF(OR(G1909="",H1909=""),"",MOD(H1909-G1909,1))</f>
        <v/>
      </c>
      <c r="J1909" s="61">
        <f>IF(OR(G1909="",H1909=""),"",ROUND(MOD(H1909-G1909,1)*24,2))</f>
        <v/>
      </c>
      <c r="K1909" s="62">
        <f>IF(E1909="","",IF(E1909="Werken","JA","NEE"))</f>
        <v/>
      </c>
      <c r="L1909" s="61">
        <f>IF(K1909="JA",N(J1909),IF(E1909="","",0))</f>
        <v/>
      </c>
      <c r="M1909" s="62">
        <f>IF(AND(A1909="",E1909=""),"",IF(E1909="","Segment ontbreekt",IF(OR(G1909="",H1909=""),"Van/tot ontbreekt",IF(N(J1909)=0,"Duur is nul",IF(N(J1909)&gt;12,"Langer dan 12 uur - controleren",IF(AND(E1909="Werken",D1909=""),"Werken zonder klant - koppelen","OK"))))))</f>
        <v/>
      </c>
    </row>
    <row r="1910" ht="15" customHeight="1" s="42">
      <c r="A1910" s="55" t="n"/>
      <c r="B1910" s="56">
        <f>IF(A1910="","",WEEKNUM(A1910,21))</f>
        <v/>
      </c>
      <c r="C1910" s="57" t="n"/>
      <c r="D1910" s="57" t="n"/>
      <c r="E1910" s="58" t="n"/>
      <c r="F1910" s="57" t="n"/>
      <c r="G1910" s="59" t="n"/>
      <c r="H1910" s="59" t="n"/>
      <c r="I1910" s="60">
        <f>IF(OR(G1910="",H1910=""),"",MOD(H1910-G1910,1))</f>
        <v/>
      </c>
      <c r="J1910" s="61">
        <f>IF(OR(G1910="",H1910=""),"",ROUND(MOD(H1910-G1910,1)*24,2))</f>
        <v/>
      </c>
      <c r="K1910" s="62">
        <f>IF(E1910="","",IF(E1910="Werken","JA","NEE"))</f>
        <v/>
      </c>
      <c r="L1910" s="61">
        <f>IF(K1910="JA",N(J1910),IF(E1910="","",0))</f>
        <v/>
      </c>
      <c r="M1910" s="62">
        <f>IF(AND(A1910="",E1910=""),"",IF(E1910="","Segment ontbreekt",IF(OR(G1910="",H1910=""),"Van/tot ontbreekt",IF(N(J1910)=0,"Duur is nul",IF(N(J1910)&gt;12,"Langer dan 12 uur - controleren",IF(AND(E1910="Werken",D1910=""),"Werken zonder klant - koppelen","OK"))))))</f>
        <v/>
      </c>
    </row>
    <row r="1911" ht="15" customHeight="1" s="42">
      <c r="A1911" s="55" t="n"/>
      <c r="B1911" s="56">
        <f>IF(A1911="","",WEEKNUM(A1911,21))</f>
        <v/>
      </c>
      <c r="C1911" s="57" t="n"/>
      <c r="D1911" s="57" t="n"/>
      <c r="E1911" s="58" t="n"/>
      <c r="F1911" s="57" t="n"/>
      <c r="G1911" s="59" t="n"/>
      <c r="H1911" s="59" t="n"/>
      <c r="I1911" s="60">
        <f>IF(OR(G1911="",H1911=""),"",MOD(H1911-G1911,1))</f>
        <v/>
      </c>
      <c r="J1911" s="61">
        <f>IF(OR(G1911="",H1911=""),"",ROUND(MOD(H1911-G1911,1)*24,2))</f>
        <v/>
      </c>
      <c r="K1911" s="62">
        <f>IF(E1911="","",IF(E1911="Werken","JA","NEE"))</f>
        <v/>
      </c>
      <c r="L1911" s="61">
        <f>IF(K1911="JA",N(J1911),IF(E1911="","",0))</f>
        <v/>
      </c>
      <c r="M1911" s="62">
        <f>IF(AND(A1911="",E1911=""),"",IF(E1911="","Segment ontbreekt",IF(OR(G1911="",H1911=""),"Van/tot ontbreekt",IF(N(J1911)=0,"Duur is nul",IF(N(J1911)&gt;12,"Langer dan 12 uur - controleren",IF(AND(E1911="Werken",D1911=""),"Werken zonder klant - koppelen","OK"))))))</f>
        <v/>
      </c>
    </row>
    <row r="1912" ht="15" customHeight="1" s="42">
      <c r="A1912" s="55" t="n"/>
      <c r="B1912" s="56">
        <f>IF(A1912="","",WEEKNUM(A1912,21))</f>
        <v/>
      </c>
      <c r="C1912" s="57" t="n"/>
      <c r="D1912" s="57" t="n"/>
      <c r="E1912" s="58" t="n"/>
      <c r="F1912" s="57" t="n"/>
      <c r="G1912" s="59" t="n"/>
      <c r="H1912" s="59" t="n"/>
      <c r="I1912" s="60">
        <f>IF(OR(G1912="",H1912=""),"",MOD(H1912-G1912,1))</f>
        <v/>
      </c>
      <c r="J1912" s="61">
        <f>IF(OR(G1912="",H1912=""),"",ROUND(MOD(H1912-G1912,1)*24,2))</f>
        <v/>
      </c>
      <c r="K1912" s="62">
        <f>IF(E1912="","",IF(E1912="Werken","JA","NEE"))</f>
        <v/>
      </c>
      <c r="L1912" s="61">
        <f>IF(K1912="JA",N(J1912),IF(E1912="","",0))</f>
        <v/>
      </c>
      <c r="M1912" s="62">
        <f>IF(AND(A1912="",E1912=""),"",IF(E1912="","Segment ontbreekt",IF(OR(G1912="",H1912=""),"Van/tot ontbreekt",IF(N(J1912)=0,"Duur is nul",IF(N(J1912)&gt;12,"Langer dan 12 uur - controleren",IF(AND(E1912="Werken",D1912=""),"Werken zonder klant - koppelen","OK"))))))</f>
        <v/>
      </c>
    </row>
    <row r="1913" ht="15" customHeight="1" s="42">
      <c r="A1913" s="55" t="n"/>
      <c r="B1913" s="56">
        <f>IF(A1913="","",WEEKNUM(A1913,21))</f>
        <v/>
      </c>
      <c r="C1913" s="57" t="n"/>
      <c r="D1913" s="57" t="n"/>
      <c r="E1913" s="58" t="n"/>
      <c r="F1913" s="57" t="n"/>
      <c r="G1913" s="59" t="n"/>
      <c r="H1913" s="59" t="n"/>
      <c r="I1913" s="60">
        <f>IF(OR(G1913="",H1913=""),"",MOD(H1913-G1913,1))</f>
        <v/>
      </c>
      <c r="J1913" s="61">
        <f>IF(OR(G1913="",H1913=""),"",ROUND(MOD(H1913-G1913,1)*24,2))</f>
        <v/>
      </c>
      <c r="K1913" s="62">
        <f>IF(E1913="","",IF(E1913="Werken","JA","NEE"))</f>
        <v/>
      </c>
      <c r="L1913" s="61">
        <f>IF(K1913="JA",N(J1913),IF(E1913="","",0))</f>
        <v/>
      </c>
      <c r="M1913" s="62">
        <f>IF(AND(A1913="",E1913=""),"",IF(E1913="","Segment ontbreekt",IF(OR(G1913="",H1913=""),"Van/tot ontbreekt",IF(N(J1913)=0,"Duur is nul",IF(N(J1913)&gt;12,"Langer dan 12 uur - controleren",IF(AND(E1913="Werken",D1913=""),"Werken zonder klant - koppelen","OK"))))))</f>
        <v/>
      </c>
    </row>
    <row r="1914" ht="15" customHeight="1" s="42">
      <c r="A1914" s="55" t="n"/>
      <c r="B1914" s="56">
        <f>IF(A1914="","",WEEKNUM(A1914,21))</f>
        <v/>
      </c>
      <c r="C1914" s="57" t="n"/>
      <c r="D1914" s="57" t="n"/>
      <c r="E1914" s="58" t="n"/>
      <c r="F1914" s="57" t="n"/>
      <c r="G1914" s="59" t="n"/>
      <c r="H1914" s="59" t="n"/>
      <c r="I1914" s="60">
        <f>IF(OR(G1914="",H1914=""),"",MOD(H1914-G1914,1))</f>
        <v/>
      </c>
      <c r="J1914" s="61">
        <f>IF(OR(G1914="",H1914=""),"",ROUND(MOD(H1914-G1914,1)*24,2))</f>
        <v/>
      </c>
      <c r="K1914" s="62">
        <f>IF(E1914="","",IF(E1914="Werken","JA","NEE"))</f>
        <v/>
      </c>
      <c r="L1914" s="61">
        <f>IF(K1914="JA",N(J1914),IF(E1914="","",0))</f>
        <v/>
      </c>
      <c r="M1914" s="62">
        <f>IF(AND(A1914="",E1914=""),"",IF(E1914="","Segment ontbreekt",IF(OR(G1914="",H1914=""),"Van/tot ontbreekt",IF(N(J1914)=0,"Duur is nul",IF(N(J1914)&gt;12,"Langer dan 12 uur - controleren",IF(AND(E1914="Werken",D1914=""),"Werken zonder klant - koppelen","OK"))))))</f>
        <v/>
      </c>
    </row>
    <row r="1915" ht="15" customHeight="1" s="42">
      <c r="A1915" s="55" t="n"/>
      <c r="B1915" s="56">
        <f>IF(A1915="","",WEEKNUM(A1915,21))</f>
        <v/>
      </c>
      <c r="C1915" s="57" t="n"/>
      <c r="D1915" s="57" t="n"/>
      <c r="E1915" s="58" t="n"/>
      <c r="F1915" s="57" t="n"/>
      <c r="G1915" s="59" t="n"/>
      <c r="H1915" s="59" t="n"/>
      <c r="I1915" s="60">
        <f>IF(OR(G1915="",H1915=""),"",MOD(H1915-G1915,1))</f>
        <v/>
      </c>
      <c r="J1915" s="61">
        <f>IF(OR(G1915="",H1915=""),"",ROUND(MOD(H1915-G1915,1)*24,2))</f>
        <v/>
      </c>
      <c r="K1915" s="62">
        <f>IF(E1915="","",IF(E1915="Werken","JA","NEE"))</f>
        <v/>
      </c>
      <c r="L1915" s="61">
        <f>IF(K1915="JA",N(J1915),IF(E1915="","",0))</f>
        <v/>
      </c>
      <c r="M1915" s="62">
        <f>IF(AND(A1915="",E1915=""),"",IF(E1915="","Segment ontbreekt",IF(OR(G1915="",H1915=""),"Van/tot ontbreekt",IF(N(J1915)=0,"Duur is nul",IF(N(J1915)&gt;12,"Langer dan 12 uur - controleren",IF(AND(E1915="Werken",D1915=""),"Werken zonder klant - koppelen","OK"))))))</f>
        <v/>
      </c>
    </row>
    <row r="1916" ht="15" customHeight="1" s="42">
      <c r="A1916" s="55" t="n"/>
      <c r="B1916" s="56">
        <f>IF(A1916="","",WEEKNUM(A1916,21))</f>
        <v/>
      </c>
      <c r="C1916" s="57" t="n"/>
      <c r="D1916" s="57" t="n"/>
      <c r="E1916" s="58" t="n"/>
      <c r="F1916" s="57" t="n"/>
      <c r="G1916" s="59" t="n"/>
      <c r="H1916" s="59" t="n"/>
      <c r="I1916" s="60">
        <f>IF(OR(G1916="",H1916=""),"",MOD(H1916-G1916,1))</f>
        <v/>
      </c>
      <c r="J1916" s="61">
        <f>IF(OR(G1916="",H1916=""),"",ROUND(MOD(H1916-G1916,1)*24,2))</f>
        <v/>
      </c>
      <c r="K1916" s="62">
        <f>IF(E1916="","",IF(E1916="Werken","JA","NEE"))</f>
        <v/>
      </c>
      <c r="L1916" s="61">
        <f>IF(K1916="JA",N(J1916),IF(E1916="","",0))</f>
        <v/>
      </c>
      <c r="M1916" s="62">
        <f>IF(AND(A1916="",E1916=""),"",IF(E1916="","Segment ontbreekt",IF(OR(G1916="",H1916=""),"Van/tot ontbreekt",IF(N(J1916)=0,"Duur is nul",IF(N(J1916)&gt;12,"Langer dan 12 uur - controleren",IF(AND(E1916="Werken",D1916=""),"Werken zonder klant - koppelen","OK"))))))</f>
        <v/>
      </c>
    </row>
    <row r="1917" ht="15" customHeight="1" s="42">
      <c r="A1917" s="55" t="n"/>
      <c r="B1917" s="56">
        <f>IF(A1917="","",WEEKNUM(A1917,21))</f>
        <v/>
      </c>
      <c r="C1917" s="57" t="n"/>
      <c r="D1917" s="57" t="n"/>
      <c r="E1917" s="58" t="n"/>
      <c r="F1917" s="57" t="n"/>
      <c r="G1917" s="59" t="n"/>
      <c r="H1917" s="59" t="n"/>
      <c r="I1917" s="60">
        <f>IF(OR(G1917="",H1917=""),"",MOD(H1917-G1917,1))</f>
        <v/>
      </c>
      <c r="J1917" s="61">
        <f>IF(OR(G1917="",H1917=""),"",ROUND(MOD(H1917-G1917,1)*24,2))</f>
        <v/>
      </c>
      <c r="K1917" s="62">
        <f>IF(E1917="","",IF(E1917="Werken","JA","NEE"))</f>
        <v/>
      </c>
      <c r="L1917" s="61">
        <f>IF(K1917="JA",N(J1917),IF(E1917="","",0))</f>
        <v/>
      </c>
      <c r="M1917" s="62">
        <f>IF(AND(A1917="",E1917=""),"",IF(E1917="","Segment ontbreekt",IF(OR(G1917="",H1917=""),"Van/tot ontbreekt",IF(N(J1917)=0,"Duur is nul",IF(N(J1917)&gt;12,"Langer dan 12 uur - controleren",IF(AND(E1917="Werken",D1917=""),"Werken zonder klant - koppelen","OK"))))))</f>
        <v/>
      </c>
    </row>
    <row r="1918" ht="15" customHeight="1" s="42">
      <c r="A1918" s="55" t="n"/>
      <c r="B1918" s="56">
        <f>IF(A1918="","",WEEKNUM(A1918,21))</f>
        <v/>
      </c>
      <c r="C1918" s="57" t="n"/>
      <c r="D1918" s="57" t="n"/>
      <c r="E1918" s="58" t="n"/>
      <c r="F1918" s="57" t="n"/>
      <c r="G1918" s="59" t="n"/>
      <c r="H1918" s="59" t="n"/>
      <c r="I1918" s="60">
        <f>IF(OR(G1918="",H1918=""),"",MOD(H1918-G1918,1))</f>
        <v/>
      </c>
      <c r="J1918" s="61">
        <f>IF(OR(G1918="",H1918=""),"",ROUND(MOD(H1918-G1918,1)*24,2))</f>
        <v/>
      </c>
      <c r="K1918" s="62">
        <f>IF(E1918="","",IF(E1918="Werken","JA","NEE"))</f>
        <v/>
      </c>
      <c r="L1918" s="61">
        <f>IF(K1918="JA",N(J1918),IF(E1918="","",0))</f>
        <v/>
      </c>
      <c r="M1918" s="62">
        <f>IF(AND(A1918="",E1918=""),"",IF(E1918="","Segment ontbreekt",IF(OR(G1918="",H1918=""),"Van/tot ontbreekt",IF(N(J1918)=0,"Duur is nul",IF(N(J1918)&gt;12,"Langer dan 12 uur - controleren",IF(AND(E1918="Werken",D1918=""),"Werken zonder klant - koppelen","OK"))))))</f>
        <v/>
      </c>
    </row>
    <row r="1919" ht="15" customHeight="1" s="42">
      <c r="A1919" s="55" t="n"/>
      <c r="B1919" s="56">
        <f>IF(A1919="","",WEEKNUM(A1919,21))</f>
        <v/>
      </c>
      <c r="C1919" s="57" t="n"/>
      <c r="D1919" s="57" t="n"/>
      <c r="E1919" s="58" t="n"/>
      <c r="F1919" s="57" t="n"/>
      <c r="G1919" s="59" t="n"/>
      <c r="H1919" s="59" t="n"/>
      <c r="I1919" s="60">
        <f>IF(OR(G1919="",H1919=""),"",MOD(H1919-G1919,1))</f>
        <v/>
      </c>
      <c r="J1919" s="61">
        <f>IF(OR(G1919="",H1919=""),"",ROUND(MOD(H1919-G1919,1)*24,2))</f>
        <v/>
      </c>
      <c r="K1919" s="62">
        <f>IF(E1919="","",IF(E1919="Werken","JA","NEE"))</f>
        <v/>
      </c>
      <c r="L1919" s="61">
        <f>IF(K1919="JA",N(J1919),IF(E1919="","",0))</f>
        <v/>
      </c>
      <c r="M1919" s="62">
        <f>IF(AND(A1919="",E1919=""),"",IF(E1919="","Segment ontbreekt",IF(OR(G1919="",H1919=""),"Van/tot ontbreekt",IF(N(J1919)=0,"Duur is nul",IF(N(J1919)&gt;12,"Langer dan 12 uur - controleren",IF(AND(E1919="Werken",D1919=""),"Werken zonder klant - koppelen","OK"))))))</f>
        <v/>
      </c>
    </row>
    <row r="1920" ht="15" customHeight="1" s="42">
      <c r="A1920" s="55" t="n"/>
      <c r="B1920" s="56">
        <f>IF(A1920="","",WEEKNUM(A1920,21))</f>
        <v/>
      </c>
      <c r="C1920" s="57" t="n"/>
      <c r="D1920" s="57" t="n"/>
      <c r="E1920" s="58" t="n"/>
      <c r="F1920" s="57" t="n"/>
      <c r="G1920" s="59" t="n"/>
      <c r="H1920" s="59" t="n"/>
      <c r="I1920" s="60">
        <f>IF(OR(G1920="",H1920=""),"",MOD(H1920-G1920,1))</f>
        <v/>
      </c>
      <c r="J1920" s="61">
        <f>IF(OR(G1920="",H1920=""),"",ROUND(MOD(H1920-G1920,1)*24,2))</f>
        <v/>
      </c>
      <c r="K1920" s="62">
        <f>IF(E1920="","",IF(E1920="Werken","JA","NEE"))</f>
        <v/>
      </c>
      <c r="L1920" s="61">
        <f>IF(K1920="JA",N(J1920),IF(E1920="","",0))</f>
        <v/>
      </c>
      <c r="M1920" s="62">
        <f>IF(AND(A1920="",E1920=""),"",IF(E1920="","Segment ontbreekt",IF(OR(G1920="",H1920=""),"Van/tot ontbreekt",IF(N(J1920)=0,"Duur is nul",IF(N(J1920)&gt;12,"Langer dan 12 uur - controleren",IF(AND(E1920="Werken",D1920=""),"Werken zonder klant - koppelen","OK"))))))</f>
        <v/>
      </c>
    </row>
    <row r="1921" ht="15" customHeight="1" s="42">
      <c r="A1921" s="55" t="n"/>
      <c r="B1921" s="56">
        <f>IF(A1921="","",WEEKNUM(A1921,21))</f>
        <v/>
      </c>
      <c r="C1921" s="57" t="n"/>
      <c r="D1921" s="57" t="n"/>
      <c r="E1921" s="58" t="n"/>
      <c r="F1921" s="57" t="n"/>
      <c r="G1921" s="59" t="n"/>
      <c r="H1921" s="59" t="n"/>
      <c r="I1921" s="60">
        <f>IF(OR(G1921="",H1921=""),"",MOD(H1921-G1921,1))</f>
        <v/>
      </c>
      <c r="J1921" s="61">
        <f>IF(OR(G1921="",H1921=""),"",ROUND(MOD(H1921-G1921,1)*24,2))</f>
        <v/>
      </c>
      <c r="K1921" s="62">
        <f>IF(E1921="","",IF(E1921="Werken","JA","NEE"))</f>
        <v/>
      </c>
      <c r="L1921" s="61">
        <f>IF(K1921="JA",N(J1921),IF(E1921="","",0))</f>
        <v/>
      </c>
      <c r="M1921" s="62">
        <f>IF(AND(A1921="",E1921=""),"",IF(E1921="","Segment ontbreekt",IF(OR(G1921="",H1921=""),"Van/tot ontbreekt",IF(N(J1921)=0,"Duur is nul",IF(N(J1921)&gt;12,"Langer dan 12 uur - controleren",IF(AND(E1921="Werken",D1921=""),"Werken zonder klant - koppelen","OK"))))))</f>
        <v/>
      </c>
    </row>
    <row r="1922" ht="15" customHeight="1" s="42">
      <c r="A1922" s="55" t="n"/>
      <c r="B1922" s="56">
        <f>IF(A1922="","",WEEKNUM(A1922,21))</f>
        <v/>
      </c>
      <c r="C1922" s="57" t="n"/>
      <c r="D1922" s="57" t="n"/>
      <c r="E1922" s="58" t="n"/>
      <c r="F1922" s="57" t="n"/>
      <c r="G1922" s="59" t="n"/>
      <c r="H1922" s="59" t="n"/>
      <c r="I1922" s="60">
        <f>IF(OR(G1922="",H1922=""),"",MOD(H1922-G1922,1))</f>
        <v/>
      </c>
      <c r="J1922" s="61">
        <f>IF(OR(G1922="",H1922=""),"",ROUND(MOD(H1922-G1922,1)*24,2))</f>
        <v/>
      </c>
      <c r="K1922" s="62">
        <f>IF(E1922="","",IF(E1922="Werken","JA","NEE"))</f>
        <v/>
      </c>
      <c r="L1922" s="61">
        <f>IF(K1922="JA",N(J1922),IF(E1922="","",0))</f>
        <v/>
      </c>
      <c r="M1922" s="62">
        <f>IF(AND(A1922="",E1922=""),"",IF(E1922="","Segment ontbreekt",IF(OR(G1922="",H1922=""),"Van/tot ontbreekt",IF(N(J1922)=0,"Duur is nul",IF(N(J1922)&gt;12,"Langer dan 12 uur - controleren",IF(AND(E1922="Werken",D1922=""),"Werken zonder klant - koppelen","OK"))))))</f>
        <v/>
      </c>
    </row>
    <row r="1923" ht="15" customHeight="1" s="42">
      <c r="A1923" s="55" t="n"/>
      <c r="B1923" s="56">
        <f>IF(A1923="","",WEEKNUM(A1923,21))</f>
        <v/>
      </c>
      <c r="C1923" s="57" t="n"/>
      <c r="D1923" s="57" t="n"/>
      <c r="E1923" s="58" t="n"/>
      <c r="F1923" s="57" t="n"/>
      <c r="G1923" s="59" t="n"/>
      <c r="H1923" s="59" t="n"/>
      <c r="I1923" s="60">
        <f>IF(OR(G1923="",H1923=""),"",MOD(H1923-G1923,1))</f>
        <v/>
      </c>
      <c r="J1923" s="61">
        <f>IF(OR(G1923="",H1923=""),"",ROUND(MOD(H1923-G1923,1)*24,2))</f>
        <v/>
      </c>
      <c r="K1923" s="62">
        <f>IF(E1923="","",IF(E1923="Werken","JA","NEE"))</f>
        <v/>
      </c>
      <c r="L1923" s="61">
        <f>IF(K1923="JA",N(J1923),IF(E1923="","",0))</f>
        <v/>
      </c>
      <c r="M1923" s="62">
        <f>IF(AND(A1923="",E1923=""),"",IF(E1923="","Segment ontbreekt",IF(OR(G1923="",H1923=""),"Van/tot ontbreekt",IF(N(J1923)=0,"Duur is nul",IF(N(J1923)&gt;12,"Langer dan 12 uur - controleren",IF(AND(E1923="Werken",D1923=""),"Werken zonder klant - koppelen","OK"))))))</f>
        <v/>
      </c>
    </row>
    <row r="1924" ht="15" customHeight="1" s="42">
      <c r="A1924" s="55" t="n"/>
      <c r="B1924" s="56">
        <f>IF(A1924="","",WEEKNUM(A1924,21))</f>
        <v/>
      </c>
      <c r="C1924" s="57" t="n"/>
      <c r="D1924" s="57" t="n"/>
      <c r="E1924" s="58" t="n"/>
      <c r="F1924" s="57" t="n"/>
      <c r="G1924" s="59" t="n"/>
      <c r="H1924" s="59" t="n"/>
      <c r="I1924" s="60">
        <f>IF(OR(G1924="",H1924=""),"",MOD(H1924-G1924,1))</f>
        <v/>
      </c>
      <c r="J1924" s="61">
        <f>IF(OR(G1924="",H1924=""),"",ROUND(MOD(H1924-G1924,1)*24,2))</f>
        <v/>
      </c>
      <c r="K1924" s="62">
        <f>IF(E1924="","",IF(E1924="Werken","JA","NEE"))</f>
        <v/>
      </c>
      <c r="L1924" s="61">
        <f>IF(K1924="JA",N(J1924),IF(E1924="","",0))</f>
        <v/>
      </c>
      <c r="M1924" s="62">
        <f>IF(AND(A1924="",E1924=""),"",IF(E1924="","Segment ontbreekt",IF(OR(G1924="",H1924=""),"Van/tot ontbreekt",IF(N(J1924)=0,"Duur is nul",IF(N(J1924)&gt;12,"Langer dan 12 uur - controleren",IF(AND(E1924="Werken",D1924=""),"Werken zonder klant - koppelen","OK"))))))</f>
        <v/>
      </c>
    </row>
    <row r="1925" ht="15" customHeight="1" s="42">
      <c r="A1925" s="55" t="n"/>
      <c r="B1925" s="56">
        <f>IF(A1925="","",WEEKNUM(A1925,21))</f>
        <v/>
      </c>
      <c r="C1925" s="57" t="n"/>
      <c r="D1925" s="57" t="n"/>
      <c r="E1925" s="58" t="n"/>
      <c r="F1925" s="57" t="n"/>
      <c r="G1925" s="59" t="n"/>
      <c r="H1925" s="59" t="n"/>
      <c r="I1925" s="60">
        <f>IF(OR(G1925="",H1925=""),"",MOD(H1925-G1925,1))</f>
        <v/>
      </c>
      <c r="J1925" s="61">
        <f>IF(OR(G1925="",H1925=""),"",ROUND(MOD(H1925-G1925,1)*24,2))</f>
        <v/>
      </c>
      <c r="K1925" s="62">
        <f>IF(E1925="","",IF(E1925="Werken","JA","NEE"))</f>
        <v/>
      </c>
      <c r="L1925" s="61">
        <f>IF(K1925="JA",N(J1925),IF(E1925="","",0))</f>
        <v/>
      </c>
      <c r="M1925" s="62">
        <f>IF(AND(A1925="",E1925=""),"",IF(E1925="","Segment ontbreekt",IF(OR(G1925="",H1925=""),"Van/tot ontbreekt",IF(N(J1925)=0,"Duur is nul",IF(N(J1925)&gt;12,"Langer dan 12 uur - controleren",IF(AND(E1925="Werken",D1925=""),"Werken zonder klant - koppelen","OK"))))))</f>
        <v/>
      </c>
    </row>
    <row r="1926" ht="15" customHeight="1" s="42">
      <c r="A1926" s="55" t="n"/>
      <c r="B1926" s="56">
        <f>IF(A1926="","",WEEKNUM(A1926,21))</f>
        <v/>
      </c>
      <c r="C1926" s="57" t="n"/>
      <c r="D1926" s="57" t="n"/>
      <c r="E1926" s="58" t="n"/>
      <c r="F1926" s="57" t="n"/>
      <c r="G1926" s="59" t="n"/>
      <c r="H1926" s="59" t="n"/>
      <c r="I1926" s="60">
        <f>IF(OR(G1926="",H1926=""),"",MOD(H1926-G1926,1))</f>
        <v/>
      </c>
      <c r="J1926" s="61">
        <f>IF(OR(G1926="",H1926=""),"",ROUND(MOD(H1926-G1926,1)*24,2))</f>
        <v/>
      </c>
      <c r="K1926" s="62">
        <f>IF(E1926="","",IF(E1926="Werken","JA","NEE"))</f>
        <v/>
      </c>
      <c r="L1926" s="61">
        <f>IF(K1926="JA",N(J1926),IF(E1926="","",0))</f>
        <v/>
      </c>
      <c r="M1926" s="62">
        <f>IF(AND(A1926="",E1926=""),"",IF(E1926="","Segment ontbreekt",IF(OR(G1926="",H1926=""),"Van/tot ontbreekt",IF(N(J1926)=0,"Duur is nul",IF(N(J1926)&gt;12,"Langer dan 12 uur - controleren",IF(AND(E1926="Werken",D1926=""),"Werken zonder klant - koppelen","OK"))))))</f>
        <v/>
      </c>
    </row>
    <row r="1927" ht="15" customHeight="1" s="42">
      <c r="A1927" s="55" t="n"/>
      <c r="B1927" s="56">
        <f>IF(A1927="","",WEEKNUM(A1927,21))</f>
        <v/>
      </c>
      <c r="C1927" s="57" t="n"/>
      <c r="D1927" s="57" t="n"/>
      <c r="E1927" s="58" t="n"/>
      <c r="F1927" s="57" t="n"/>
      <c r="G1927" s="59" t="n"/>
      <c r="H1927" s="59" t="n"/>
      <c r="I1927" s="60">
        <f>IF(OR(G1927="",H1927=""),"",MOD(H1927-G1927,1))</f>
        <v/>
      </c>
      <c r="J1927" s="61">
        <f>IF(OR(G1927="",H1927=""),"",ROUND(MOD(H1927-G1927,1)*24,2))</f>
        <v/>
      </c>
      <c r="K1927" s="62">
        <f>IF(E1927="","",IF(E1927="Werken","JA","NEE"))</f>
        <v/>
      </c>
      <c r="L1927" s="61">
        <f>IF(K1927="JA",N(J1927),IF(E1927="","",0))</f>
        <v/>
      </c>
      <c r="M1927" s="62">
        <f>IF(AND(A1927="",E1927=""),"",IF(E1927="","Segment ontbreekt",IF(OR(G1927="",H1927=""),"Van/tot ontbreekt",IF(N(J1927)=0,"Duur is nul",IF(N(J1927)&gt;12,"Langer dan 12 uur - controleren",IF(AND(E1927="Werken",D1927=""),"Werken zonder klant - koppelen","OK"))))))</f>
        <v/>
      </c>
    </row>
    <row r="1928" ht="15" customHeight="1" s="42">
      <c r="A1928" s="55" t="n"/>
      <c r="B1928" s="56">
        <f>IF(A1928="","",WEEKNUM(A1928,21))</f>
        <v/>
      </c>
      <c r="C1928" s="57" t="n"/>
      <c r="D1928" s="57" t="n"/>
      <c r="E1928" s="58" t="n"/>
      <c r="F1928" s="57" t="n"/>
      <c r="G1928" s="59" t="n"/>
      <c r="H1928" s="59" t="n"/>
      <c r="I1928" s="60">
        <f>IF(OR(G1928="",H1928=""),"",MOD(H1928-G1928,1))</f>
        <v/>
      </c>
      <c r="J1928" s="61">
        <f>IF(OR(G1928="",H1928=""),"",ROUND(MOD(H1928-G1928,1)*24,2))</f>
        <v/>
      </c>
      <c r="K1928" s="62">
        <f>IF(E1928="","",IF(E1928="Werken","JA","NEE"))</f>
        <v/>
      </c>
      <c r="L1928" s="61">
        <f>IF(K1928="JA",N(J1928),IF(E1928="","",0))</f>
        <v/>
      </c>
      <c r="M1928" s="62">
        <f>IF(AND(A1928="",E1928=""),"",IF(E1928="","Segment ontbreekt",IF(OR(G1928="",H1928=""),"Van/tot ontbreekt",IF(N(J1928)=0,"Duur is nul",IF(N(J1928)&gt;12,"Langer dan 12 uur - controleren",IF(AND(E1928="Werken",D1928=""),"Werken zonder klant - koppelen","OK"))))))</f>
        <v/>
      </c>
    </row>
    <row r="1929" ht="15" customHeight="1" s="42">
      <c r="A1929" s="55" t="n"/>
      <c r="B1929" s="56">
        <f>IF(A1929="","",WEEKNUM(A1929,21))</f>
        <v/>
      </c>
      <c r="C1929" s="57" t="n"/>
      <c r="D1929" s="57" t="n"/>
      <c r="E1929" s="58" t="n"/>
      <c r="F1929" s="57" t="n"/>
      <c r="G1929" s="59" t="n"/>
      <c r="H1929" s="59" t="n"/>
      <c r="I1929" s="60">
        <f>IF(OR(G1929="",H1929=""),"",MOD(H1929-G1929,1))</f>
        <v/>
      </c>
      <c r="J1929" s="61">
        <f>IF(OR(G1929="",H1929=""),"",ROUND(MOD(H1929-G1929,1)*24,2))</f>
        <v/>
      </c>
      <c r="K1929" s="62">
        <f>IF(E1929="","",IF(E1929="Werken","JA","NEE"))</f>
        <v/>
      </c>
      <c r="L1929" s="61">
        <f>IF(K1929="JA",N(J1929),IF(E1929="","",0))</f>
        <v/>
      </c>
      <c r="M1929" s="62">
        <f>IF(AND(A1929="",E1929=""),"",IF(E1929="","Segment ontbreekt",IF(OR(G1929="",H1929=""),"Van/tot ontbreekt",IF(N(J1929)=0,"Duur is nul",IF(N(J1929)&gt;12,"Langer dan 12 uur - controleren",IF(AND(E1929="Werken",D1929=""),"Werken zonder klant - koppelen","OK"))))))</f>
        <v/>
      </c>
    </row>
    <row r="1930" ht="15" customHeight="1" s="42">
      <c r="A1930" s="55" t="n"/>
      <c r="B1930" s="56">
        <f>IF(A1930="","",WEEKNUM(A1930,21))</f>
        <v/>
      </c>
      <c r="C1930" s="57" t="n"/>
      <c r="D1930" s="57" t="n"/>
      <c r="E1930" s="58" t="n"/>
      <c r="F1930" s="57" t="n"/>
      <c r="G1930" s="59" t="n"/>
      <c r="H1930" s="59" t="n"/>
      <c r="I1930" s="60">
        <f>IF(OR(G1930="",H1930=""),"",MOD(H1930-G1930,1))</f>
        <v/>
      </c>
      <c r="J1930" s="61">
        <f>IF(OR(G1930="",H1930=""),"",ROUND(MOD(H1930-G1930,1)*24,2))</f>
        <v/>
      </c>
      <c r="K1930" s="62">
        <f>IF(E1930="","",IF(E1930="Werken","JA","NEE"))</f>
        <v/>
      </c>
      <c r="L1930" s="61">
        <f>IF(K1930="JA",N(J1930),IF(E1930="","",0))</f>
        <v/>
      </c>
      <c r="M1930" s="62">
        <f>IF(AND(A1930="",E1930=""),"",IF(E1930="","Segment ontbreekt",IF(OR(G1930="",H1930=""),"Van/tot ontbreekt",IF(N(J1930)=0,"Duur is nul",IF(N(J1930)&gt;12,"Langer dan 12 uur - controleren",IF(AND(E1930="Werken",D1930=""),"Werken zonder klant - koppelen","OK"))))))</f>
        <v/>
      </c>
    </row>
    <row r="1931" ht="15" customHeight="1" s="42">
      <c r="A1931" s="55" t="n"/>
      <c r="B1931" s="56">
        <f>IF(A1931="","",WEEKNUM(A1931,21))</f>
        <v/>
      </c>
      <c r="C1931" s="57" t="n"/>
      <c r="D1931" s="57" t="n"/>
      <c r="E1931" s="58" t="n"/>
      <c r="F1931" s="57" t="n"/>
      <c r="G1931" s="59" t="n"/>
      <c r="H1931" s="59" t="n"/>
      <c r="I1931" s="60">
        <f>IF(OR(G1931="",H1931=""),"",MOD(H1931-G1931,1))</f>
        <v/>
      </c>
      <c r="J1931" s="61">
        <f>IF(OR(G1931="",H1931=""),"",ROUND(MOD(H1931-G1931,1)*24,2))</f>
        <v/>
      </c>
      <c r="K1931" s="62">
        <f>IF(E1931="","",IF(E1931="Werken","JA","NEE"))</f>
        <v/>
      </c>
      <c r="L1931" s="61">
        <f>IF(K1931="JA",N(J1931),IF(E1931="","",0))</f>
        <v/>
      </c>
      <c r="M1931" s="62">
        <f>IF(AND(A1931="",E1931=""),"",IF(E1931="","Segment ontbreekt",IF(OR(G1931="",H1931=""),"Van/tot ontbreekt",IF(N(J1931)=0,"Duur is nul",IF(N(J1931)&gt;12,"Langer dan 12 uur - controleren",IF(AND(E1931="Werken",D1931=""),"Werken zonder klant - koppelen","OK"))))))</f>
        <v/>
      </c>
    </row>
    <row r="1932" ht="15" customHeight="1" s="42">
      <c r="A1932" s="55" t="n"/>
      <c r="B1932" s="56">
        <f>IF(A1932="","",WEEKNUM(A1932,21))</f>
        <v/>
      </c>
      <c r="C1932" s="57" t="n"/>
      <c r="D1932" s="57" t="n"/>
      <c r="E1932" s="58" t="n"/>
      <c r="F1932" s="57" t="n"/>
      <c r="G1932" s="59" t="n"/>
      <c r="H1932" s="59" t="n"/>
      <c r="I1932" s="60">
        <f>IF(OR(G1932="",H1932=""),"",MOD(H1932-G1932,1))</f>
        <v/>
      </c>
      <c r="J1932" s="61">
        <f>IF(OR(G1932="",H1932=""),"",ROUND(MOD(H1932-G1932,1)*24,2))</f>
        <v/>
      </c>
      <c r="K1932" s="62">
        <f>IF(E1932="","",IF(E1932="Werken","JA","NEE"))</f>
        <v/>
      </c>
      <c r="L1932" s="61">
        <f>IF(K1932="JA",N(J1932),IF(E1932="","",0))</f>
        <v/>
      </c>
      <c r="M1932" s="62">
        <f>IF(AND(A1932="",E1932=""),"",IF(E1932="","Segment ontbreekt",IF(OR(G1932="",H1932=""),"Van/tot ontbreekt",IF(N(J1932)=0,"Duur is nul",IF(N(J1932)&gt;12,"Langer dan 12 uur - controleren",IF(AND(E1932="Werken",D1932=""),"Werken zonder klant - koppelen","OK"))))))</f>
        <v/>
      </c>
    </row>
    <row r="1933" ht="15" customHeight="1" s="42">
      <c r="A1933" s="55" t="n"/>
      <c r="B1933" s="56">
        <f>IF(A1933="","",WEEKNUM(A1933,21))</f>
        <v/>
      </c>
      <c r="C1933" s="57" t="n"/>
      <c r="D1933" s="57" t="n"/>
      <c r="E1933" s="58" t="n"/>
      <c r="F1933" s="57" t="n"/>
      <c r="G1933" s="59" t="n"/>
      <c r="H1933" s="59" t="n"/>
      <c r="I1933" s="60">
        <f>IF(OR(G1933="",H1933=""),"",MOD(H1933-G1933,1))</f>
        <v/>
      </c>
      <c r="J1933" s="61">
        <f>IF(OR(G1933="",H1933=""),"",ROUND(MOD(H1933-G1933,1)*24,2))</f>
        <v/>
      </c>
      <c r="K1933" s="62">
        <f>IF(E1933="","",IF(E1933="Werken","JA","NEE"))</f>
        <v/>
      </c>
      <c r="L1933" s="61">
        <f>IF(K1933="JA",N(J1933),IF(E1933="","",0))</f>
        <v/>
      </c>
      <c r="M1933" s="62">
        <f>IF(AND(A1933="",E1933=""),"",IF(E1933="","Segment ontbreekt",IF(OR(G1933="",H1933=""),"Van/tot ontbreekt",IF(N(J1933)=0,"Duur is nul",IF(N(J1933)&gt;12,"Langer dan 12 uur - controleren",IF(AND(E1933="Werken",D1933=""),"Werken zonder klant - koppelen","OK"))))))</f>
        <v/>
      </c>
    </row>
    <row r="1934" ht="15" customHeight="1" s="42">
      <c r="A1934" s="55" t="n"/>
      <c r="B1934" s="56">
        <f>IF(A1934="","",WEEKNUM(A1934,21))</f>
        <v/>
      </c>
      <c r="C1934" s="57" t="n"/>
      <c r="D1934" s="57" t="n"/>
      <c r="E1934" s="58" t="n"/>
      <c r="F1934" s="57" t="n"/>
      <c r="G1934" s="59" t="n"/>
      <c r="H1934" s="59" t="n"/>
      <c r="I1934" s="60">
        <f>IF(OR(G1934="",H1934=""),"",MOD(H1934-G1934,1))</f>
        <v/>
      </c>
      <c r="J1934" s="61">
        <f>IF(OR(G1934="",H1934=""),"",ROUND(MOD(H1934-G1934,1)*24,2))</f>
        <v/>
      </c>
      <c r="K1934" s="62">
        <f>IF(E1934="","",IF(E1934="Werken","JA","NEE"))</f>
        <v/>
      </c>
      <c r="L1934" s="61">
        <f>IF(K1934="JA",N(J1934),IF(E1934="","",0))</f>
        <v/>
      </c>
      <c r="M1934" s="62">
        <f>IF(AND(A1934="",E1934=""),"",IF(E1934="","Segment ontbreekt",IF(OR(G1934="",H1934=""),"Van/tot ontbreekt",IF(N(J1934)=0,"Duur is nul",IF(N(J1934)&gt;12,"Langer dan 12 uur - controleren",IF(AND(E1934="Werken",D1934=""),"Werken zonder klant - koppelen","OK"))))))</f>
        <v/>
      </c>
    </row>
    <row r="1935" ht="15" customHeight="1" s="42">
      <c r="A1935" s="55" t="n"/>
      <c r="B1935" s="56">
        <f>IF(A1935="","",WEEKNUM(A1935,21))</f>
        <v/>
      </c>
      <c r="C1935" s="57" t="n"/>
      <c r="D1935" s="57" t="n"/>
      <c r="E1935" s="58" t="n"/>
      <c r="F1935" s="57" t="n"/>
      <c r="G1935" s="59" t="n"/>
      <c r="H1935" s="59" t="n"/>
      <c r="I1935" s="60">
        <f>IF(OR(G1935="",H1935=""),"",MOD(H1935-G1935,1))</f>
        <v/>
      </c>
      <c r="J1935" s="61">
        <f>IF(OR(G1935="",H1935=""),"",ROUND(MOD(H1935-G1935,1)*24,2))</f>
        <v/>
      </c>
      <c r="K1935" s="62">
        <f>IF(E1935="","",IF(E1935="Werken","JA","NEE"))</f>
        <v/>
      </c>
      <c r="L1935" s="61">
        <f>IF(K1935="JA",N(J1935),IF(E1935="","",0))</f>
        <v/>
      </c>
      <c r="M1935" s="62">
        <f>IF(AND(A1935="",E1935=""),"",IF(E1935="","Segment ontbreekt",IF(OR(G1935="",H1935=""),"Van/tot ontbreekt",IF(N(J1935)=0,"Duur is nul",IF(N(J1935)&gt;12,"Langer dan 12 uur - controleren",IF(AND(E1935="Werken",D1935=""),"Werken zonder klant - koppelen","OK"))))))</f>
        <v/>
      </c>
    </row>
    <row r="1936" ht="15" customHeight="1" s="42">
      <c r="A1936" s="55" t="n"/>
      <c r="B1936" s="56">
        <f>IF(A1936="","",WEEKNUM(A1936,21))</f>
        <v/>
      </c>
      <c r="C1936" s="57" t="n"/>
      <c r="D1936" s="57" t="n"/>
      <c r="E1936" s="58" t="n"/>
      <c r="F1936" s="57" t="n"/>
      <c r="G1936" s="59" t="n"/>
      <c r="H1936" s="59" t="n"/>
      <c r="I1936" s="60">
        <f>IF(OR(G1936="",H1936=""),"",MOD(H1936-G1936,1))</f>
        <v/>
      </c>
      <c r="J1936" s="61">
        <f>IF(OR(G1936="",H1936=""),"",ROUND(MOD(H1936-G1936,1)*24,2))</f>
        <v/>
      </c>
      <c r="K1936" s="62">
        <f>IF(E1936="","",IF(E1936="Werken","JA","NEE"))</f>
        <v/>
      </c>
      <c r="L1936" s="61">
        <f>IF(K1936="JA",N(J1936),IF(E1936="","",0))</f>
        <v/>
      </c>
      <c r="M1936" s="62">
        <f>IF(AND(A1936="",E1936=""),"",IF(E1936="","Segment ontbreekt",IF(OR(G1936="",H1936=""),"Van/tot ontbreekt",IF(N(J1936)=0,"Duur is nul",IF(N(J1936)&gt;12,"Langer dan 12 uur - controleren",IF(AND(E1936="Werken",D1936=""),"Werken zonder klant - koppelen","OK"))))))</f>
        <v/>
      </c>
    </row>
    <row r="1937" ht="15" customHeight="1" s="42">
      <c r="A1937" s="55" t="n"/>
      <c r="B1937" s="56">
        <f>IF(A1937="","",WEEKNUM(A1937,21))</f>
        <v/>
      </c>
      <c r="C1937" s="57" t="n"/>
      <c r="D1937" s="57" t="n"/>
      <c r="E1937" s="58" t="n"/>
      <c r="F1937" s="57" t="n"/>
      <c r="G1937" s="59" t="n"/>
      <c r="H1937" s="59" t="n"/>
      <c r="I1937" s="60">
        <f>IF(OR(G1937="",H1937=""),"",MOD(H1937-G1937,1))</f>
        <v/>
      </c>
      <c r="J1937" s="61">
        <f>IF(OR(G1937="",H1937=""),"",ROUND(MOD(H1937-G1937,1)*24,2))</f>
        <v/>
      </c>
      <c r="K1937" s="62">
        <f>IF(E1937="","",IF(E1937="Werken","JA","NEE"))</f>
        <v/>
      </c>
      <c r="L1937" s="61">
        <f>IF(K1937="JA",N(J1937),IF(E1937="","",0))</f>
        <v/>
      </c>
      <c r="M1937" s="62">
        <f>IF(AND(A1937="",E1937=""),"",IF(E1937="","Segment ontbreekt",IF(OR(G1937="",H1937=""),"Van/tot ontbreekt",IF(N(J1937)=0,"Duur is nul",IF(N(J1937)&gt;12,"Langer dan 12 uur - controleren",IF(AND(E1937="Werken",D1937=""),"Werken zonder klant - koppelen","OK"))))))</f>
        <v/>
      </c>
    </row>
    <row r="1938" ht="15" customHeight="1" s="42">
      <c r="A1938" s="55" t="n"/>
      <c r="B1938" s="56">
        <f>IF(A1938="","",WEEKNUM(A1938,21))</f>
        <v/>
      </c>
      <c r="C1938" s="57" t="n"/>
      <c r="D1938" s="57" t="n"/>
      <c r="E1938" s="58" t="n"/>
      <c r="F1938" s="57" t="n"/>
      <c r="G1938" s="59" t="n"/>
      <c r="H1938" s="59" t="n"/>
      <c r="I1938" s="60">
        <f>IF(OR(G1938="",H1938=""),"",MOD(H1938-G1938,1))</f>
        <v/>
      </c>
      <c r="J1938" s="61">
        <f>IF(OR(G1938="",H1938=""),"",ROUND(MOD(H1938-G1938,1)*24,2))</f>
        <v/>
      </c>
      <c r="K1938" s="62">
        <f>IF(E1938="","",IF(E1938="Werken","JA","NEE"))</f>
        <v/>
      </c>
      <c r="L1938" s="61">
        <f>IF(K1938="JA",N(J1938),IF(E1938="","",0))</f>
        <v/>
      </c>
      <c r="M1938" s="62">
        <f>IF(AND(A1938="",E1938=""),"",IF(E1938="","Segment ontbreekt",IF(OR(G1938="",H1938=""),"Van/tot ontbreekt",IF(N(J1938)=0,"Duur is nul",IF(N(J1938)&gt;12,"Langer dan 12 uur - controleren",IF(AND(E1938="Werken",D1938=""),"Werken zonder klant - koppelen","OK"))))))</f>
        <v/>
      </c>
    </row>
    <row r="1939" ht="15" customHeight="1" s="42">
      <c r="A1939" s="55" t="n"/>
      <c r="B1939" s="56">
        <f>IF(A1939="","",WEEKNUM(A1939,21))</f>
        <v/>
      </c>
      <c r="C1939" s="57" t="n"/>
      <c r="D1939" s="57" t="n"/>
      <c r="E1939" s="58" t="n"/>
      <c r="F1939" s="57" t="n"/>
      <c r="G1939" s="59" t="n"/>
      <c r="H1939" s="59" t="n"/>
      <c r="I1939" s="60">
        <f>IF(OR(G1939="",H1939=""),"",MOD(H1939-G1939,1))</f>
        <v/>
      </c>
      <c r="J1939" s="61">
        <f>IF(OR(G1939="",H1939=""),"",ROUND(MOD(H1939-G1939,1)*24,2))</f>
        <v/>
      </c>
      <c r="K1939" s="62">
        <f>IF(E1939="","",IF(E1939="Werken","JA","NEE"))</f>
        <v/>
      </c>
      <c r="L1939" s="61">
        <f>IF(K1939="JA",N(J1939),IF(E1939="","",0))</f>
        <v/>
      </c>
      <c r="M1939" s="62">
        <f>IF(AND(A1939="",E1939=""),"",IF(E1939="","Segment ontbreekt",IF(OR(G1939="",H1939=""),"Van/tot ontbreekt",IF(N(J1939)=0,"Duur is nul",IF(N(J1939)&gt;12,"Langer dan 12 uur - controleren",IF(AND(E1939="Werken",D1939=""),"Werken zonder klant - koppelen","OK"))))))</f>
        <v/>
      </c>
    </row>
    <row r="1940" ht="15" customHeight="1" s="42">
      <c r="A1940" s="55" t="n"/>
      <c r="B1940" s="56">
        <f>IF(A1940="","",WEEKNUM(A1940,21))</f>
        <v/>
      </c>
      <c r="C1940" s="57" t="n"/>
      <c r="D1940" s="57" t="n"/>
      <c r="E1940" s="58" t="n"/>
      <c r="F1940" s="57" t="n"/>
      <c r="G1940" s="59" t="n"/>
      <c r="H1940" s="59" t="n"/>
      <c r="I1940" s="60">
        <f>IF(OR(G1940="",H1940=""),"",MOD(H1940-G1940,1))</f>
        <v/>
      </c>
      <c r="J1940" s="61">
        <f>IF(OR(G1940="",H1940=""),"",ROUND(MOD(H1940-G1940,1)*24,2))</f>
        <v/>
      </c>
      <c r="K1940" s="62">
        <f>IF(E1940="","",IF(E1940="Werken","JA","NEE"))</f>
        <v/>
      </c>
      <c r="L1940" s="61">
        <f>IF(K1940="JA",N(J1940),IF(E1940="","",0))</f>
        <v/>
      </c>
      <c r="M1940" s="62">
        <f>IF(AND(A1940="",E1940=""),"",IF(E1940="","Segment ontbreekt",IF(OR(G1940="",H1940=""),"Van/tot ontbreekt",IF(N(J1940)=0,"Duur is nul",IF(N(J1940)&gt;12,"Langer dan 12 uur - controleren",IF(AND(E1940="Werken",D1940=""),"Werken zonder klant - koppelen","OK"))))))</f>
        <v/>
      </c>
    </row>
    <row r="1941" ht="15" customHeight="1" s="42">
      <c r="A1941" s="55" t="n"/>
      <c r="B1941" s="56">
        <f>IF(A1941="","",WEEKNUM(A1941,21))</f>
        <v/>
      </c>
      <c r="C1941" s="57" t="n"/>
      <c r="D1941" s="57" t="n"/>
      <c r="E1941" s="58" t="n"/>
      <c r="F1941" s="57" t="n"/>
      <c r="G1941" s="59" t="n"/>
      <c r="H1941" s="59" t="n"/>
      <c r="I1941" s="60">
        <f>IF(OR(G1941="",H1941=""),"",MOD(H1941-G1941,1))</f>
        <v/>
      </c>
      <c r="J1941" s="61">
        <f>IF(OR(G1941="",H1941=""),"",ROUND(MOD(H1941-G1941,1)*24,2))</f>
        <v/>
      </c>
      <c r="K1941" s="62">
        <f>IF(E1941="","",IF(E1941="Werken","JA","NEE"))</f>
        <v/>
      </c>
      <c r="L1941" s="61">
        <f>IF(K1941="JA",N(J1941),IF(E1941="","",0))</f>
        <v/>
      </c>
      <c r="M1941" s="62">
        <f>IF(AND(A1941="",E1941=""),"",IF(E1941="","Segment ontbreekt",IF(OR(G1941="",H1941=""),"Van/tot ontbreekt",IF(N(J1941)=0,"Duur is nul",IF(N(J1941)&gt;12,"Langer dan 12 uur - controleren",IF(AND(E1941="Werken",D1941=""),"Werken zonder klant - koppelen","OK"))))))</f>
        <v/>
      </c>
    </row>
    <row r="1942" ht="15" customHeight="1" s="42">
      <c r="A1942" s="55" t="n"/>
      <c r="B1942" s="56">
        <f>IF(A1942="","",WEEKNUM(A1942,21))</f>
        <v/>
      </c>
      <c r="C1942" s="57" t="n"/>
      <c r="D1942" s="57" t="n"/>
      <c r="E1942" s="58" t="n"/>
      <c r="F1942" s="57" t="n"/>
      <c r="G1942" s="59" t="n"/>
      <c r="H1942" s="59" t="n"/>
      <c r="I1942" s="60">
        <f>IF(OR(G1942="",H1942=""),"",MOD(H1942-G1942,1))</f>
        <v/>
      </c>
      <c r="J1942" s="61">
        <f>IF(OR(G1942="",H1942=""),"",ROUND(MOD(H1942-G1942,1)*24,2))</f>
        <v/>
      </c>
      <c r="K1942" s="62">
        <f>IF(E1942="","",IF(E1942="Werken","JA","NEE"))</f>
        <v/>
      </c>
      <c r="L1942" s="61">
        <f>IF(K1942="JA",N(J1942),IF(E1942="","",0))</f>
        <v/>
      </c>
      <c r="M1942" s="62">
        <f>IF(AND(A1942="",E1942=""),"",IF(E1942="","Segment ontbreekt",IF(OR(G1942="",H1942=""),"Van/tot ontbreekt",IF(N(J1942)=0,"Duur is nul",IF(N(J1942)&gt;12,"Langer dan 12 uur - controleren",IF(AND(E1942="Werken",D1942=""),"Werken zonder klant - koppelen","OK"))))))</f>
        <v/>
      </c>
    </row>
    <row r="1943" ht="15" customHeight="1" s="42">
      <c r="A1943" s="55" t="n"/>
      <c r="B1943" s="56">
        <f>IF(A1943="","",WEEKNUM(A1943,21))</f>
        <v/>
      </c>
      <c r="C1943" s="57" t="n"/>
      <c r="D1943" s="57" t="n"/>
      <c r="E1943" s="58" t="n"/>
      <c r="F1943" s="57" t="n"/>
      <c r="G1943" s="59" t="n"/>
      <c r="H1943" s="59" t="n"/>
      <c r="I1943" s="60">
        <f>IF(OR(G1943="",H1943=""),"",MOD(H1943-G1943,1))</f>
        <v/>
      </c>
      <c r="J1943" s="61">
        <f>IF(OR(G1943="",H1943=""),"",ROUND(MOD(H1943-G1943,1)*24,2))</f>
        <v/>
      </c>
      <c r="K1943" s="62">
        <f>IF(E1943="","",IF(E1943="Werken","JA","NEE"))</f>
        <v/>
      </c>
      <c r="L1943" s="61">
        <f>IF(K1943="JA",N(J1943),IF(E1943="","",0))</f>
        <v/>
      </c>
      <c r="M1943" s="62">
        <f>IF(AND(A1943="",E1943=""),"",IF(E1943="","Segment ontbreekt",IF(OR(G1943="",H1943=""),"Van/tot ontbreekt",IF(N(J1943)=0,"Duur is nul",IF(N(J1943)&gt;12,"Langer dan 12 uur - controleren",IF(AND(E1943="Werken",D1943=""),"Werken zonder klant - koppelen","OK"))))))</f>
        <v/>
      </c>
    </row>
    <row r="1944" ht="15" customHeight="1" s="42">
      <c r="A1944" s="55" t="n"/>
      <c r="B1944" s="56">
        <f>IF(A1944="","",WEEKNUM(A1944,21))</f>
        <v/>
      </c>
      <c r="C1944" s="57" t="n"/>
      <c r="D1944" s="57" t="n"/>
      <c r="E1944" s="58" t="n"/>
      <c r="F1944" s="57" t="n"/>
      <c r="G1944" s="59" t="n"/>
      <c r="H1944" s="59" t="n"/>
      <c r="I1944" s="60">
        <f>IF(OR(G1944="",H1944=""),"",MOD(H1944-G1944,1))</f>
        <v/>
      </c>
      <c r="J1944" s="61">
        <f>IF(OR(G1944="",H1944=""),"",ROUND(MOD(H1944-G1944,1)*24,2))</f>
        <v/>
      </c>
      <c r="K1944" s="62">
        <f>IF(E1944="","",IF(E1944="Werken","JA","NEE"))</f>
        <v/>
      </c>
      <c r="L1944" s="61">
        <f>IF(K1944="JA",N(J1944),IF(E1944="","",0))</f>
        <v/>
      </c>
      <c r="M1944" s="62">
        <f>IF(AND(A1944="",E1944=""),"",IF(E1944="","Segment ontbreekt",IF(OR(G1944="",H1944=""),"Van/tot ontbreekt",IF(N(J1944)=0,"Duur is nul",IF(N(J1944)&gt;12,"Langer dan 12 uur - controleren",IF(AND(E1944="Werken",D1944=""),"Werken zonder klant - koppelen","OK"))))))</f>
        <v/>
      </c>
    </row>
    <row r="1945" ht="15" customHeight="1" s="42">
      <c r="A1945" s="55" t="n"/>
      <c r="B1945" s="56">
        <f>IF(A1945="","",WEEKNUM(A1945,21))</f>
        <v/>
      </c>
      <c r="C1945" s="57" t="n"/>
      <c r="D1945" s="57" t="n"/>
      <c r="E1945" s="58" t="n"/>
      <c r="F1945" s="57" t="n"/>
      <c r="G1945" s="59" t="n"/>
      <c r="H1945" s="59" t="n"/>
      <c r="I1945" s="60">
        <f>IF(OR(G1945="",H1945=""),"",MOD(H1945-G1945,1))</f>
        <v/>
      </c>
      <c r="J1945" s="61">
        <f>IF(OR(G1945="",H1945=""),"",ROUND(MOD(H1945-G1945,1)*24,2))</f>
        <v/>
      </c>
      <c r="K1945" s="62">
        <f>IF(E1945="","",IF(E1945="Werken","JA","NEE"))</f>
        <v/>
      </c>
      <c r="L1945" s="61">
        <f>IF(K1945="JA",N(J1945),IF(E1945="","",0))</f>
        <v/>
      </c>
      <c r="M1945" s="62">
        <f>IF(AND(A1945="",E1945=""),"",IF(E1945="","Segment ontbreekt",IF(OR(G1945="",H1945=""),"Van/tot ontbreekt",IF(N(J1945)=0,"Duur is nul",IF(N(J1945)&gt;12,"Langer dan 12 uur - controleren",IF(AND(E1945="Werken",D1945=""),"Werken zonder klant - koppelen","OK"))))))</f>
        <v/>
      </c>
    </row>
    <row r="1946" ht="15" customHeight="1" s="42">
      <c r="A1946" s="55" t="n"/>
      <c r="B1946" s="56">
        <f>IF(A1946="","",WEEKNUM(A1946,21))</f>
        <v/>
      </c>
      <c r="C1946" s="57" t="n"/>
      <c r="D1946" s="57" t="n"/>
      <c r="E1946" s="58" t="n"/>
      <c r="F1946" s="57" t="n"/>
      <c r="G1946" s="59" t="n"/>
      <c r="H1946" s="59" t="n"/>
      <c r="I1946" s="60">
        <f>IF(OR(G1946="",H1946=""),"",MOD(H1946-G1946,1))</f>
        <v/>
      </c>
      <c r="J1946" s="61">
        <f>IF(OR(G1946="",H1946=""),"",ROUND(MOD(H1946-G1946,1)*24,2))</f>
        <v/>
      </c>
      <c r="K1946" s="62">
        <f>IF(E1946="","",IF(E1946="Werken","JA","NEE"))</f>
        <v/>
      </c>
      <c r="L1946" s="61">
        <f>IF(K1946="JA",N(J1946),IF(E1946="","",0))</f>
        <v/>
      </c>
      <c r="M1946" s="62">
        <f>IF(AND(A1946="",E1946=""),"",IF(E1946="","Segment ontbreekt",IF(OR(G1946="",H1946=""),"Van/tot ontbreekt",IF(N(J1946)=0,"Duur is nul",IF(N(J1946)&gt;12,"Langer dan 12 uur - controleren",IF(AND(E1946="Werken",D1946=""),"Werken zonder klant - koppelen","OK"))))))</f>
        <v/>
      </c>
    </row>
    <row r="1947" ht="15" customHeight="1" s="42">
      <c r="A1947" s="55" t="n"/>
      <c r="B1947" s="56">
        <f>IF(A1947="","",WEEKNUM(A1947,21))</f>
        <v/>
      </c>
      <c r="C1947" s="57" t="n"/>
      <c r="D1947" s="57" t="n"/>
      <c r="E1947" s="58" t="n"/>
      <c r="F1947" s="57" t="n"/>
      <c r="G1947" s="59" t="n"/>
      <c r="H1947" s="59" t="n"/>
      <c r="I1947" s="60">
        <f>IF(OR(G1947="",H1947=""),"",MOD(H1947-G1947,1))</f>
        <v/>
      </c>
      <c r="J1947" s="61">
        <f>IF(OR(G1947="",H1947=""),"",ROUND(MOD(H1947-G1947,1)*24,2))</f>
        <v/>
      </c>
      <c r="K1947" s="62">
        <f>IF(E1947="","",IF(E1947="Werken","JA","NEE"))</f>
        <v/>
      </c>
      <c r="L1947" s="61">
        <f>IF(K1947="JA",N(J1947),IF(E1947="","",0))</f>
        <v/>
      </c>
      <c r="M1947" s="62">
        <f>IF(AND(A1947="",E1947=""),"",IF(E1947="","Segment ontbreekt",IF(OR(G1947="",H1947=""),"Van/tot ontbreekt",IF(N(J1947)=0,"Duur is nul",IF(N(J1947)&gt;12,"Langer dan 12 uur - controleren",IF(AND(E1947="Werken",D1947=""),"Werken zonder klant - koppelen","OK"))))))</f>
        <v/>
      </c>
    </row>
    <row r="1948" ht="15" customHeight="1" s="42">
      <c r="A1948" s="55" t="n"/>
      <c r="B1948" s="56">
        <f>IF(A1948="","",WEEKNUM(A1948,21))</f>
        <v/>
      </c>
      <c r="C1948" s="57" t="n"/>
      <c r="D1948" s="57" t="n"/>
      <c r="E1948" s="58" t="n"/>
      <c r="F1948" s="57" t="n"/>
      <c r="G1948" s="59" t="n"/>
      <c r="H1948" s="59" t="n"/>
      <c r="I1948" s="60">
        <f>IF(OR(G1948="",H1948=""),"",MOD(H1948-G1948,1))</f>
        <v/>
      </c>
      <c r="J1948" s="61">
        <f>IF(OR(G1948="",H1948=""),"",ROUND(MOD(H1948-G1948,1)*24,2))</f>
        <v/>
      </c>
      <c r="K1948" s="62">
        <f>IF(E1948="","",IF(E1948="Werken","JA","NEE"))</f>
        <v/>
      </c>
      <c r="L1948" s="61">
        <f>IF(K1948="JA",N(J1948),IF(E1948="","",0))</f>
        <v/>
      </c>
      <c r="M1948" s="62">
        <f>IF(AND(A1948="",E1948=""),"",IF(E1948="","Segment ontbreekt",IF(OR(G1948="",H1948=""),"Van/tot ontbreekt",IF(N(J1948)=0,"Duur is nul",IF(N(J1948)&gt;12,"Langer dan 12 uur - controleren",IF(AND(E1948="Werken",D1948=""),"Werken zonder klant - koppelen","OK"))))))</f>
        <v/>
      </c>
    </row>
    <row r="1949" ht="15" customHeight="1" s="42">
      <c r="A1949" s="55" t="n"/>
      <c r="B1949" s="56">
        <f>IF(A1949="","",WEEKNUM(A1949,21))</f>
        <v/>
      </c>
      <c r="C1949" s="57" t="n"/>
      <c r="D1949" s="57" t="n"/>
      <c r="E1949" s="58" t="n"/>
      <c r="F1949" s="57" t="n"/>
      <c r="G1949" s="59" t="n"/>
      <c r="H1949" s="59" t="n"/>
      <c r="I1949" s="60">
        <f>IF(OR(G1949="",H1949=""),"",MOD(H1949-G1949,1))</f>
        <v/>
      </c>
      <c r="J1949" s="61">
        <f>IF(OR(G1949="",H1949=""),"",ROUND(MOD(H1949-G1949,1)*24,2))</f>
        <v/>
      </c>
      <c r="K1949" s="62">
        <f>IF(E1949="","",IF(E1949="Werken","JA","NEE"))</f>
        <v/>
      </c>
      <c r="L1949" s="61">
        <f>IF(K1949="JA",N(J1949),IF(E1949="","",0))</f>
        <v/>
      </c>
      <c r="M1949" s="62">
        <f>IF(AND(A1949="",E1949=""),"",IF(E1949="","Segment ontbreekt",IF(OR(G1949="",H1949=""),"Van/tot ontbreekt",IF(N(J1949)=0,"Duur is nul",IF(N(J1949)&gt;12,"Langer dan 12 uur - controleren",IF(AND(E1949="Werken",D1949=""),"Werken zonder klant - koppelen","OK"))))))</f>
        <v/>
      </c>
    </row>
    <row r="1950" ht="15" customHeight="1" s="42">
      <c r="A1950" s="55" t="n"/>
      <c r="B1950" s="56">
        <f>IF(A1950="","",WEEKNUM(A1950,21))</f>
        <v/>
      </c>
      <c r="C1950" s="57" t="n"/>
      <c r="D1950" s="57" t="n"/>
      <c r="E1950" s="58" t="n"/>
      <c r="F1950" s="57" t="n"/>
      <c r="G1950" s="59" t="n"/>
      <c r="H1950" s="59" t="n"/>
      <c r="I1950" s="60">
        <f>IF(OR(G1950="",H1950=""),"",MOD(H1950-G1950,1))</f>
        <v/>
      </c>
      <c r="J1950" s="61">
        <f>IF(OR(G1950="",H1950=""),"",ROUND(MOD(H1950-G1950,1)*24,2))</f>
        <v/>
      </c>
      <c r="K1950" s="62">
        <f>IF(E1950="","",IF(E1950="Werken","JA","NEE"))</f>
        <v/>
      </c>
      <c r="L1950" s="61">
        <f>IF(K1950="JA",N(J1950),IF(E1950="","",0))</f>
        <v/>
      </c>
      <c r="M1950" s="62">
        <f>IF(AND(A1950="",E1950=""),"",IF(E1950="","Segment ontbreekt",IF(OR(G1950="",H1950=""),"Van/tot ontbreekt",IF(N(J1950)=0,"Duur is nul",IF(N(J1950)&gt;12,"Langer dan 12 uur - controleren",IF(AND(E1950="Werken",D1950=""),"Werken zonder klant - koppelen","OK"))))))</f>
        <v/>
      </c>
    </row>
    <row r="1951" ht="15" customHeight="1" s="42">
      <c r="A1951" s="55" t="n"/>
      <c r="B1951" s="56">
        <f>IF(A1951="","",WEEKNUM(A1951,21))</f>
        <v/>
      </c>
      <c r="C1951" s="57" t="n"/>
      <c r="D1951" s="57" t="n"/>
      <c r="E1951" s="58" t="n"/>
      <c r="F1951" s="57" t="n"/>
      <c r="G1951" s="59" t="n"/>
      <c r="H1951" s="59" t="n"/>
      <c r="I1951" s="60">
        <f>IF(OR(G1951="",H1951=""),"",MOD(H1951-G1951,1))</f>
        <v/>
      </c>
      <c r="J1951" s="61">
        <f>IF(OR(G1951="",H1951=""),"",ROUND(MOD(H1951-G1951,1)*24,2))</f>
        <v/>
      </c>
      <c r="K1951" s="62">
        <f>IF(E1951="","",IF(E1951="Werken","JA","NEE"))</f>
        <v/>
      </c>
      <c r="L1951" s="61">
        <f>IF(K1951="JA",N(J1951),IF(E1951="","",0))</f>
        <v/>
      </c>
      <c r="M1951" s="62">
        <f>IF(AND(A1951="",E1951=""),"",IF(E1951="","Segment ontbreekt",IF(OR(G1951="",H1951=""),"Van/tot ontbreekt",IF(N(J1951)=0,"Duur is nul",IF(N(J1951)&gt;12,"Langer dan 12 uur - controleren",IF(AND(E1951="Werken",D1951=""),"Werken zonder klant - koppelen","OK"))))))</f>
        <v/>
      </c>
    </row>
    <row r="1952" ht="15" customHeight="1" s="42">
      <c r="A1952" s="55" t="n"/>
      <c r="B1952" s="56">
        <f>IF(A1952="","",WEEKNUM(A1952,21))</f>
        <v/>
      </c>
      <c r="C1952" s="57" t="n"/>
      <c r="D1952" s="57" t="n"/>
      <c r="E1952" s="58" t="n"/>
      <c r="F1952" s="57" t="n"/>
      <c r="G1952" s="59" t="n"/>
      <c r="H1952" s="59" t="n"/>
      <c r="I1952" s="60">
        <f>IF(OR(G1952="",H1952=""),"",MOD(H1952-G1952,1))</f>
        <v/>
      </c>
      <c r="J1952" s="61">
        <f>IF(OR(G1952="",H1952=""),"",ROUND(MOD(H1952-G1952,1)*24,2))</f>
        <v/>
      </c>
      <c r="K1952" s="62">
        <f>IF(E1952="","",IF(E1952="Werken","JA","NEE"))</f>
        <v/>
      </c>
      <c r="L1952" s="61">
        <f>IF(K1952="JA",N(J1952),IF(E1952="","",0))</f>
        <v/>
      </c>
      <c r="M1952" s="62">
        <f>IF(AND(A1952="",E1952=""),"",IF(E1952="","Segment ontbreekt",IF(OR(G1952="",H1952=""),"Van/tot ontbreekt",IF(N(J1952)=0,"Duur is nul",IF(N(J1952)&gt;12,"Langer dan 12 uur - controleren",IF(AND(E1952="Werken",D1952=""),"Werken zonder klant - koppelen","OK"))))))</f>
        <v/>
      </c>
    </row>
    <row r="1953" ht="15" customHeight="1" s="42">
      <c r="A1953" s="55" t="n"/>
      <c r="B1953" s="56">
        <f>IF(A1953="","",WEEKNUM(A1953,21))</f>
        <v/>
      </c>
      <c r="C1953" s="57" t="n"/>
      <c r="D1953" s="57" t="n"/>
      <c r="E1953" s="58" t="n"/>
      <c r="F1953" s="57" t="n"/>
      <c r="G1953" s="59" t="n"/>
      <c r="H1953" s="59" t="n"/>
      <c r="I1953" s="60">
        <f>IF(OR(G1953="",H1953=""),"",MOD(H1953-G1953,1))</f>
        <v/>
      </c>
      <c r="J1953" s="61">
        <f>IF(OR(G1953="",H1953=""),"",ROUND(MOD(H1953-G1953,1)*24,2))</f>
        <v/>
      </c>
      <c r="K1953" s="62">
        <f>IF(E1953="","",IF(E1953="Werken","JA","NEE"))</f>
        <v/>
      </c>
      <c r="L1953" s="61">
        <f>IF(K1953="JA",N(J1953),IF(E1953="","",0))</f>
        <v/>
      </c>
      <c r="M1953" s="62">
        <f>IF(AND(A1953="",E1953=""),"",IF(E1953="","Segment ontbreekt",IF(OR(G1953="",H1953=""),"Van/tot ontbreekt",IF(N(J1953)=0,"Duur is nul",IF(N(J1953)&gt;12,"Langer dan 12 uur - controleren",IF(AND(E1953="Werken",D1953=""),"Werken zonder klant - koppelen","OK"))))))</f>
        <v/>
      </c>
    </row>
    <row r="1954" ht="15" customHeight="1" s="42">
      <c r="A1954" s="55" t="n"/>
      <c r="B1954" s="56">
        <f>IF(A1954="","",WEEKNUM(A1954,21))</f>
        <v/>
      </c>
      <c r="C1954" s="57" t="n"/>
      <c r="D1954" s="57" t="n"/>
      <c r="E1954" s="58" t="n"/>
      <c r="F1954" s="57" t="n"/>
      <c r="G1954" s="59" t="n"/>
      <c r="H1954" s="59" t="n"/>
      <c r="I1954" s="60">
        <f>IF(OR(G1954="",H1954=""),"",MOD(H1954-G1954,1))</f>
        <v/>
      </c>
      <c r="J1954" s="61">
        <f>IF(OR(G1954="",H1954=""),"",ROUND(MOD(H1954-G1954,1)*24,2))</f>
        <v/>
      </c>
      <c r="K1954" s="62">
        <f>IF(E1954="","",IF(E1954="Werken","JA","NEE"))</f>
        <v/>
      </c>
      <c r="L1954" s="61">
        <f>IF(K1954="JA",N(J1954),IF(E1954="","",0))</f>
        <v/>
      </c>
      <c r="M1954" s="62">
        <f>IF(AND(A1954="",E1954=""),"",IF(E1954="","Segment ontbreekt",IF(OR(G1954="",H1954=""),"Van/tot ontbreekt",IF(N(J1954)=0,"Duur is nul",IF(N(J1954)&gt;12,"Langer dan 12 uur - controleren",IF(AND(E1954="Werken",D1954=""),"Werken zonder klant - koppelen","OK"))))))</f>
        <v/>
      </c>
    </row>
    <row r="1955" ht="15" customHeight="1" s="42">
      <c r="A1955" s="55" t="n"/>
      <c r="B1955" s="56">
        <f>IF(A1955="","",WEEKNUM(A1955,21))</f>
        <v/>
      </c>
      <c r="C1955" s="57" t="n"/>
      <c r="D1955" s="57" t="n"/>
      <c r="E1955" s="58" t="n"/>
      <c r="F1955" s="57" t="n"/>
      <c r="G1955" s="59" t="n"/>
      <c r="H1955" s="59" t="n"/>
      <c r="I1955" s="60">
        <f>IF(OR(G1955="",H1955=""),"",MOD(H1955-G1955,1))</f>
        <v/>
      </c>
      <c r="J1955" s="61">
        <f>IF(OR(G1955="",H1955=""),"",ROUND(MOD(H1955-G1955,1)*24,2))</f>
        <v/>
      </c>
      <c r="K1955" s="62">
        <f>IF(E1955="","",IF(E1955="Werken","JA","NEE"))</f>
        <v/>
      </c>
      <c r="L1955" s="61">
        <f>IF(K1955="JA",N(J1955),IF(E1955="","",0))</f>
        <v/>
      </c>
      <c r="M1955" s="62">
        <f>IF(AND(A1955="",E1955=""),"",IF(E1955="","Segment ontbreekt",IF(OR(G1955="",H1955=""),"Van/tot ontbreekt",IF(N(J1955)=0,"Duur is nul",IF(N(J1955)&gt;12,"Langer dan 12 uur - controleren",IF(AND(E1955="Werken",D1955=""),"Werken zonder klant - koppelen","OK"))))))</f>
        <v/>
      </c>
    </row>
    <row r="1956" ht="15" customHeight="1" s="42">
      <c r="A1956" s="55" t="n"/>
      <c r="B1956" s="56">
        <f>IF(A1956="","",WEEKNUM(A1956,21))</f>
        <v/>
      </c>
      <c r="C1956" s="57" t="n"/>
      <c r="D1956" s="57" t="n"/>
      <c r="E1956" s="58" t="n"/>
      <c r="F1956" s="57" t="n"/>
      <c r="G1956" s="59" t="n"/>
      <c r="H1956" s="59" t="n"/>
      <c r="I1956" s="60">
        <f>IF(OR(G1956="",H1956=""),"",MOD(H1956-G1956,1))</f>
        <v/>
      </c>
      <c r="J1956" s="61">
        <f>IF(OR(G1956="",H1956=""),"",ROUND(MOD(H1956-G1956,1)*24,2))</f>
        <v/>
      </c>
      <c r="K1956" s="62">
        <f>IF(E1956="","",IF(E1956="Werken","JA","NEE"))</f>
        <v/>
      </c>
      <c r="L1956" s="61">
        <f>IF(K1956="JA",N(J1956),IF(E1956="","",0))</f>
        <v/>
      </c>
      <c r="M1956" s="62">
        <f>IF(AND(A1956="",E1956=""),"",IF(E1956="","Segment ontbreekt",IF(OR(G1956="",H1956=""),"Van/tot ontbreekt",IF(N(J1956)=0,"Duur is nul",IF(N(J1956)&gt;12,"Langer dan 12 uur - controleren",IF(AND(E1956="Werken",D1956=""),"Werken zonder klant - koppelen","OK"))))))</f>
        <v/>
      </c>
    </row>
    <row r="1957" ht="15" customHeight="1" s="42">
      <c r="A1957" s="55" t="n"/>
      <c r="B1957" s="56">
        <f>IF(A1957="","",WEEKNUM(A1957,21))</f>
        <v/>
      </c>
      <c r="C1957" s="57" t="n"/>
      <c r="D1957" s="57" t="n"/>
      <c r="E1957" s="58" t="n"/>
      <c r="F1957" s="57" t="n"/>
      <c r="G1957" s="59" t="n"/>
      <c r="H1957" s="59" t="n"/>
      <c r="I1957" s="60">
        <f>IF(OR(G1957="",H1957=""),"",MOD(H1957-G1957,1))</f>
        <v/>
      </c>
      <c r="J1957" s="61">
        <f>IF(OR(G1957="",H1957=""),"",ROUND(MOD(H1957-G1957,1)*24,2))</f>
        <v/>
      </c>
      <c r="K1957" s="62">
        <f>IF(E1957="","",IF(E1957="Werken","JA","NEE"))</f>
        <v/>
      </c>
      <c r="L1957" s="61">
        <f>IF(K1957="JA",N(J1957),IF(E1957="","",0))</f>
        <v/>
      </c>
      <c r="M1957" s="62">
        <f>IF(AND(A1957="",E1957=""),"",IF(E1957="","Segment ontbreekt",IF(OR(G1957="",H1957=""),"Van/tot ontbreekt",IF(N(J1957)=0,"Duur is nul",IF(N(J1957)&gt;12,"Langer dan 12 uur - controleren",IF(AND(E1957="Werken",D1957=""),"Werken zonder klant - koppelen","OK"))))))</f>
        <v/>
      </c>
    </row>
    <row r="1958" ht="15" customHeight="1" s="42">
      <c r="A1958" s="55" t="n"/>
      <c r="B1958" s="56">
        <f>IF(A1958="","",WEEKNUM(A1958,21))</f>
        <v/>
      </c>
      <c r="C1958" s="57" t="n"/>
      <c r="D1958" s="57" t="n"/>
      <c r="E1958" s="58" t="n"/>
      <c r="F1958" s="57" t="n"/>
      <c r="G1958" s="59" t="n"/>
      <c r="H1958" s="59" t="n"/>
      <c r="I1958" s="60">
        <f>IF(OR(G1958="",H1958=""),"",MOD(H1958-G1958,1))</f>
        <v/>
      </c>
      <c r="J1958" s="61">
        <f>IF(OR(G1958="",H1958=""),"",ROUND(MOD(H1958-G1958,1)*24,2))</f>
        <v/>
      </c>
      <c r="K1958" s="62">
        <f>IF(E1958="","",IF(E1958="Werken","JA","NEE"))</f>
        <v/>
      </c>
      <c r="L1958" s="61">
        <f>IF(K1958="JA",N(J1958),IF(E1958="","",0))</f>
        <v/>
      </c>
      <c r="M1958" s="62">
        <f>IF(AND(A1958="",E1958=""),"",IF(E1958="","Segment ontbreekt",IF(OR(G1958="",H1958=""),"Van/tot ontbreekt",IF(N(J1958)=0,"Duur is nul",IF(N(J1958)&gt;12,"Langer dan 12 uur - controleren",IF(AND(E1958="Werken",D1958=""),"Werken zonder klant - koppelen","OK"))))))</f>
        <v/>
      </c>
    </row>
    <row r="1959" ht="15" customHeight="1" s="42">
      <c r="A1959" s="55" t="n"/>
      <c r="B1959" s="56">
        <f>IF(A1959="","",WEEKNUM(A1959,21))</f>
        <v/>
      </c>
      <c r="C1959" s="57" t="n"/>
      <c r="D1959" s="57" t="n"/>
      <c r="E1959" s="58" t="n"/>
      <c r="F1959" s="57" t="n"/>
      <c r="G1959" s="59" t="n"/>
      <c r="H1959" s="59" t="n"/>
      <c r="I1959" s="60">
        <f>IF(OR(G1959="",H1959=""),"",MOD(H1959-G1959,1))</f>
        <v/>
      </c>
      <c r="J1959" s="61">
        <f>IF(OR(G1959="",H1959=""),"",ROUND(MOD(H1959-G1959,1)*24,2))</f>
        <v/>
      </c>
      <c r="K1959" s="62">
        <f>IF(E1959="","",IF(E1959="Werken","JA","NEE"))</f>
        <v/>
      </c>
      <c r="L1959" s="61">
        <f>IF(K1959="JA",N(J1959),IF(E1959="","",0))</f>
        <v/>
      </c>
      <c r="M1959" s="62">
        <f>IF(AND(A1959="",E1959=""),"",IF(E1959="","Segment ontbreekt",IF(OR(G1959="",H1959=""),"Van/tot ontbreekt",IF(N(J1959)=0,"Duur is nul",IF(N(J1959)&gt;12,"Langer dan 12 uur - controleren",IF(AND(E1959="Werken",D1959=""),"Werken zonder klant - koppelen","OK"))))))</f>
        <v/>
      </c>
    </row>
    <row r="1960" ht="15" customHeight="1" s="42">
      <c r="A1960" s="55" t="n"/>
      <c r="B1960" s="56">
        <f>IF(A1960="","",WEEKNUM(A1960,21))</f>
        <v/>
      </c>
      <c r="C1960" s="57" t="n"/>
      <c r="D1960" s="57" t="n"/>
      <c r="E1960" s="58" t="n"/>
      <c r="F1960" s="57" t="n"/>
      <c r="G1960" s="59" t="n"/>
      <c r="H1960" s="59" t="n"/>
      <c r="I1960" s="60">
        <f>IF(OR(G1960="",H1960=""),"",MOD(H1960-G1960,1))</f>
        <v/>
      </c>
      <c r="J1960" s="61">
        <f>IF(OR(G1960="",H1960=""),"",ROUND(MOD(H1960-G1960,1)*24,2))</f>
        <v/>
      </c>
      <c r="K1960" s="62">
        <f>IF(E1960="","",IF(E1960="Werken","JA","NEE"))</f>
        <v/>
      </c>
      <c r="L1960" s="61">
        <f>IF(K1960="JA",N(J1960),IF(E1960="","",0))</f>
        <v/>
      </c>
      <c r="M1960" s="62">
        <f>IF(AND(A1960="",E1960=""),"",IF(E1960="","Segment ontbreekt",IF(OR(G1960="",H1960=""),"Van/tot ontbreekt",IF(N(J1960)=0,"Duur is nul",IF(N(J1960)&gt;12,"Langer dan 12 uur - controleren",IF(AND(E1960="Werken",D1960=""),"Werken zonder klant - koppelen","OK"))))))</f>
        <v/>
      </c>
    </row>
    <row r="1961" ht="15" customHeight="1" s="42">
      <c r="A1961" s="55" t="n"/>
      <c r="B1961" s="56">
        <f>IF(A1961="","",WEEKNUM(A1961,21))</f>
        <v/>
      </c>
      <c r="C1961" s="57" t="n"/>
      <c r="D1961" s="57" t="n"/>
      <c r="E1961" s="58" t="n"/>
      <c r="F1961" s="57" t="n"/>
      <c r="G1961" s="59" t="n"/>
      <c r="H1961" s="59" t="n"/>
      <c r="I1961" s="60">
        <f>IF(OR(G1961="",H1961=""),"",MOD(H1961-G1961,1))</f>
        <v/>
      </c>
      <c r="J1961" s="61">
        <f>IF(OR(G1961="",H1961=""),"",ROUND(MOD(H1961-G1961,1)*24,2))</f>
        <v/>
      </c>
      <c r="K1961" s="62">
        <f>IF(E1961="","",IF(E1961="Werken","JA","NEE"))</f>
        <v/>
      </c>
      <c r="L1961" s="61">
        <f>IF(K1961="JA",N(J1961),IF(E1961="","",0))</f>
        <v/>
      </c>
      <c r="M1961" s="62">
        <f>IF(AND(A1961="",E1961=""),"",IF(E1961="","Segment ontbreekt",IF(OR(G1961="",H1961=""),"Van/tot ontbreekt",IF(N(J1961)=0,"Duur is nul",IF(N(J1961)&gt;12,"Langer dan 12 uur - controleren",IF(AND(E1961="Werken",D1961=""),"Werken zonder klant - koppelen","OK"))))))</f>
        <v/>
      </c>
    </row>
    <row r="1962" ht="15" customHeight="1" s="42">
      <c r="A1962" s="55" t="n"/>
      <c r="B1962" s="56">
        <f>IF(A1962="","",WEEKNUM(A1962,21))</f>
        <v/>
      </c>
      <c r="C1962" s="57" t="n"/>
      <c r="D1962" s="57" t="n"/>
      <c r="E1962" s="58" t="n"/>
      <c r="F1962" s="57" t="n"/>
      <c r="G1962" s="59" t="n"/>
      <c r="H1962" s="59" t="n"/>
      <c r="I1962" s="60">
        <f>IF(OR(G1962="",H1962=""),"",MOD(H1962-G1962,1))</f>
        <v/>
      </c>
      <c r="J1962" s="61">
        <f>IF(OR(G1962="",H1962=""),"",ROUND(MOD(H1962-G1962,1)*24,2))</f>
        <v/>
      </c>
      <c r="K1962" s="62">
        <f>IF(E1962="","",IF(E1962="Werken","JA","NEE"))</f>
        <v/>
      </c>
      <c r="L1962" s="61">
        <f>IF(K1962="JA",N(J1962),IF(E1962="","",0))</f>
        <v/>
      </c>
      <c r="M1962" s="62">
        <f>IF(AND(A1962="",E1962=""),"",IF(E1962="","Segment ontbreekt",IF(OR(G1962="",H1962=""),"Van/tot ontbreekt",IF(N(J1962)=0,"Duur is nul",IF(N(J1962)&gt;12,"Langer dan 12 uur - controleren",IF(AND(E1962="Werken",D1962=""),"Werken zonder klant - koppelen","OK"))))))</f>
        <v/>
      </c>
    </row>
    <row r="1963" ht="15" customHeight="1" s="42">
      <c r="A1963" s="55" t="n"/>
      <c r="B1963" s="56">
        <f>IF(A1963="","",WEEKNUM(A1963,21))</f>
        <v/>
      </c>
      <c r="C1963" s="57" t="n"/>
      <c r="D1963" s="57" t="n"/>
      <c r="E1963" s="58" t="n"/>
      <c r="F1963" s="57" t="n"/>
      <c r="G1963" s="59" t="n"/>
      <c r="H1963" s="59" t="n"/>
      <c r="I1963" s="60">
        <f>IF(OR(G1963="",H1963=""),"",MOD(H1963-G1963,1))</f>
        <v/>
      </c>
      <c r="J1963" s="61">
        <f>IF(OR(G1963="",H1963=""),"",ROUND(MOD(H1963-G1963,1)*24,2))</f>
        <v/>
      </c>
      <c r="K1963" s="62">
        <f>IF(E1963="","",IF(E1963="Werken","JA","NEE"))</f>
        <v/>
      </c>
      <c r="L1963" s="61">
        <f>IF(K1963="JA",N(J1963),IF(E1963="","",0))</f>
        <v/>
      </c>
      <c r="M1963" s="62">
        <f>IF(AND(A1963="",E1963=""),"",IF(E1963="","Segment ontbreekt",IF(OR(G1963="",H1963=""),"Van/tot ontbreekt",IF(N(J1963)=0,"Duur is nul",IF(N(J1963)&gt;12,"Langer dan 12 uur - controleren",IF(AND(E1963="Werken",D1963=""),"Werken zonder klant - koppelen","OK"))))))</f>
        <v/>
      </c>
    </row>
    <row r="1964" ht="15" customHeight="1" s="42">
      <c r="A1964" s="55" t="n"/>
      <c r="B1964" s="56">
        <f>IF(A1964="","",WEEKNUM(A1964,21))</f>
        <v/>
      </c>
      <c r="C1964" s="57" t="n"/>
      <c r="D1964" s="57" t="n"/>
      <c r="E1964" s="58" t="n"/>
      <c r="F1964" s="57" t="n"/>
      <c r="G1964" s="59" t="n"/>
      <c r="H1964" s="59" t="n"/>
      <c r="I1964" s="60">
        <f>IF(OR(G1964="",H1964=""),"",MOD(H1964-G1964,1))</f>
        <v/>
      </c>
      <c r="J1964" s="61">
        <f>IF(OR(G1964="",H1964=""),"",ROUND(MOD(H1964-G1964,1)*24,2))</f>
        <v/>
      </c>
      <c r="K1964" s="62">
        <f>IF(E1964="","",IF(E1964="Werken","JA","NEE"))</f>
        <v/>
      </c>
      <c r="L1964" s="61">
        <f>IF(K1964="JA",N(J1964),IF(E1964="","",0))</f>
        <v/>
      </c>
      <c r="M1964" s="62">
        <f>IF(AND(A1964="",E1964=""),"",IF(E1964="","Segment ontbreekt",IF(OR(G1964="",H1964=""),"Van/tot ontbreekt",IF(N(J1964)=0,"Duur is nul",IF(N(J1964)&gt;12,"Langer dan 12 uur - controleren",IF(AND(E1964="Werken",D1964=""),"Werken zonder klant - koppelen","OK"))))))</f>
        <v/>
      </c>
    </row>
    <row r="1965" ht="15" customHeight="1" s="42">
      <c r="A1965" s="55" t="n"/>
      <c r="B1965" s="56">
        <f>IF(A1965="","",WEEKNUM(A1965,21))</f>
        <v/>
      </c>
      <c r="C1965" s="57" t="n"/>
      <c r="D1965" s="57" t="n"/>
      <c r="E1965" s="58" t="n"/>
      <c r="F1965" s="57" t="n"/>
      <c r="G1965" s="59" t="n"/>
      <c r="H1965" s="59" t="n"/>
      <c r="I1965" s="60">
        <f>IF(OR(G1965="",H1965=""),"",MOD(H1965-G1965,1))</f>
        <v/>
      </c>
      <c r="J1965" s="61">
        <f>IF(OR(G1965="",H1965=""),"",ROUND(MOD(H1965-G1965,1)*24,2))</f>
        <v/>
      </c>
      <c r="K1965" s="62">
        <f>IF(E1965="","",IF(E1965="Werken","JA","NEE"))</f>
        <v/>
      </c>
      <c r="L1965" s="61">
        <f>IF(K1965="JA",N(J1965),IF(E1965="","",0))</f>
        <v/>
      </c>
      <c r="M1965" s="62">
        <f>IF(AND(A1965="",E1965=""),"",IF(E1965="","Segment ontbreekt",IF(OR(G1965="",H1965=""),"Van/tot ontbreekt",IF(N(J1965)=0,"Duur is nul",IF(N(J1965)&gt;12,"Langer dan 12 uur - controleren",IF(AND(E1965="Werken",D1965=""),"Werken zonder klant - koppelen","OK"))))))</f>
        <v/>
      </c>
    </row>
    <row r="1966" ht="15" customHeight="1" s="42">
      <c r="A1966" s="55" t="n"/>
      <c r="B1966" s="56">
        <f>IF(A1966="","",WEEKNUM(A1966,21))</f>
        <v/>
      </c>
      <c r="C1966" s="57" t="n"/>
      <c r="D1966" s="57" t="n"/>
      <c r="E1966" s="58" t="n"/>
      <c r="F1966" s="57" t="n"/>
      <c r="G1966" s="59" t="n"/>
      <c r="H1966" s="59" t="n"/>
      <c r="I1966" s="60">
        <f>IF(OR(G1966="",H1966=""),"",MOD(H1966-G1966,1))</f>
        <v/>
      </c>
      <c r="J1966" s="61">
        <f>IF(OR(G1966="",H1966=""),"",ROUND(MOD(H1966-G1966,1)*24,2))</f>
        <v/>
      </c>
      <c r="K1966" s="62">
        <f>IF(E1966="","",IF(E1966="Werken","JA","NEE"))</f>
        <v/>
      </c>
      <c r="L1966" s="61">
        <f>IF(K1966="JA",N(J1966),IF(E1966="","",0))</f>
        <v/>
      </c>
      <c r="M1966" s="62">
        <f>IF(AND(A1966="",E1966=""),"",IF(E1966="","Segment ontbreekt",IF(OR(G1966="",H1966=""),"Van/tot ontbreekt",IF(N(J1966)=0,"Duur is nul",IF(N(J1966)&gt;12,"Langer dan 12 uur - controleren",IF(AND(E1966="Werken",D1966=""),"Werken zonder klant - koppelen","OK"))))))</f>
        <v/>
      </c>
    </row>
    <row r="1967" ht="15" customHeight="1" s="42">
      <c r="A1967" s="55" t="n"/>
      <c r="B1967" s="56">
        <f>IF(A1967="","",WEEKNUM(A1967,21))</f>
        <v/>
      </c>
      <c r="C1967" s="57" t="n"/>
      <c r="D1967" s="57" t="n"/>
      <c r="E1967" s="58" t="n"/>
      <c r="F1967" s="57" t="n"/>
      <c r="G1967" s="59" t="n"/>
      <c r="H1967" s="59" t="n"/>
      <c r="I1967" s="60">
        <f>IF(OR(G1967="",H1967=""),"",MOD(H1967-G1967,1))</f>
        <v/>
      </c>
      <c r="J1967" s="61">
        <f>IF(OR(G1967="",H1967=""),"",ROUND(MOD(H1967-G1967,1)*24,2))</f>
        <v/>
      </c>
      <c r="K1967" s="62">
        <f>IF(E1967="","",IF(E1967="Werken","JA","NEE"))</f>
        <v/>
      </c>
      <c r="L1967" s="61">
        <f>IF(K1967="JA",N(J1967),IF(E1967="","",0))</f>
        <v/>
      </c>
      <c r="M1967" s="62">
        <f>IF(AND(A1967="",E1967=""),"",IF(E1967="","Segment ontbreekt",IF(OR(G1967="",H1967=""),"Van/tot ontbreekt",IF(N(J1967)=0,"Duur is nul",IF(N(J1967)&gt;12,"Langer dan 12 uur - controleren",IF(AND(E1967="Werken",D1967=""),"Werken zonder klant - koppelen","OK"))))))</f>
        <v/>
      </c>
    </row>
    <row r="1968" ht="15" customHeight="1" s="42">
      <c r="A1968" s="55" t="n"/>
      <c r="B1968" s="56">
        <f>IF(A1968="","",WEEKNUM(A1968,21))</f>
        <v/>
      </c>
      <c r="C1968" s="57" t="n"/>
      <c r="D1968" s="57" t="n"/>
      <c r="E1968" s="58" t="n"/>
      <c r="F1968" s="57" t="n"/>
      <c r="G1968" s="59" t="n"/>
      <c r="H1968" s="59" t="n"/>
      <c r="I1968" s="60">
        <f>IF(OR(G1968="",H1968=""),"",MOD(H1968-G1968,1))</f>
        <v/>
      </c>
      <c r="J1968" s="61">
        <f>IF(OR(G1968="",H1968=""),"",ROUND(MOD(H1968-G1968,1)*24,2))</f>
        <v/>
      </c>
      <c r="K1968" s="62">
        <f>IF(E1968="","",IF(E1968="Werken","JA","NEE"))</f>
        <v/>
      </c>
      <c r="L1968" s="61">
        <f>IF(K1968="JA",N(J1968),IF(E1968="","",0))</f>
        <v/>
      </c>
      <c r="M1968" s="62">
        <f>IF(AND(A1968="",E1968=""),"",IF(E1968="","Segment ontbreekt",IF(OR(G1968="",H1968=""),"Van/tot ontbreekt",IF(N(J1968)=0,"Duur is nul",IF(N(J1968)&gt;12,"Langer dan 12 uur - controleren",IF(AND(E1968="Werken",D1968=""),"Werken zonder klant - koppelen","OK"))))))</f>
        <v/>
      </c>
    </row>
    <row r="1969" ht="15" customHeight="1" s="42">
      <c r="A1969" s="55" t="n"/>
      <c r="B1969" s="56">
        <f>IF(A1969="","",WEEKNUM(A1969,21))</f>
        <v/>
      </c>
      <c r="C1969" s="57" t="n"/>
      <c r="D1969" s="57" t="n"/>
      <c r="E1969" s="58" t="n"/>
      <c r="F1969" s="57" t="n"/>
      <c r="G1969" s="59" t="n"/>
      <c r="H1969" s="59" t="n"/>
      <c r="I1969" s="60">
        <f>IF(OR(G1969="",H1969=""),"",MOD(H1969-G1969,1))</f>
        <v/>
      </c>
      <c r="J1969" s="61">
        <f>IF(OR(G1969="",H1969=""),"",ROUND(MOD(H1969-G1969,1)*24,2))</f>
        <v/>
      </c>
      <c r="K1969" s="62">
        <f>IF(E1969="","",IF(E1969="Werken","JA","NEE"))</f>
        <v/>
      </c>
      <c r="L1969" s="61">
        <f>IF(K1969="JA",N(J1969),IF(E1969="","",0))</f>
        <v/>
      </c>
      <c r="M1969" s="62">
        <f>IF(AND(A1969="",E1969=""),"",IF(E1969="","Segment ontbreekt",IF(OR(G1969="",H1969=""),"Van/tot ontbreekt",IF(N(J1969)=0,"Duur is nul",IF(N(J1969)&gt;12,"Langer dan 12 uur - controleren",IF(AND(E1969="Werken",D1969=""),"Werken zonder klant - koppelen","OK"))))))</f>
        <v/>
      </c>
    </row>
    <row r="1970" ht="15" customHeight="1" s="42">
      <c r="A1970" s="55" t="n"/>
      <c r="B1970" s="56">
        <f>IF(A1970="","",WEEKNUM(A1970,21))</f>
        <v/>
      </c>
      <c r="C1970" s="57" t="n"/>
      <c r="D1970" s="57" t="n"/>
      <c r="E1970" s="58" t="n"/>
      <c r="F1970" s="57" t="n"/>
      <c r="G1970" s="59" t="n"/>
      <c r="H1970" s="59" t="n"/>
      <c r="I1970" s="60">
        <f>IF(OR(G1970="",H1970=""),"",MOD(H1970-G1970,1))</f>
        <v/>
      </c>
      <c r="J1970" s="61">
        <f>IF(OR(G1970="",H1970=""),"",ROUND(MOD(H1970-G1970,1)*24,2))</f>
        <v/>
      </c>
      <c r="K1970" s="62">
        <f>IF(E1970="","",IF(E1970="Werken","JA","NEE"))</f>
        <v/>
      </c>
      <c r="L1970" s="61">
        <f>IF(K1970="JA",N(J1970),IF(E1970="","",0))</f>
        <v/>
      </c>
      <c r="M1970" s="62">
        <f>IF(AND(A1970="",E1970=""),"",IF(E1970="","Segment ontbreekt",IF(OR(G1970="",H1970=""),"Van/tot ontbreekt",IF(N(J1970)=0,"Duur is nul",IF(N(J1970)&gt;12,"Langer dan 12 uur - controleren",IF(AND(E1970="Werken",D1970=""),"Werken zonder klant - koppelen","OK"))))))</f>
        <v/>
      </c>
    </row>
    <row r="1971" ht="15" customHeight="1" s="42">
      <c r="A1971" s="55" t="n"/>
      <c r="B1971" s="56">
        <f>IF(A1971="","",WEEKNUM(A1971,21))</f>
        <v/>
      </c>
      <c r="C1971" s="57" t="n"/>
      <c r="D1971" s="57" t="n"/>
      <c r="E1971" s="58" t="n"/>
      <c r="F1971" s="57" t="n"/>
      <c r="G1971" s="59" t="n"/>
      <c r="H1971" s="59" t="n"/>
      <c r="I1971" s="60">
        <f>IF(OR(G1971="",H1971=""),"",MOD(H1971-G1971,1))</f>
        <v/>
      </c>
      <c r="J1971" s="61">
        <f>IF(OR(G1971="",H1971=""),"",ROUND(MOD(H1971-G1971,1)*24,2))</f>
        <v/>
      </c>
      <c r="K1971" s="62">
        <f>IF(E1971="","",IF(E1971="Werken","JA","NEE"))</f>
        <v/>
      </c>
      <c r="L1971" s="61">
        <f>IF(K1971="JA",N(J1971),IF(E1971="","",0))</f>
        <v/>
      </c>
      <c r="M1971" s="62">
        <f>IF(AND(A1971="",E1971=""),"",IF(E1971="","Segment ontbreekt",IF(OR(G1971="",H1971=""),"Van/tot ontbreekt",IF(N(J1971)=0,"Duur is nul",IF(N(J1971)&gt;12,"Langer dan 12 uur - controleren",IF(AND(E1971="Werken",D1971=""),"Werken zonder klant - koppelen","OK"))))))</f>
        <v/>
      </c>
    </row>
    <row r="1972" ht="15" customHeight="1" s="42">
      <c r="A1972" s="55" t="n"/>
      <c r="B1972" s="56">
        <f>IF(A1972="","",WEEKNUM(A1972,21))</f>
        <v/>
      </c>
      <c r="C1972" s="57" t="n"/>
      <c r="D1972" s="57" t="n"/>
      <c r="E1972" s="58" t="n"/>
      <c r="F1972" s="57" t="n"/>
      <c r="G1972" s="59" t="n"/>
      <c r="H1972" s="59" t="n"/>
      <c r="I1972" s="60">
        <f>IF(OR(G1972="",H1972=""),"",MOD(H1972-G1972,1))</f>
        <v/>
      </c>
      <c r="J1972" s="61">
        <f>IF(OR(G1972="",H1972=""),"",ROUND(MOD(H1972-G1972,1)*24,2))</f>
        <v/>
      </c>
      <c r="K1972" s="62">
        <f>IF(E1972="","",IF(E1972="Werken","JA","NEE"))</f>
        <v/>
      </c>
      <c r="L1972" s="61">
        <f>IF(K1972="JA",N(J1972),IF(E1972="","",0))</f>
        <v/>
      </c>
      <c r="M1972" s="62">
        <f>IF(AND(A1972="",E1972=""),"",IF(E1972="","Segment ontbreekt",IF(OR(G1972="",H1972=""),"Van/tot ontbreekt",IF(N(J1972)=0,"Duur is nul",IF(N(J1972)&gt;12,"Langer dan 12 uur - controleren",IF(AND(E1972="Werken",D1972=""),"Werken zonder klant - koppelen","OK"))))))</f>
        <v/>
      </c>
    </row>
    <row r="1973" ht="15" customHeight="1" s="42">
      <c r="A1973" s="55" t="n"/>
      <c r="B1973" s="56">
        <f>IF(A1973="","",WEEKNUM(A1973,21))</f>
        <v/>
      </c>
      <c r="C1973" s="57" t="n"/>
      <c r="D1973" s="57" t="n"/>
      <c r="E1973" s="58" t="n"/>
      <c r="F1973" s="57" t="n"/>
      <c r="G1973" s="59" t="n"/>
      <c r="H1973" s="59" t="n"/>
      <c r="I1973" s="60">
        <f>IF(OR(G1973="",H1973=""),"",MOD(H1973-G1973,1))</f>
        <v/>
      </c>
      <c r="J1973" s="61">
        <f>IF(OR(G1973="",H1973=""),"",ROUND(MOD(H1973-G1973,1)*24,2))</f>
        <v/>
      </c>
      <c r="K1973" s="62">
        <f>IF(E1973="","",IF(E1973="Werken","JA","NEE"))</f>
        <v/>
      </c>
      <c r="L1973" s="61">
        <f>IF(K1973="JA",N(J1973),IF(E1973="","",0))</f>
        <v/>
      </c>
      <c r="M1973" s="62">
        <f>IF(AND(A1973="",E1973=""),"",IF(E1973="","Segment ontbreekt",IF(OR(G1973="",H1973=""),"Van/tot ontbreekt",IF(N(J1973)=0,"Duur is nul",IF(N(J1973)&gt;12,"Langer dan 12 uur - controleren",IF(AND(E1973="Werken",D1973=""),"Werken zonder klant - koppelen","OK"))))))</f>
        <v/>
      </c>
    </row>
    <row r="1974" ht="15" customHeight="1" s="42">
      <c r="A1974" s="55" t="n"/>
      <c r="B1974" s="56">
        <f>IF(A1974="","",WEEKNUM(A1974,21))</f>
        <v/>
      </c>
      <c r="C1974" s="57" t="n"/>
      <c r="D1974" s="57" t="n"/>
      <c r="E1974" s="58" t="n"/>
      <c r="F1974" s="57" t="n"/>
      <c r="G1974" s="59" t="n"/>
      <c r="H1974" s="59" t="n"/>
      <c r="I1974" s="60">
        <f>IF(OR(G1974="",H1974=""),"",MOD(H1974-G1974,1))</f>
        <v/>
      </c>
      <c r="J1974" s="61">
        <f>IF(OR(G1974="",H1974=""),"",ROUND(MOD(H1974-G1974,1)*24,2))</f>
        <v/>
      </c>
      <c r="K1974" s="62">
        <f>IF(E1974="","",IF(E1974="Werken","JA","NEE"))</f>
        <v/>
      </c>
      <c r="L1974" s="61">
        <f>IF(K1974="JA",N(J1974),IF(E1974="","",0))</f>
        <v/>
      </c>
      <c r="M1974" s="62">
        <f>IF(AND(A1974="",E1974=""),"",IF(E1974="","Segment ontbreekt",IF(OR(G1974="",H1974=""),"Van/tot ontbreekt",IF(N(J1974)=0,"Duur is nul",IF(N(J1974)&gt;12,"Langer dan 12 uur - controleren",IF(AND(E1974="Werken",D1974=""),"Werken zonder klant - koppelen","OK"))))))</f>
        <v/>
      </c>
    </row>
    <row r="1975" ht="15" customHeight="1" s="42">
      <c r="A1975" s="55" t="n"/>
      <c r="B1975" s="56">
        <f>IF(A1975="","",WEEKNUM(A1975,21))</f>
        <v/>
      </c>
      <c r="C1975" s="57" t="n"/>
      <c r="D1975" s="57" t="n"/>
      <c r="E1975" s="58" t="n"/>
      <c r="F1975" s="57" t="n"/>
      <c r="G1975" s="59" t="n"/>
      <c r="H1975" s="59" t="n"/>
      <c r="I1975" s="60">
        <f>IF(OR(G1975="",H1975=""),"",MOD(H1975-G1975,1))</f>
        <v/>
      </c>
      <c r="J1975" s="61">
        <f>IF(OR(G1975="",H1975=""),"",ROUND(MOD(H1975-G1975,1)*24,2))</f>
        <v/>
      </c>
      <c r="K1975" s="62">
        <f>IF(E1975="","",IF(E1975="Werken","JA","NEE"))</f>
        <v/>
      </c>
      <c r="L1975" s="61">
        <f>IF(K1975="JA",N(J1975),IF(E1975="","",0))</f>
        <v/>
      </c>
      <c r="M1975" s="62">
        <f>IF(AND(A1975="",E1975=""),"",IF(E1975="","Segment ontbreekt",IF(OR(G1975="",H1975=""),"Van/tot ontbreekt",IF(N(J1975)=0,"Duur is nul",IF(N(J1975)&gt;12,"Langer dan 12 uur - controleren",IF(AND(E1975="Werken",D1975=""),"Werken zonder klant - koppelen","OK"))))))</f>
        <v/>
      </c>
    </row>
    <row r="1976" ht="15" customHeight="1" s="42">
      <c r="A1976" s="55" t="n"/>
      <c r="B1976" s="56">
        <f>IF(A1976="","",WEEKNUM(A1976,21))</f>
        <v/>
      </c>
      <c r="C1976" s="57" t="n"/>
      <c r="D1976" s="57" t="n"/>
      <c r="E1976" s="58" t="n"/>
      <c r="F1976" s="57" t="n"/>
      <c r="G1976" s="59" t="n"/>
      <c r="H1976" s="59" t="n"/>
      <c r="I1976" s="60">
        <f>IF(OR(G1976="",H1976=""),"",MOD(H1976-G1976,1))</f>
        <v/>
      </c>
      <c r="J1976" s="61">
        <f>IF(OR(G1976="",H1976=""),"",ROUND(MOD(H1976-G1976,1)*24,2))</f>
        <v/>
      </c>
      <c r="K1976" s="62">
        <f>IF(E1976="","",IF(E1976="Werken","JA","NEE"))</f>
        <v/>
      </c>
      <c r="L1976" s="61">
        <f>IF(K1976="JA",N(J1976),IF(E1976="","",0))</f>
        <v/>
      </c>
      <c r="M1976" s="62">
        <f>IF(AND(A1976="",E1976=""),"",IF(E1976="","Segment ontbreekt",IF(OR(G1976="",H1976=""),"Van/tot ontbreekt",IF(N(J1976)=0,"Duur is nul",IF(N(J1976)&gt;12,"Langer dan 12 uur - controleren",IF(AND(E1976="Werken",D1976=""),"Werken zonder klant - koppelen","OK"))))))</f>
        <v/>
      </c>
    </row>
    <row r="1977" ht="15" customHeight="1" s="42">
      <c r="A1977" s="55" t="n"/>
      <c r="B1977" s="56">
        <f>IF(A1977="","",WEEKNUM(A1977,21))</f>
        <v/>
      </c>
      <c r="C1977" s="57" t="n"/>
      <c r="D1977" s="57" t="n"/>
      <c r="E1977" s="58" t="n"/>
      <c r="F1977" s="57" t="n"/>
      <c r="G1977" s="59" t="n"/>
      <c r="H1977" s="59" t="n"/>
      <c r="I1977" s="60">
        <f>IF(OR(G1977="",H1977=""),"",MOD(H1977-G1977,1))</f>
        <v/>
      </c>
      <c r="J1977" s="61">
        <f>IF(OR(G1977="",H1977=""),"",ROUND(MOD(H1977-G1977,1)*24,2))</f>
        <v/>
      </c>
      <c r="K1977" s="62">
        <f>IF(E1977="","",IF(E1977="Werken","JA","NEE"))</f>
        <v/>
      </c>
      <c r="L1977" s="61">
        <f>IF(K1977="JA",N(J1977),IF(E1977="","",0))</f>
        <v/>
      </c>
      <c r="M1977" s="62">
        <f>IF(AND(A1977="",E1977=""),"",IF(E1977="","Segment ontbreekt",IF(OR(G1977="",H1977=""),"Van/tot ontbreekt",IF(N(J1977)=0,"Duur is nul",IF(N(J1977)&gt;12,"Langer dan 12 uur - controleren",IF(AND(E1977="Werken",D1977=""),"Werken zonder klant - koppelen","OK"))))))</f>
        <v/>
      </c>
    </row>
    <row r="1978" ht="15" customHeight="1" s="42">
      <c r="A1978" s="55" t="n"/>
      <c r="B1978" s="56">
        <f>IF(A1978="","",WEEKNUM(A1978,21))</f>
        <v/>
      </c>
      <c r="C1978" s="57" t="n"/>
      <c r="D1978" s="57" t="n"/>
      <c r="E1978" s="58" t="n"/>
      <c r="F1978" s="57" t="n"/>
      <c r="G1978" s="59" t="n"/>
      <c r="H1978" s="59" t="n"/>
      <c r="I1978" s="60">
        <f>IF(OR(G1978="",H1978=""),"",MOD(H1978-G1978,1))</f>
        <v/>
      </c>
      <c r="J1978" s="61">
        <f>IF(OR(G1978="",H1978=""),"",ROUND(MOD(H1978-G1978,1)*24,2))</f>
        <v/>
      </c>
      <c r="K1978" s="62">
        <f>IF(E1978="","",IF(E1978="Werken","JA","NEE"))</f>
        <v/>
      </c>
      <c r="L1978" s="61">
        <f>IF(K1978="JA",N(J1978),IF(E1978="","",0))</f>
        <v/>
      </c>
      <c r="M1978" s="62">
        <f>IF(AND(A1978="",E1978=""),"",IF(E1978="","Segment ontbreekt",IF(OR(G1978="",H1978=""),"Van/tot ontbreekt",IF(N(J1978)=0,"Duur is nul",IF(N(J1978)&gt;12,"Langer dan 12 uur - controleren",IF(AND(E1978="Werken",D1978=""),"Werken zonder klant - koppelen","OK"))))))</f>
        <v/>
      </c>
    </row>
    <row r="1979" ht="15" customHeight="1" s="42">
      <c r="A1979" s="55" t="n"/>
      <c r="B1979" s="56">
        <f>IF(A1979="","",WEEKNUM(A1979,21))</f>
        <v/>
      </c>
      <c r="C1979" s="57" t="n"/>
      <c r="D1979" s="57" t="n"/>
      <c r="E1979" s="58" t="n"/>
      <c r="F1979" s="57" t="n"/>
      <c r="G1979" s="59" t="n"/>
      <c r="H1979" s="59" t="n"/>
      <c r="I1979" s="60">
        <f>IF(OR(G1979="",H1979=""),"",MOD(H1979-G1979,1))</f>
        <v/>
      </c>
      <c r="J1979" s="61">
        <f>IF(OR(G1979="",H1979=""),"",ROUND(MOD(H1979-G1979,1)*24,2))</f>
        <v/>
      </c>
      <c r="K1979" s="62">
        <f>IF(E1979="","",IF(E1979="Werken","JA","NEE"))</f>
        <v/>
      </c>
      <c r="L1979" s="61">
        <f>IF(K1979="JA",N(J1979),IF(E1979="","",0))</f>
        <v/>
      </c>
      <c r="M1979" s="62">
        <f>IF(AND(A1979="",E1979=""),"",IF(E1979="","Segment ontbreekt",IF(OR(G1979="",H1979=""),"Van/tot ontbreekt",IF(N(J1979)=0,"Duur is nul",IF(N(J1979)&gt;12,"Langer dan 12 uur - controleren",IF(AND(E1979="Werken",D1979=""),"Werken zonder klant - koppelen","OK"))))))</f>
        <v/>
      </c>
    </row>
    <row r="1980" ht="15" customHeight="1" s="42">
      <c r="A1980" s="55" t="n"/>
      <c r="B1980" s="56">
        <f>IF(A1980="","",WEEKNUM(A1980,21))</f>
        <v/>
      </c>
      <c r="C1980" s="57" t="n"/>
      <c r="D1980" s="57" t="n"/>
      <c r="E1980" s="58" t="n"/>
      <c r="F1980" s="57" t="n"/>
      <c r="G1980" s="59" t="n"/>
      <c r="H1980" s="59" t="n"/>
      <c r="I1980" s="60">
        <f>IF(OR(G1980="",H1980=""),"",MOD(H1980-G1980,1))</f>
        <v/>
      </c>
      <c r="J1980" s="61">
        <f>IF(OR(G1980="",H1980=""),"",ROUND(MOD(H1980-G1980,1)*24,2))</f>
        <v/>
      </c>
      <c r="K1980" s="62">
        <f>IF(E1980="","",IF(E1980="Werken","JA","NEE"))</f>
        <v/>
      </c>
      <c r="L1980" s="61">
        <f>IF(K1980="JA",N(J1980),IF(E1980="","",0))</f>
        <v/>
      </c>
      <c r="M1980" s="62">
        <f>IF(AND(A1980="",E1980=""),"",IF(E1980="","Segment ontbreekt",IF(OR(G1980="",H1980=""),"Van/tot ontbreekt",IF(N(J1980)=0,"Duur is nul",IF(N(J1980)&gt;12,"Langer dan 12 uur - controleren",IF(AND(E1980="Werken",D1980=""),"Werken zonder klant - koppelen","OK"))))))</f>
        <v/>
      </c>
    </row>
    <row r="1981" ht="15" customHeight="1" s="42">
      <c r="A1981" s="55" t="n"/>
      <c r="B1981" s="56">
        <f>IF(A1981="","",WEEKNUM(A1981,21))</f>
        <v/>
      </c>
      <c r="C1981" s="57" t="n"/>
      <c r="D1981" s="57" t="n"/>
      <c r="E1981" s="58" t="n"/>
      <c r="F1981" s="57" t="n"/>
      <c r="G1981" s="59" t="n"/>
      <c r="H1981" s="59" t="n"/>
      <c r="I1981" s="60">
        <f>IF(OR(G1981="",H1981=""),"",MOD(H1981-G1981,1))</f>
        <v/>
      </c>
      <c r="J1981" s="61">
        <f>IF(OR(G1981="",H1981=""),"",ROUND(MOD(H1981-G1981,1)*24,2))</f>
        <v/>
      </c>
      <c r="K1981" s="62">
        <f>IF(E1981="","",IF(E1981="Werken","JA","NEE"))</f>
        <v/>
      </c>
      <c r="L1981" s="61">
        <f>IF(K1981="JA",N(J1981),IF(E1981="","",0))</f>
        <v/>
      </c>
      <c r="M1981" s="62">
        <f>IF(AND(A1981="",E1981=""),"",IF(E1981="","Segment ontbreekt",IF(OR(G1981="",H1981=""),"Van/tot ontbreekt",IF(N(J1981)=0,"Duur is nul",IF(N(J1981)&gt;12,"Langer dan 12 uur - controleren",IF(AND(E1981="Werken",D1981=""),"Werken zonder klant - koppelen","OK"))))))</f>
        <v/>
      </c>
    </row>
    <row r="1982" ht="15" customHeight="1" s="42">
      <c r="A1982" s="55" t="n"/>
      <c r="B1982" s="56">
        <f>IF(A1982="","",WEEKNUM(A1982,21))</f>
        <v/>
      </c>
      <c r="C1982" s="57" t="n"/>
      <c r="D1982" s="57" t="n"/>
      <c r="E1982" s="58" t="n"/>
      <c r="F1982" s="57" t="n"/>
      <c r="G1982" s="59" t="n"/>
      <c r="H1982" s="59" t="n"/>
      <c r="I1982" s="60">
        <f>IF(OR(G1982="",H1982=""),"",MOD(H1982-G1982,1))</f>
        <v/>
      </c>
      <c r="J1982" s="61">
        <f>IF(OR(G1982="",H1982=""),"",ROUND(MOD(H1982-G1982,1)*24,2))</f>
        <v/>
      </c>
      <c r="K1982" s="62">
        <f>IF(E1982="","",IF(E1982="Werken","JA","NEE"))</f>
        <v/>
      </c>
      <c r="L1982" s="61">
        <f>IF(K1982="JA",N(J1982),IF(E1982="","",0))</f>
        <v/>
      </c>
      <c r="M1982" s="62">
        <f>IF(AND(A1982="",E1982=""),"",IF(E1982="","Segment ontbreekt",IF(OR(G1982="",H1982=""),"Van/tot ontbreekt",IF(N(J1982)=0,"Duur is nul",IF(N(J1982)&gt;12,"Langer dan 12 uur - controleren",IF(AND(E1982="Werken",D1982=""),"Werken zonder klant - koppelen","OK"))))))</f>
        <v/>
      </c>
    </row>
    <row r="1983" ht="15" customHeight="1" s="42">
      <c r="A1983" s="55" t="n"/>
      <c r="B1983" s="56">
        <f>IF(A1983="","",WEEKNUM(A1983,21))</f>
        <v/>
      </c>
      <c r="C1983" s="57" t="n"/>
      <c r="D1983" s="57" t="n"/>
      <c r="E1983" s="58" t="n"/>
      <c r="F1983" s="57" t="n"/>
      <c r="G1983" s="59" t="n"/>
      <c r="H1983" s="59" t="n"/>
      <c r="I1983" s="60">
        <f>IF(OR(G1983="",H1983=""),"",MOD(H1983-G1983,1))</f>
        <v/>
      </c>
      <c r="J1983" s="61">
        <f>IF(OR(G1983="",H1983=""),"",ROUND(MOD(H1983-G1983,1)*24,2))</f>
        <v/>
      </c>
      <c r="K1983" s="62">
        <f>IF(E1983="","",IF(E1983="Werken","JA","NEE"))</f>
        <v/>
      </c>
      <c r="L1983" s="61">
        <f>IF(K1983="JA",N(J1983),IF(E1983="","",0))</f>
        <v/>
      </c>
      <c r="M1983" s="62">
        <f>IF(AND(A1983="",E1983=""),"",IF(E1983="","Segment ontbreekt",IF(OR(G1983="",H1983=""),"Van/tot ontbreekt",IF(N(J1983)=0,"Duur is nul",IF(N(J1983)&gt;12,"Langer dan 12 uur - controleren",IF(AND(E1983="Werken",D1983=""),"Werken zonder klant - koppelen","OK"))))))</f>
        <v/>
      </c>
    </row>
    <row r="1984" ht="15" customHeight="1" s="42">
      <c r="A1984" s="55" t="n"/>
      <c r="B1984" s="56">
        <f>IF(A1984="","",WEEKNUM(A1984,21))</f>
        <v/>
      </c>
      <c r="C1984" s="57" t="n"/>
      <c r="D1984" s="57" t="n"/>
      <c r="E1984" s="58" t="n"/>
      <c r="F1984" s="57" t="n"/>
      <c r="G1984" s="59" t="n"/>
      <c r="H1984" s="59" t="n"/>
      <c r="I1984" s="60">
        <f>IF(OR(G1984="",H1984=""),"",MOD(H1984-G1984,1))</f>
        <v/>
      </c>
      <c r="J1984" s="61">
        <f>IF(OR(G1984="",H1984=""),"",ROUND(MOD(H1984-G1984,1)*24,2))</f>
        <v/>
      </c>
      <c r="K1984" s="62">
        <f>IF(E1984="","",IF(E1984="Werken","JA","NEE"))</f>
        <v/>
      </c>
      <c r="L1984" s="61">
        <f>IF(K1984="JA",N(J1984),IF(E1984="","",0))</f>
        <v/>
      </c>
      <c r="M1984" s="62">
        <f>IF(AND(A1984="",E1984=""),"",IF(E1984="","Segment ontbreekt",IF(OR(G1984="",H1984=""),"Van/tot ontbreekt",IF(N(J1984)=0,"Duur is nul",IF(N(J1984)&gt;12,"Langer dan 12 uur - controleren",IF(AND(E1984="Werken",D1984=""),"Werken zonder klant - koppelen","OK"))))))</f>
        <v/>
      </c>
    </row>
    <row r="1985" ht="15" customHeight="1" s="42">
      <c r="A1985" s="55" t="n"/>
      <c r="B1985" s="56">
        <f>IF(A1985="","",WEEKNUM(A1985,21))</f>
        <v/>
      </c>
      <c r="C1985" s="57" t="n"/>
      <c r="D1985" s="57" t="n"/>
      <c r="E1985" s="58" t="n"/>
      <c r="F1985" s="57" t="n"/>
      <c r="G1985" s="59" t="n"/>
      <c r="H1985" s="59" t="n"/>
      <c r="I1985" s="60">
        <f>IF(OR(G1985="",H1985=""),"",MOD(H1985-G1985,1))</f>
        <v/>
      </c>
      <c r="J1985" s="61">
        <f>IF(OR(G1985="",H1985=""),"",ROUND(MOD(H1985-G1985,1)*24,2))</f>
        <v/>
      </c>
      <c r="K1985" s="62">
        <f>IF(E1985="","",IF(E1985="Werken","JA","NEE"))</f>
        <v/>
      </c>
      <c r="L1985" s="61">
        <f>IF(K1985="JA",N(J1985),IF(E1985="","",0))</f>
        <v/>
      </c>
      <c r="M1985" s="62">
        <f>IF(AND(A1985="",E1985=""),"",IF(E1985="","Segment ontbreekt",IF(OR(G1985="",H1985=""),"Van/tot ontbreekt",IF(N(J1985)=0,"Duur is nul",IF(N(J1985)&gt;12,"Langer dan 12 uur - controleren",IF(AND(E1985="Werken",D1985=""),"Werken zonder klant - koppelen","OK"))))))</f>
        <v/>
      </c>
    </row>
    <row r="1986" ht="15" customHeight="1" s="42">
      <c r="A1986" s="55" t="n"/>
      <c r="B1986" s="56">
        <f>IF(A1986="","",WEEKNUM(A1986,21))</f>
        <v/>
      </c>
      <c r="C1986" s="57" t="n"/>
      <c r="D1986" s="57" t="n"/>
      <c r="E1986" s="58" t="n"/>
      <c r="F1986" s="57" t="n"/>
      <c r="G1986" s="59" t="n"/>
      <c r="H1986" s="59" t="n"/>
      <c r="I1986" s="60">
        <f>IF(OR(G1986="",H1986=""),"",MOD(H1986-G1986,1))</f>
        <v/>
      </c>
      <c r="J1986" s="61">
        <f>IF(OR(G1986="",H1986=""),"",ROUND(MOD(H1986-G1986,1)*24,2))</f>
        <v/>
      </c>
      <c r="K1986" s="62">
        <f>IF(E1986="","",IF(E1986="Werken","JA","NEE"))</f>
        <v/>
      </c>
      <c r="L1986" s="61">
        <f>IF(K1986="JA",N(J1986),IF(E1986="","",0))</f>
        <v/>
      </c>
      <c r="M1986" s="62">
        <f>IF(AND(A1986="",E1986=""),"",IF(E1986="","Segment ontbreekt",IF(OR(G1986="",H1986=""),"Van/tot ontbreekt",IF(N(J1986)=0,"Duur is nul",IF(N(J1986)&gt;12,"Langer dan 12 uur - controleren",IF(AND(E1986="Werken",D1986=""),"Werken zonder klant - koppelen","OK"))))))</f>
        <v/>
      </c>
    </row>
    <row r="1987" ht="15" customHeight="1" s="42">
      <c r="A1987" s="55" t="n"/>
      <c r="B1987" s="56">
        <f>IF(A1987="","",WEEKNUM(A1987,21))</f>
        <v/>
      </c>
      <c r="C1987" s="57" t="n"/>
      <c r="D1987" s="57" t="n"/>
      <c r="E1987" s="58" t="n"/>
      <c r="F1987" s="57" t="n"/>
      <c r="G1987" s="59" t="n"/>
      <c r="H1987" s="59" t="n"/>
      <c r="I1987" s="60">
        <f>IF(OR(G1987="",H1987=""),"",MOD(H1987-G1987,1))</f>
        <v/>
      </c>
      <c r="J1987" s="61">
        <f>IF(OR(G1987="",H1987=""),"",ROUND(MOD(H1987-G1987,1)*24,2))</f>
        <v/>
      </c>
      <c r="K1987" s="62">
        <f>IF(E1987="","",IF(E1987="Werken","JA","NEE"))</f>
        <v/>
      </c>
      <c r="L1987" s="61">
        <f>IF(K1987="JA",N(J1987),IF(E1987="","",0))</f>
        <v/>
      </c>
      <c r="M1987" s="62">
        <f>IF(AND(A1987="",E1987=""),"",IF(E1987="","Segment ontbreekt",IF(OR(G1987="",H1987=""),"Van/tot ontbreekt",IF(N(J1987)=0,"Duur is nul",IF(N(J1987)&gt;12,"Langer dan 12 uur - controleren",IF(AND(E1987="Werken",D1987=""),"Werken zonder klant - koppelen","OK"))))))</f>
        <v/>
      </c>
    </row>
    <row r="1988" ht="15" customHeight="1" s="42">
      <c r="A1988" s="55" t="n"/>
      <c r="B1988" s="56">
        <f>IF(A1988="","",WEEKNUM(A1988,21))</f>
        <v/>
      </c>
      <c r="C1988" s="57" t="n"/>
      <c r="D1988" s="57" t="n"/>
      <c r="E1988" s="58" t="n"/>
      <c r="F1988" s="57" t="n"/>
      <c r="G1988" s="59" t="n"/>
      <c r="H1988" s="59" t="n"/>
      <c r="I1988" s="60">
        <f>IF(OR(G1988="",H1988=""),"",MOD(H1988-G1988,1))</f>
        <v/>
      </c>
      <c r="J1988" s="61">
        <f>IF(OR(G1988="",H1988=""),"",ROUND(MOD(H1988-G1988,1)*24,2))</f>
        <v/>
      </c>
      <c r="K1988" s="62">
        <f>IF(E1988="","",IF(E1988="Werken","JA","NEE"))</f>
        <v/>
      </c>
      <c r="L1988" s="61">
        <f>IF(K1988="JA",N(J1988),IF(E1988="","",0))</f>
        <v/>
      </c>
      <c r="M1988" s="62">
        <f>IF(AND(A1988="",E1988=""),"",IF(E1988="","Segment ontbreekt",IF(OR(G1988="",H1988=""),"Van/tot ontbreekt",IF(N(J1988)=0,"Duur is nul",IF(N(J1988)&gt;12,"Langer dan 12 uur - controleren",IF(AND(E1988="Werken",D1988=""),"Werken zonder klant - koppelen","OK"))))))</f>
        <v/>
      </c>
    </row>
    <row r="1989" ht="15" customHeight="1" s="42">
      <c r="A1989" s="55" t="n"/>
      <c r="B1989" s="56">
        <f>IF(A1989="","",WEEKNUM(A1989,21))</f>
        <v/>
      </c>
      <c r="C1989" s="57" t="n"/>
      <c r="D1989" s="57" t="n"/>
      <c r="E1989" s="58" t="n"/>
      <c r="F1989" s="57" t="n"/>
      <c r="G1989" s="59" t="n"/>
      <c r="H1989" s="59" t="n"/>
      <c r="I1989" s="60">
        <f>IF(OR(G1989="",H1989=""),"",MOD(H1989-G1989,1))</f>
        <v/>
      </c>
      <c r="J1989" s="61">
        <f>IF(OR(G1989="",H1989=""),"",ROUND(MOD(H1989-G1989,1)*24,2))</f>
        <v/>
      </c>
      <c r="K1989" s="62">
        <f>IF(E1989="","",IF(E1989="Werken","JA","NEE"))</f>
        <v/>
      </c>
      <c r="L1989" s="61">
        <f>IF(K1989="JA",N(J1989),IF(E1989="","",0))</f>
        <v/>
      </c>
      <c r="M1989" s="62">
        <f>IF(AND(A1989="",E1989=""),"",IF(E1989="","Segment ontbreekt",IF(OR(G1989="",H1989=""),"Van/tot ontbreekt",IF(N(J1989)=0,"Duur is nul",IF(N(J1989)&gt;12,"Langer dan 12 uur - controleren",IF(AND(E1989="Werken",D1989=""),"Werken zonder klant - koppelen","OK"))))))</f>
        <v/>
      </c>
    </row>
    <row r="1990" ht="15" customHeight="1" s="42">
      <c r="A1990" s="55" t="n"/>
      <c r="B1990" s="56">
        <f>IF(A1990="","",WEEKNUM(A1990,21))</f>
        <v/>
      </c>
      <c r="C1990" s="57" t="n"/>
      <c r="D1990" s="57" t="n"/>
      <c r="E1990" s="58" t="n"/>
      <c r="F1990" s="57" t="n"/>
      <c r="G1990" s="59" t="n"/>
      <c r="H1990" s="59" t="n"/>
      <c r="I1990" s="60">
        <f>IF(OR(G1990="",H1990=""),"",MOD(H1990-G1990,1))</f>
        <v/>
      </c>
      <c r="J1990" s="61">
        <f>IF(OR(G1990="",H1990=""),"",ROUND(MOD(H1990-G1990,1)*24,2))</f>
        <v/>
      </c>
      <c r="K1990" s="62">
        <f>IF(E1990="","",IF(E1990="Werken","JA","NEE"))</f>
        <v/>
      </c>
      <c r="L1990" s="61">
        <f>IF(K1990="JA",N(J1990),IF(E1990="","",0))</f>
        <v/>
      </c>
      <c r="M1990" s="62">
        <f>IF(AND(A1990="",E1990=""),"",IF(E1990="","Segment ontbreekt",IF(OR(G1990="",H1990=""),"Van/tot ontbreekt",IF(N(J1990)=0,"Duur is nul",IF(N(J1990)&gt;12,"Langer dan 12 uur - controleren",IF(AND(E1990="Werken",D1990=""),"Werken zonder klant - koppelen","OK"))))))</f>
        <v/>
      </c>
    </row>
    <row r="1991" ht="15" customHeight="1" s="42">
      <c r="A1991" s="55" t="n"/>
      <c r="B1991" s="56">
        <f>IF(A1991="","",WEEKNUM(A1991,21))</f>
        <v/>
      </c>
      <c r="C1991" s="57" t="n"/>
      <c r="D1991" s="57" t="n"/>
      <c r="E1991" s="58" t="n"/>
      <c r="F1991" s="57" t="n"/>
      <c r="G1991" s="59" t="n"/>
      <c r="H1991" s="59" t="n"/>
      <c r="I1991" s="60">
        <f>IF(OR(G1991="",H1991=""),"",MOD(H1991-G1991,1))</f>
        <v/>
      </c>
      <c r="J1991" s="61">
        <f>IF(OR(G1991="",H1991=""),"",ROUND(MOD(H1991-G1991,1)*24,2))</f>
        <v/>
      </c>
      <c r="K1991" s="62">
        <f>IF(E1991="","",IF(E1991="Werken","JA","NEE"))</f>
        <v/>
      </c>
      <c r="L1991" s="61">
        <f>IF(K1991="JA",N(J1991),IF(E1991="","",0))</f>
        <v/>
      </c>
      <c r="M1991" s="62">
        <f>IF(AND(A1991="",E1991=""),"",IF(E1991="","Segment ontbreekt",IF(OR(G1991="",H1991=""),"Van/tot ontbreekt",IF(N(J1991)=0,"Duur is nul",IF(N(J1991)&gt;12,"Langer dan 12 uur - controleren",IF(AND(E1991="Werken",D1991=""),"Werken zonder klant - koppelen","OK"))))))</f>
        <v/>
      </c>
    </row>
    <row r="1992" ht="15" customHeight="1" s="42">
      <c r="A1992" s="55" t="n"/>
      <c r="B1992" s="56">
        <f>IF(A1992="","",WEEKNUM(A1992,21))</f>
        <v/>
      </c>
      <c r="C1992" s="57" t="n"/>
      <c r="D1992" s="57" t="n"/>
      <c r="E1992" s="58" t="n"/>
      <c r="F1992" s="57" t="n"/>
      <c r="G1992" s="59" t="n"/>
      <c r="H1992" s="59" t="n"/>
      <c r="I1992" s="60">
        <f>IF(OR(G1992="",H1992=""),"",MOD(H1992-G1992,1))</f>
        <v/>
      </c>
      <c r="J1992" s="61">
        <f>IF(OR(G1992="",H1992=""),"",ROUND(MOD(H1992-G1992,1)*24,2))</f>
        <v/>
      </c>
      <c r="K1992" s="62">
        <f>IF(E1992="","",IF(E1992="Werken","JA","NEE"))</f>
        <v/>
      </c>
      <c r="L1992" s="61">
        <f>IF(K1992="JA",N(J1992),IF(E1992="","",0))</f>
        <v/>
      </c>
      <c r="M1992" s="62">
        <f>IF(AND(A1992="",E1992=""),"",IF(E1992="","Segment ontbreekt",IF(OR(G1992="",H1992=""),"Van/tot ontbreekt",IF(N(J1992)=0,"Duur is nul",IF(N(J1992)&gt;12,"Langer dan 12 uur - controleren",IF(AND(E1992="Werken",D1992=""),"Werken zonder klant - koppelen","OK"))))))</f>
        <v/>
      </c>
    </row>
    <row r="1993" ht="15" customHeight="1" s="42">
      <c r="A1993" s="55" t="n"/>
      <c r="B1993" s="56">
        <f>IF(A1993="","",WEEKNUM(A1993,21))</f>
        <v/>
      </c>
      <c r="C1993" s="57" t="n"/>
      <c r="D1993" s="57" t="n"/>
      <c r="E1993" s="58" t="n"/>
      <c r="F1993" s="57" t="n"/>
      <c r="G1993" s="59" t="n"/>
      <c r="H1993" s="59" t="n"/>
      <c r="I1993" s="60">
        <f>IF(OR(G1993="",H1993=""),"",MOD(H1993-G1993,1))</f>
        <v/>
      </c>
      <c r="J1993" s="61">
        <f>IF(OR(G1993="",H1993=""),"",ROUND(MOD(H1993-G1993,1)*24,2))</f>
        <v/>
      </c>
      <c r="K1993" s="62">
        <f>IF(E1993="","",IF(E1993="Werken","JA","NEE"))</f>
        <v/>
      </c>
      <c r="L1993" s="61">
        <f>IF(K1993="JA",N(J1993),IF(E1993="","",0))</f>
        <v/>
      </c>
      <c r="M1993" s="62">
        <f>IF(AND(A1993="",E1993=""),"",IF(E1993="","Segment ontbreekt",IF(OR(G1993="",H1993=""),"Van/tot ontbreekt",IF(N(J1993)=0,"Duur is nul",IF(N(J1993)&gt;12,"Langer dan 12 uur - controleren",IF(AND(E1993="Werken",D1993=""),"Werken zonder klant - koppelen","OK"))))))</f>
        <v/>
      </c>
    </row>
    <row r="1994" ht="15" customHeight="1" s="42">
      <c r="A1994" s="55" t="n"/>
      <c r="B1994" s="56">
        <f>IF(A1994="","",WEEKNUM(A1994,21))</f>
        <v/>
      </c>
      <c r="C1994" s="57" t="n"/>
      <c r="D1994" s="57" t="n"/>
      <c r="E1994" s="58" t="n"/>
      <c r="F1994" s="57" t="n"/>
      <c r="G1994" s="59" t="n"/>
      <c r="H1994" s="59" t="n"/>
      <c r="I1994" s="60">
        <f>IF(OR(G1994="",H1994=""),"",MOD(H1994-G1994,1))</f>
        <v/>
      </c>
      <c r="J1994" s="61">
        <f>IF(OR(G1994="",H1994=""),"",ROUND(MOD(H1994-G1994,1)*24,2))</f>
        <v/>
      </c>
      <c r="K1994" s="62">
        <f>IF(E1994="","",IF(E1994="Werken","JA","NEE"))</f>
        <v/>
      </c>
      <c r="L1994" s="61">
        <f>IF(K1994="JA",N(J1994),IF(E1994="","",0))</f>
        <v/>
      </c>
      <c r="M1994" s="62">
        <f>IF(AND(A1994="",E1994=""),"",IF(E1994="","Segment ontbreekt",IF(OR(G1994="",H1994=""),"Van/tot ontbreekt",IF(N(J1994)=0,"Duur is nul",IF(N(J1994)&gt;12,"Langer dan 12 uur - controleren",IF(AND(E1994="Werken",D1994=""),"Werken zonder klant - koppelen","OK"))))))</f>
        <v/>
      </c>
    </row>
    <row r="1995" ht="15" customHeight="1" s="42">
      <c r="A1995" s="55" t="n"/>
      <c r="B1995" s="56">
        <f>IF(A1995="","",WEEKNUM(A1995,21))</f>
        <v/>
      </c>
      <c r="C1995" s="57" t="n"/>
      <c r="D1995" s="57" t="n"/>
      <c r="E1995" s="58" t="n"/>
      <c r="F1995" s="57" t="n"/>
      <c r="G1995" s="59" t="n"/>
      <c r="H1995" s="59" t="n"/>
      <c r="I1995" s="60">
        <f>IF(OR(G1995="",H1995=""),"",MOD(H1995-G1995,1))</f>
        <v/>
      </c>
      <c r="J1995" s="61">
        <f>IF(OR(G1995="",H1995=""),"",ROUND(MOD(H1995-G1995,1)*24,2))</f>
        <v/>
      </c>
      <c r="K1995" s="62">
        <f>IF(E1995="","",IF(E1995="Werken","JA","NEE"))</f>
        <v/>
      </c>
      <c r="L1995" s="61">
        <f>IF(K1995="JA",N(J1995),IF(E1995="","",0))</f>
        <v/>
      </c>
      <c r="M1995" s="62">
        <f>IF(AND(A1995="",E1995=""),"",IF(E1995="","Segment ontbreekt",IF(OR(G1995="",H1995=""),"Van/tot ontbreekt",IF(N(J1995)=0,"Duur is nul",IF(N(J1995)&gt;12,"Langer dan 12 uur - controleren",IF(AND(E1995="Werken",D1995=""),"Werken zonder klant - koppelen","OK"))))))</f>
        <v/>
      </c>
    </row>
    <row r="1996" ht="15" customHeight="1" s="42">
      <c r="A1996" s="55" t="n"/>
      <c r="B1996" s="56">
        <f>IF(A1996="","",WEEKNUM(A1996,21))</f>
        <v/>
      </c>
      <c r="C1996" s="57" t="n"/>
      <c r="D1996" s="57" t="n"/>
      <c r="E1996" s="58" t="n"/>
      <c r="F1996" s="57" t="n"/>
      <c r="G1996" s="59" t="n"/>
      <c r="H1996" s="59" t="n"/>
      <c r="I1996" s="60">
        <f>IF(OR(G1996="",H1996=""),"",MOD(H1996-G1996,1))</f>
        <v/>
      </c>
      <c r="J1996" s="61">
        <f>IF(OR(G1996="",H1996=""),"",ROUND(MOD(H1996-G1996,1)*24,2))</f>
        <v/>
      </c>
      <c r="K1996" s="62">
        <f>IF(E1996="","",IF(E1996="Werken","JA","NEE"))</f>
        <v/>
      </c>
      <c r="L1996" s="61">
        <f>IF(K1996="JA",N(J1996),IF(E1996="","",0))</f>
        <v/>
      </c>
      <c r="M1996" s="62">
        <f>IF(AND(A1996="",E1996=""),"",IF(E1996="","Segment ontbreekt",IF(OR(G1996="",H1996=""),"Van/tot ontbreekt",IF(N(J1996)=0,"Duur is nul",IF(N(J1996)&gt;12,"Langer dan 12 uur - controleren",IF(AND(E1996="Werken",D1996=""),"Werken zonder klant - koppelen","OK"))))))</f>
        <v/>
      </c>
    </row>
    <row r="1997" ht="15" customHeight="1" s="42">
      <c r="A1997" s="55" t="n"/>
      <c r="B1997" s="56">
        <f>IF(A1997="","",WEEKNUM(A1997,21))</f>
        <v/>
      </c>
      <c r="C1997" s="57" t="n"/>
      <c r="D1997" s="57" t="n"/>
      <c r="E1997" s="58" t="n"/>
      <c r="F1997" s="57" t="n"/>
      <c r="G1997" s="59" t="n"/>
      <c r="H1997" s="59" t="n"/>
      <c r="I1997" s="60">
        <f>IF(OR(G1997="",H1997=""),"",MOD(H1997-G1997,1))</f>
        <v/>
      </c>
      <c r="J1997" s="61">
        <f>IF(OR(G1997="",H1997=""),"",ROUND(MOD(H1997-G1997,1)*24,2))</f>
        <v/>
      </c>
      <c r="K1997" s="62">
        <f>IF(E1997="","",IF(E1997="Werken","JA","NEE"))</f>
        <v/>
      </c>
      <c r="L1997" s="61">
        <f>IF(K1997="JA",N(J1997),IF(E1997="","",0))</f>
        <v/>
      </c>
      <c r="M1997" s="62">
        <f>IF(AND(A1997="",E1997=""),"",IF(E1997="","Segment ontbreekt",IF(OR(G1997="",H1997=""),"Van/tot ontbreekt",IF(N(J1997)=0,"Duur is nul",IF(N(J1997)&gt;12,"Langer dan 12 uur - controleren",IF(AND(E1997="Werken",D1997=""),"Werken zonder klant - koppelen","OK"))))))</f>
        <v/>
      </c>
    </row>
    <row r="1998" ht="15" customHeight="1" s="42">
      <c r="A1998" s="55" t="n"/>
      <c r="B1998" s="56">
        <f>IF(A1998="","",WEEKNUM(A1998,21))</f>
        <v/>
      </c>
      <c r="C1998" s="57" t="n"/>
      <c r="D1998" s="57" t="n"/>
      <c r="E1998" s="58" t="n"/>
      <c r="F1998" s="57" t="n"/>
      <c r="G1998" s="59" t="n"/>
      <c r="H1998" s="59" t="n"/>
      <c r="I1998" s="60">
        <f>IF(OR(G1998="",H1998=""),"",MOD(H1998-G1998,1))</f>
        <v/>
      </c>
      <c r="J1998" s="61">
        <f>IF(OR(G1998="",H1998=""),"",ROUND(MOD(H1998-G1998,1)*24,2))</f>
        <v/>
      </c>
      <c r="K1998" s="62">
        <f>IF(E1998="","",IF(E1998="Werken","JA","NEE"))</f>
        <v/>
      </c>
      <c r="L1998" s="61">
        <f>IF(K1998="JA",N(J1998),IF(E1998="","",0))</f>
        <v/>
      </c>
      <c r="M1998" s="62">
        <f>IF(AND(A1998="",E1998=""),"",IF(E1998="","Segment ontbreekt",IF(OR(G1998="",H1998=""),"Van/tot ontbreekt",IF(N(J1998)=0,"Duur is nul",IF(N(J1998)&gt;12,"Langer dan 12 uur - controleren",IF(AND(E1998="Werken",D1998=""),"Werken zonder klant - koppelen","OK"))))))</f>
        <v/>
      </c>
    </row>
    <row r="1999" ht="15" customHeight="1" s="42">
      <c r="A1999" s="55" t="n"/>
      <c r="B1999" s="56">
        <f>IF(A1999="","",WEEKNUM(A1999,21))</f>
        <v/>
      </c>
      <c r="C1999" s="57" t="n"/>
      <c r="D1999" s="57" t="n"/>
      <c r="E1999" s="58" t="n"/>
      <c r="F1999" s="57" t="n"/>
      <c r="G1999" s="59" t="n"/>
      <c r="H1999" s="59" t="n"/>
      <c r="I1999" s="60">
        <f>IF(OR(G1999="",H1999=""),"",MOD(H1999-G1999,1))</f>
        <v/>
      </c>
      <c r="J1999" s="61">
        <f>IF(OR(G1999="",H1999=""),"",ROUND(MOD(H1999-G1999,1)*24,2))</f>
        <v/>
      </c>
      <c r="K1999" s="62">
        <f>IF(E1999="","",IF(E1999="Werken","JA","NEE"))</f>
        <v/>
      </c>
      <c r="L1999" s="61">
        <f>IF(K1999="JA",N(J1999),IF(E1999="","",0))</f>
        <v/>
      </c>
      <c r="M1999" s="62">
        <f>IF(AND(A1999="",E1999=""),"",IF(E1999="","Segment ontbreekt",IF(OR(G1999="",H1999=""),"Van/tot ontbreekt",IF(N(J1999)=0,"Duur is nul",IF(N(J1999)&gt;12,"Langer dan 12 uur - controleren",IF(AND(E1999="Werken",D1999=""),"Werken zonder klant - koppelen","OK"))))))</f>
        <v/>
      </c>
    </row>
    <row r="2000" ht="15" customHeight="1" s="42">
      <c r="A2000" s="55" t="n"/>
      <c r="B2000" s="56">
        <f>IF(A2000="","",WEEKNUM(A2000,21))</f>
        <v/>
      </c>
      <c r="C2000" s="57" t="n"/>
      <c r="D2000" s="57" t="n"/>
      <c r="E2000" s="58" t="n"/>
      <c r="F2000" s="57" t="n"/>
      <c r="G2000" s="59" t="n"/>
      <c r="H2000" s="59" t="n"/>
      <c r="I2000" s="60">
        <f>IF(OR(G2000="",H2000=""),"",MOD(H2000-G2000,1))</f>
        <v/>
      </c>
      <c r="J2000" s="61">
        <f>IF(OR(G2000="",H2000=""),"",ROUND(MOD(H2000-G2000,1)*24,2))</f>
        <v/>
      </c>
      <c r="K2000" s="62">
        <f>IF(E2000="","",IF(E2000="Werken","JA","NEE"))</f>
        <v/>
      </c>
      <c r="L2000" s="61">
        <f>IF(K2000="JA",N(J2000),IF(E2000="","",0))</f>
        <v/>
      </c>
      <c r="M2000" s="62">
        <f>IF(AND(A2000="",E2000=""),"",IF(E2000="","Segment ontbreekt",IF(OR(G2000="",H2000=""),"Van/tot ontbreekt",IF(N(J2000)=0,"Duur is nul",IF(N(J2000)&gt;12,"Langer dan 12 uur - controleren",IF(AND(E2000="Werken",D2000=""),"Werken zonder klant - koppelen","OK"))))))</f>
        <v/>
      </c>
    </row>
    <row r="2001" ht="15" customHeight="1" s="42">
      <c r="A2001" s="55" t="n"/>
      <c r="B2001" s="56">
        <f>IF(A2001="","",WEEKNUM(A2001,21))</f>
        <v/>
      </c>
      <c r="C2001" s="57" t="n"/>
      <c r="D2001" s="57" t="n"/>
      <c r="E2001" s="58" t="n"/>
      <c r="F2001" s="57" t="n"/>
      <c r="G2001" s="59" t="n"/>
      <c r="H2001" s="59" t="n"/>
      <c r="I2001" s="60">
        <f>IF(OR(G2001="",H2001=""),"",MOD(H2001-G2001,1))</f>
        <v/>
      </c>
      <c r="J2001" s="61">
        <f>IF(OR(G2001="",H2001=""),"",ROUND(MOD(H2001-G2001,1)*24,2))</f>
        <v/>
      </c>
      <c r="K2001" s="62">
        <f>IF(E2001="","",IF(E2001="Werken","JA","NEE"))</f>
        <v/>
      </c>
      <c r="L2001" s="61">
        <f>IF(K2001="JA",N(J2001),IF(E2001="","",0))</f>
        <v/>
      </c>
      <c r="M2001" s="62">
        <f>IF(AND(A2001="",E2001=""),"",IF(E2001="","Segment ontbreekt",IF(OR(G2001="",H2001=""),"Van/tot ontbreekt",IF(N(J2001)=0,"Duur is nul",IF(N(J2001)&gt;12,"Langer dan 12 uur - controleren",IF(AND(E2001="Werken",D2001=""),"Werken zonder klant - koppelen","OK"))))))</f>
        <v/>
      </c>
    </row>
    <row r="2002" ht="15" customHeight="1" s="42">
      <c r="A2002" s="55" t="n"/>
      <c r="B2002" s="56">
        <f>IF(A2002="","",WEEKNUM(A2002,21))</f>
        <v/>
      </c>
      <c r="C2002" s="57" t="n"/>
      <c r="D2002" s="57" t="n"/>
      <c r="E2002" s="58" t="n"/>
      <c r="F2002" s="57" t="n"/>
      <c r="G2002" s="59" t="n"/>
      <c r="H2002" s="59" t="n"/>
      <c r="I2002" s="60">
        <f>IF(OR(G2002="",H2002=""),"",MOD(H2002-G2002,1))</f>
        <v/>
      </c>
      <c r="J2002" s="61">
        <f>IF(OR(G2002="",H2002=""),"",ROUND(MOD(H2002-G2002,1)*24,2))</f>
        <v/>
      </c>
      <c r="K2002" s="62">
        <f>IF(E2002="","",IF(E2002="Werken","JA","NEE"))</f>
        <v/>
      </c>
      <c r="L2002" s="61">
        <f>IF(K2002="JA",N(J2002),IF(E2002="","",0))</f>
        <v/>
      </c>
      <c r="M2002" s="62">
        <f>IF(AND(A2002="",E2002=""),"",IF(E2002="","Segment ontbreekt",IF(OR(G2002="",H2002=""),"Van/tot ontbreekt",IF(N(J2002)=0,"Duur is nul",IF(N(J2002)&gt;12,"Langer dan 12 uur - controleren",IF(AND(E2002="Werken",D2002=""),"Werken zonder klant - koppelen","OK"))))))</f>
        <v/>
      </c>
    </row>
    <row r="2003" ht="15" customHeight="1" s="42">
      <c r="A2003" s="55" t="n"/>
      <c r="B2003" s="56">
        <f>IF(A2003="","",WEEKNUM(A2003,21))</f>
        <v/>
      </c>
      <c r="C2003" s="57" t="n"/>
      <c r="D2003" s="57" t="n"/>
      <c r="E2003" s="58" t="n"/>
      <c r="F2003" s="57" t="n"/>
      <c r="G2003" s="59" t="n"/>
      <c r="H2003" s="59" t="n"/>
      <c r="I2003" s="60">
        <f>IF(OR(G2003="",H2003=""),"",MOD(H2003-G2003,1))</f>
        <v/>
      </c>
      <c r="J2003" s="61">
        <f>IF(OR(G2003="",H2003=""),"",ROUND(MOD(H2003-G2003,1)*24,2))</f>
        <v/>
      </c>
      <c r="K2003" s="62">
        <f>IF(E2003="","",IF(E2003="Werken","JA","NEE"))</f>
        <v/>
      </c>
      <c r="L2003" s="61">
        <f>IF(K2003="JA",N(J2003),IF(E2003="","",0))</f>
        <v/>
      </c>
      <c r="M2003" s="62">
        <f>IF(AND(A2003="",E2003=""),"",IF(E2003="","Segment ontbreekt",IF(OR(G2003="",H2003=""),"Van/tot ontbreekt",IF(N(J2003)=0,"Duur is nul",IF(N(J2003)&gt;12,"Langer dan 12 uur - controleren",IF(AND(E2003="Werken",D2003=""),"Werken zonder klant - koppelen","OK"))))))</f>
        <v/>
      </c>
    </row>
    <row r="2004" ht="15" customHeight="1" s="42">
      <c r="A2004" s="55" t="n"/>
      <c r="B2004" s="56">
        <f>IF(A2004="","",WEEKNUM(A2004,21))</f>
        <v/>
      </c>
      <c r="C2004" s="57" t="n"/>
      <c r="D2004" s="57" t="n"/>
      <c r="E2004" s="58" t="n"/>
      <c r="F2004" s="57" t="n"/>
      <c r="G2004" s="59" t="n"/>
      <c r="H2004" s="59" t="n"/>
      <c r="I2004" s="60">
        <f>IF(OR(G2004="",H2004=""),"",MOD(H2004-G2004,1))</f>
        <v/>
      </c>
      <c r="J2004" s="61">
        <f>IF(OR(G2004="",H2004=""),"",ROUND(MOD(H2004-G2004,1)*24,2))</f>
        <v/>
      </c>
      <c r="K2004" s="62">
        <f>IF(E2004="","",IF(E2004="Werken","JA","NEE"))</f>
        <v/>
      </c>
      <c r="L2004" s="61">
        <f>IF(K2004="JA",N(J2004),IF(E2004="","",0))</f>
        <v/>
      </c>
      <c r="M2004" s="62">
        <f>IF(AND(A2004="",E2004=""),"",IF(E2004="","Segment ontbreekt",IF(OR(G2004="",H2004=""),"Van/tot ontbreekt",IF(N(J2004)=0,"Duur is nul",IF(N(J2004)&gt;12,"Langer dan 12 uur - controleren",IF(AND(E2004="Werken",D2004=""),"Werken zonder klant - koppelen","OK"))))))</f>
        <v/>
      </c>
    </row>
    <row r="2005" ht="15" customHeight="1" s="42">
      <c r="A2005" s="55" t="n"/>
      <c r="B2005" s="56">
        <f>IF(A2005="","",WEEKNUM(A2005,21))</f>
        <v/>
      </c>
      <c r="C2005" s="57" t="n"/>
      <c r="D2005" s="57" t="n"/>
      <c r="E2005" s="58" t="n"/>
      <c r="F2005" s="57" t="n"/>
      <c r="G2005" s="59" t="n"/>
      <c r="H2005" s="59" t="n"/>
      <c r="I2005" s="60">
        <f>IF(OR(G2005="",H2005=""),"",MOD(H2005-G2005,1))</f>
        <v/>
      </c>
      <c r="J2005" s="61">
        <f>IF(OR(G2005="",H2005=""),"",ROUND(MOD(H2005-G2005,1)*24,2))</f>
        <v/>
      </c>
      <c r="K2005" s="62">
        <f>IF(E2005="","",IF(E2005="Werken","JA","NEE"))</f>
        <v/>
      </c>
      <c r="L2005" s="61">
        <f>IF(K2005="JA",N(J2005),IF(E2005="","",0))</f>
        <v/>
      </c>
      <c r="M2005" s="62">
        <f>IF(AND(A2005="",E2005=""),"",IF(E2005="","Segment ontbreekt",IF(OR(G2005="",H2005=""),"Van/tot ontbreekt",IF(N(J2005)=0,"Duur is nul",IF(N(J2005)&gt;12,"Langer dan 12 uur - controleren",IF(AND(E2005="Werken",D2005=""),"Werken zonder klant - koppelen","OK"))))))</f>
        <v/>
      </c>
    </row>
    <row r="2006" ht="15" customHeight="1" s="42">
      <c r="A2006" s="55" t="n"/>
      <c r="B2006" s="56">
        <f>IF(A2006="","",WEEKNUM(A2006,21))</f>
        <v/>
      </c>
      <c r="C2006" s="57" t="n"/>
      <c r="D2006" s="57" t="n"/>
      <c r="E2006" s="58" t="n"/>
      <c r="F2006" s="57" t="n"/>
      <c r="G2006" s="59" t="n"/>
      <c r="H2006" s="59" t="n"/>
      <c r="I2006" s="60">
        <f>IF(OR(G2006="",H2006=""),"",MOD(H2006-G2006,1))</f>
        <v/>
      </c>
      <c r="J2006" s="61">
        <f>IF(OR(G2006="",H2006=""),"",ROUND(MOD(H2006-G2006,1)*24,2))</f>
        <v/>
      </c>
      <c r="K2006" s="62">
        <f>IF(E2006="","",IF(E2006="Werken","JA","NEE"))</f>
        <v/>
      </c>
      <c r="L2006" s="61">
        <f>IF(K2006="JA",N(J2006),IF(E2006="","",0))</f>
        <v/>
      </c>
      <c r="M2006" s="62">
        <f>IF(AND(A2006="",E2006=""),"",IF(E2006="","Segment ontbreekt",IF(OR(G2006="",H2006=""),"Van/tot ontbreekt",IF(N(J2006)=0,"Duur is nul",IF(N(J2006)&gt;12,"Langer dan 12 uur - controleren",IF(AND(E2006="Werken",D2006=""),"Werken zonder klant - koppelen","OK"))))))</f>
        <v/>
      </c>
    </row>
    <row r="2007" ht="15" customHeight="1" s="42">
      <c r="A2007" s="55" t="n"/>
      <c r="B2007" s="56">
        <f>IF(A2007="","",WEEKNUM(A2007,21))</f>
        <v/>
      </c>
      <c r="C2007" s="57" t="n"/>
      <c r="D2007" s="57" t="n"/>
      <c r="E2007" s="58" t="n"/>
      <c r="F2007" s="57" t="n"/>
      <c r="G2007" s="59" t="n"/>
      <c r="H2007" s="59" t="n"/>
      <c r="I2007" s="60">
        <f>IF(OR(G2007="",H2007=""),"",MOD(H2007-G2007,1))</f>
        <v/>
      </c>
      <c r="J2007" s="61">
        <f>IF(OR(G2007="",H2007=""),"",ROUND(MOD(H2007-G2007,1)*24,2))</f>
        <v/>
      </c>
      <c r="K2007" s="62">
        <f>IF(E2007="","",IF(E2007="Werken","JA","NEE"))</f>
        <v/>
      </c>
      <c r="L2007" s="61">
        <f>IF(K2007="JA",N(J2007),IF(E2007="","",0))</f>
        <v/>
      </c>
      <c r="M2007" s="62">
        <f>IF(AND(A2007="",E2007=""),"",IF(E2007="","Segment ontbreekt",IF(OR(G2007="",H2007=""),"Van/tot ontbreekt",IF(N(J2007)=0,"Duur is nul",IF(N(J2007)&gt;12,"Langer dan 12 uur - controleren",IF(AND(E2007="Werken",D2007=""),"Werken zonder klant - koppelen","OK"))))))</f>
        <v/>
      </c>
    </row>
    <row r="2008" ht="15" customHeight="1" s="42">
      <c r="A2008" s="55" t="n"/>
      <c r="B2008" s="56">
        <f>IF(A2008="","",WEEKNUM(A2008,21))</f>
        <v/>
      </c>
      <c r="C2008" s="57" t="n"/>
      <c r="D2008" s="57" t="n"/>
      <c r="E2008" s="58" t="n"/>
      <c r="F2008" s="57" t="n"/>
      <c r="G2008" s="59" t="n"/>
      <c r="H2008" s="59" t="n"/>
      <c r="I2008" s="60">
        <f>IF(OR(G2008="",H2008=""),"",MOD(H2008-G2008,1))</f>
        <v/>
      </c>
      <c r="J2008" s="61">
        <f>IF(OR(G2008="",H2008=""),"",ROUND(MOD(H2008-G2008,1)*24,2))</f>
        <v/>
      </c>
      <c r="K2008" s="62">
        <f>IF(E2008="","",IF(E2008="Werken","JA","NEE"))</f>
        <v/>
      </c>
      <c r="L2008" s="61">
        <f>IF(K2008="JA",N(J2008),IF(E2008="","",0))</f>
        <v/>
      </c>
      <c r="M2008" s="62">
        <f>IF(AND(A2008="",E2008=""),"",IF(E2008="","Segment ontbreekt",IF(OR(G2008="",H2008=""),"Van/tot ontbreekt",IF(N(J2008)=0,"Duur is nul",IF(N(J2008)&gt;12,"Langer dan 12 uur - controleren",IF(AND(E2008="Werken",D2008=""),"Werken zonder klant - koppelen","OK"))))))</f>
        <v/>
      </c>
    </row>
    <row r="2009" ht="15" customHeight="1" s="42">
      <c r="A2009" s="55" t="n"/>
      <c r="B2009" s="56">
        <f>IF(A2009="","",WEEKNUM(A2009,21))</f>
        <v/>
      </c>
      <c r="C2009" s="57" t="n"/>
      <c r="D2009" s="57" t="n"/>
      <c r="E2009" s="58" t="n"/>
      <c r="F2009" s="57" t="n"/>
      <c r="G2009" s="59" t="n"/>
      <c r="H2009" s="59" t="n"/>
      <c r="I2009" s="60">
        <f>IF(OR(G2009="",H2009=""),"",MOD(H2009-G2009,1))</f>
        <v/>
      </c>
      <c r="J2009" s="61">
        <f>IF(OR(G2009="",H2009=""),"",ROUND(MOD(H2009-G2009,1)*24,2))</f>
        <v/>
      </c>
      <c r="K2009" s="62">
        <f>IF(E2009="","",IF(E2009="Werken","JA","NEE"))</f>
        <v/>
      </c>
      <c r="L2009" s="61">
        <f>IF(K2009="JA",N(J2009),IF(E2009="","",0))</f>
        <v/>
      </c>
      <c r="M2009" s="62">
        <f>IF(AND(A2009="",E2009=""),"",IF(E2009="","Segment ontbreekt",IF(OR(G2009="",H2009=""),"Van/tot ontbreekt",IF(N(J2009)=0,"Duur is nul",IF(N(J2009)&gt;12,"Langer dan 12 uur - controleren",IF(AND(E2009="Werken",D2009=""),"Werken zonder klant - koppelen","OK"))))))</f>
        <v/>
      </c>
    </row>
    <row r="2010" ht="15" customHeight="1" s="42">
      <c r="A2010" s="55" t="n"/>
      <c r="B2010" s="56">
        <f>IF(A2010="","",WEEKNUM(A2010,21))</f>
        <v/>
      </c>
      <c r="C2010" s="57" t="n"/>
      <c r="D2010" s="57" t="n"/>
      <c r="E2010" s="58" t="n"/>
      <c r="F2010" s="57" t="n"/>
      <c r="G2010" s="59" t="n"/>
      <c r="H2010" s="59" t="n"/>
      <c r="I2010" s="60">
        <f>IF(OR(G2010="",H2010=""),"",MOD(H2010-G2010,1))</f>
        <v/>
      </c>
      <c r="J2010" s="61">
        <f>IF(OR(G2010="",H2010=""),"",ROUND(MOD(H2010-G2010,1)*24,2))</f>
        <v/>
      </c>
      <c r="K2010" s="62">
        <f>IF(E2010="","",IF(E2010="Werken","JA","NEE"))</f>
        <v/>
      </c>
      <c r="L2010" s="61">
        <f>IF(K2010="JA",N(J2010),IF(E2010="","",0))</f>
        <v/>
      </c>
      <c r="M2010" s="62">
        <f>IF(AND(A2010="",E2010=""),"",IF(E2010="","Segment ontbreekt",IF(OR(G2010="",H2010=""),"Van/tot ontbreekt",IF(N(J2010)=0,"Duur is nul",IF(N(J2010)&gt;12,"Langer dan 12 uur - controleren",IF(AND(E2010="Werken",D2010=""),"Werken zonder klant - koppelen","OK"))))))</f>
        <v/>
      </c>
    </row>
    <row r="2011" ht="15" customHeight="1" s="42">
      <c r="A2011" s="55" t="n"/>
      <c r="B2011" s="56">
        <f>IF(A2011="","",WEEKNUM(A2011,21))</f>
        <v/>
      </c>
      <c r="C2011" s="57" t="n"/>
      <c r="D2011" s="57" t="n"/>
      <c r="E2011" s="58" t="n"/>
      <c r="F2011" s="57" t="n"/>
      <c r="G2011" s="59" t="n"/>
      <c r="H2011" s="59" t="n"/>
      <c r="I2011" s="60">
        <f>IF(OR(G2011="",H2011=""),"",MOD(H2011-G2011,1))</f>
        <v/>
      </c>
      <c r="J2011" s="61">
        <f>IF(OR(G2011="",H2011=""),"",ROUND(MOD(H2011-G2011,1)*24,2))</f>
        <v/>
      </c>
      <c r="K2011" s="62">
        <f>IF(E2011="","",IF(E2011="Werken","JA","NEE"))</f>
        <v/>
      </c>
      <c r="L2011" s="61">
        <f>IF(K2011="JA",N(J2011),IF(E2011="","",0))</f>
        <v/>
      </c>
      <c r="M2011" s="62">
        <f>IF(AND(A2011="",E2011=""),"",IF(E2011="","Segment ontbreekt",IF(OR(G2011="",H2011=""),"Van/tot ontbreekt",IF(N(J2011)=0,"Duur is nul",IF(N(J2011)&gt;12,"Langer dan 12 uur - controleren",IF(AND(E2011="Werken",D2011=""),"Werken zonder klant - koppelen","OK"))))))</f>
        <v/>
      </c>
    </row>
    <row r="2012" ht="15" customHeight="1" s="42">
      <c r="A2012" s="55" t="n"/>
      <c r="B2012" s="56">
        <f>IF(A2012="","",WEEKNUM(A2012,21))</f>
        <v/>
      </c>
      <c r="C2012" s="57" t="n"/>
      <c r="D2012" s="57" t="n"/>
      <c r="E2012" s="58" t="n"/>
      <c r="F2012" s="57" t="n"/>
      <c r="G2012" s="59" t="n"/>
      <c r="H2012" s="59" t="n"/>
      <c r="I2012" s="60">
        <f>IF(OR(G2012="",H2012=""),"",MOD(H2012-G2012,1))</f>
        <v/>
      </c>
      <c r="J2012" s="61">
        <f>IF(OR(G2012="",H2012=""),"",ROUND(MOD(H2012-G2012,1)*24,2))</f>
        <v/>
      </c>
      <c r="K2012" s="62">
        <f>IF(E2012="","",IF(E2012="Werken","JA","NEE"))</f>
        <v/>
      </c>
      <c r="L2012" s="61">
        <f>IF(K2012="JA",N(J2012),IF(E2012="","",0))</f>
        <v/>
      </c>
      <c r="M2012" s="62">
        <f>IF(AND(A2012="",E2012=""),"",IF(E2012="","Segment ontbreekt",IF(OR(G2012="",H2012=""),"Van/tot ontbreekt",IF(N(J2012)=0,"Duur is nul",IF(N(J2012)&gt;12,"Langer dan 12 uur - controleren",IF(AND(E2012="Werken",D2012=""),"Werken zonder klant - koppelen","OK"))))))</f>
        <v/>
      </c>
    </row>
    <row r="2013" ht="15" customHeight="1" s="42">
      <c r="A2013" s="55" t="n"/>
      <c r="B2013" s="56">
        <f>IF(A2013="","",WEEKNUM(A2013,21))</f>
        <v/>
      </c>
      <c r="C2013" s="57" t="n"/>
      <c r="D2013" s="57" t="n"/>
      <c r="E2013" s="58" t="n"/>
      <c r="F2013" s="57" t="n"/>
      <c r="G2013" s="59" t="n"/>
      <c r="H2013" s="59" t="n"/>
      <c r="I2013" s="60">
        <f>IF(OR(G2013="",H2013=""),"",MOD(H2013-G2013,1))</f>
        <v/>
      </c>
      <c r="J2013" s="61">
        <f>IF(OR(G2013="",H2013=""),"",ROUND(MOD(H2013-G2013,1)*24,2))</f>
        <v/>
      </c>
      <c r="K2013" s="62">
        <f>IF(E2013="","",IF(E2013="Werken","JA","NEE"))</f>
        <v/>
      </c>
      <c r="L2013" s="61">
        <f>IF(K2013="JA",N(J2013),IF(E2013="","",0))</f>
        <v/>
      </c>
      <c r="M2013" s="62">
        <f>IF(AND(A2013="",E2013=""),"",IF(E2013="","Segment ontbreekt",IF(OR(G2013="",H2013=""),"Van/tot ontbreekt",IF(N(J2013)=0,"Duur is nul",IF(N(J2013)&gt;12,"Langer dan 12 uur - controleren",IF(AND(E2013="Werken",D2013=""),"Werken zonder klant - koppelen","OK"))))))</f>
        <v/>
      </c>
    </row>
    <row r="2014" ht="15" customHeight="1" s="42">
      <c r="A2014" s="55" t="n"/>
      <c r="B2014" s="56">
        <f>IF(A2014="","",WEEKNUM(A2014,21))</f>
        <v/>
      </c>
      <c r="C2014" s="57" t="n"/>
      <c r="D2014" s="57" t="n"/>
      <c r="E2014" s="58" t="n"/>
      <c r="F2014" s="57" t="n"/>
      <c r="G2014" s="59" t="n"/>
      <c r="H2014" s="59" t="n"/>
      <c r="I2014" s="60">
        <f>IF(OR(G2014="",H2014=""),"",MOD(H2014-G2014,1))</f>
        <v/>
      </c>
      <c r="J2014" s="61">
        <f>IF(OR(G2014="",H2014=""),"",ROUND(MOD(H2014-G2014,1)*24,2))</f>
        <v/>
      </c>
      <c r="K2014" s="62">
        <f>IF(E2014="","",IF(E2014="Werken","JA","NEE"))</f>
        <v/>
      </c>
      <c r="L2014" s="61">
        <f>IF(K2014="JA",N(J2014),IF(E2014="","",0))</f>
        <v/>
      </c>
      <c r="M2014" s="62">
        <f>IF(AND(A2014="",E2014=""),"",IF(E2014="","Segment ontbreekt",IF(OR(G2014="",H2014=""),"Van/tot ontbreekt",IF(N(J2014)=0,"Duur is nul",IF(N(J2014)&gt;12,"Langer dan 12 uur - controleren",IF(AND(E2014="Werken",D2014=""),"Werken zonder klant - koppelen","OK"))))))</f>
        <v/>
      </c>
    </row>
    <row r="2015" ht="15" customHeight="1" s="42">
      <c r="A2015" s="55" t="n"/>
      <c r="B2015" s="56">
        <f>IF(A2015="","",WEEKNUM(A2015,21))</f>
        <v/>
      </c>
      <c r="C2015" s="57" t="n"/>
      <c r="D2015" s="57" t="n"/>
      <c r="E2015" s="58" t="n"/>
      <c r="F2015" s="57" t="n"/>
      <c r="G2015" s="59" t="n"/>
      <c r="H2015" s="59" t="n"/>
      <c r="I2015" s="60">
        <f>IF(OR(G2015="",H2015=""),"",MOD(H2015-G2015,1))</f>
        <v/>
      </c>
      <c r="J2015" s="61">
        <f>IF(OR(G2015="",H2015=""),"",ROUND(MOD(H2015-G2015,1)*24,2))</f>
        <v/>
      </c>
      <c r="K2015" s="62">
        <f>IF(E2015="","",IF(E2015="Werken","JA","NEE"))</f>
        <v/>
      </c>
      <c r="L2015" s="61">
        <f>IF(K2015="JA",N(J2015),IF(E2015="","",0))</f>
        <v/>
      </c>
      <c r="M2015" s="62">
        <f>IF(AND(A2015="",E2015=""),"",IF(E2015="","Segment ontbreekt",IF(OR(G2015="",H2015=""),"Van/tot ontbreekt",IF(N(J2015)=0,"Duur is nul",IF(N(J2015)&gt;12,"Langer dan 12 uur - controleren",IF(AND(E2015="Werken",D2015=""),"Werken zonder klant - koppelen","OK"))))))</f>
        <v/>
      </c>
    </row>
    <row r="2016" ht="15" customHeight="1" s="42">
      <c r="A2016" s="55" t="n"/>
      <c r="B2016" s="56">
        <f>IF(A2016="","",WEEKNUM(A2016,21))</f>
        <v/>
      </c>
      <c r="C2016" s="57" t="n"/>
      <c r="D2016" s="57" t="n"/>
      <c r="E2016" s="58" t="n"/>
      <c r="F2016" s="57" t="n"/>
      <c r="G2016" s="59" t="n"/>
      <c r="H2016" s="59" t="n"/>
      <c r="I2016" s="60">
        <f>IF(OR(G2016="",H2016=""),"",MOD(H2016-G2016,1))</f>
        <v/>
      </c>
      <c r="J2016" s="61">
        <f>IF(OR(G2016="",H2016=""),"",ROUND(MOD(H2016-G2016,1)*24,2))</f>
        <v/>
      </c>
      <c r="K2016" s="62">
        <f>IF(E2016="","",IF(E2016="Werken","JA","NEE"))</f>
        <v/>
      </c>
      <c r="L2016" s="61">
        <f>IF(K2016="JA",N(J2016),IF(E2016="","",0))</f>
        <v/>
      </c>
      <c r="M2016" s="62">
        <f>IF(AND(A2016="",E2016=""),"",IF(E2016="","Segment ontbreekt",IF(OR(G2016="",H2016=""),"Van/tot ontbreekt",IF(N(J2016)=0,"Duur is nul",IF(N(J2016)&gt;12,"Langer dan 12 uur - controleren",IF(AND(E2016="Werken",D2016=""),"Werken zonder klant - koppelen","OK"))))))</f>
        <v/>
      </c>
    </row>
    <row r="2017" ht="15" customHeight="1" s="42">
      <c r="A2017" s="55" t="n"/>
      <c r="B2017" s="56">
        <f>IF(A2017="","",WEEKNUM(A2017,21))</f>
        <v/>
      </c>
      <c r="C2017" s="57" t="n"/>
      <c r="D2017" s="57" t="n"/>
      <c r="E2017" s="58" t="n"/>
      <c r="F2017" s="57" t="n"/>
      <c r="G2017" s="59" t="n"/>
      <c r="H2017" s="59" t="n"/>
      <c r="I2017" s="60">
        <f>IF(OR(G2017="",H2017=""),"",MOD(H2017-G2017,1))</f>
        <v/>
      </c>
      <c r="J2017" s="61">
        <f>IF(OR(G2017="",H2017=""),"",ROUND(MOD(H2017-G2017,1)*24,2))</f>
        <v/>
      </c>
      <c r="K2017" s="62">
        <f>IF(E2017="","",IF(E2017="Werken","JA","NEE"))</f>
        <v/>
      </c>
      <c r="L2017" s="61">
        <f>IF(K2017="JA",N(J2017),IF(E2017="","",0))</f>
        <v/>
      </c>
      <c r="M2017" s="62">
        <f>IF(AND(A2017="",E2017=""),"",IF(E2017="","Segment ontbreekt",IF(OR(G2017="",H2017=""),"Van/tot ontbreekt",IF(N(J2017)=0,"Duur is nul",IF(N(J2017)&gt;12,"Langer dan 12 uur - controleren",IF(AND(E2017="Werken",D2017=""),"Werken zonder klant - koppelen","OK"))))))</f>
        <v/>
      </c>
    </row>
    <row r="2018" ht="15" customHeight="1" s="42">
      <c r="A2018" s="55" t="n"/>
      <c r="B2018" s="56">
        <f>IF(A2018="","",WEEKNUM(A2018,21))</f>
        <v/>
      </c>
      <c r="C2018" s="57" t="n"/>
      <c r="D2018" s="57" t="n"/>
      <c r="E2018" s="58" t="n"/>
      <c r="F2018" s="57" t="n"/>
      <c r="G2018" s="59" t="n"/>
      <c r="H2018" s="59" t="n"/>
      <c r="I2018" s="60">
        <f>IF(OR(G2018="",H2018=""),"",MOD(H2018-G2018,1))</f>
        <v/>
      </c>
      <c r="J2018" s="61">
        <f>IF(OR(G2018="",H2018=""),"",ROUND(MOD(H2018-G2018,1)*24,2))</f>
        <v/>
      </c>
      <c r="K2018" s="62">
        <f>IF(E2018="","",IF(E2018="Werken","JA","NEE"))</f>
        <v/>
      </c>
      <c r="L2018" s="61">
        <f>IF(K2018="JA",N(J2018),IF(E2018="","",0))</f>
        <v/>
      </c>
      <c r="M2018" s="62">
        <f>IF(AND(A2018="",E2018=""),"",IF(E2018="","Segment ontbreekt",IF(OR(G2018="",H2018=""),"Van/tot ontbreekt",IF(N(J2018)=0,"Duur is nul",IF(N(J2018)&gt;12,"Langer dan 12 uur - controleren",IF(AND(E2018="Werken",D2018=""),"Werken zonder klant - koppelen","OK"))))))</f>
        <v/>
      </c>
    </row>
    <row r="2019" ht="15" customHeight="1" s="42">
      <c r="A2019" s="55" t="n"/>
      <c r="B2019" s="56">
        <f>IF(A2019="","",WEEKNUM(A2019,21))</f>
        <v/>
      </c>
      <c r="C2019" s="57" t="n"/>
      <c r="D2019" s="57" t="n"/>
      <c r="E2019" s="58" t="n"/>
      <c r="F2019" s="57" t="n"/>
      <c r="G2019" s="59" t="n"/>
      <c r="H2019" s="59" t="n"/>
      <c r="I2019" s="60">
        <f>IF(OR(G2019="",H2019=""),"",MOD(H2019-G2019,1))</f>
        <v/>
      </c>
      <c r="J2019" s="61">
        <f>IF(OR(G2019="",H2019=""),"",ROUND(MOD(H2019-G2019,1)*24,2))</f>
        <v/>
      </c>
      <c r="K2019" s="62">
        <f>IF(E2019="","",IF(E2019="Werken","JA","NEE"))</f>
        <v/>
      </c>
      <c r="L2019" s="61">
        <f>IF(K2019="JA",N(J2019),IF(E2019="","",0))</f>
        <v/>
      </c>
      <c r="M2019" s="62">
        <f>IF(AND(A2019="",E2019=""),"",IF(E2019="","Segment ontbreekt",IF(OR(G2019="",H2019=""),"Van/tot ontbreekt",IF(N(J2019)=0,"Duur is nul",IF(N(J2019)&gt;12,"Langer dan 12 uur - controleren",IF(AND(E2019="Werken",D2019=""),"Werken zonder klant - koppelen","OK"))))))</f>
        <v/>
      </c>
    </row>
    <row r="2020" ht="15" customHeight="1" s="42">
      <c r="A2020" s="55" t="n"/>
      <c r="B2020" s="56">
        <f>IF(A2020="","",WEEKNUM(A2020,21))</f>
        <v/>
      </c>
      <c r="C2020" s="57" t="n"/>
      <c r="D2020" s="57" t="n"/>
      <c r="E2020" s="58" t="n"/>
      <c r="F2020" s="57" t="n"/>
      <c r="G2020" s="59" t="n"/>
      <c r="H2020" s="59" t="n"/>
      <c r="I2020" s="60">
        <f>IF(OR(G2020="",H2020=""),"",MOD(H2020-G2020,1))</f>
        <v/>
      </c>
      <c r="J2020" s="61">
        <f>IF(OR(G2020="",H2020=""),"",ROUND(MOD(H2020-G2020,1)*24,2))</f>
        <v/>
      </c>
      <c r="K2020" s="62">
        <f>IF(E2020="","",IF(E2020="Werken","JA","NEE"))</f>
        <v/>
      </c>
      <c r="L2020" s="61">
        <f>IF(K2020="JA",N(J2020),IF(E2020="","",0))</f>
        <v/>
      </c>
      <c r="M2020" s="62">
        <f>IF(AND(A2020="",E2020=""),"",IF(E2020="","Segment ontbreekt",IF(OR(G2020="",H2020=""),"Van/tot ontbreekt",IF(N(J2020)=0,"Duur is nul",IF(N(J2020)&gt;12,"Langer dan 12 uur - controleren",IF(AND(E2020="Werken",D2020=""),"Werken zonder klant - koppelen","OK"))))))</f>
        <v/>
      </c>
    </row>
    <row r="2021" ht="15" customHeight="1" s="42">
      <c r="A2021" s="55" t="n"/>
      <c r="B2021" s="56">
        <f>IF(A2021="","",WEEKNUM(A2021,21))</f>
        <v/>
      </c>
      <c r="C2021" s="57" t="n"/>
      <c r="D2021" s="57" t="n"/>
      <c r="E2021" s="58" t="n"/>
      <c r="F2021" s="57" t="n"/>
      <c r="G2021" s="59" t="n"/>
      <c r="H2021" s="59" t="n"/>
      <c r="I2021" s="60">
        <f>IF(OR(G2021="",H2021=""),"",MOD(H2021-G2021,1))</f>
        <v/>
      </c>
      <c r="J2021" s="61">
        <f>IF(OR(G2021="",H2021=""),"",ROUND(MOD(H2021-G2021,1)*24,2))</f>
        <v/>
      </c>
      <c r="K2021" s="62">
        <f>IF(E2021="","",IF(E2021="Werken","JA","NEE"))</f>
        <v/>
      </c>
      <c r="L2021" s="61">
        <f>IF(K2021="JA",N(J2021),IF(E2021="","",0))</f>
        <v/>
      </c>
      <c r="M2021" s="62">
        <f>IF(AND(A2021="",E2021=""),"",IF(E2021="","Segment ontbreekt",IF(OR(G2021="",H2021=""),"Van/tot ontbreekt",IF(N(J2021)=0,"Duur is nul",IF(N(J2021)&gt;12,"Langer dan 12 uur - controleren",IF(AND(E2021="Werken",D2021=""),"Werken zonder klant - koppelen","OK"))))))</f>
        <v/>
      </c>
    </row>
    <row r="2022" ht="15" customHeight="1" s="42">
      <c r="A2022" s="55" t="n"/>
      <c r="B2022" s="56">
        <f>IF(A2022="","",WEEKNUM(A2022,21))</f>
        <v/>
      </c>
      <c r="C2022" s="57" t="n"/>
      <c r="D2022" s="57" t="n"/>
      <c r="E2022" s="58" t="n"/>
      <c r="F2022" s="57" t="n"/>
      <c r="G2022" s="59" t="n"/>
      <c r="H2022" s="59" t="n"/>
      <c r="I2022" s="60">
        <f>IF(OR(G2022="",H2022=""),"",MOD(H2022-G2022,1))</f>
        <v/>
      </c>
      <c r="J2022" s="61">
        <f>IF(OR(G2022="",H2022=""),"",ROUND(MOD(H2022-G2022,1)*24,2))</f>
        <v/>
      </c>
      <c r="K2022" s="62">
        <f>IF(E2022="","",IF(E2022="Werken","JA","NEE"))</f>
        <v/>
      </c>
      <c r="L2022" s="61">
        <f>IF(K2022="JA",N(J2022),IF(E2022="","",0))</f>
        <v/>
      </c>
      <c r="M2022" s="62">
        <f>IF(AND(A2022="",E2022=""),"",IF(E2022="","Segment ontbreekt",IF(OR(G2022="",H2022=""),"Van/tot ontbreekt",IF(N(J2022)=0,"Duur is nul",IF(N(J2022)&gt;12,"Langer dan 12 uur - controleren",IF(AND(E2022="Werken",D2022=""),"Werken zonder klant - koppelen","OK"))))))</f>
        <v/>
      </c>
    </row>
    <row r="2023" ht="15" customHeight="1" s="42">
      <c r="A2023" s="55" t="n"/>
      <c r="B2023" s="56">
        <f>IF(A2023="","",WEEKNUM(A2023,21))</f>
        <v/>
      </c>
      <c r="C2023" s="57" t="n"/>
      <c r="D2023" s="57" t="n"/>
      <c r="E2023" s="58" t="n"/>
      <c r="F2023" s="57" t="n"/>
      <c r="G2023" s="59" t="n"/>
      <c r="H2023" s="59" t="n"/>
      <c r="I2023" s="60">
        <f>IF(OR(G2023="",H2023=""),"",MOD(H2023-G2023,1))</f>
        <v/>
      </c>
      <c r="J2023" s="61">
        <f>IF(OR(G2023="",H2023=""),"",ROUND(MOD(H2023-G2023,1)*24,2))</f>
        <v/>
      </c>
      <c r="K2023" s="62">
        <f>IF(E2023="","",IF(E2023="Werken","JA","NEE"))</f>
        <v/>
      </c>
      <c r="L2023" s="61">
        <f>IF(K2023="JA",N(J2023),IF(E2023="","",0))</f>
        <v/>
      </c>
      <c r="M2023" s="62">
        <f>IF(AND(A2023="",E2023=""),"",IF(E2023="","Segment ontbreekt",IF(OR(G2023="",H2023=""),"Van/tot ontbreekt",IF(N(J2023)=0,"Duur is nul",IF(N(J2023)&gt;12,"Langer dan 12 uur - controleren",IF(AND(E2023="Werken",D2023=""),"Werken zonder klant - koppelen","OK"))))))</f>
        <v/>
      </c>
    </row>
    <row r="2024" ht="15" customHeight="1" s="42">
      <c r="A2024" s="55" t="n"/>
      <c r="B2024" s="56">
        <f>IF(A2024="","",WEEKNUM(A2024,21))</f>
        <v/>
      </c>
      <c r="C2024" s="57" t="n"/>
      <c r="D2024" s="57" t="n"/>
      <c r="E2024" s="58" t="n"/>
      <c r="F2024" s="57" t="n"/>
      <c r="G2024" s="59" t="n"/>
      <c r="H2024" s="59" t="n"/>
      <c r="I2024" s="60">
        <f>IF(OR(G2024="",H2024=""),"",MOD(H2024-G2024,1))</f>
        <v/>
      </c>
      <c r="J2024" s="61">
        <f>IF(OR(G2024="",H2024=""),"",ROUND(MOD(H2024-G2024,1)*24,2))</f>
        <v/>
      </c>
      <c r="K2024" s="62">
        <f>IF(E2024="","",IF(E2024="Werken","JA","NEE"))</f>
        <v/>
      </c>
      <c r="L2024" s="61">
        <f>IF(K2024="JA",N(J2024),IF(E2024="","",0))</f>
        <v/>
      </c>
      <c r="M2024" s="62">
        <f>IF(AND(A2024="",E2024=""),"",IF(E2024="","Segment ontbreekt",IF(OR(G2024="",H2024=""),"Van/tot ontbreekt",IF(N(J2024)=0,"Duur is nul",IF(N(J2024)&gt;12,"Langer dan 12 uur - controleren",IF(AND(E2024="Werken",D2024=""),"Werken zonder klant - koppelen","OK"))))))</f>
        <v/>
      </c>
    </row>
    <row r="2025" ht="15" customHeight="1" s="42">
      <c r="A2025" s="55" t="n"/>
      <c r="B2025" s="56">
        <f>IF(A2025="","",WEEKNUM(A2025,21))</f>
        <v/>
      </c>
      <c r="C2025" s="57" t="n"/>
      <c r="D2025" s="57" t="n"/>
      <c r="E2025" s="58" t="n"/>
      <c r="F2025" s="57" t="n"/>
      <c r="G2025" s="59" t="n"/>
      <c r="H2025" s="59" t="n"/>
      <c r="I2025" s="60">
        <f>IF(OR(G2025="",H2025=""),"",MOD(H2025-G2025,1))</f>
        <v/>
      </c>
      <c r="J2025" s="61">
        <f>IF(OR(G2025="",H2025=""),"",ROUND(MOD(H2025-G2025,1)*24,2))</f>
        <v/>
      </c>
      <c r="K2025" s="62">
        <f>IF(E2025="","",IF(E2025="Werken","JA","NEE"))</f>
        <v/>
      </c>
      <c r="L2025" s="61">
        <f>IF(K2025="JA",N(J2025),IF(E2025="","",0))</f>
        <v/>
      </c>
      <c r="M2025" s="62">
        <f>IF(AND(A2025="",E2025=""),"",IF(E2025="","Segment ontbreekt",IF(OR(G2025="",H2025=""),"Van/tot ontbreekt",IF(N(J2025)=0,"Duur is nul",IF(N(J2025)&gt;12,"Langer dan 12 uur - controleren",IF(AND(E2025="Werken",D2025=""),"Werken zonder klant - koppelen","OK"))))))</f>
        <v/>
      </c>
    </row>
    <row r="2026" ht="15" customHeight="1" s="42">
      <c r="A2026" s="55" t="n"/>
      <c r="B2026" s="56">
        <f>IF(A2026="","",WEEKNUM(A2026,21))</f>
        <v/>
      </c>
      <c r="C2026" s="57" t="n"/>
      <c r="D2026" s="57" t="n"/>
      <c r="E2026" s="58" t="n"/>
      <c r="F2026" s="57" t="n"/>
      <c r="G2026" s="59" t="n"/>
      <c r="H2026" s="59" t="n"/>
      <c r="I2026" s="60">
        <f>IF(OR(G2026="",H2026=""),"",MOD(H2026-G2026,1))</f>
        <v/>
      </c>
      <c r="J2026" s="61">
        <f>IF(OR(G2026="",H2026=""),"",ROUND(MOD(H2026-G2026,1)*24,2))</f>
        <v/>
      </c>
      <c r="K2026" s="62">
        <f>IF(E2026="","",IF(E2026="Werken","JA","NEE"))</f>
        <v/>
      </c>
      <c r="L2026" s="61">
        <f>IF(K2026="JA",N(J2026),IF(E2026="","",0))</f>
        <v/>
      </c>
      <c r="M2026" s="62">
        <f>IF(AND(A2026="",E2026=""),"",IF(E2026="","Segment ontbreekt",IF(OR(G2026="",H2026=""),"Van/tot ontbreekt",IF(N(J2026)=0,"Duur is nul",IF(N(J2026)&gt;12,"Langer dan 12 uur - controleren",IF(AND(E2026="Werken",D2026=""),"Werken zonder klant - koppelen","OK"))))))</f>
        <v/>
      </c>
    </row>
    <row r="2027" ht="15" customHeight="1" s="42">
      <c r="A2027" s="55" t="n"/>
      <c r="B2027" s="56">
        <f>IF(A2027="","",WEEKNUM(A2027,21))</f>
        <v/>
      </c>
      <c r="C2027" s="57" t="n"/>
      <c r="D2027" s="57" t="n"/>
      <c r="E2027" s="58" t="n"/>
      <c r="F2027" s="57" t="n"/>
      <c r="G2027" s="59" t="n"/>
      <c r="H2027" s="59" t="n"/>
      <c r="I2027" s="60">
        <f>IF(OR(G2027="",H2027=""),"",MOD(H2027-G2027,1))</f>
        <v/>
      </c>
      <c r="J2027" s="61">
        <f>IF(OR(G2027="",H2027=""),"",ROUND(MOD(H2027-G2027,1)*24,2))</f>
        <v/>
      </c>
      <c r="K2027" s="62">
        <f>IF(E2027="","",IF(E2027="Werken","JA","NEE"))</f>
        <v/>
      </c>
      <c r="L2027" s="61">
        <f>IF(K2027="JA",N(J2027),IF(E2027="","",0))</f>
        <v/>
      </c>
      <c r="M2027" s="62">
        <f>IF(AND(A2027="",E2027=""),"",IF(E2027="","Segment ontbreekt",IF(OR(G2027="",H2027=""),"Van/tot ontbreekt",IF(N(J2027)=0,"Duur is nul",IF(N(J2027)&gt;12,"Langer dan 12 uur - controleren",IF(AND(E2027="Werken",D2027=""),"Werken zonder klant - koppelen","OK"))))))</f>
        <v/>
      </c>
    </row>
    <row r="2028" ht="15" customHeight="1" s="42">
      <c r="A2028" s="55" t="n"/>
      <c r="B2028" s="56">
        <f>IF(A2028="","",WEEKNUM(A2028,21))</f>
        <v/>
      </c>
      <c r="C2028" s="57" t="n"/>
      <c r="D2028" s="57" t="n"/>
      <c r="E2028" s="58" t="n"/>
      <c r="F2028" s="57" t="n"/>
      <c r="G2028" s="59" t="n"/>
      <c r="H2028" s="59" t="n"/>
      <c r="I2028" s="60">
        <f>IF(OR(G2028="",H2028=""),"",MOD(H2028-G2028,1))</f>
        <v/>
      </c>
      <c r="J2028" s="61">
        <f>IF(OR(G2028="",H2028=""),"",ROUND(MOD(H2028-G2028,1)*24,2))</f>
        <v/>
      </c>
      <c r="K2028" s="62">
        <f>IF(E2028="","",IF(E2028="Werken","JA","NEE"))</f>
        <v/>
      </c>
      <c r="L2028" s="61">
        <f>IF(K2028="JA",N(J2028),IF(E2028="","",0))</f>
        <v/>
      </c>
      <c r="M2028" s="62">
        <f>IF(AND(A2028="",E2028=""),"",IF(E2028="","Segment ontbreekt",IF(OR(G2028="",H2028=""),"Van/tot ontbreekt",IF(N(J2028)=0,"Duur is nul",IF(N(J2028)&gt;12,"Langer dan 12 uur - controleren",IF(AND(E2028="Werken",D2028=""),"Werken zonder klant - koppelen","OK"))))))</f>
        <v/>
      </c>
    </row>
    <row r="2029" ht="15" customHeight="1" s="42">
      <c r="A2029" s="55" t="n"/>
      <c r="B2029" s="56">
        <f>IF(A2029="","",WEEKNUM(A2029,21))</f>
        <v/>
      </c>
      <c r="C2029" s="57" t="n"/>
      <c r="D2029" s="57" t="n"/>
      <c r="E2029" s="58" t="n"/>
      <c r="F2029" s="57" t="n"/>
      <c r="G2029" s="59" t="n"/>
      <c r="H2029" s="59" t="n"/>
      <c r="I2029" s="60">
        <f>IF(OR(G2029="",H2029=""),"",MOD(H2029-G2029,1))</f>
        <v/>
      </c>
      <c r="J2029" s="61">
        <f>IF(OR(G2029="",H2029=""),"",ROUND(MOD(H2029-G2029,1)*24,2))</f>
        <v/>
      </c>
      <c r="K2029" s="62">
        <f>IF(E2029="","",IF(E2029="Werken","JA","NEE"))</f>
        <v/>
      </c>
      <c r="L2029" s="61">
        <f>IF(K2029="JA",N(J2029),IF(E2029="","",0))</f>
        <v/>
      </c>
      <c r="M2029" s="62">
        <f>IF(AND(A2029="",E2029=""),"",IF(E2029="","Segment ontbreekt",IF(OR(G2029="",H2029=""),"Van/tot ontbreekt",IF(N(J2029)=0,"Duur is nul",IF(N(J2029)&gt;12,"Langer dan 12 uur - controleren",IF(AND(E2029="Werken",D2029=""),"Werken zonder klant - koppelen","OK"))))))</f>
        <v/>
      </c>
    </row>
    <row r="2030" ht="15" customHeight="1" s="42">
      <c r="A2030" s="55" t="n"/>
      <c r="B2030" s="56">
        <f>IF(A2030="","",WEEKNUM(A2030,21))</f>
        <v/>
      </c>
      <c r="C2030" s="57" t="n"/>
      <c r="D2030" s="57" t="n"/>
      <c r="E2030" s="58" t="n"/>
      <c r="F2030" s="57" t="n"/>
      <c r="G2030" s="59" t="n"/>
      <c r="H2030" s="59" t="n"/>
      <c r="I2030" s="60">
        <f>IF(OR(G2030="",H2030=""),"",MOD(H2030-G2030,1))</f>
        <v/>
      </c>
      <c r="J2030" s="61">
        <f>IF(OR(G2030="",H2030=""),"",ROUND(MOD(H2030-G2030,1)*24,2))</f>
        <v/>
      </c>
      <c r="K2030" s="62">
        <f>IF(E2030="","",IF(E2030="Werken","JA","NEE"))</f>
        <v/>
      </c>
      <c r="L2030" s="61">
        <f>IF(K2030="JA",N(J2030),IF(E2030="","",0))</f>
        <v/>
      </c>
      <c r="M2030" s="62">
        <f>IF(AND(A2030="",E2030=""),"",IF(E2030="","Segment ontbreekt",IF(OR(G2030="",H2030=""),"Van/tot ontbreekt",IF(N(J2030)=0,"Duur is nul",IF(N(J2030)&gt;12,"Langer dan 12 uur - controleren",IF(AND(E2030="Werken",D2030=""),"Werken zonder klant - koppelen","OK"))))))</f>
        <v/>
      </c>
    </row>
    <row r="2031" ht="15" customHeight="1" s="42">
      <c r="A2031" s="55" t="n"/>
      <c r="B2031" s="56">
        <f>IF(A2031="","",WEEKNUM(A2031,21))</f>
        <v/>
      </c>
      <c r="C2031" s="57" t="n"/>
      <c r="D2031" s="57" t="n"/>
      <c r="E2031" s="58" t="n"/>
      <c r="F2031" s="57" t="n"/>
      <c r="G2031" s="59" t="n"/>
      <c r="H2031" s="59" t="n"/>
      <c r="I2031" s="60">
        <f>IF(OR(G2031="",H2031=""),"",MOD(H2031-G2031,1))</f>
        <v/>
      </c>
      <c r="J2031" s="61">
        <f>IF(OR(G2031="",H2031=""),"",ROUND(MOD(H2031-G2031,1)*24,2))</f>
        <v/>
      </c>
      <c r="K2031" s="62">
        <f>IF(E2031="","",IF(E2031="Werken","JA","NEE"))</f>
        <v/>
      </c>
      <c r="L2031" s="61">
        <f>IF(K2031="JA",N(J2031),IF(E2031="","",0))</f>
        <v/>
      </c>
      <c r="M2031" s="62">
        <f>IF(AND(A2031="",E2031=""),"",IF(E2031="","Segment ontbreekt",IF(OR(G2031="",H2031=""),"Van/tot ontbreekt",IF(N(J2031)=0,"Duur is nul",IF(N(J2031)&gt;12,"Langer dan 12 uur - controleren",IF(AND(E2031="Werken",D2031=""),"Werken zonder klant - koppelen","OK"))))))</f>
        <v/>
      </c>
    </row>
    <row r="2032" ht="15" customHeight="1" s="42">
      <c r="A2032" s="55" t="n"/>
      <c r="B2032" s="56">
        <f>IF(A2032="","",WEEKNUM(A2032,21))</f>
        <v/>
      </c>
      <c r="C2032" s="57" t="n"/>
      <c r="D2032" s="57" t="n"/>
      <c r="E2032" s="58" t="n"/>
      <c r="F2032" s="57" t="n"/>
      <c r="G2032" s="59" t="n"/>
      <c r="H2032" s="59" t="n"/>
      <c r="I2032" s="60">
        <f>IF(OR(G2032="",H2032=""),"",MOD(H2032-G2032,1))</f>
        <v/>
      </c>
      <c r="J2032" s="61">
        <f>IF(OR(G2032="",H2032=""),"",ROUND(MOD(H2032-G2032,1)*24,2))</f>
        <v/>
      </c>
      <c r="K2032" s="62">
        <f>IF(E2032="","",IF(E2032="Werken","JA","NEE"))</f>
        <v/>
      </c>
      <c r="L2032" s="61">
        <f>IF(K2032="JA",N(J2032),IF(E2032="","",0))</f>
        <v/>
      </c>
      <c r="M2032" s="62">
        <f>IF(AND(A2032="",E2032=""),"",IF(E2032="","Segment ontbreekt",IF(OR(G2032="",H2032=""),"Van/tot ontbreekt",IF(N(J2032)=0,"Duur is nul",IF(N(J2032)&gt;12,"Langer dan 12 uur - controleren",IF(AND(E2032="Werken",D2032=""),"Werken zonder klant - koppelen","OK"))))))</f>
        <v/>
      </c>
    </row>
    <row r="2033" ht="15" customHeight="1" s="42">
      <c r="A2033" s="55" t="n"/>
      <c r="B2033" s="56">
        <f>IF(A2033="","",WEEKNUM(A2033,21))</f>
        <v/>
      </c>
      <c r="C2033" s="57" t="n"/>
      <c r="D2033" s="57" t="n"/>
      <c r="E2033" s="58" t="n"/>
      <c r="F2033" s="57" t="n"/>
      <c r="G2033" s="59" t="n"/>
      <c r="H2033" s="59" t="n"/>
      <c r="I2033" s="60">
        <f>IF(OR(G2033="",H2033=""),"",MOD(H2033-G2033,1))</f>
        <v/>
      </c>
      <c r="J2033" s="61">
        <f>IF(OR(G2033="",H2033=""),"",ROUND(MOD(H2033-G2033,1)*24,2))</f>
        <v/>
      </c>
      <c r="K2033" s="62">
        <f>IF(E2033="","",IF(E2033="Werken","JA","NEE"))</f>
        <v/>
      </c>
      <c r="L2033" s="61">
        <f>IF(K2033="JA",N(J2033),IF(E2033="","",0))</f>
        <v/>
      </c>
      <c r="M2033" s="62">
        <f>IF(AND(A2033="",E2033=""),"",IF(E2033="","Segment ontbreekt",IF(OR(G2033="",H2033=""),"Van/tot ontbreekt",IF(N(J2033)=0,"Duur is nul",IF(N(J2033)&gt;12,"Langer dan 12 uur - controleren",IF(AND(E2033="Werken",D2033=""),"Werken zonder klant - koppelen","OK"))))))</f>
        <v/>
      </c>
    </row>
    <row r="2034" ht="15" customHeight="1" s="42">
      <c r="A2034" s="55" t="n"/>
      <c r="B2034" s="56">
        <f>IF(A2034="","",WEEKNUM(A2034,21))</f>
        <v/>
      </c>
      <c r="C2034" s="57" t="n"/>
      <c r="D2034" s="57" t="n"/>
      <c r="E2034" s="58" t="n"/>
      <c r="F2034" s="57" t="n"/>
      <c r="G2034" s="59" t="n"/>
      <c r="H2034" s="59" t="n"/>
      <c r="I2034" s="60">
        <f>IF(OR(G2034="",H2034=""),"",MOD(H2034-G2034,1))</f>
        <v/>
      </c>
      <c r="J2034" s="61">
        <f>IF(OR(G2034="",H2034=""),"",ROUND(MOD(H2034-G2034,1)*24,2))</f>
        <v/>
      </c>
      <c r="K2034" s="62">
        <f>IF(E2034="","",IF(E2034="Werken","JA","NEE"))</f>
        <v/>
      </c>
      <c r="L2034" s="61">
        <f>IF(K2034="JA",N(J2034),IF(E2034="","",0))</f>
        <v/>
      </c>
      <c r="M2034" s="62">
        <f>IF(AND(A2034="",E2034=""),"",IF(E2034="","Segment ontbreekt",IF(OR(G2034="",H2034=""),"Van/tot ontbreekt",IF(N(J2034)=0,"Duur is nul",IF(N(J2034)&gt;12,"Langer dan 12 uur - controleren",IF(AND(E2034="Werken",D2034=""),"Werken zonder klant - koppelen","OK"))))))</f>
        <v/>
      </c>
    </row>
    <row r="2035" ht="15" customHeight="1" s="42">
      <c r="A2035" s="55" t="n"/>
      <c r="B2035" s="56">
        <f>IF(A2035="","",WEEKNUM(A2035,21))</f>
        <v/>
      </c>
      <c r="C2035" s="57" t="n"/>
      <c r="D2035" s="57" t="n"/>
      <c r="E2035" s="58" t="n"/>
      <c r="F2035" s="57" t="n"/>
      <c r="G2035" s="59" t="n"/>
      <c r="H2035" s="59" t="n"/>
      <c r="I2035" s="60">
        <f>IF(OR(G2035="",H2035=""),"",MOD(H2035-G2035,1))</f>
        <v/>
      </c>
      <c r="J2035" s="61">
        <f>IF(OR(G2035="",H2035=""),"",ROUND(MOD(H2035-G2035,1)*24,2))</f>
        <v/>
      </c>
      <c r="K2035" s="62">
        <f>IF(E2035="","",IF(E2035="Werken","JA","NEE"))</f>
        <v/>
      </c>
      <c r="L2035" s="61">
        <f>IF(K2035="JA",N(J2035),IF(E2035="","",0))</f>
        <v/>
      </c>
      <c r="M2035" s="62">
        <f>IF(AND(A2035="",E2035=""),"",IF(E2035="","Segment ontbreekt",IF(OR(G2035="",H2035=""),"Van/tot ontbreekt",IF(N(J2035)=0,"Duur is nul",IF(N(J2035)&gt;12,"Langer dan 12 uur - controleren",IF(AND(E2035="Werken",D2035=""),"Werken zonder klant - koppelen","OK"))))))</f>
        <v/>
      </c>
    </row>
    <row r="2036" ht="15" customHeight="1" s="42">
      <c r="A2036" s="55" t="n"/>
      <c r="B2036" s="56">
        <f>IF(A2036="","",WEEKNUM(A2036,21))</f>
        <v/>
      </c>
      <c r="C2036" s="57" t="n"/>
      <c r="D2036" s="57" t="n"/>
      <c r="E2036" s="58" t="n"/>
      <c r="F2036" s="57" t="n"/>
      <c r="G2036" s="59" t="n"/>
      <c r="H2036" s="59" t="n"/>
      <c r="I2036" s="60">
        <f>IF(OR(G2036="",H2036=""),"",MOD(H2036-G2036,1))</f>
        <v/>
      </c>
      <c r="J2036" s="61">
        <f>IF(OR(G2036="",H2036=""),"",ROUND(MOD(H2036-G2036,1)*24,2))</f>
        <v/>
      </c>
      <c r="K2036" s="62">
        <f>IF(E2036="","",IF(E2036="Werken","JA","NEE"))</f>
        <v/>
      </c>
      <c r="L2036" s="61">
        <f>IF(K2036="JA",N(J2036),IF(E2036="","",0))</f>
        <v/>
      </c>
      <c r="M2036" s="62">
        <f>IF(AND(A2036="",E2036=""),"",IF(E2036="","Segment ontbreekt",IF(OR(G2036="",H2036=""),"Van/tot ontbreekt",IF(N(J2036)=0,"Duur is nul",IF(N(J2036)&gt;12,"Langer dan 12 uur - controleren",IF(AND(E2036="Werken",D2036=""),"Werken zonder klant - koppelen","OK"))))))</f>
        <v/>
      </c>
    </row>
    <row r="2037" ht="15" customHeight="1" s="42">
      <c r="A2037" s="55" t="n"/>
      <c r="B2037" s="56">
        <f>IF(A2037="","",WEEKNUM(A2037,21))</f>
        <v/>
      </c>
      <c r="C2037" s="57" t="n"/>
      <c r="D2037" s="57" t="n"/>
      <c r="E2037" s="58" t="n"/>
      <c r="F2037" s="57" t="n"/>
      <c r="G2037" s="59" t="n"/>
      <c r="H2037" s="59" t="n"/>
      <c r="I2037" s="60">
        <f>IF(OR(G2037="",H2037=""),"",MOD(H2037-G2037,1))</f>
        <v/>
      </c>
      <c r="J2037" s="61">
        <f>IF(OR(G2037="",H2037=""),"",ROUND(MOD(H2037-G2037,1)*24,2))</f>
        <v/>
      </c>
      <c r="K2037" s="62">
        <f>IF(E2037="","",IF(E2037="Werken","JA","NEE"))</f>
        <v/>
      </c>
      <c r="L2037" s="61">
        <f>IF(K2037="JA",N(J2037),IF(E2037="","",0))</f>
        <v/>
      </c>
      <c r="M2037" s="62">
        <f>IF(AND(A2037="",E2037=""),"",IF(E2037="","Segment ontbreekt",IF(OR(G2037="",H2037=""),"Van/tot ontbreekt",IF(N(J2037)=0,"Duur is nul",IF(N(J2037)&gt;12,"Langer dan 12 uur - controleren",IF(AND(E2037="Werken",D2037=""),"Werken zonder klant - koppelen","OK"))))))</f>
        <v/>
      </c>
    </row>
    <row r="2038" ht="15" customHeight="1" s="42">
      <c r="A2038" s="55" t="n"/>
      <c r="B2038" s="56">
        <f>IF(A2038="","",WEEKNUM(A2038,21))</f>
        <v/>
      </c>
      <c r="C2038" s="57" t="n"/>
      <c r="D2038" s="57" t="n"/>
      <c r="E2038" s="58" t="n"/>
      <c r="F2038" s="57" t="n"/>
      <c r="G2038" s="59" t="n"/>
      <c r="H2038" s="59" t="n"/>
      <c r="I2038" s="60">
        <f>IF(OR(G2038="",H2038=""),"",MOD(H2038-G2038,1))</f>
        <v/>
      </c>
      <c r="J2038" s="61">
        <f>IF(OR(G2038="",H2038=""),"",ROUND(MOD(H2038-G2038,1)*24,2))</f>
        <v/>
      </c>
      <c r="K2038" s="62">
        <f>IF(E2038="","",IF(E2038="Werken","JA","NEE"))</f>
        <v/>
      </c>
      <c r="L2038" s="61">
        <f>IF(K2038="JA",N(J2038),IF(E2038="","",0))</f>
        <v/>
      </c>
      <c r="M2038" s="62">
        <f>IF(AND(A2038="",E2038=""),"",IF(E2038="","Segment ontbreekt",IF(OR(G2038="",H2038=""),"Van/tot ontbreekt",IF(N(J2038)=0,"Duur is nul",IF(N(J2038)&gt;12,"Langer dan 12 uur - controleren",IF(AND(E2038="Werken",D2038=""),"Werken zonder klant - koppelen","OK"))))))</f>
        <v/>
      </c>
    </row>
    <row r="2039" ht="15" customHeight="1" s="42">
      <c r="A2039" s="55" t="n"/>
      <c r="B2039" s="56">
        <f>IF(A2039="","",WEEKNUM(A2039,21))</f>
        <v/>
      </c>
      <c r="C2039" s="57" t="n"/>
      <c r="D2039" s="57" t="n"/>
      <c r="E2039" s="58" t="n"/>
      <c r="F2039" s="57" t="n"/>
      <c r="G2039" s="59" t="n"/>
      <c r="H2039" s="59" t="n"/>
      <c r="I2039" s="60">
        <f>IF(OR(G2039="",H2039=""),"",MOD(H2039-G2039,1))</f>
        <v/>
      </c>
      <c r="J2039" s="61">
        <f>IF(OR(G2039="",H2039=""),"",ROUND(MOD(H2039-G2039,1)*24,2))</f>
        <v/>
      </c>
      <c r="K2039" s="62">
        <f>IF(E2039="","",IF(E2039="Werken","JA","NEE"))</f>
        <v/>
      </c>
      <c r="L2039" s="61">
        <f>IF(K2039="JA",N(J2039),IF(E2039="","",0))</f>
        <v/>
      </c>
      <c r="M2039" s="62">
        <f>IF(AND(A2039="",E2039=""),"",IF(E2039="","Segment ontbreekt",IF(OR(G2039="",H2039=""),"Van/tot ontbreekt",IF(N(J2039)=0,"Duur is nul",IF(N(J2039)&gt;12,"Langer dan 12 uur - controleren",IF(AND(E2039="Werken",D2039=""),"Werken zonder klant - koppelen","OK"))))))</f>
        <v/>
      </c>
    </row>
    <row r="2040" ht="15" customHeight="1" s="42">
      <c r="A2040" s="55" t="n"/>
      <c r="B2040" s="56">
        <f>IF(A2040="","",WEEKNUM(A2040,21))</f>
        <v/>
      </c>
      <c r="C2040" s="57" t="n"/>
      <c r="D2040" s="57" t="n"/>
      <c r="E2040" s="58" t="n"/>
      <c r="F2040" s="57" t="n"/>
      <c r="G2040" s="59" t="n"/>
      <c r="H2040" s="59" t="n"/>
      <c r="I2040" s="60">
        <f>IF(OR(G2040="",H2040=""),"",MOD(H2040-G2040,1))</f>
        <v/>
      </c>
      <c r="J2040" s="61">
        <f>IF(OR(G2040="",H2040=""),"",ROUND(MOD(H2040-G2040,1)*24,2))</f>
        <v/>
      </c>
      <c r="K2040" s="62">
        <f>IF(E2040="","",IF(E2040="Werken","JA","NEE"))</f>
        <v/>
      </c>
      <c r="L2040" s="61">
        <f>IF(K2040="JA",N(J2040),IF(E2040="","",0))</f>
        <v/>
      </c>
      <c r="M2040" s="62">
        <f>IF(AND(A2040="",E2040=""),"",IF(E2040="","Segment ontbreekt",IF(OR(G2040="",H2040=""),"Van/tot ontbreekt",IF(N(J2040)=0,"Duur is nul",IF(N(J2040)&gt;12,"Langer dan 12 uur - controleren",IF(AND(E2040="Werken",D2040=""),"Werken zonder klant - koppelen","OK"))))))</f>
        <v/>
      </c>
    </row>
    <row r="2041" ht="15" customHeight="1" s="42">
      <c r="A2041" s="55" t="n"/>
      <c r="B2041" s="56">
        <f>IF(A2041="","",WEEKNUM(A2041,21))</f>
        <v/>
      </c>
      <c r="C2041" s="57" t="n"/>
      <c r="D2041" s="57" t="n"/>
      <c r="E2041" s="58" t="n"/>
      <c r="F2041" s="57" t="n"/>
      <c r="G2041" s="59" t="n"/>
      <c r="H2041" s="59" t="n"/>
      <c r="I2041" s="60">
        <f>IF(OR(G2041="",H2041=""),"",MOD(H2041-G2041,1))</f>
        <v/>
      </c>
      <c r="J2041" s="61">
        <f>IF(OR(G2041="",H2041=""),"",ROUND(MOD(H2041-G2041,1)*24,2))</f>
        <v/>
      </c>
      <c r="K2041" s="62">
        <f>IF(E2041="","",IF(E2041="Werken","JA","NEE"))</f>
        <v/>
      </c>
      <c r="L2041" s="61">
        <f>IF(K2041="JA",N(J2041),IF(E2041="","",0))</f>
        <v/>
      </c>
      <c r="M2041" s="62">
        <f>IF(AND(A2041="",E2041=""),"",IF(E2041="","Segment ontbreekt",IF(OR(G2041="",H2041=""),"Van/tot ontbreekt",IF(N(J2041)=0,"Duur is nul",IF(N(J2041)&gt;12,"Langer dan 12 uur - controleren",IF(AND(E2041="Werken",D2041=""),"Werken zonder klant - koppelen","OK"))))))</f>
        <v/>
      </c>
    </row>
    <row r="2042" ht="15" customHeight="1" s="42">
      <c r="A2042" s="55" t="n"/>
      <c r="B2042" s="56">
        <f>IF(A2042="","",WEEKNUM(A2042,21))</f>
        <v/>
      </c>
      <c r="C2042" s="57" t="n"/>
      <c r="D2042" s="57" t="n"/>
      <c r="E2042" s="58" t="n"/>
      <c r="F2042" s="57" t="n"/>
      <c r="G2042" s="59" t="n"/>
      <c r="H2042" s="59" t="n"/>
      <c r="I2042" s="60">
        <f>IF(OR(G2042="",H2042=""),"",MOD(H2042-G2042,1))</f>
        <v/>
      </c>
      <c r="J2042" s="61">
        <f>IF(OR(G2042="",H2042=""),"",ROUND(MOD(H2042-G2042,1)*24,2))</f>
        <v/>
      </c>
      <c r="K2042" s="62">
        <f>IF(E2042="","",IF(E2042="Werken","JA","NEE"))</f>
        <v/>
      </c>
      <c r="L2042" s="61">
        <f>IF(K2042="JA",N(J2042),IF(E2042="","",0))</f>
        <v/>
      </c>
      <c r="M2042" s="62">
        <f>IF(AND(A2042="",E2042=""),"",IF(E2042="","Segment ontbreekt",IF(OR(G2042="",H2042=""),"Van/tot ontbreekt",IF(N(J2042)=0,"Duur is nul",IF(N(J2042)&gt;12,"Langer dan 12 uur - controleren",IF(AND(E2042="Werken",D2042=""),"Werken zonder klant - koppelen","OK"))))))</f>
        <v/>
      </c>
    </row>
    <row r="2043" ht="15" customHeight="1" s="42">
      <c r="A2043" s="55" t="n"/>
      <c r="B2043" s="56">
        <f>IF(A2043="","",WEEKNUM(A2043,21))</f>
        <v/>
      </c>
      <c r="C2043" s="57" t="n"/>
      <c r="D2043" s="57" t="n"/>
      <c r="E2043" s="58" t="n"/>
      <c r="F2043" s="57" t="n"/>
      <c r="G2043" s="59" t="n"/>
      <c r="H2043" s="59" t="n"/>
      <c r="I2043" s="60">
        <f>IF(OR(G2043="",H2043=""),"",MOD(H2043-G2043,1))</f>
        <v/>
      </c>
      <c r="J2043" s="61">
        <f>IF(OR(G2043="",H2043=""),"",ROUND(MOD(H2043-G2043,1)*24,2))</f>
        <v/>
      </c>
      <c r="K2043" s="62">
        <f>IF(E2043="","",IF(E2043="Werken","JA","NEE"))</f>
        <v/>
      </c>
      <c r="L2043" s="61">
        <f>IF(K2043="JA",N(J2043),IF(E2043="","",0))</f>
        <v/>
      </c>
      <c r="M2043" s="62">
        <f>IF(AND(A2043="",E2043=""),"",IF(E2043="","Segment ontbreekt",IF(OR(G2043="",H2043=""),"Van/tot ontbreekt",IF(N(J2043)=0,"Duur is nul",IF(N(J2043)&gt;12,"Langer dan 12 uur - controleren",IF(AND(E2043="Werken",D2043=""),"Werken zonder klant - koppelen","OK"))))))</f>
        <v/>
      </c>
    </row>
    <row r="2044" ht="15" customHeight="1" s="42">
      <c r="A2044" s="55" t="n"/>
      <c r="B2044" s="56">
        <f>IF(A2044="","",WEEKNUM(A2044,21))</f>
        <v/>
      </c>
      <c r="C2044" s="57" t="n"/>
      <c r="D2044" s="57" t="n"/>
      <c r="E2044" s="58" t="n"/>
      <c r="F2044" s="57" t="n"/>
      <c r="G2044" s="59" t="n"/>
      <c r="H2044" s="59" t="n"/>
      <c r="I2044" s="60">
        <f>IF(OR(G2044="",H2044=""),"",MOD(H2044-G2044,1))</f>
        <v/>
      </c>
      <c r="J2044" s="61">
        <f>IF(OR(G2044="",H2044=""),"",ROUND(MOD(H2044-G2044,1)*24,2))</f>
        <v/>
      </c>
      <c r="K2044" s="62">
        <f>IF(E2044="","",IF(E2044="Werken","JA","NEE"))</f>
        <v/>
      </c>
      <c r="L2044" s="61">
        <f>IF(K2044="JA",N(J2044),IF(E2044="","",0))</f>
        <v/>
      </c>
      <c r="M2044" s="62">
        <f>IF(AND(A2044="",E2044=""),"",IF(E2044="","Segment ontbreekt",IF(OR(G2044="",H2044=""),"Van/tot ontbreekt",IF(N(J2044)=0,"Duur is nul",IF(N(J2044)&gt;12,"Langer dan 12 uur - controleren",IF(AND(E2044="Werken",D2044=""),"Werken zonder klant - koppelen","OK"))))))</f>
        <v/>
      </c>
    </row>
    <row r="2045" ht="15" customHeight="1" s="42">
      <c r="A2045" s="55" t="n"/>
      <c r="B2045" s="56">
        <f>IF(A2045="","",WEEKNUM(A2045,21))</f>
        <v/>
      </c>
      <c r="C2045" s="57" t="n"/>
      <c r="D2045" s="57" t="n"/>
      <c r="E2045" s="58" t="n"/>
      <c r="F2045" s="57" t="n"/>
      <c r="G2045" s="59" t="n"/>
      <c r="H2045" s="59" t="n"/>
      <c r="I2045" s="60">
        <f>IF(OR(G2045="",H2045=""),"",MOD(H2045-G2045,1))</f>
        <v/>
      </c>
      <c r="J2045" s="61">
        <f>IF(OR(G2045="",H2045=""),"",ROUND(MOD(H2045-G2045,1)*24,2))</f>
        <v/>
      </c>
      <c r="K2045" s="62">
        <f>IF(E2045="","",IF(E2045="Werken","JA","NEE"))</f>
        <v/>
      </c>
      <c r="L2045" s="61">
        <f>IF(K2045="JA",N(J2045),IF(E2045="","",0))</f>
        <v/>
      </c>
      <c r="M2045" s="62">
        <f>IF(AND(A2045="",E2045=""),"",IF(E2045="","Segment ontbreekt",IF(OR(G2045="",H2045=""),"Van/tot ontbreekt",IF(N(J2045)=0,"Duur is nul",IF(N(J2045)&gt;12,"Langer dan 12 uur - controleren",IF(AND(E2045="Werken",D2045=""),"Werken zonder klant - koppelen","OK"))))))</f>
        <v/>
      </c>
    </row>
    <row r="2046" ht="15" customHeight="1" s="42">
      <c r="A2046" s="55" t="n"/>
      <c r="B2046" s="56">
        <f>IF(A2046="","",WEEKNUM(A2046,21))</f>
        <v/>
      </c>
      <c r="C2046" s="57" t="n"/>
      <c r="D2046" s="57" t="n"/>
      <c r="E2046" s="58" t="n"/>
      <c r="F2046" s="57" t="n"/>
      <c r="G2046" s="59" t="n"/>
      <c r="H2046" s="59" t="n"/>
      <c r="I2046" s="60">
        <f>IF(OR(G2046="",H2046=""),"",MOD(H2046-G2046,1))</f>
        <v/>
      </c>
      <c r="J2046" s="61">
        <f>IF(OR(G2046="",H2046=""),"",ROUND(MOD(H2046-G2046,1)*24,2))</f>
        <v/>
      </c>
      <c r="K2046" s="62">
        <f>IF(E2046="","",IF(E2046="Werken","JA","NEE"))</f>
        <v/>
      </c>
      <c r="L2046" s="61">
        <f>IF(K2046="JA",N(J2046),IF(E2046="","",0))</f>
        <v/>
      </c>
      <c r="M2046" s="62">
        <f>IF(AND(A2046="",E2046=""),"",IF(E2046="","Segment ontbreekt",IF(OR(G2046="",H2046=""),"Van/tot ontbreekt",IF(N(J2046)=0,"Duur is nul",IF(N(J2046)&gt;12,"Langer dan 12 uur - controleren",IF(AND(E2046="Werken",D2046=""),"Werken zonder klant - koppelen","OK"))))))</f>
        <v/>
      </c>
    </row>
    <row r="2047" ht="15" customHeight="1" s="42">
      <c r="A2047" s="55" t="n"/>
      <c r="B2047" s="56">
        <f>IF(A2047="","",WEEKNUM(A2047,21))</f>
        <v/>
      </c>
      <c r="C2047" s="57" t="n"/>
      <c r="D2047" s="57" t="n"/>
      <c r="E2047" s="58" t="n"/>
      <c r="F2047" s="57" t="n"/>
      <c r="G2047" s="59" t="n"/>
      <c r="H2047" s="59" t="n"/>
      <c r="I2047" s="60">
        <f>IF(OR(G2047="",H2047=""),"",MOD(H2047-G2047,1))</f>
        <v/>
      </c>
      <c r="J2047" s="61">
        <f>IF(OR(G2047="",H2047=""),"",ROUND(MOD(H2047-G2047,1)*24,2))</f>
        <v/>
      </c>
      <c r="K2047" s="62">
        <f>IF(E2047="","",IF(E2047="Werken","JA","NEE"))</f>
        <v/>
      </c>
      <c r="L2047" s="61">
        <f>IF(K2047="JA",N(J2047),IF(E2047="","",0))</f>
        <v/>
      </c>
      <c r="M2047" s="62">
        <f>IF(AND(A2047="",E2047=""),"",IF(E2047="","Segment ontbreekt",IF(OR(G2047="",H2047=""),"Van/tot ontbreekt",IF(N(J2047)=0,"Duur is nul",IF(N(J2047)&gt;12,"Langer dan 12 uur - controleren",IF(AND(E2047="Werken",D2047=""),"Werken zonder klant - koppelen","OK"))))))</f>
        <v/>
      </c>
    </row>
    <row r="2048" ht="15" customHeight="1" s="42">
      <c r="A2048" s="55" t="n"/>
      <c r="B2048" s="56">
        <f>IF(A2048="","",WEEKNUM(A2048,21))</f>
        <v/>
      </c>
      <c r="C2048" s="57" t="n"/>
      <c r="D2048" s="57" t="n"/>
      <c r="E2048" s="58" t="n"/>
      <c r="F2048" s="57" t="n"/>
      <c r="G2048" s="59" t="n"/>
      <c r="H2048" s="59" t="n"/>
      <c r="I2048" s="60">
        <f>IF(OR(G2048="",H2048=""),"",MOD(H2048-G2048,1))</f>
        <v/>
      </c>
      <c r="J2048" s="61">
        <f>IF(OR(G2048="",H2048=""),"",ROUND(MOD(H2048-G2048,1)*24,2))</f>
        <v/>
      </c>
      <c r="K2048" s="62">
        <f>IF(E2048="","",IF(E2048="Werken","JA","NEE"))</f>
        <v/>
      </c>
      <c r="L2048" s="61">
        <f>IF(K2048="JA",N(J2048),IF(E2048="","",0))</f>
        <v/>
      </c>
      <c r="M2048" s="62">
        <f>IF(AND(A2048="",E2048=""),"",IF(E2048="","Segment ontbreekt",IF(OR(G2048="",H2048=""),"Van/tot ontbreekt",IF(N(J2048)=0,"Duur is nul",IF(N(J2048)&gt;12,"Langer dan 12 uur - controleren",IF(AND(E2048="Werken",D2048=""),"Werken zonder klant - koppelen","OK"))))))</f>
        <v/>
      </c>
    </row>
    <row r="2049" ht="15" customHeight="1" s="42">
      <c r="A2049" s="55" t="n"/>
      <c r="B2049" s="56">
        <f>IF(A2049="","",WEEKNUM(A2049,21))</f>
        <v/>
      </c>
      <c r="C2049" s="57" t="n"/>
      <c r="D2049" s="57" t="n"/>
      <c r="E2049" s="58" t="n"/>
      <c r="F2049" s="57" t="n"/>
      <c r="G2049" s="59" t="n"/>
      <c r="H2049" s="59" t="n"/>
      <c r="I2049" s="60">
        <f>IF(OR(G2049="",H2049=""),"",MOD(H2049-G2049,1))</f>
        <v/>
      </c>
      <c r="J2049" s="61">
        <f>IF(OR(G2049="",H2049=""),"",ROUND(MOD(H2049-G2049,1)*24,2))</f>
        <v/>
      </c>
      <c r="K2049" s="62">
        <f>IF(E2049="","",IF(E2049="Werken","JA","NEE"))</f>
        <v/>
      </c>
      <c r="L2049" s="61">
        <f>IF(K2049="JA",N(J2049),IF(E2049="","",0))</f>
        <v/>
      </c>
      <c r="M2049" s="62">
        <f>IF(AND(A2049="",E2049=""),"",IF(E2049="","Segment ontbreekt",IF(OR(G2049="",H2049=""),"Van/tot ontbreekt",IF(N(J2049)=0,"Duur is nul",IF(N(J2049)&gt;12,"Langer dan 12 uur - controleren",IF(AND(E2049="Werken",D2049=""),"Werken zonder klant - koppelen","OK"))))))</f>
        <v/>
      </c>
    </row>
    <row r="2050" ht="15" customHeight="1" s="42">
      <c r="A2050" s="55" t="n"/>
      <c r="B2050" s="56">
        <f>IF(A2050="","",WEEKNUM(A2050,21))</f>
        <v/>
      </c>
      <c r="C2050" s="57" t="n"/>
      <c r="D2050" s="57" t="n"/>
      <c r="E2050" s="58" t="n"/>
      <c r="F2050" s="57" t="n"/>
      <c r="G2050" s="59" t="n"/>
      <c r="H2050" s="59" t="n"/>
      <c r="I2050" s="60">
        <f>IF(OR(G2050="",H2050=""),"",MOD(H2050-G2050,1))</f>
        <v/>
      </c>
      <c r="J2050" s="61">
        <f>IF(OR(G2050="",H2050=""),"",ROUND(MOD(H2050-G2050,1)*24,2))</f>
        <v/>
      </c>
      <c r="K2050" s="62">
        <f>IF(E2050="","",IF(E2050="Werken","JA","NEE"))</f>
        <v/>
      </c>
      <c r="L2050" s="61">
        <f>IF(K2050="JA",N(J2050),IF(E2050="","",0))</f>
        <v/>
      </c>
      <c r="M2050" s="62">
        <f>IF(AND(A2050="",E2050=""),"",IF(E2050="","Segment ontbreekt",IF(OR(G2050="",H2050=""),"Van/tot ontbreekt",IF(N(J2050)=0,"Duur is nul",IF(N(J2050)&gt;12,"Langer dan 12 uur - controleren",IF(AND(E2050="Werken",D2050=""),"Werken zonder klant - koppelen","OK"))))))</f>
        <v/>
      </c>
    </row>
    <row r="2051" ht="15" customHeight="1" s="42">
      <c r="A2051" s="55" t="n"/>
      <c r="B2051" s="56">
        <f>IF(A2051="","",WEEKNUM(A2051,21))</f>
        <v/>
      </c>
      <c r="C2051" s="57" t="n"/>
      <c r="D2051" s="57" t="n"/>
      <c r="E2051" s="58" t="n"/>
      <c r="F2051" s="57" t="n"/>
      <c r="G2051" s="59" t="n"/>
      <c r="H2051" s="59" t="n"/>
      <c r="I2051" s="60">
        <f>IF(OR(G2051="",H2051=""),"",MOD(H2051-G2051,1))</f>
        <v/>
      </c>
      <c r="J2051" s="61">
        <f>IF(OR(G2051="",H2051=""),"",ROUND(MOD(H2051-G2051,1)*24,2))</f>
        <v/>
      </c>
      <c r="K2051" s="62">
        <f>IF(E2051="","",IF(E2051="Werken","JA","NEE"))</f>
        <v/>
      </c>
      <c r="L2051" s="61">
        <f>IF(K2051="JA",N(J2051),IF(E2051="","",0))</f>
        <v/>
      </c>
      <c r="M2051" s="62">
        <f>IF(AND(A2051="",E2051=""),"",IF(E2051="","Segment ontbreekt",IF(OR(G2051="",H2051=""),"Van/tot ontbreekt",IF(N(J2051)=0,"Duur is nul",IF(N(J2051)&gt;12,"Langer dan 12 uur - controleren",IF(AND(E2051="Werken",D2051=""),"Werken zonder klant - koppelen","OK"))))))</f>
        <v/>
      </c>
    </row>
    <row r="2052" ht="15" customHeight="1" s="42">
      <c r="A2052" s="55" t="n"/>
      <c r="B2052" s="56">
        <f>IF(A2052="","",WEEKNUM(A2052,21))</f>
        <v/>
      </c>
      <c r="C2052" s="57" t="n"/>
      <c r="D2052" s="57" t="n"/>
      <c r="E2052" s="58" t="n"/>
      <c r="F2052" s="57" t="n"/>
      <c r="G2052" s="59" t="n"/>
      <c r="H2052" s="59" t="n"/>
      <c r="I2052" s="60">
        <f>IF(OR(G2052="",H2052=""),"",MOD(H2052-G2052,1))</f>
        <v/>
      </c>
      <c r="J2052" s="61">
        <f>IF(OR(G2052="",H2052=""),"",ROUND(MOD(H2052-G2052,1)*24,2))</f>
        <v/>
      </c>
      <c r="K2052" s="62">
        <f>IF(E2052="","",IF(E2052="Werken","JA","NEE"))</f>
        <v/>
      </c>
      <c r="L2052" s="61">
        <f>IF(K2052="JA",N(J2052),IF(E2052="","",0))</f>
        <v/>
      </c>
      <c r="M2052" s="62">
        <f>IF(AND(A2052="",E2052=""),"",IF(E2052="","Segment ontbreekt",IF(OR(G2052="",H2052=""),"Van/tot ontbreekt",IF(N(J2052)=0,"Duur is nul",IF(N(J2052)&gt;12,"Langer dan 12 uur - controleren",IF(AND(E2052="Werken",D2052=""),"Werken zonder klant - koppelen","OK"))))))</f>
        <v/>
      </c>
    </row>
    <row r="2053" ht="15" customHeight="1" s="42">
      <c r="A2053" s="55" t="n"/>
      <c r="B2053" s="56">
        <f>IF(A2053="","",WEEKNUM(A2053,21))</f>
        <v/>
      </c>
      <c r="C2053" s="57" t="n"/>
      <c r="D2053" s="57" t="n"/>
      <c r="E2053" s="58" t="n"/>
      <c r="F2053" s="57" t="n"/>
      <c r="G2053" s="59" t="n"/>
      <c r="H2053" s="59" t="n"/>
      <c r="I2053" s="60">
        <f>IF(OR(G2053="",H2053=""),"",MOD(H2053-G2053,1))</f>
        <v/>
      </c>
      <c r="J2053" s="61">
        <f>IF(OR(G2053="",H2053=""),"",ROUND(MOD(H2053-G2053,1)*24,2))</f>
        <v/>
      </c>
      <c r="K2053" s="62">
        <f>IF(E2053="","",IF(E2053="Werken","JA","NEE"))</f>
        <v/>
      </c>
      <c r="L2053" s="61">
        <f>IF(K2053="JA",N(J2053),IF(E2053="","",0))</f>
        <v/>
      </c>
      <c r="M2053" s="62">
        <f>IF(AND(A2053="",E2053=""),"",IF(E2053="","Segment ontbreekt",IF(OR(G2053="",H2053=""),"Van/tot ontbreekt",IF(N(J2053)=0,"Duur is nul",IF(N(J2053)&gt;12,"Langer dan 12 uur - controleren",IF(AND(E2053="Werken",D2053=""),"Werken zonder klant - koppelen","OK"))))))</f>
        <v/>
      </c>
    </row>
    <row r="2054" ht="15" customHeight="1" s="42">
      <c r="A2054" s="55" t="n"/>
      <c r="B2054" s="56">
        <f>IF(A2054="","",WEEKNUM(A2054,21))</f>
        <v/>
      </c>
      <c r="C2054" s="57" t="n"/>
      <c r="D2054" s="57" t="n"/>
      <c r="E2054" s="58" t="n"/>
      <c r="F2054" s="57" t="n"/>
      <c r="G2054" s="59" t="n"/>
      <c r="H2054" s="59" t="n"/>
      <c r="I2054" s="60">
        <f>IF(OR(G2054="",H2054=""),"",MOD(H2054-G2054,1))</f>
        <v/>
      </c>
      <c r="J2054" s="61">
        <f>IF(OR(G2054="",H2054=""),"",ROUND(MOD(H2054-G2054,1)*24,2))</f>
        <v/>
      </c>
      <c r="K2054" s="62">
        <f>IF(E2054="","",IF(E2054="Werken","JA","NEE"))</f>
        <v/>
      </c>
      <c r="L2054" s="61">
        <f>IF(K2054="JA",N(J2054),IF(E2054="","",0))</f>
        <v/>
      </c>
      <c r="M2054" s="62">
        <f>IF(AND(A2054="",E2054=""),"",IF(E2054="","Segment ontbreekt",IF(OR(G2054="",H2054=""),"Van/tot ontbreekt",IF(N(J2054)=0,"Duur is nul",IF(N(J2054)&gt;12,"Langer dan 12 uur - controleren",IF(AND(E2054="Werken",D2054=""),"Werken zonder klant - koppelen","OK"))))))</f>
        <v/>
      </c>
    </row>
    <row r="2055" ht="15" customHeight="1" s="42">
      <c r="A2055" s="55" t="n"/>
      <c r="B2055" s="56">
        <f>IF(A2055="","",WEEKNUM(A2055,21))</f>
        <v/>
      </c>
      <c r="C2055" s="57" t="n"/>
      <c r="D2055" s="57" t="n"/>
      <c r="E2055" s="58" t="n"/>
      <c r="F2055" s="57" t="n"/>
      <c r="G2055" s="59" t="n"/>
      <c r="H2055" s="59" t="n"/>
      <c r="I2055" s="60">
        <f>IF(OR(G2055="",H2055=""),"",MOD(H2055-G2055,1))</f>
        <v/>
      </c>
      <c r="J2055" s="61">
        <f>IF(OR(G2055="",H2055=""),"",ROUND(MOD(H2055-G2055,1)*24,2))</f>
        <v/>
      </c>
      <c r="K2055" s="62">
        <f>IF(E2055="","",IF(E2055="Werken","JA","NEE"))</f>
        <v/>
      </c>
      <c r="L2055" s="61">
        <f>IF(K2055="JA",N(J2055),IF(E2055="","",0))</f>
        <v/>
      </c>
      <c r="M2055" s="62">
        <f>IF(AND(A2055="",E2055=""),"",IF(E2055="","Segment ontbreekt",IF(OR(G2055="",H2055=""),"Van/tot ontbreekt",IF(N(J2055)=0,"Duur is nul",IF(N(J2055)&gt;12,"Langer dan 12 uur - controleren",IF(AND(E2055="Werken",D2055=""),"Werken zonder klant - koppelen","OK"))))))</f>
        <v/>
      </c>
    </row>
    <row r="2056" ht="15" customHeight="1" s="42">
      <c r="A2056" s="55" t="n"/>
      <c r="B2056" s="56">
        <f>IF(A2056="","",WEEKNUM(A2056,21))</f>
        <v/>
      </c>
      <c r="C2056" s="57" t="n"/>
      <c r="D2056" s="57" t="n"/>
      <c r="E2056" s="58" t="n"/>
      <c r="F2056" s="57" t="n"/>
      <c r="G2056" s="59" t="n"/>
      <c r="H2056" s="59" t="n"/>
      <c r="I2056" s="60">
        <f>IF(OR(G2056="",H2056=""),"",MOD(H2056-G2056,1))</f>
        <v/>
      </c>
      <c r="J2056" s="61">
        <f>IF(OR(G2056="",H2056=""),"",ROUND(MOD(H2056-G2056,1)*24,2))</f>
        <v/>
      </c>
      <c r="K2056" s="62">
        <f>IF(E2056="","",IF(E2056="Werken","JA","NEE"))</f>
        <v/>
      </c>
      <c r="L2056" s="61">
        <f>IF(K2056="JA",N(J2056),IF(E2056="","",0))</f>
        <v/>
      </c>
      <c r="M2056" s="62">
        <f>IF(AND(A2056="",E2056=""),"",IF(E2056="","Segment ontbreekt",IF(OR(G2056="",H2056=""),"Van/tot ontbreekt",IF(N(J2056)=0,"Duur is nul",IF(N(J2056)&gt;12,"Langer dan 12 uur - controleren",IF(AND(E2056="Werken",D2056=""),"Werken zonder klant - koppelen","OK"))))))</f>
        <v/>
      </c>
    </row>
    <row r="2057" ht="15" customHeight="1" s="42">
      <c r="A2057" s="55" t="n"/>
      <c r="B2057" s="56">
        <f>IF(A2057="","",WEEKNUM(A2057,21))</f>
        <v/>
      </c>
      <c r="C2057" s="57" t="n"/>
      <c r="D2057" s="57" t="n"/>
      <c r="E2057" s="58" t="n"/>
      <c r="F2057" s="57" t="n"/>
      <c r="G2057" s="59" t="n"/>
      <c r="H2057" s="59" t="n"/>
      <c r="I2057" s="60">
        <f>IF(OR(G2057="",H2057=""),"",MOD(H2057-G2057,1))</f>
        <v/>
      </c>
      <c r="J2057" s="61">
        <f>IF(OR(G2057="",H2057=""),"",ROUND(MOD(H2057-G2057,1)*24,2))</f>
        <v/>
      </c>
      <c r="K2057" s="62">
        <f>IF(E2057="","",IF(E2057="Werken","JA","NEE"))</f>
        <v/>
      </c>
      <c r="L2057" s="61">
        <f>IF(K2057="JA",N(J2057),IF(E2057="","",0))</f>
        <v/>
      </c>
      <c r="M2057" s="62">
        <f>IF(AND(A2057="",E2057=""),"",IF(E2057="","Segment ontbreekt",IF(OR(G2057="",H2057=""),"Van/tot ontbreekt",IF(N(J2057)=0,"Duur is nul",IF(N(J2057)&gt;12,"Langer dan 12 uur - controleren",IF(AND(E2057="Werken",D2057=""),"Werken zonder klant - koppelen","OK"))))))</f>
        <v/>
      </c>
    </row>
    <row r="2058" ht="15" customHeight="1" s="42">
      <c r="A2058" s="55" t="n"/>
      <c r="B2058" s="56">
        <f>IF(A2058="","",WEEKNUM(A2058,21))</f>
        <v/>
      </c>
      <c r="C2058" s="57" t="n"/>
      <c r="D2058" s="57" t="n"/>
      <c r="E2058" s="58" t="n"/>
      <c r="F2058" s="57" t="n"/>
      <c r="G2058" s="59" t="n"/>
      <c r="H2058" s="59" t="n"/>
      <c r="I2058" s="60">
        <f>IF(OR(G2058="",H2058=""),"",MOD(H2058-G2058,1))</f>
        <v/>
      </c>
      <c r="J2058" s="61">
        <f>IF(OR(G2058="",H2058=""),"",ROUND(MOD(H2058-G2058,1)*24,2))</f>
        <v/>
      </c>
      <c r="K2058" s="62">
        <f>IF(E2058="","",IF(E2058="Werken","JA","NEE"))</f>
        <v/>
      </c>
      <c r="L2058" s="61">
        <f>IF(K2058="JA",N(J2058),IF(E2058="","",0))</f>
        <v/>
      </c>
      <c r="M2058" s="62">
        <f>IF(AND(A2058="",E2058=""),"",IF(E2058="","Segment ontbreekt",IF(OR(G2058="",H2058=""),"Van/tot ontbreekt",IF(N(J2058)=0,"Duur is nul",IF(N(J2058)&gt;12,"Langer dan 12 uur - controleren",IF(AND(E2058="Werken",D2058=""),"Werken zonder klant - koppelen","OK"))))))</f>
        <v/>
      </c>
    </row>
    <row r="2059" ht="15" customHeight="1" s="42">
      <c r="A2059" s="55" t="n"/>
      <c r="B2059" s="56">
        <f>IF(A2059="","",WEEKNUM(A2059,21))</f>
        <v/>
      </c>
      <c r="C2059" s="57" t="n"/>
      <c r="D2059" s="57" t="n"/>
      <c r="E2059" s="58" t="n"/>
      <c r="F2059" s="57" t="n"/>
      <c r="G2059" s="59" t="n"/>
      <c r="H2059" s="59" t="n"/>
      <c r="I2059" s="60">
        <f>IF(OR(G2059="",H2059=""),"",MOD(H2059-G2059,1))</f>
        <v/>
      </c>
      <c r="J2059" s="61">
        <f>IF(OR(G2059="",H2059=""),"",ROUND(MOD(H2059-G2059,1)*24,2))</f>
        <v/>
      </c>
      <c r="K2059" s="62">
        <f>IF(E2059="","",IF(E2059="Werken","JA","NEE"))</f>
        <v/>
      </c>
      <c r="L2059" s="61">
        <f>IF(K2059="JA",N(J2059),IF(E2059="","",0))</f>
        <v/>
      </c>
      <c r="M2059" s="62">
        <f>IF(AND(A2059="",E2059=""),"",IF(E2059="","Segment ontbreekt",IF(OR(G2059="",H2059=""),"Van/tot ontbreekt",IF(N(J2059)=0,"Duur is nul",IF(N(J2059)&gt;12,"Langer dan 12 uur - controleren",IF(AND(E2059="Werken",D2059=""),"Werken zonder klant - koppelen","OK"))))))</f>
        <v/>
      </c>
    </row>
    <row r="2060" ht="15" customHeight="1" s="42">
      <c r="A2060" s="55" t="n"/>
      <c r="B2060" s="56">
        <f>IF(A2060="","",WEEKNUM(A2060,21))</f>
        <v/>
      </c>
      <c r="C2060" s="57" t="n"/>
      <c r="D2060" s="57" t="n"/>
      <c r="E2060" s="58" t="n"/>
      <c r="F2060" s="57" t="n"/>
      <c r="G2060" s="59" t="n"/>
      <c r="H2060" s="59" t="n"/>
      <c r="I2060" s="60">
        <f>IF(OR(G2060="",H2060=""),"",MOD(H2060-G2060,1))</f>
        <v/>
      </c>
      <c r="J2060" s="61">
        <f>IF(OR(G2060="",H2060=""),"",ROUND(MOD(H2060-G2060,1)*24,2))</f>
        <v/>
      </c>
      <c r="K2060" s="62">
        <f>IF(E2060="","",IF(E2060="Werken","JA","NEE"))</f>
        <v/>
      </c>
      <c r="L2060" s="61">
        <f>IF(K2060="JA",N(J2060),IF(E2060="","",0))</f>
        <v/>
      </c>
      <c r="M2060" s="62">
        <f>IF(AND(A2060="",E2060=""),"",IF(E2060="","Segment ontbreekt",IF(OR(G2060="",H2060=""),"Van/tot ontbreekt",IF(N(J2060)=0,"Duur is nul",IF(N(J2060)&gt;12,"Langer dan 12 uur - controleren",IF(AND(E2060="Werken",D2060=""),"Werken zonder klant - koppelen","OK"))))))</f>
        <v/>
      </c>
    </row>
    <row r="2061" ht="15" customHeight="1" s="42">
      <c r="A2061" s="55" t="n"/>
      <c r="B2061" s="56">
        <f>IF(A2061="","",WEEKNUM(A2061,21))</f>
        <v/>
      </c>
      <c r="C2061" s="57" t="n"/>
      <c r="D2061" s="57" t="n"/>
      <c r="E2061" s="58" t="n"/>
      <c r="F2061" s="57" t="n"/>
      <c r="G2061" s="59" t="n"/>
      <c r="H2061" s="59" t="n"/>
      <c r="I2061" s="60">
        <f>IF(OR(G2061="",H2061=""),"",MOD(H2061-G2061,1))</f>
        <v/>
      </c>
      <c r="J2061" s="61">
        <f>IF(OR(G2061="",H2061=""),"",ROUND(MOD(H2061-G2061,1)*24,2))</f>
        <v/>
      </c>
      <c r="K2061" s="62">
        <f>IF(E2061="","",IF(E2061="Werken","JA","NEE"))</f>
        <v/>
      </c>
      <c r="L2061" s="61">
        <f>IF(K2061="JA",N(J2061),IF(E2061="","",0))</f>
        <v/>
      </c>
      <c r="M2061" s="62">
        <f>IF(AND(A2061="",E2061=""),"",IF(E2061="","Segment ontbreekt",IF(OR(G2061="",H2061=""),"Van/tot ontbreekt",IF(N(J2061)=0,"Duur is nul",IF(N(J2061)&gt;12,"Langer dan 12 uur - controleren",IF(AND(E2061="Werken",D2061=""),"Werken zonder klant - koppelen","OK"))))))</f>
        <v/>
      </c>
    </row>
    <row r="2062" ht="15" customHeight="1" s="42">
      <c r="A2062" s="55" t="n"/>
      <c r="B2062" s="56">
        <f>IF(A2062="","",WEEKNUM(A2062,21))</f>
        <v/>
      </c>
      <c r="C2062" s="57" t="n"/>
      <c r="D2062" s="57" t="n"/>
      <c r="E2062" s="58" t="n"/>
      <c r="F2062" s="57" t="n"/>
      <c r="G2062" s="59" t="n"/>
      <c r="H2062" s="59" t="n"/>
      <c r="I2062" s="60">
        <f>IF(OR(G2062="",H2062=""),"",MOD(H2062-G2062,1))</f>
        <v/>
      </c>
      <c r="J2062" s="61">
        <f>IF(OR(G2062="",H2062=""),"",ROUND(MOD(H2062-G2062,1)*24,2))</f>
        <v/>
      </c>
      <c r="K2062" s="62">
        <f>IF(E2062="","",IF(E2062="Werken","JA","NEE"))</f>
        <v/>
      </c>
      <c r="L2062" s="61">
        <f>IF(K2062="JA",N(J2062),IF(E2062="","",0))</f>
        <v/>
      </c>
      <c r="M2062" s="62">
        <f>IF(AND(A2062="",E2062=""),"",IF(E2062="","Segment ontbreekt",IF(OR(G2062="",H2062=""),"Van/tot ontbreekt",IF(N(J2062)=0,"Duur is nul",IF(N(J2062)&gt;12,"Langer dan 12 uur - controleren",IF(AND(E2062="Werken",D2062=""),"Werken zonder klant - koppelen","OK"))))))</f>
        <v/>
      </c>
    </row>
    <row r="2063" ht="15" customHeight="1" s="42">
      <c r="A2063" s="55" t="n"/>
      <c r="B2063" s="56">
        <f>IF(A2063="","",WEEKNUM(A2063,21))</f>
        <v/>
      </c>
      <c r="C2063" s="57" t="n"/>
      <c r="D2063" s="57" t="n"/>
      <c r="E2063" s="58" t="n"/>
      <c r="F2063" s="57" t="n"/>
      <c r="G2063" s="59" t="n"/>
      <c r="H2063" s="59" t="n"/>
      <c r="I2063" s="60">
        <f>IF(OR(G2063="",H2063=""),"",MOD(H2063-G2063,1))</f>
        <v/>
      </c>
      <c r="J2063" s="61">
        <f>IF(OR(G2063="",H2063=""),"",ROUND(MOD(H2063-G2063,1)*24,2))</f>
        <v/>
      </c>
      <c r="K2063" s="62">
        <f>IF(E2063="","",IF(E2063="Werken","JA","NEE"))</f>
        <v/>
      </c>
      <c r="L2063" s="61">
        <f>IF(K2063="JA",N(J2063),IF(E2063="","",0))</f>
        <v/>
      </c>
      <c r="M2063" s="62">
        <f>IF(AND(A2063="",E2063=""),"",IF(E2063="","Segment ontbreekt",IF(OR(G2063="",H2063=""),"Van/tot ontbreekt",IF(N(J2063)=0,"Duur is nul",IF(N(J2063)&gt;12,"Langer dan 12 uur - controleren",IF(AND(E2063="Werken",D2063=""),"Werken zonder klant - koppelen","OK"))))))</f>
        <v/>
      </c>
    </row>
    <row r="2064" ht="15" customHeight="1" s="42">
      <c r="A2064" s="55" t="n"/>
      <c r="B2064" s="56">
        <f>IF(A2064="","",WEEKNUM(A2064,21))</f>
        <v/>
      </c>
      <c r="C2064" s="57" t="n"/>
      <c r="D2064" s="57" t="n"/>
      <c r="E2064" s="58" t="n"/>
      <c r="F2064" s="57" t="n"/>
      <c r="G2064" s="59" t="n"/>
      <c r="H2064" s="59" t="n"/>
      <c r="I2064" s="60">
        <f>IF(OR(G2064="",H2064=""),"",MOD(H2064-G2064,1))</f>
        <v/>
      </c>
      <c r="J2064" s="61">
        <f>IF(OR(G2064="",H2064=""),"",ROUND(MOD(H2064-G2064,1)*24,2))</f>
        <v/>
      </c>
      <c r="K2064" s="62">
        <f>IF(E2064="","",IF(E2064="Werken","JA","NEE"))</f>
        <v/>
      </c>
      <c r="L2064" s="61">
        <f>IF(K2064="JA",N(J2064),IF(E2064="","",0))</f>
        <v/>
      </c>
      <c r="M2064" s="62">
        <f>IF(AND(A2064="",E2064=""),"",IF(E2064="","Segment ontbreekt",IF(OR(G2064="",H2064=""),"Van/tot ontbreekt",IF(N(J2064)=0,"Duur is nul",IF(N(J2064)&gt;12,"Langer dan 12 uur - controleren",IF(AND(E2064="Werken",D2064=""),"Werken zonder klant - koppelen","OK"))))))</f>
        <v/>
      </c>
    </row>
    <row r="2065" ht="15" customHeight="1" s="42">
      <c r="A2065" s="55" t="n"/>
      <c r="B2065" s="56">
        <f>IF(A2065="","",WEEKNUM(A2065,21))</f>
        <v/>
      </c>
      <c r="C2065" s="57" t="n"/>
      <c r="D2065" s="57" t="n"/>
      <c r="E2065" s="58" t="n"/>
      <c r="F2065" s="57" t="n"/>
      <c r="G2065" s="59" t="n"/>
      <c r="H2065" s="59" t="n"/>
      <c r="I2065" s="60">
        <f>IF(OR(G2065="",H2065=""),"",MOD(H2065-G2065,1))</f>
        <v/>
      </c>
      <c r="J2065" s="61">
        <f>IF(OR(G2065="",H2065=""),"",ROUND(MOD(H2065-G2065,1)*24,2))</f>
        <v/>
      </c>
      <c r="K2065" s="62">
        <f>IF(E2065="","",IF(E2065="Werken","JA","NEE"))</f>
        <v/>
      </c>
      <c r="L2065" s="61">
        <f>IF(K2065="JA",N(J2065),IF(E2065="","",0))</f>
        <v/>
      </c>
      <c r="M2065" s="62">
        <f>IF(AND(A2065="",E2065=""),"",IF(E2065="","Segment ontbreekt",IF(OR(G2065="",H2065=""),"Van/tot ontbreekt",IF(N(J2065)=0,"Duur is nul",IF(N(J2065)&gt;12,"Langer dan 12 uur - controleren",IF(AND(E2065="Werken",D2065=""),"Werken zonder klant - koppelen","OK"))))))</f>
        <v/>
      </c>
    </row>
    <row r="2066" ht="15" customHeight="1" s="42">
      <c r="A2066" s="55" t="n"/>
      <c r="B2066" s="56">
        <f>IF(A2066="","",WEEKNUM(A2066,21))</f>
        <v/>
      </c>
      <c r="C2066" s="57" t="n"/>
      <c r="D2066" s="57" t="n"/>
      <c r="E2066" s="58" t="n"/>
      <c r="F2066" s="57" t="n"/>
      <c r="G2066" s="59" t="n"/>
      <c r="H2066" s="59" t="n"/>
      <c r="I2066" s="60">
        <f>IF(OR(G2066="",H2066=""),"",MOD(H2066-G2066,1))</f>
        <v/>
      </c>
      <c r="J2066" s="61">
        <f>IF(OR(G2066="",H2066=""),"",ROUND(MOD(H2066-G2066,1)*24,2))</f>
        <v/>
      </c>
      <c r="K2066" s="62">
        <f>IF(E2066="","",IF(E2066="Werken","JA","NEE"))</f>
        <v/>
      </c>
      <c r="L2066" s="61">
        <f>IF(K2066="JA",N(J2066),IF(E2066="","",0))</f>
        <v/>
      </c>
      <c r="M2066" s="62">
        <f>IF(AND(A2066="",E2066=""),"",IF(E2066="","Segment ontbreekt",IF(OR(G2066="",H2066=""),"Van/tot ontbreekt",IF(N(J2066)=0,"Duur is nul",IF(N(J2066)&gt;12,"Langer dan 12 uur - controleren",IF(AND(E2066="Werken",D2066=""),"Werken zonder klant - koppelen","OK"))))))</f>
        <v/>
      </c>
    </row>
    <row r="2067" ht="15" customHeight="1" s="42">
      <c r="A2067" s="55" t="n"/>
      <c r="B2067" s="56">
        <f>IF(A2067="","",WEEKNUM(A2067,21))</f>
        <v/>
      </c>
      <c r="C2067" s="57" t="n"/>
      <c r="D2067" s="57" t="n"/>
      <c r="E2067" s="58" t="n"/>
      <c r="F2067" s="57" t="n"/>
      <c r="G2067" s="59" t="n"/>
      <c r="H2067" s="59" t="n"/>
      <c r="I2067" s="60">
        <f>IF(OR(G2067="",H2067=""),"",MOD(H2067-G2067,1))</f>
        <v/>
      </c>
      <c r="J2067" s="61">
        <f>IF(OR(G2067="",H2067=""),"",ROUND(MOD(H2067-G2067,1)*24,2))</f>
        <v/>
      </c>
      <c r="K2067" s="62">
        <f>IF(E2067="","",IF(E2067="Werken","JA","NEE"))</f>
        <v/>
      </c>
      <c r="L2067" s="61">
        <f>IF(K2067="JA",N(J2067),IF(E2067="","",0))</f>
        <v/>
      </c>
      <c r="M2067" s="62">
        <f>IF(AND(A2067="",E2067=""),"",IF(E2067="","Segment ontbreekt",IF(OR(G2067="",H2067=""),"Van/tot ontbreekt",IF(N(J2067)=0,"Duur is nul",IF(N(J2067)&gt;12,"Langer dan 12 uur - controleren",IF(AND(E2067="Werken",D2067=""),"Werken zonder klant - koppelen","OK"))))))</f>
        <v/>
      </c>
    </row>
    <row r="2068" ht="15" customHeight="1" s="42">
      <c r="A2068" s="55" t="n"/>
      <c r="B2068" s="56">
        <f>IF(A2068="","",WEEKNUM(A2068,21))</f>
        <v/>
      </c>
      <c r="C2068" s="57" t="n"/>
      <c r="D2068" s="57" t="n"/>
      <c r="E2068" s="58" t="n"/>
      <c r="F2068" s="57" t="n"/>
      <c r="G2068" s="59" t="n"/>
      <c r="H2068" s="59" t="n"/>
      <c r="I2068" s="60">
        <f>IF(OR(G2068="",H2068=""),"",MOD(H2068-G2068,1))</f>
        <v/>
      </c>
      <c r="J2068" s="61">
        <f>IF(OR(G2068="",H2068=""),"",ROUND(MOD(H2068-G2068,1)*24,2))</f>
        <v/>
      </c>
      <c r="K2068" s="62">
        <f>IF(E2068="","",IF(E2068="Werken","JA","NEE"))</f>
        <v/>
      </c>
      <c r="L2068" s="61">
        <f>IF(K2068="JA",N(J2068),IF(E2068="","",0))</f>
        <v/>
      </c>
      <c r="M2068" s="62">
        <f>IF(AND(A2068="",E2068=""),"",IF(E2068="","Segment ontbreekt",IF(OR(G2068="",H2068=""),"Van/tot ontbreekt",IF(N(J2068)=0,"Duur is nul",IF(N(J2068)&gt;12,"Langer dan 12 uur - controleren",IF(AND(E2068="Werken",D2068=""),"Werken zonder klant - koppelen","OK"))))))</f>
        <v/>
      </c>
    </row>
    <row r="2069" ht="15" customHeight="1" s="42">
      <c r="A2069" s="55" t="n"/>
      <c r="B2069" s="56">
        <f>IF(A2069="","",WEEKNUM(A2069,21))</f>
        <v/>
      </c>
      <c r="C2069" s="57" t="n"/>
      <c r="D2069" s="57" t="n"/>
      <c r="E2069" s="58" t="n"/>
      <c r="F2069" s="57" t="n"/>
      <c r="G2069" s="59" t="n"/>
      <c r="H2069" s="59" t="n"/>
      <c r="I2069" s="60">
        <f>IF(OR(G2069="",H2069=""),"",MOD(H2069-G2069,1))</f>
        <v/>
      </c>
      <c r="J2069" s="61">
        <f>IF(OR(G2069="",H2069=""),"",ROUND(MOD(H2069-G2069,1)*24,2))</f>
        <v/>
      </c>
      <c r="K2069" s="62">
        <f>IF(E2069="","",IF(E2069="Werken","JA","NEE"))</f>
        <v/>
      </c>
      <c r="L2069" s="61">
        <f>IF(K2069="JA",N(J2069),IF(E2069="","",0))</f>
        <v/>
      </c>
      <c r="M2069" s="62">
        <f>IF(AND(A2069="",E2069=""),"",IF(E2069="","Segment ontbreekt",IF(OR(G2069="",H2069=""),"Van/tot ontbreekt",IF(N(J2069)=0,"Duur is nul",IF(N(J2069)&gt;12,"Langer dan 12 uur - controleren",IF(AND(E2069="Werken",D2069=""),"Werken zonder klant - koppelen","OK"))))))</f>
        <v/>
      </c>
    </row>
    <row r="2070" ht="15" customHeight="1" s="42">
      <c r="A2070" s="55" t="n"/>
      <c r="B2070" s="56">
        <f>IF(A2070="","",WEEKNUM(A2070,21))</f>
        <v/>
      </c>
      <c r="C2070" s="57" t="n"/>
      <c r="D2070" s="57" t="n"/>
      <c r="E2070" s="58" t="n"/>
      <c r="F2070" s="57" t="n"/>
      <c r="G2070" s="59" t="n"/>
      <c r="H2070" s="59" t="n"/>
      <c r="I2070" s="60">
        <f>IF(OR(G2070="",H2070=""),"",MOD(H2070-G2070,1))</f>
        <v/>
      </c>
      <c r="J2070" s="61">
        <f>IF(OR(G2070="",H2070=""),"",ROUND(MOD(H2070-G2070,1)*24,2))</f>
        <v/>
      </c>
      <c r="K2070" s="62">
        <f>IF(E2070="","",IF(E2070="Werken","JA","NEE"))</f>
        <v/>
      </c>
      <c r="L2070" s="61">
        <f>IF(K2070="JA",N(J2070),IF(E2070="","",0))</f>
        <v/>
      </c>
      <c r="M2070" s="62">
        <f>IF(AND(A2070="",E2070=""),"",IF(E2070="","Segment ontbreekt",IF(OR(G2070="",H2070=""),"Van/tot ontbreekt",IF(N(J2070)=0,"Duur is nul",IF(N(J2070)&gt;12,"Langer dan 12 uur - controleren",IF(AND(E2070="Werken",D2070=""),"Werken zonder klant - koppelen","OK"))))))</f>
        <v/>
      </c>
    </row>
    <row r="2071" ht="15" customHeight="1" s="42">
      <c r="A2071" s="55" t="n"/>
      <c r="B2071" s="56">
        <f>IF(A2071="","",WEEKNUM(A2071,21))</f>
        <v/>
      </c>
      <c r="C2071" s="57" t="n"/>
      <c r="D2071" s="57" t="n"/>
      <c r="E2071" s="58" t="n"/>
      <c r="F2071" s="57" t="n"/>
      <c r="G2071" s="59" t="n"/>
      <c r="H2071" s="59" t="n"/>
      <c r="I2071" s="60">
        <f>IF(OR(G2071="",H2071=""),"",MOD(H2071-G2071,1))</f>
        <v/>
      </c>
      <c r="J2071" s="61">
        <f>IF(OR(G2071="",H2071=""),"",ROUND(MOD(H2071-G2071,1)*24,2))</f>
        <v/>
      </c>
      <c r="K2071" s="62">
        <f>IF(E2071="","",IF(E2071="Werken","JA","NEE"))</f>
        <v/>
      </c>
      <c r="L2071" s="61">
        <f>IF(K2071="JA",N(J2071),IF(E2071="","",0))</f>
        <v/>
      </c>
      <c r="M2071" s="62">
        <f>IF(AND(A2071="",E2071=""),"",IF(E2071="","Segment ontbreekt",IF(OR(G2071="",H2071=""),"Van/tot ontbreekt",IF(N(J2071)=0,"Duur is nul",IF(N(J2071)&gt;12,"Langer dan 12 uur - controleren",IF(AND(E2071="Werken",D2071=""),"Werken zonder klant - koppelen","OK"))))))</f>
        <v/>
      </c>
    </row>
    <row r="2072" ht="15" customHeight="1" s="42">
      <c r="A2072" s="55" t="n"/>
      <c r="B2072" s="56">
        <f>IF(A2072="","",WEEKNUM(A2072,21))</f>
        <v/>
      </c>
      <c r="C2072" s="57" t="n"/>
      <c r="D2072" s="57" t="n"/>
      <c r="E2072" s="58" t="n"/>
      <c r="F2072" s="57" t="n"/>
      <c r="G2072" s="59" t="n"/>
      <c r="H2072" s="59" t="n"/>
      <c r="I2072" s="60">
        <f>IF(OR(G2072="",H2072=""),"",MOD(H2072-G2072,1))</f>
        <v/>
      </c>
      <c r="J2072" s="61">
        <f>IF(OR(G2072="",H2072=""),"",ROUND(MOD(H2072-G2072,1)*24,2))</f>
        <v/>
      </c>
      <c r="K2072" s="62">
        <f>IF(E2072="","",IF(E2072="Werken","JA","NEE"))</f>
        <v/>
      </c>
      <c r="L2072" s="61">
        <f>IF(K2072="JA",N(J2072),IF(E2072="","",0))</f>
        <v/>
      </c>
      <c r="M2072" s="62">
        <f>IF(AND(A2072="",E2072=""),"",IF(E2072="","Segment ontbreekt",IF(OR(G2072="",H2072=""),"Van/tot ontbreekt",IF(N(J2072)=0,"Duur is nul",IF(N(J2072)&gt;12,"Langer dan 12 uur - controleren",IF(AND(E2072="Werken",D2072=""),"Werken zonder klant - koppelen","OK"))))))</f>
        <v/>
      </c>
    </row>
    <row r="2073" ht="15" customHeight="1" s="42">
      <c r="A2073" s="55" t="n"/>
      <c r="B2073" s="56">
        <f>IF(A2073="","",WEEKNUM(A2073,21))</f>
        <v/>
      </c>
      <c r="C2073" s="57" t="n"/>
      <c r="D2073" s="57" t="n"/>
      <c r="E2073" s="58" t="n"/>
      <c r="F2073" s="57" t="n"/>
      <c r="G2073" s="59" t="n"/>
      <c r="H2073" s="59" t="n"/>
      <c r="I2073" s="60">
        <f>IF(OR(G2073="",H2073=""),"",MOD(H2073-G2073,1))</f>
        <v/>
      </c>
      <c r="J2073" s="61">
        <f>IF(OR(G2073="",H2073=""),"",ROUND(MOD(H2073-G2073,1)*24,2))</f>
        <v/>
      </c>
      <c r="K2073" s="62">
        <f>IF(E2073="","",IF(E2073="Werken","JA","NEE"))</f>
        <v/>
      </c>
      <c r="L2073" s="61">
        <f>IF(K2073="JA",N(J2073),IF(E2073="","",0))</f>
        <v/>
      </c>
      <c r="M2073" s="62">
        <f>IF(AND(A2073="",E2073=""),"",IF(E2073="","Segment ontbreekt",IF(OR(G2073="",H2073=""),"Van/tot ontbreekt",IF(N(J2073)=0,"Duur is nul",IF(N(J2073)&gt;12,"Langer dan 12 uur - controleren",IF(AND(E2073="Werken",D2073=""),"Werken zonder klant - koppelen","OK"))))))</f>
        <v/>
      </c>
    </row>
    <row r="2074" ht="15" customHeight="1" s="42">
      <c r="A2074" s="55" t="n"/>
      <c r="B2074" s="56">
        <f>IF(A2074="","",WEEKNUM(A2074,21))</f>
        <v/>
      </c>
      <c r="C2074" s="57" t="n"/>
      <c r="D2074" s="57" t="n"/>
      <c r="E2074" s="58" t="n"/>
      <c r="F2074" s="57" t="n"/>
      <c r="G2074" s="59" t="n"/>
      <c r="H2074" s="59" t="n"/>
      <c r="I2074" s="60">
        <f>IF(OR(G2074="",H2074=""),"",MOD(H2074-G2074,1))</f>
        <v/>
      </c>
      <c r="J2074" s="61">
        <f>IF(OR(G2074="",H2074=""),"",ROUND(MOD(H2074-G2074,1)*24,2))</f>
        <v/>
      </c>
      <c r="K2074" s="62">
        <f>IF(E2074="","",IF(E2074="Werken","JA","NEE"))</f>
        <v/>
      </c>
      <c r="L2074" s="61">
        <f>IF(K2074="JA",N(J2074),IF(E2074="","",0))</f>
        <v/>
      </c>
      <c r="M2074" s="62">
        <f>IF(AND(A2074="",E2074=""),"",IF(E2074="","Segment ontbreekt",IF(OR(G2074="",H2074=""),"Van/tot ontbreekt",IF(N(J2074)=0,"Duur is nul",IF(N(J2074)&gt;12,"Langer dan 12 uur - controleren",IF(AND(E2074="Werken",D2074=""),"Werken zonder klant - koppelen","OK"))))))</f>
        <v/>
      </c>
    </row>
    <row r="2075" ht="15" customHeight="1" s="42">
      <c r="A2075" s="55" t="n"/>
      <c r="B2075" s="56">
        <f>IF(A2075="","",WEEKNUM(A2075,21))</f>
        <v/>
      </c>
      <c r="C2075" s="57" t="n"/>
      <c r="D2075" s="57" t="n"/>
      <c r="E2075" s="58" t="n"/>
      <c r="F2075" s="57" t="n"/>
      <c r="G2075" s="59" t="n"/>
      <c r="H2075" s="59" t="n"/>
      <c r="I2075" s="60">
        <f>IF(OR(G2075="",H2075=""),"",MOD(H2075-G2075,1))</f>
        <v/>
      </c>
      <c r="J2075" s="61">
        <f>IF(OR(G2075="",H2075=""),"",ROUND(MOD(H2075-G2075,1)*24,2))</f>
        <v/>
      </c>
      <c r="K2075" s="62">
        <f>IF(E2075="","",IF(E2075="Werken","JA","NEE"))</f>
        <v/>
      </c>
      <c r="L2075" s="61">
        <f>IF(K2075="JA",N(J2075),IF(E2075="","",0))</f>
        <v/>
      </c>
      <c r="M2075" s="62">
        <f>IF(AND(A2075="",E2075=""),"",IF(E2075="","Segment ontbreekt",IF(OR(G2075="",H2075=""),"Van/tot ontbreekt",IF(N(J2075)=0,"Duur is nul",IF(N(J2075)&gt;12,"Langer dan 12 uur - controleren",IF(AND(E2075="Werken",D2075=""),"Werken zonder klant - koppelen","OK"))))))</f>
        <v/>
      </c>
    </row>
    <row r="2076" ht="15" customHeight="1" s="42">
      <c r="A2076" s="55" t="n"/>
      <c r="B2076" s="56">
        <f>IF(A2076="","",WEEKNUM(A2076,21))</f>
        <v/>
      </c>
      <c r="C2076" s="57" t="n"/>
      <c r="D2076" s="57" t="n"/>
      <c r="E2076" s="58" t="n"/>
      <c r="F2076" s="57" t="n"/>
      <c r="G2076" s="59" t="n"/>
      <c r="H2076" s="59" t="n"/>
      <c r="I2076" s="60">
        <f>IF(OR(G2076="",H2076=""),"",MOD(H2076-G2076,1))</f>
        <v/>
      </c>
      <c r="J2076" s="61">
        <f>IF(OR(G2076="",H2076=""),"",ROUND(MOD(H2076-G2076,1)*24,2))</f>
        <v/>
      </c>
      <c r="K2076" s="62">
        <f>IF(E2076="","",IF(E2076="Werken","JA","NEE"))</f>
        <v/>
      </c>
      <c r="L2076" s="61">
        <f>IF(K2076="JA",N(J2076),IF(E2076="","",0))</f>
        <v/>
      </c>
      <c r="M2076" s="62">
        <f>IF(AND(A2076="",E2076=""),"",IF(E2076="","Segment ontbreekt",IF(OR(G2076="",H2076=""),"Van/tot ontbreekt",IF(N(J2076)=0,"Duur is nul",IF(N(J2076)&gt;12,"Langer dan 12 uur - controleren",IF(AND(E2076="Werken",D2076=""),"Werken zonder klant - koppelen","OK"))))))</f>
        <v/>
      </c>
    </row>
    <row r="2077" ht="15" customHeight="1" s="42">
      <c r="A2077" s="55" t="n"/>
      <c r="B2077" s="56">
        <f>IF(A2077="","",WEEKNUM(A2077,21))</f>
        <v/>
      </c>
      <c r="C2077" s="57" t="n"/>
      <c r="D2077" s="57" t="n"/>
      <c r="E2077" s="58" t="n"/>
      <c r="F2077" s="57" t="n"/>
      <c r="G2077" s="59" t="n"/>
      <c r="H2077" s="59" t="n"/>
      <c r="I2077" s="60">
        <f>IF(OR(G2077="",H2077=""),"",MOD(H2077-G2077,1))</f>
        <v/>
      </c>
      <c r="J2077" s="61">
        <f>IF(OR(G2077="",H2077=""),"",ROUND(MOD(H2077-G2077,1)*24,2))</f>
        <v/>
      </c>
      <c r="K2077" s="62">
        <f>IF(E2077="","",IF(E2077="Werken","JA","NEE"))</f>
        <v/>
      </c>
      <c r="L2077" s="61">
        <f>IF(K2077="JA",N(J2077),IF(E2077="","",0))</f>
        <v/>
      </c>
      <c r="M2077" s="62">
        <f>IF(AND(A2077="",E2077=""),"",IF(E2077="","Segment ontbreekt",IF(OR(G2077="",H2077=""),"Van/tot ontbreekt",IF(N(J2077)=0,"Duur is nul",IF(N(J2077)&gt;12,"Langer dan 12 uur - controleren",IF(AND(E2077="Werken",D2077=""),"Werken zonder klant - koppelen","OK"))))))</f>
        <v/>
      </c>
    </row>
    <row r="2078" ht="15" customHeight="1" s="42">
      <c r="A2078" s="55" t="n"/>
      <c r="B2078" s="56">
        <f>IF(A2078="","",WEEKNUM(A2078,21))</f>
        <v/>
      </c>
      <c r="C2078" s="57" t="n"/>
      <c r="D2078" s="57" t="n"/>
      <c r="E2078" s="58" t="n"/>
      <c r="F2078" s="57" t="n"/>
      <c r="G2078" s="59" t="n"/>
      <c r="H2078" s="59" t="n"/>
      <c r="I2078" s="60">
        <f>IF(OR(G2078="",H2078=""),"",MOD(H2078-G2078,1))</f>
        <v/>
      </c>
      <c r="J2078" s="61">
        <f>IF(OR(G2078="",H2078=""),"",ROUND(MOD(H2078-G2078,1)*24,2))</f>
        <v/>
      </c>
      <c r="K2078" s="62">
        <f>IF(E2078="","",IF(E2078="Werken","JA","NEE"))</f>
        <v/>
      </c>
      <c r="L2078" s="61">
        <f>IF(K2078="JA",N(J2078),IF(E2078="","",0))</f>
        <v/>
      </c>
      <c r="M2078" s="62">
        <f>IF(AND(A2078="",E2078=""),"",IF(E2078="","Segment ontbreekt",IF(OR(G2078="",H2078=""),"Van/tot ontbreekt",IF(N(J2078)=0,"Duur is nul",IF(N(J2078)&gt;12,"Langer dan 12 uur - controleren",IF(AND(E2078="Werken",D2078=""),"Werken zonder klant - koppelen","OK"))))))</f>
        <v/>
      </c>
    </row>
    <row r="2079" ht="15" customHeight="1" s="42">
      <c r="A2079" s="55" t="n"/>
      <c r="B2079" s="56">
        <f>IF(A2079="","",WEEKNUM(A2079,21))</f>
        <v/>
      </c>
      <c r="C2079" s="57" t="n"/>
      <c r="D2079" s="57" t="n"/>
      <c r="E2079" s="58" t="n"/>
      <c r="F2079" s="57" t="n"/>
      <c r="G2079" s="59" t="n"/>
      <c r="H2079" s="59" t="n"/>
      <c r="I2079" s="60">
        <f>IF(OR(G2079="",H2079=""),"",MOD(H2079-G2079,1))</f>
        <v/>
      </c>
      <c r="J2079" s="61">
        <f>IF(OR(G2079="",H2079=""),"",ROUND(MOD(H2079-G2079,1)*24,2))</f>
        <v/>
      </c>
      <c r="K2079" s="62">
        <f>IF(E2079="","",IF(E2079="Werken","JA","NEE"))</f>
        <v/>
      </c>
      <c r="L2079" s="61">
        <f>IF(K2079="JA",N(J2079),IF(E2079="","",0))</f>
        <v/>
      </c>
      <c r="M2079" s="62">
        <f>IF(AND(A2079="",E2079=""),"",IF(E2079="","Segment ontbreekt",IF(OR(G2079="",H2079=""),"Van/tot ontbreekt",IF(N(J2079)=0,"Duur is nul",IF(N(J2079)&gt;12,"Langer dan 12 uur - controleren",IF(AND(E2079="Werken",D2079=""),"Werken zonder klant - koppelen","OK"))))))</f>
        <v/>
      </c>
    </row>
    <row r="2080" ht="15" customHeight="1" s="42">
      <c r="A2080" s="55" t="n"/>
      <c r="B2080" s="56">
        <f>IF(A2080="","",WEEKNUM(A2080,21))</f>
        <v/>
      </c>
      <c r="C2080" s="57" t="n"/>
      <c r="D2080" s="57" t="n"/>
      <c r="E2080" s="58" t="n"/>
      <c r="F2080" s="57" t="n"/>
      <c r="G2080" s="59" t="n"/>
      <c r="H2080" s="59" t="n"/>
      <c r="I2080" s="60">
        <f>IF(OR(G2080="",H2080=""),"",MOD(H2080-G2080,1))</f>
        <v/>
      </c>
      <c r="J2080" s="61">
        <f>IF(OR(G2080="",H2080=""),"",ROUND(MOD(H2080-G2080,1)*24,2))</f>
        <v/>
      </c>
      <c r="K2080" s="62">
        <f>IF(E2080="","",IF(E2080="Werken","JA","NEE"))</f>
        <v/>
      </c>
      <c r="L2080" s="61">
        <f>IF(K2080="JA",N(J2080),IF(E2080="","",0))</f>
        <v/>
      </c>
      <c r="M2080" s="62">
        <f>IF(AND(A2080="",E2080=""),"",IF(E2080="","Segment ontbreekt",IF(OR(G2080="",H2080=""),"Van/tot ontbreekt",IF(N(J2080)=0,"Duur is nul",IF(N(J2080)&gt;12,"Langer dan 12 uur - controleren",IF(AND(E2080="Werken",D2080=""),"Werken zonder klant - koppelen","OK"))))))</f>
        <v/>
      </c>
    </row>
    <row r="2081" ht="15" customHeight="1" s="42">
      <c r="A2081" s="55" t="n"/>
      <c r="B2081" s="56">
        <f>IF(A2081="","",WEEKNUM(A2081,21))</f>
        <v/>
      </c>
      <c r="C2081" s="57" t="n"/>
      <c r="D2081" s="57" t="n"/>
      <c r="E2081" s="58" t="n"/>
      <c r="F2081" s="57" t="n"/>
      <c r="G2081" s="59" t="n"/>
      <c r="H2081" s="59" t="n"/>
      <c r="I2081" s="60">
        <f>IF(OR(G2081="",H2081=""),"",MOD(H2081-G2081,1))</f>
        <v/>
      </c>
      <c r="J2081" s="61">
        <f>IF(OR(G2081="",H2081=""),"",ROUND(MOD(H2081-G2081,1)*24,2))</f>
        <v/>
      </c>
      <c r="K2081" s="62">
        <f>IF(E2081="","",IF(E2081="Werken","JA","NEE"))</f>
        <v/>
      </c>
      <c r="L2081" s="61">
        <f>IF(K2081="JA",N(J2081),IF(E2081="","",0))</f>
        <v/>
      </c>
      <c r="M2081" s="62">
        <f>IF(AND(A2081="",E2081=""),"",IF(E2081="","Segment ontbreekt",IF(OR(G2081="",H2081=""),"Van/tot ontbreekt",IF(N(J2081)=0,"Duur is nul",IF(N(J2081)&gt;12,"Langer dan 12 uur - controleren",IF(AND(E2081="Werken",D2081=""),"Werken zonder klant - koppelen","OK"))))))</f>
        <v/>
      </c>
    </row>
    <row r="2082" ht="15" customHeight="1" s="42">
      <c r="A2082" s="55" t="n"/>
      <c r="B2082" s="56">
        <f>IF(A2082="","",WEEKNUM(A2082,21))</f>
        <v/>
      </c>
      <c r="C2082" s="57" t="n"/>
      <c r="D2082" s="57" t="n"/>
      <c r="E2082" s="58" t="n"/>
      <c r="F2082" s="57" t="n"/>
      <c r="G2082" s="59" t="n"/>
      <c r="H2082" s="59" t="n"/>
      <c r="I2082" s="60">
        <f>IF(OR(G2082="",H2082=""),"",MOD(H2082-G2082,1))</f>
        <v/>
      </c>
      <c r="J2082" s="61">
        <f>IF(OR(G2082="",H2082=""),"",ROUND(MOD(H2082-G2082,1)*24,2))</f>
        <v/>
      </c>
      <c r="K2082" s="62">
        <f>IF(E2082="","",IF(E2082="Werken","JA","NEE"))</f>
        <v/>
      </c>
      <c r="L2082" s="61">
        <f>IF(K2082="JA",N(J2082),IF(E2082="","",0))</f>
        <v/>
      </c>
      <c r="M2082" s="62">
        <f>IF(AND(A2082="",E2082=""),"",IF(E2082="","Segment ontbreekt",IF(OR(G2082="",H2082=""),"Van/tot ontbreekt",IF(N(J2082)=0,"Duur is nul",IF(N(J2082)&gt;12,"Langer dan 12 uur - controleren",IF(AND(E2082="Werken",D2082=""),"Werken zonder klant - koppelen","OK"))))))</f>
        <v/>
      </c>
    </row>
    <row r="2083" ht="15" customHeight="1" s="42">
      <c r="A2083" s="55" t="n"/>
      <c r="B2083" s="56">
        <f>IF(A2083="","",WEEKNUM(A2083,21))</f>
        <v/>
      </c>
      <c r="C2083" s="57" t="n"/>
      <c r="D2083" s="57" t="n"/>
      <c r="E2083" s="58" t="n"/>
      <c r="F2083" s="57" t="n"/>
      <c r="G2083" s="59" t="n"/>
      <c r="H2083" s="59" t="n"/>
      <c r="I2083" s="60">
        <f>IF(OR(G2083="",H2083=""),"",MOD(H2083-G2083,1))</f>
        <v/>
      </c>
      <c r="J2083" s="61">
        <f>IF(OR(G2083="",H2083=""),"",ROUND(MOD(H2083-G2083,1)*24,2))</f>
        <v/>
      </c>
      <c r="K2083" s="62">
        <f>IF(E2083="","",IF(E2083="Werken","JA","NEE"))</f>
        <v/>
      </c>
      <c r="L2083" s="61">
        <f>IF(K2083="JA",N(J2083),IF(E2083="","",0))</f>
        <v/>
      </c>
      <c r="M2083" s="62">
        <f>IF(AND(A2083="",E2083=""),"",IF(E2083="","Segment ontbreekt",IF(OR(G2083="",H2083=""),"Van/tot ontbreekt",IF(N(J2083)=0,"Duur is nul",IF(N(J2083)&gt;12,"Langer dan 12 uur - controleren",IF(AND(E2083="Werken",D2083=""),"Werken zonder klant - koppelen","OK"))))))</f>
        <v/>
      </c>
    </row>
    <row r="2084" ht="15" customHeight="1" s="42">
      <c r="A2084" s="55" t="n"/>
      <c r="B2084" s="56">
        <f>IF(A2084="","",WEEKNUM(A2084,21))</f>
        <v/>
      </c>
      <c r="C2084" s="57" t="n"/>
      <c r="D2084" s="57" t="n"/>
      <c r="E2084" s="58" t="n"/>
      <c r="F2084" s="57" t="n"/>
      <c r="G2084" s="59" t="n"/>
      <c r="H2084" s="59" t="n"/>
      <c r="I2084" s="60">
        <f>IF(OR(G2084="",H2084=""),"",MOD(H2084-G2084,1))</f>
        <v/>
      </c>
      <c r="J2084" s="61">
        <f>IF(OR(G2084="",H2084=""),"",ROUND(MOD(H2084-G2084,1)*24,2))</f>
        <v/>
      </c>
      <c r="K2084" s="62">
        <f>IF(E2084="","",IF(E2084="Werken","JA","NEE"))</f>
        <v/>
      </c>
      <c r="L2084" s="61">
        <f>IF(K2084="JA",N(J2084),IF(E2084="","",0))</f>
        <v/>
      </c>
      <c r="M2084" s="62">
        <f>IF(AND(A2084="",E2084=""),"",IF(E2084="","Segment ontbreekt",IF(OR(G2084="",H2084=""),"Van/tot ontbreekt",IF(N(J2084)=0,"Duur is nul",IF(N(J2084)&gt;12,"Langer dan 12 uur - controleren",IF(AND(E2084="Werken",D2084=""),"Werken zonder klant - koppelen","OK"))))))</f>
        <v/>
      </c>
    </row>
    <row r="2085" ht="15" customHeight="1" s="42">
      <c r="A2085" s="55" t="n"/>
      <c r="B2085" s="56">
        <f>IF(A2085="","",WEEKNUM(A2085,21))</f>
        <v/>
      </c>
      <c r="C2085" s="57" t="n"/>
      <c r="D2085" s="57" t="n"/>
      <c r="E2085" s="58" t="n"/>
      <c r="F2085" s="57" t="n"/>
      <c r="G2085" s="59" t="n"/>
      <c r="H2085" s="59" t="n"/>
      <c r="I2085" s="60">
        <f>IF(OR(G2085="",H2085=""),"",MOD(H2085-G2085,1))</f>
        <v/>
      </c>
      <c r="J2085" s="61">
        <f>IF(OR(G2085="",H2085=""),"",ROUND(MOD(H2085-G2085,1)*24,2))</f>
        <v/>
      </c>
      <c r="K2085" s="62">
        <f>IF(E2085="","",IF(E2085="Werken","JA","NEE"))</f>
        <v/>
      </c>
      <c r="L2085" s="61">
        <f>IF(K2085="JA",N(J2085),IF(E2085="","",0))</f>
        <v/>
      </c>
      <c r="M2085" s="62">
        <f>IF(AND(A2085="",E2085=""),"",IF(E2085="","Segment ontbreekt",IF(OR(G2085="",H2085=""),"Van/tot ontbreekt",IF(N(J2085)=0,"Duur is nul",IF(N(J2085)&gt;12,"Langer dan 12 uur - controleren",IF(AND(E2085="Werken",D2085=""),"Werken zonder klant - koppelen","OK"))))))</f>
        <v/>
      </c>
    </row>
    <row r="2086" ht="15" customHeight="1" s="42">
      <c r="A2086" s="55" t="n"/>
      <c r="B2086" s="56">
        <f>IF(A2086="","",WEEKNUM(A2086,21))</f>
        <v/>
      </c>
      <c r="C2086" s="57" t="n"/>
      <c r="D2086" s="57" t="n"/>
      <c r="E2086" s="58" t="n"/>
      <c r="F2086" s="57" t="n"/>
      <c r="G2086" s="59" t="n"/>
      <c r="H2086" s="59" t="n"/>
      <c r="I2086" s="60">
        <f>IF(OR(G2086="",H2086=""),"",MOD(H2086-G2086,1))</f>
        <v/>
      </c>
      <c r="J2086" s="61">
        <f>IF(OR(G2086="",H2086=""),"",ROUND(MOD(H2086-G2086,1)*24,2))</f>
        <v/>
      </c>
      <c r="K2086" s="62">
        <f>IF(E2086="","",IF(E2086="Werken","JA","NEE"))</f>
        <v/>
      </c>
      <c r="L2086" s="61">
        <f>IF(K2086="JA",N(J2086),IF(E2086="","",0))</f>
        <v/>
      </c>
      <c r="M2086" s="62">
        <f>IF(AND(A2086="",E2086=""),"",IF(E2086="","Segment ontbreekt",IF(OR(G2086="",H2086=""),"Van/tot ontbreekt",IF(N(J2086)=0,"Duur is nul",IF(N(J2086)&gt;12,"Langer dan 12 uur - controleren",IF(AND(E2086="Werken",D2086=""),"Werken zonder klant - koppelen","OK"))))))</f>
        <v/>
      </c>
    </row>
    <row r="2087" ht="15" customHeight="1" s="42">
      <c r="A2087" s="55" t="n"/>
      <c r="B2087" s="56">
        <f>IF(A2087="","",WEEKNUM(A2087,21))</f>
        <v/>
      </c>
      <c r="C2087" s="57" t="n"/>
      <c r="D2087" s="57" t="n"/>
      <c r="E2087" s="58" t="n"/>
      <c r="F2087" s="57" t="n"/>
      <c r="G2087" s="59" t="n"/>
      <c r="H2087" s="59" t="n"/>
      <c r="I2087" s="60">
        <f>IF(OR(G2087="",H2087=""),"",MOD(H2087-G2087,1))</f>
        <v/>
      </c>
      <c r="J2087" s="61">
        <f>IF(OR(G2087="",H2087=""),"",ROUND(MOD(H2087-G2087,1)*24,2))</f>
        <v/>
      </c>
      <c r="K2087" s="62">
        <f>IF(E2087="","",IF(E2087="Werken","JA","NEE"))</f>
        <v/>
      </c>
      <c r="L2087" s="61">
        <f>IF(K2087="JA",N(J2087),IF(E2087="","",0))</f>
        <v/>
      </c>
      <c r="M2087" s="62">
        <f>IF(AND(A2087="",E2087=""),"",IF(E2087="","Segment ontbreekt",IF(OR(G2087="",H2087=""),"Van/tot ontbreekt",IF(N(J2087)=0,"Duur is nul",IF(N(J2087)&gt;12,"Langer dan 12 uur - controleren",IF(AND(E2087="Werken",D2087=""),"Werken zonder klant - koppelen","OK"))))))</f>
        <v/>
      </c>
    </row>
    <row r="2088" ht="15" customHeight="1" s="42">
      <c r="A2088" s="55" t="n"/>
      <c r="B2088" s="56">
        <f>IF(A2088="","",WEEKNUM(A2088,21))</f>
        <v/>
      </c>
      <c r="C2088" s="57" t="n"/>
      <c r="D2088" s="57" t="n"/>
      <c r="E2088" s="58" t="n"/>
      <c r="F2088" s="57" t="n"/>
      <c r="G2088" s="59" t="n"/>
      <c r="H2088" s="59" t="n"/>
      <c r="I2088" s="60">
        <f>IF(OR(G2088="",H2088=""),"",MOD(H2088-G2088,1))</f>
        <v/>
      </c>
      <c r="J2088" s="61">
        <f>IF(OR(G2088="",H2088=""),"",ROUND(MOD(H2088-G2088,1)*24,2))</f>
        <v/>
      </c>
      <c r="K2088" s="62">
        <f>IF(E2088="","",IF(E2088="Werken","JA","NEE"))</f>
        <v/>
      </c>
      <c r="L2088" s="61">
        <f>IF(K2088="JA",N(J2088),IF(E2088="","",0))</f>
        <v/>
      </c>
      <c r="M2088" s="62">
        <f>IF(AND(A2088="",E2088=""),"",IF(E2088="","Segment ontbreekt",IF(OR(G2088="",H2088=""),"Van/tot ontbreekt",IF(N(J2088)=0,"Duur is nul",IF(N(J2088)&gt;12,"Langer dan 12 uur - controleren",IF(AND(E2088="Werken",D2088=""),"Werken zonder klant - koppelen","OK"))))))</f>
        <v/>
      </c>
    </row>
    <row r="2089" ht="15" customHeight="1" s="42">
      <c r="A2089" s="55" t="n"/>
      <c r="B2089" s="56">
        <f>IF(A2089="","",WEEKNUM(A2089,21))</f>
        <v/>
      </c>
      <c r="C2089" s="57" t="n"/>
      <c r="D2089" s="57" t="n"/>
      <c r="E2089" s="58" t="n"/>
      <c r="F2089" s="57" t="n"/>
      <c r="G2089" s="59" t="n"/>
      <c r="H2089" s="59" t="n"/>
      <c r="I2089" s="60">
        <f>IF(OR(G2089="",H2089=""),"",MOD(H2089-G2089,1))</f>
        <v/>
      </c>
      <c r="J2089" s="61">
        <f>IF(OR(G2089="",H2089=""),"",ROUND(MOD(H2089-G2089,1)*24,2))</f>
        <v/>
      </c>
      <c r="K2089" s="62">
        <f>IF(E2089="","",IF(E2089="Werken","JA","NEE"))</f>
        <v/>
      </c>
      <c r="L2089" s="61">
        <f>IF(K2089="JA",N(J2089),IF(E2089="","",0))</f>
        <v/>
      </c>
      <c r="M2089" s="62">
        <f>IF(AND(A2089="",E2089=""),"",IF(E2089="","Segment ontbreekt",IF(OR(G2089="",H2089=""),"Van/tot ontbreekt",IF(N(J2089)=0,"Duur is nul",IF(N(J2089)&gt;12,"Langer dan 12 uur - controleren",IF(AND(E2089="Werken",D2089=""),"Werken zonder klant - koppelen","OK"))))))</f>
        <v/>
      </c>
    </row>
    <row r="2090" ht="15" customHeight="1" s="42">
      <c r="A2090" s="55" t="n"/>
      <c r="B2090" s="56">
        <f>IF(A2090="","",WEEKNUM(A2090,21))</f>
        <v/>
      </c>
      <c r="C2090" s="57" t="n"/>
      <c r="D2090" s="57" t="n"/>
      <c r="E2090" s="58" t="n"/>
      <c r="F2090" s="57" t="n"/>
      <c r="G2090" s="59" t="n"/>
      <c r="H2090" s="59" t="n"/>
      <c r="I2090" s="60">
        <f>IF(OR(G2090="",H2090=""),"",MOD(H2090-G2090,1))</f>
        <v/>
      </c>
      <c r="J2090" s="61">
        <f>IF(OR(G2090="",H2090=""),"",ROUND(MOD(H2090-G2090,1)*24,2))</f>
        <v/>
      </c>
      <c r="K2090" s="62">
        <f>IF(E2090="","",IF(E2090="Werken","JA","NEE"))</f>
        <v/>
      </c>
      <c r="L2090" s="61">
        <f>IF(K2090="JA",N(J2090),IF(E2090="","",0))</f>
        <v/>
      </c>
      <c r="M2090" s="62">
        <f>IF(AND(A2090="",E2090=""),"",IF(E2090="","Segment ontbreekt",IF(OR(G2090="",H2090=""),"Van/tot ontbreekt",IF(N(J2090)=0,"Duur is nul",IF(N(J2090)&gt;12,"Langer dan 12 uur - controleren",IF(AND(E2090="Werken",D2090=""),"Werken zonder klant - koppelen","OK"))))))</f>
        <v/>
      </c>
    </row>
    <row r="2091" ht="15" customHeight="1" s="42">
      <c r="A2091" s="55" t="n"/>
      <c r="B2091" s="56">
        <f>IF(A2091="","",WEEKNUM(A2091,21))</f>
        <v/>
      </c>
      <c r="C2091" s="57" t="n"/>
      <c r="D2091" s="57" t="n"/>
      <c r="E2091" s="58" t="n"/>
      <c r="F2091" s="57" t="n"/>
      <c r="G2091" s="59" t="n"/>
      <c r="H2091" s="59" t="n"/>
      <c r="I2091" s="60">
        <f>IF(OR(G2091="",H2091=""),"",MOD(H2091-G2091,1))</f>
        <v/>
      </c>
      <c r="J2091" s="61">
        <f>IF(OR(G2091="",H2091=""),"",ROUND(MOD(H2091-G2091,1)*24,2))</f>
        <v/>
      </c>
      <c r="K2091" s="62">
        <f>IF(E2091="","",IF(E2091="Werken","JA","NEE"))</f>
        <v/>
      </c>
      <c r="L2091" s="61">
        <f>IF(K2091="JA",N(J2091),IF(E2091="","",0))</f>
        <v/>
      </c>
      <c r="M2091" s="62">
        <f>IF(AND(A2091="",E2091=""),"",IF(E2091="","Segment ontbreekt",IF(OR(G2091="",H2091=""),"Van/tot ontbreekt",IF(N(J2091)=0,"Duur is nul",IF(N(J2091)&gt;12,"Langer dan 12 uur - controleren",IF(AND(E2091="Werken",D2091=""),"Werken zonder klant - koppelen","OK"))))))</f>
        <v/>
      </c>
    </row>
    <row r="2092" ht="15" customHeight="1" s="42">
      <c r="A2092" s="55" t="n"/>
      <c r="B2092" s="56">
        <f>IF(A2092="","",WEEKNUM(A2092,21))</f>
        <v/>
      </c>
      <c r="C2092" s="57" t="n"/>
      <c r="D2092" s="57" t="n"/>
      <c r="E2092" s="58" t="n"/>
      <c r="F2092" s="57" t="n"/>
      <c r="G2092" s="59" t="n"/>
      <c r="H2092" s="59" t="n"/>
      <c r="I2092" s="60">
        <f>IF(OR(G2092="",H2092=""),"",MOD(H2092-G2092,1))</f>
        <v/>
      </c>
      <c r="J2092" s="61">
        <f>IF(OR(G2092="",H2092=""),"",ROUND(MOD(H2092-G2092,1)*24,2))</f>
        <v/>
      </c>
      <c r="K2092" s="62">
        <f>IF(E2092="","",IF(E2092="Werken","JA","NEE"))</f>
        <v/>
      </c>
      <c r="L2092" s="61">
        <f>IF(K2092="JA",N(J2092),IF(E2092="","",0))</f>
        <v/>
      </c>
      <c r="M2092" s="62">
        <f>IF(AND(A2092="",E2092=""),"",IF(E2092="","Segment ontbreekt",IF(OR(G2092="",H2092=""),"Van/tot ontbreekt",IF(N(J2092)=0,"Duur is nul",IF(N(J2092)&gt;12,"Langer dan 12 uur - controleren",IF(AND(E2092="Werken",D2092=""),"Werken zonder klant - koppelen","OK"))))))</f>
        <v/>
      </c>
    </row>
    <row r="2093" ht="15" customHeight="1" s="42">
      <c r="A2093" s="55" t="n"/>
      <c r="B2093" s="56">
        <f>IF(A2093="","",WEEKNUM(A2093,21))</f>
        <v/>
      </c>
      <c r="C2093" s="57" t="n"/>
      <c r="D2093" s="57" t="n"/>
      <c r="E2093" s="58" t="n"/>
      <c r="F2093" s="57" t="n"/>
      <c r="G2093" s="59" t="n"/>
      <c r="H2093" s="59" t="n"/>
      <c r="I2093" s="60">
        <f>IF(OR(G2093="",H2093=""),"",MOD(H2093-G2093,1))</f>
        <v/>
      </c>
      <c r="J2093" s="61">
        <f>IF(OR(G2093="",H2093=""),"",ROUND(MOD(H2093-G2093,1)*24,2))</f>
        <v/>
      </c>
      <c r="K2093" s="62">
        <f>IF(E2093="","",IF(E2093="Werken","JA","NEE"))</f>
        <v/>
      </c>
      <c r="L2093" s="61">
        <f>IF(K2093="JA",N(J2093),IF(E2093="","",0))</f>
        <v/>
      </c>
      <c r="M2093" s="62">
        <f>IF(AND(A2093="",E2093=""),"",IF(E2093="","Segment ontbreekt",IF(OR(G2093="",H2093=""),"Van/tot ontbreekt",IF(N(J2093)=0,"Duur is nul",IF(N(J2093)&gt;12,"Langer dan 12 uur - controleren",IF(AND(E2093="Werken",D2093=""),"Werken zonder klant - koppelen","OK"))))))</f>
        <v/>
      </c>
    </row>
    <row r="2094" ht="15" customHeight="1" s="42">
      <c r="A2094" s="55" t="n"/>
      <c r="B2094" s="56">
        <f>IF(A2094="","",WEEKNUM(A2094,21))</f>
        <v/>
      </c>
      <c r="C2094" s="57" t="n"/>
      <c r="D2094" s="57" t="n"/>
      <c r="E2094" s="58" t="n"/>
      <c r="F2094" s="57" t="n"/>
      <c r="G2094" s="59" t="n"/>
      <c r="H2094" s="59" t="n"/>
      <c r="I2094" s="60">
        <f>IF(OR(G2094="",H2094=""),"",MOD(H2094-G2094,1))</f>
        <v/>
      </c>
      <c r="J2094" s="61">
        <f>IF(OR(G2094="",H2094=""),"",ROUND(MOD(H2094-G2094,1)*24,2))</f>
        <v/>
      </c>
      <c r="K2094" s="62">
        <f>IF(E2094="","",IF(E2094="Werken","JA","NEE"))</f>
        <v/>
      </c>
      <c r="L2094" s="61">
        <f>IF(K2094="JA",N(J2094),IF(E2094="","",0))</f>
        <v/>
      </c>
      <c r="M2094" s="62">
        <f>IF(AND(A2094="",E2094=""),"",IF(E2094="","Segment ontbreekt",IF(OR(G2094="",H2094=""),"Van/tot ontbreekt",IF(N(J2094)=0,"Duur is nul",IF(N(J2094)&gt;12,"Langer dan 12 uur - controleren",IF(AND(E2094="Werken",D2094=""),"Werken zonder klant - koppelen","OK"))))))</f>
        <v/>
      </c>
    </row>
    <row r="2095" ht="15" customHeight="1" s="42">
      <c r="A2095" s="55" t="n"/>
      <c r="B2095" s="56">
        <f>IF(A2095="","",WEEKNUM(A2095,21))</f>
        <v/>
      </c>
      <c r="C2095" s="57" t="n"/>
      <c r="D2095" s="57" t="n"/>
      <c r="E2095" s="58" t="n"/>
      <c r="F2095" s="57" t="n"/>
      <c r="G2095" s="59" t="n"/>
      <c r="H2095" s="59" t="n"/>
      <c r="I2095" s="60">
        <f>IF(OR(G2095="",H2095=""),"",MOD(H2095-G2095,1))</f>
        <v/>
      </c>
      <c r="J2095" s="61">
        <f>IF(OR(G2095="",H2095=""),"",ROUND(MOD(H2095-G2095,1)*24,2))</f>
        <v/>
      </c>
      <c r="K2095" s="62">
        <f>IF(E2095="","",IF(E2095="Werken","JA","NEE"))</f>
        <v/>
      </c>
      <c r="L2095" s="61">
        <f>IF(K2095="JA",N(J2095),IF(E2095="","",0))</f>
        <v/>
      </c>
      <c r="M2095" s="62">
        <f>IF(AND(A2095="",E2095=""),"",IF(E2095="","Segment ontbreekt",IF(OR(G2095="",H2095=""),"Van/tot ontbreekt",IF(N(J2095)=0,"Duur is nul",IF(N(J2095)&gt;12,"Langer dan 12 uur - controleren",IF(AND(E2095="Werken",D2095=""),"Werken zonder klant - koppelen","OK"))))))</f>
        <v/>
      </c>
    </row>
    <row r="2096" ht="15" customHeight="1" s="42">
      <c r="A2096" s="55" t="n"/>
      <c r="B2096" s="56">
        <f>IF(A2096="","",WEEKNUM(A2096,21))</f>
        <v/>
      </c>
      <c r="C2096" s="57" t="n"/>
      <c r="D2096" s="57" t="n"/>
      <c r="E2096" s="58" t="n"/>
      <c r="F2096" s="57" t="n"/>
      <c r="G2096" s="59" t="n"/>
      <c r="H2096" s="59" t="n"/>
      <c r="I2096" s="60">
        <f>IF(OR(G2096="",H2096=""),"",MOD(H2096-G2096,1))</f>
        <v/>
      </c>
      <c r="J2096" s="61">
        <f>IF(OR(G2096="",H2096=""),"",ROUND(MOD(H2096-G2096,1)*24,2))</f>
        <v/>
      </c>
      <c r="K2096" s="62">
        <f>IF(E2096="","",IF(E2096="Werken","JA","NEE"))</f>
        <v/>
      </c>
      <c r="L2096" s="61">
        <f>IF(K2096="JA",N(J2096),IF(E2096="","",0))</f>
        <v/>
      </c>
      <c r="M2096" s="62">
        <f>IF(AND(A2096="",E2096=""),"",IF(E2096="","Segment ontbreekt",IF(OR(G2096="",H2096=""),"Van/tot ontbreekt",IF(N(J2096)=0,"Duur is nul",IF(N(J2096)&gt;12,"Langer dan 12 uur - controleren",IF(AND(E2096="Werken",D2096=""),"Werken zonder klant - koppelen","OK"))))))</f>
        <v/>
      </c>
    </row>
    <row r="2097" ht="15" customHeight="1" s="42">
      <c r="A2097" s="55" t="n"/>
      <c r="B2097" s="56">
        <f>IF(A2097="","",WEEKNUM(A2097,21))</f>
        <v/>
      </c>
      <c r="C2097" s="57" t="n"/>
      <c r="D2097" s="57" t="n"/>
      <c r="E2097" s="58" t="n"/>
      <c r="F2097" s="57" t="n"/>
      <c r="G2097" s="59" t="n"/>
      <c r="H2097" s="59" t="n"/>
      <c r="I2097" s="60">
        <f>IF(OR(G2097="",H2097=""),"",MOD(H2097-G2097,1))</f>
        <v/>
      </c>
      <c r="J2097" s="61">
        <f>IF(OR(G2097="",H2097=""),"",ROUND(MOD(H2097-G2097,1)*24,2))</f>
        <v/>
      </c>
      <c r="K2097" s="62">
        <f>IF(E2097="","",IF(E2097="Werken","JA","NEE"))</f>
        <v/>
      </c>
      <c r="L2097" s="61">
        <f>IF(K2097="JA",N(J2097),IF(E2097="","",0))</f>
        <v/>
      </c>
      <c r="M2097" s="62">
        <f>IF(AND(A2097="",E2097=""),"",IF(E2097="","Segment ontbreekt",IF(OR(G2097="",H2097=""),"Van/tot ontbreekt",IF(N(J2097)=0,"Duur is nul",IF(N(J2097)&gt;12,"Langer dan 12 uur - controleren",IF(AND(E2097="Werken",D2097=""),"Werken zonder klant - koppelen","OK"))))))</f>
        <v/>
      </c>
    </row>
    <row r="2098" ht="15" customHeight="1" s="42">
      <c r="A2098" s="55" t="n"/>
      <c r="B2098" s="56">
        <f>IF(A2098="","",WEEKNUM(A2098,21))</f>
        <v/>
      </c>
      <c r="C2098" s="57" t="n"/>
      <c r="D2098" s="57" t="n"/>
      <c r="E2098" s="58" t="n"/>
      <c r="F2098" s="57" t="n"/>
      <c r="G2098" s="59" t="n"/>
      <c r="H2098" s="59" t="n"/>
      <c r="I2098" s="60">
        <f>IF(OR(G2098="",H2098=""),"",MOD(H2098-G2098,1))</f>
        <v/>
      </c>
      <c r="J2098" s="61">
        <f>IF(OR(G2098="",H2098=""),"",ROUND(MOD(H2098-G2098,1)*24,2))</f>
        <v/>
      </c>
      <c r="K2098" s="62">
        <f>IF(E2098="","",IF(E2098="Werken","JA","NEE"))</f>
        <v/>
      </c>
      <c r="L2098" s="61">
        <f>IF(K2098="JA",N(J2098),IF(E2098="","",0))</f>
        <v/>
      </c>
      <c r="M2098" s="62">
        <f>IF(AND(A2098="",E2098=""),"",IF(E2098="","Segment ontbreekt",IF(OR(G2098="",H2098=""),"Van/tot ontbreekt",IF(N(J2098)=0,"Duur is nul",IF(N(J2098)&gt;12,"Langer dan 12 uur - controleren",IF(AND(E2098="Werken",D2098=""),"Werken zonder klant - koppelen","OK"))))))</f>
        <v/>
      </c>
    </row>
    <row r="2099" ht="15" customHeight="1" s="42">
      <c r="A2099" s="55" t="n"/>
      <c r="B2099" s="56">
        <f>IF(A2099="","",WEEKNUM(A2099,21))</f>
        <v/>
      </c>
      <c r="C2099" s="57" t="n"/>
      <c r="D2099" s="57" t="n"/>
      <c r="E2099" s="58" t="n"/>
      <c r="F2099" s="57" t="n"/>
      <c r="G2099" s="59" t="n"/>
      <c r="H2099" s="59" t="n"/>
      <c r="I2099" s="60">
        <f>IF(OR(G2099="",H2099=""),"",MOD(H2099-G2099,1))</f>
        <v/>
      </c>
      <c r="J2099" s="61">
        <f>IF(OR(G2099="",H2099=""),"",ROUND(MOD(H2099-G2099,1)*24,2))</f>
        <v/>
      </c>
      <c r="K2099" s="62">
        <f>IF(E2099="","",IF(E2099="Werken","JA","NEE"))</f>
        <v/>
      </c>
      <c r="L2099" s="61">
        <f>IF(K2099="JA",N(J2099),IF(E2099="","",0))</f>
        <v/>
      </c>
      <c r="M2099" s="62">
        <f>IF(AND(A2099="",E2099=""),"",IF(E2099="","Segment ontbreekt",IF(OR(G2099="",H2099=""),"Van/tot ontbreekt",IF(N(J2099)=0,"Duur is nul",IF(N(J2099)&gt;12,"Langer dan 12 uur - controleren",IF(AND(E2099="Werken",D2099=""),"Werken zonder klant - koppelen","OK"))))))</f>
        <v/>
      </c>
    </row>
    <row r="2100" ht="15" customHeight="1" s="42">
      <c r="A2100" s="55" t="n"/>
      <c r="B2100" s="56">
        <f>IF(A2100="","",WEEKNUM(A2100,21))</f>
        <v/>
      </c>
      <c r="C2100" s="57" t="n"/>
      <c r="D2100" s="57" t="n"/>
      <c r="E2100" s="58" t="n"/>
      <c r="F2100" s="57" t="n"/>
      <c r="G2100" s="59" t="n"/>
      <c r="H2100" s="59" t="n"/>
      <c r="I2100" s="60">
        <f>IF(OR(G2100="",H2100=""),"",MOD(H2100-G2100,1))</f>
        <v/>
      </c>
      <c r="J2100" s="61">
        <f>IF(OR(G2100="",H2100=""),"",ROUND(MOD(H2100-G2100,1)*24,2))</f>
        <v/>
      </c>
      <c r="K2100" s="62">
        <f>IF(E2100="","",IF(E2100="Werken","JA","NEE"))</f>
        <v/>
      </c>
      <c r="L2100" s="61">
        <f>IF(K2100="JA",N(J2100),IF(E2100="","",0))</f>
        <v/>
      </c>
      <c r="M2100" s="62">
        <f>IF(AND(A2100="",E2100=""),"",IF(E2100="","Segment ontbreekt",IF(OR(G2100="",H2100=""),"Van/tot ontbreekt",IF(N(J2100)=0,"Duur is nul",IF(N(J2100)&gt;12,"Langer dan 12 uur - controleren",IF(AND(E2100="Werken",D2100=""),"Werken zonder klant - koppelen","OK"))))))</f>
        <v/>
      </c>
    </row>
    <row r="2101" ht="15" customHeight="1" s="42">
      <c r="A2101" s="55" t="n"/>
      <c r="B2101" s="56">
        <f>IF(A2101="","",WEEKNUM(A2101,21))</f>
        <v/>
      </c>
      <c r="C2101" s="57" t="n"/>
      <c r="D2101" s="57" t="n"/>
      <c r="E2101" s="58" t="n"/>
      <c r="F2101" s="57" t="n"/>
      <c r="G2101" s="59" t="n"/>
      <c r="H2101" s="59" t="n"/>
      <c r="I2101" s="60">
        <f>IF(OR(G2101="",H2101=""),"",MOD(H2101-G2101,1))</f>
        <v/>
      </c>
      <c r="J2101" s="61">
        <f>IF(OR(G2101="",H2101=""),"",ROUND(MOD(H2101-G2101,1)*24,2))</f>
        <v/>
      </c>
      <c r="K2101" s="62">
        <f>IF(E2101="","",IF(E2101="Werken","JA","NEE"))</f>
        <v/>
      </c>
      <c r="L2101" s="61">
        <f>IF(K2101="JA",N(J2101),IF(E2101="","",0))</f>
        <v/>
      </c>
      <c r="M2101" s="62">
        <f>IF(AND(A2101="",E2101=""),"",IF(E2101="","Segment ontbreekt",IF(OR(G2101="",H2101=""),"Van/tot ontbreekt",IF(N(J2101)=0,"Duur is nul",IF(N(J2101)&gt;12,"Langer dan 12 uur - controleren",IF(AND(E2101="Werken",D2101=""),"Werken zonder klant - koppelen","OK"))))))</f>
        <v/>
      </c>
    </row>
    <row r="2102" ht="15" customHeight="1" s="42">
      <c r="A2102" s="55" t="n"/>
      <c r="B2102" s="56">
        <f>IF(A2102="","",WEEKNUM(A2102,21))</f>
        <v/>
      </c>
      <c r="C2102" s="57" t="n"/>
      <c r="D2102" s="57" t="n"/>
      <c r="E2102" s="58" t="n"/>
      <c r="F2102" s="57" t="n"/>
      <c r="G2102" s="59" t="n"/>
      <c r="H2102" s="59" t="n"/>
      <c r="I2102" s="60">
        <f>IF(OR(G2102="",H2102=""),"",MOD(H2102-G2102,1))</f>
        <v/>
      </c>
      <c r="J2102" s="61">
        <f>IF(OR(G2102="",H2102=""),"",ROUND(MOD(H2102-G2102,1)*24,2))</f>
        <v/>
      </c>
      <c r="K2102" s="62">
        <f>IF(E2102="","",IF(E2102="Werken","JA","NEE"))</f>
        <v/>
      </c>
      <c r="L2102" s="61">
        <f>IF(K2102="JA",N(J2102),IF(E2102="","",0))</f>
        <v/>
      </c>
      <c r="M2102" s="62">
        <f>IF(AND(A2102="",E2102=""),"",IF(E2102="","Segment ontbreekt",IF(OR(G2102="",H2102=""),"Van/tot ontbreekt",IF(N(J2102)=0,"Duur is nul",IF(N(J2102)&gt;12,"Langer dan 12 uur - controleren",IF(AND(E2102="Werken",D2102=""),"Werken zonder klant - koppelen","OK"))))))</f>
        <v/>
      </c>
    </row>
    <row r="2103" ht="15" customHeight="1" s="42">
      <c r="A2103" s="55" t="n"/>
      <c r="B2103" s="56">
        <f>IF(A2103="","",WEEKNUM(A2103,21))</f>
        <v/>
      </c>
      <c r="C2103" s="57" t="n"/>
      <c r="D2103" s="57" t="n"/>
      <c r="E2103" s="58" t="n"/>
      <c r="F2103" s="57" t="n"/>
      <c r="G2103" s="59" t="n"/>
      <c r="H2103" s="59" t="n"/>
      <c r="I2103" s="60">
        <f>IF(OR(G2103="",H2103=""),"",MOD(H2103-G2103,1))</f>
        <v/>
      </c>
      <c r="J2103" s="61">
        <f>IF(OR(G2103="",H2103=""),"",ROUND(MOD(H2103-G2103,1)*24,2))</f>
        <v/>
      </c>
      <c r="K2103" s="62">
        <f>IF(E2103="","",IF(E2103="Werken","JA","NEE"))</f>
        <v/>
      </c>
      <c r="L2103" s="61">
        <f>IF(K2103="JA",N(J2103),IF(E2103="","",0))</f>
        <v/>
      </c>
      <c r="M2103" s="62">
        <f>IF(AND(A2103="",E2103=""),"",IF(E2103="","Segment ontbreekt",IF(OR(G2103="",H2103=""),"Van/tot ontbreekt",IF(N(J2103)=0,"Duur is nul",IF(N(J2103)&gt;12,"Langer dan 12 uur - controleren",IF(AND(E2103="Werken",D2103=""),"Werken zonder klant - koppelen","OK"))))))</f>
        <v/>
      </c>
    </row>
    <row r="2104" ht="15" customHeight="1" s="42">
      <c r="A2104" s="55" t="n"/>
      <c r="B2104" s="56">
        <f>IF(A2104="","",WEEKNUM(A2104,21))</f>
        <v/>
      </c>
      <c r="C2104" s="57" t="n"/>
      <c r="D2104" s="57" t="n"/>
      <c r="E2104" s="58" t="n"/>
      <c r="F2104" s="57" t="n"/>
      <c r="G2104" s="59" t="n"/>
      <c r="H2104" s="59" t="n"/>
      <c r="I2104" s="60">
        <f>IF(OR(G2104="",H2104=""),"",MOD(H2104-G2104,1))</f>
        <v/>
      </c>
      <c r="J2104" s="61">
        <f>IF(OR(G2104="",H2104=""),"",ROUND(MOD(H2104-G2104,1)*24,2))</f>
        <v/>
      </c>
      <c r="K2104" s="62">
        <f>IF(E2104="","",IF(E2104="Werken","JA","NEE"))</f>
        <v/>
      </c>
      <c r="L2104" s="61">
        <f>IF(K2104="JA",N(J2104),IF(E2104="","",0))</f>
        <v/>
      </c>
      <c r="M2104" s="62">
        <f>IF(AND(A2104="",E2104=""),"",IF(E2104="","Segment ontbreekt",IF(OR(G2104="",H2104=""),"Van/tot ontbreekt",IF(N(J2104)=0,"Duur is nul",IF(N(J2104)&gt;12,"Langer dan 12 uur - controleren",IF(AND(E2104="Werken",D2104=""),"Werken zonder klant - koppelen","OK"))))))</f>
        <v/>
      </c>
    </row>
    <row r="2105" ht="15" customHeight="1" s="42">
      <c r="A2105" s="55" t="n"/>
      <c r="B2105" s="56">
        <f>IF(A2105="","",WEEKNUM(A2105,21))</f>
        <v/>
      </c>
      <c r="C2105" s="57" t="n"/>
      <c r="D2105" s="57" t="n"/>
      <c r="E2105" s="58" t="n"/>
      <c r="F2105" s="57" t="n"/>
      <c r="G2105" s="59" t="n"/>
      <c r="H2105" s="59" t="n"/>
      <c r="I2105" s="60">
        <f>IF(OR(G2105="",H2105=""),"",MOD(H2105-G2105,1))</f>
        <v/>
      </c>
      <c r="J2105" s="61">
        <f>IF(OR(G2105="",H2105=""),"",ROUND(MOD(H2105-G2105,1)*24,2))</f>
        <v/>
      </c>
      <c r="K2105" s="62">
        <f>IF(E2105="","",IF(E2105="Werken","JA","NEE"))</f>
        <v/>
      </c>
      <c r="L2105" s="61">
        <f>IF(K2105="JA",N(J2105),IF(E2105="","",0))</f>
        <v/>
      </c>
      <c r="M2105" s="62">
        <f>IF(AND(A2105="",E2105=""),"",IF(E2105="","Segment ontbreekt",IF(OR(G2105="",H2105=""),"Van/tot ontbreekt",IF(N(J2105)=0,"Duur is nul",IF(N(J2105)&gt;12,"Langer dan 12 uur - controleren",IF(AND(E2105="Werken",D2105=""),"Werken zonder klant - koppelen","OK"))))))</f>
        <v/>
      </c>
    </row>
    <row r="2106" ht="15" customHeight="1" s="42">
      <c r="A2106" s="55" t="n"/>
      <c r="B2106" s="56">
        <f>IF(A2106="","",WEEKNUM(A2106,21))</f>
        <v/>
      </c>
      <c r="C2106" s="57" t="n"/>
      <c r="D2106" s="57" t="n"/>
      <c r="E2106" s="58" t="n"/>
      <c r="F2106" s="57" t="n"/>
      <c r="G2106" s="59" t="n"/>
      <c r="H2106" s="59" t="n"/>
      <c r="I2106" s="60">
        <f>IF(OR(G2106="",H2106=""),"",MOD(H2106-G2106,1))</f>
        <v/>
      </c>
      <c r="J2106" s="61">
        <f>IF(OR(G2106="",H2106=""),"",ROUND(MOD(H2106-G2106,1)*24,2))</f>
        <v/>
      </c>
      <c r="K2106" s="62">
        <f>IF(E2106="","",IF(E2106="Werken","JA","NEE"))</f>
        <v/>
      </c>
      <c r="L2106" s="61">
        <f>IF(K2106="JA",N(J2106),IF(E2106="","",0))</f>
        <v/>
      </c>
      <c r="M2106" s="62">
        <f>IF(AND(A2106="",E2106=""),"",IF(E2106="","Segment ontbreekt",IF(OR(G2106="",H2106=""),"Van/tot ontbreekt",IF(N(J2106)=0,"Duur is nul",IF(N(J2106)&gt;12,"Langer dan 12 uur - controleren",IF(AND(E2106="Werken",D2106=""),"Werken zonder klant - koppelen","OK"))))))</f>
        <v/>
      </c>
    </row>
    <row r="2107" ht="15" customHeight="1" s="42">
      <c r="A2107" s="55" t="n"/>
      <c r="B2107" s="56">
        <f>IF(A2107="","",WEEKNUM(A2107,21))</f>
        <v/>
      </c>
      <c r="C2107" s="57" t="n"/>
      <c r="D2107" s="57" t="n"/>
      <c r="E2107" s="58" t="n"/>
      <c r="F2107" s="57" t="n"/>
      <c r="G2107" s="59" t="n"/>
      <c r="H2107" s="59" t="n"/>
      <c r="I2107" s="60">
        <f>IF(OR(G2107="",H2107=""),"",MOD(H2107-G2107,1))</f>
        <v/>
      </c>
      <c r="J2107" s="61">
        <f>IF(OR(G2107="",H2107=""),"",ROUND(MOD(H2107-G2107,1)*24,2))</f>
        <v/>
      </c>
      <c r="K2107" s="62">
        <f>IF(E2107="","",IF(E2107="Werken","JA","NEE"))</f>
        <v/>
      </c>
      <c r="L2107" s="61">
        <f>IF(K2107="JA",N(J2107),IF(E2107="","",0))</f>
        <v/>
      </c>
      <c r="M2107" s="62">
        <f>IF(AND(A2107="",E2107=""),"",IF(E2107="","Segment ontbreekt",IF(OR(G2107="",H2107=""),"Van/tot ontbreekt",IF(N(J2107)=0,"Duur is nul",IF(N(J2107)&gt;12,"Langer dan 12 uur - controleren",IF(AND(E2107="Werken",D2107=""),"Werken zonder klant - koppelen","OK"))))))</f>
        <v/>
      </c>
    </row>
    <row r="2108" ht="15" customHeight="1" s="42">
      <c r="A2108" s="55" t="n"/>
      <c r="B2108" s="56">
        <f>IF(A2108="","",WEEKNUM(A2108,21))</f>
        <v/>
      </c>
      <c r="C2108" s="57" t="n"/>
      <c r="D2108" s="57" t="n"/>
      <c r="E2108" s="58" t="n"/>
      <c r="F2108" s="57" t="n"/>
      <c r="G2108" s="59" t="n"/>
      <c r="H2108" s="59" t="n"/>
      <c r="I2108" s="60">
        <f>IF(OR(G2108="",H2108=""),"",MOD(H2108-G2108,1))</f>
        <v/>
      </c>
      <c r="J2108" s="61">
        <f>IF(OR(G2108="",H2108=""),"",ROUND(MOD(H2108-G2108,1)*24,2))</f>
        <v/>
      </c>
      <c r="K2108" s="62">
        <f>IF(E2108="","",IF(E2108="Werken","JA","NEE"))</f>
        <v/>
      </c>
      <c r="L2108" s="61">
        <f>IF(K2108="JA",N(J2108),IF(E2108="","",0))</f>
        <v/>
      </c>
      <c r="M2108" s="62">
        <f>IF(AND(A2108="",E2108=""),"",IF(E2108="","Segment ontbreekt",IF(OR(G2108="",H2108=""),"Van/tot ontbreekt",IF(N(J2108)=0,"Duur is nul",IF(N(J2108)&gt;12,"Langer dan 12 uur - controleren",IF(AND(E2108="Werken",D2108=""),"Werken zonder klant - koppelen","OK"))))))</f>
        <v/>
      </c>
    </row>
    <row r="2109" ht="15" customHeight="1" s="42">
      <c r="A2109" s="55" t="n"/>
      <c r="B2109" s="56">
        <f>IF(A2109="","",WEEKNUM(A2109,21))</f>
        <v/>
      </c>
      <c r="C2109" s="57" t="n"/>
      <c r="D2109" s="57" t="n"/>
      <c r="E2109" s="58" t="n"/>
      <c r="F2109" s="57" t="n"/>
      <c r="G2109" s="59" t="n"/>
      <c r="H2109" s="59" t="n"/>
      <c r="I2109" s="60">
        <f>IF(OR(G2109="",H2109=""),"",MOD(H2109-G2109,1))</f>
        <v/>
      </c>
      <c r="J2109" s="61">
        <f>IF(OR(G2109="",H2109=""),"",ROUND(MOD(H2109-G2109,1)*24,2))</f>
        <v/>
      </c>
      <c r="K2109" s="62">
        <f>IF(E2109="","",IF(E2109="Werken","JA","NEE"))</f>
        <v/>
      </c>
      <c r="L2109" s="61">
        <f>IF(K2109="JA",N(J2109),IF(E2109="","",0))</f>
        <v/>
      </c>
      <c r="M2109" s="62">
        <f>IF(AND(A2109="",E2109=""),"",IF(E2109="","Segment ontbreekt",IF(OR(G2109="",H2109=""),"Van/tot ontbreekt",IF(N(J2109)=0,"Duur is nul",IF(N(J2109)&gt;12,"Langer dan 12 uur - controleren",IF(AND(E2109="Werken",D2109=""),"Werken zonder klant - koppelen","OK"))))))</f>
        <v/>
      </c>
    </row>
    <row r="2110" ht="15" customHeight="1" s="42">
      <c r="A2110" s="55" t="n"/>
      <c r="B2110" s="56">
        <f>IF(A2110="","",WEEKNUM(A2110,21))</f>
        <v/>
      </c>
      <c r="C2110" s="57" t="n"/>
      <c r="D2110" s="57" t="n"/>
      <c r="E2110" s="58" t="n"/>
      <c r="F2110" s="57" t="n"/>
      <c r="G2110" s="59" t="n"/>
      <c r="H2110" s="59" t="n"/>
      <c r="I2110" s="60">
        <f>IF(OR(G2110="",H2110=""),"",MOD(H2110-G2110,1))</f>
        <v/>
      </c>
      <c r="J2110" s="61">
        <f>IF(OR(G2110="",H2110=""),"",ROUND(MOD(H2110-G2110,1)*24,2))</f>
        <v/>
      </c>
      <c r="K2110" s="62">
        <f>IF(E2110="","",IF(E2110="Werken","JA","NEE"))</f>
        <v/>
      </c>
      <c r="L2110" s="61">
        <f>IF(K2110="JA",N(J2110),IF(E2110="","",0))</f>
        <v/>
      </c>
      <c r="M2110" s="62">
        <f>IF(AND(A2110="",E2110=""),"",IF(E2110="","Segment ontbreekt",IF(OR(G2110="",H2110=""),"Van/tot ontbreekt",IF(N(J2110)=0,"Duur is nul",IF(N(J2110)&gt;12,"Langer dan 12 uur - controleren",IF(AND(E2110="Werken",D2110=""),"Werken zonder klant - koppelen","OK"))))))</f>
        <v/>
      </c>
    </row>
    <row r="2111" ht="15" customHeight="1" s="42">
      <c r="A2111" s="55" t="n"/>
      <c r="B2111" s="56">
        <f>IF(A2111="","",WEEKNUM(A2111,21))</f>
        <v/>
      </c>
      <c r="C2111" s="57" t="n"/>
      <c r="D2111" s="57" t="n"/>
      <c r="E2111" s="58" t="n"/>
      <c r="F2111" s="57" t="n"/>
      <c r="G2111" s="59" t="n"/>
      <c r="H2111" s="59" t="n"/>
      <c r="I2111" s="60">
        <f>IF(OR(G2111="",H2111=""),"",MOD(H2111-G2111,1))</f>
        <v/>
      </c>
      <c r="J2111" s="61">
        <f>IF(OR(G2111="",H2111=""),"",ROUND(MOD(H2111-G2111,1)*24,2))</f>
        <v/>
      </c>
      <c r="K2111" s="62">
        <f>IF(E2111="","",IF(E2111="Werken","JA","NEE"))</f>
        <v/>
      </c>
      <c r="L2111" s="61">
        <f>IF(K2111="JA",N(J2111),IF(E2111="","",0))</f>
        <v/>
      </c>
      <c r="M2111" s="62">
        <f>IF(AND(A2111="",E2111=""),"",IF(E2111="","Segment ontbreekt",IF(OR(G2111="",H2111=""),"Van/tot ontbreekt",IF(N(J2111)=0,"Duur is nul",IF(N(J2111)&gt;12,"Langer dan 12 uur - controleren",IF(AND(E2111="Werken",D2111=""),"Werken zonder klant - koppelen","OK"))))))</f>
        <v/>
      </c>
    </row>
    <row r="2112" ht="15" customHeight="1" s="42">
      <c r="A2112" s="55" t="n"/>
      <c r="B2112" s="56">
        <f>IF(A2112="","",WEEKNUM(A2112,21))</f>
        <v/>
      </c>
      <c r="C2112" s="57" t="n"/>
      <c r="D2112" s="57" t="n"/>
      <c r="E2112" s="58" t="n"/>
      <c r="F2112" s="57" t="n"/>
      <c r="G2112" s="59" t="n"/>
      <c r="H2112" s="59" t="n"/>
      <c r="I2112" s="60">
        <f>IF(OR(G2112="",H2112=""),"",MOD(H2112-G2112,1))</f>
        <v/>
      </c>
      <c r="J2112" s="61">
        <f>IF(OR(G2112="",H2112=""),"",ROUND(MOD(H2112-G2112,1)*24,2))</f>
        <v/>
      </c>
      <c r="K2112" s="62">
        <f>IF(E2112="","",IF(E2112="Werken","JA","NEE"))</f>
        <v/>
      </c>
      <c r="L2112" s="61">
        <f>IF(K2112="JA",N(J2112),IF(E2112="","",0))</f>
        <v/>
      </c>
      <c r="M2112" s="62">
        <f>IF(AND(A2112="",E2112=""),"",IF(E2112="","Segment ontbreekt",IF(OR(G2112="",H2112=""),"Van/tot ontbreekt",IF(N(J2112)=0,"Duur is nul",IF(N(J2112)&gt;12,"Langer dan 12 uur - controleren",IF(AND(E2112="Werken",D2112=""),"Werken zonder klant - koppelen","OK"))))))</f>
        <v/>
      </c>
    </row>
    <row r="2113" ht="15" customHeight="1" s="42">
      <c r="A2113" s="55" t="n"/>
      <c r="B2113" s="56">
        <f>IF(A2113="","",WEEKNUM(A2113,21))</f>
        <v/>
      </c>
      <c r="C2113" s="57" t="n"/>
      <c r="D2113" s="57" t="n"/>
      <c r="E2113" s="58" t="n"/>
      <c r="F2113" s="57" t="n"/>
      <c r="G2113" s="59" t="n"/>
      <c r="H2113" s="59" t="n"/>
      <c r="I2113" s="60">
        <f>IF(OR(G2113="",H2113=""),"",MOD(H2113-G2113,1))</f>
        <v/>
      </c>
      <c r="J2113" s="61">
        <f>IF(OR(G2113="",H2113=""),"",ROUND(MOD(H2113-G2113,1)*24,2))</f>
        <v/>
      </c>
      <c r="K2113" s="62">
        <f>IF(E2113="","",IF(E2113="Werken","JA","NEE"))</f>
        <v/>
      </c>
      <c r="L2113" s="61">
        <f>IF(K2113="JA",N(J2113),IF(E2113="","",0))</f>
        <v/>
      </c>
      <c r="M2113" s="62">
        <f>IF(AND(A2113="",E2113=""),"",IF(E2113="","Segment ontbreekt",IF(OR(G2113="",H2113=""),"Van/tot ontbreekt",IF(N(J2113)=0,"Duur is nul",IF(N(J2113)&gt;12,"Langer dan 12 uur - controleren",IF(AND(E2113="Werken",D2113=""),"Werken zonder klant - koppelen","OK"))))))</f>
        <v/>
      </c>
    </row>
    <row r="2114" ht="15" customHeight="1" s="42">
      <c r="A2114" s="55" t="n"/>
      <c r="B2114" s="56">
        <f>IF(A2114="","",WEEKNUM(A2114,21))</f>
        <v/>
      </c>
      <c r="C2114" s="57" t="n"/>
      <c r="D2114" s="57" t="n"/>
      <c r="E2114" s="58" t="n"/>
      <c r="F2114" s="57" t="n"/>
      <c r="G2114" s="59" t="n"/>
      <c r="H2114" s="59" t="n"/>
      <c r="I2114" s="60">
        <f>IF(OR(G2114="",H2114=""),"",MOD(H2114-G2114,1))</f>
        <v/>
      </c>
      <c r="J2114" s="61">
        <f>IF(OR(G2114="",H2114=""),"",ROUND(MOD(H2114-G2114,1)*24,2))</f>
        <v/>
      </c>
      <c r="K2114" s="62">
        <f>IF(E2114="","",IF(E2114="Werken","JA","NEE"))</f>
        <v/>
      </c>
      <c r="L2114" s="61">
        <f>IF(K2114="JA",N(J2114),IF(E2114="","",0))</f>
        <v/>
      </c>
      <c r="M2114" s="62">
        <f>IF(AND(A2114="",E2114=""),"",IF(E2114="","Segment ontbreekt",IF(OR(G2114="",H2114=""),"Van/tot ontbreekt",IF(N(J2114)=0,"Duur is nul",IF(N(J2114)&gt;12,"Langer dan 12 uur - controleren",IF(AND(E2114="Werken",D2114=""),"Werken zonder klant - koppelen","OK"))))))</f>
        <v/>
      </c>
    </row>
    <row r="2115" ht="15" customHeight="1" s="42">
      <c r="A2115" s="55" t="n"/>
      <c r="B2115" s="56">
        <f>IF(A2115="","",WEEKNUM(A2115,21))</f>
        <v/>
      </c>
      <c r="C2115" s="57" t="n"/>
      <c r="D2115" s="57" t="n"/>
      <c r="E2115" s="58" t="n"/>
      <c r="F2115" s="57" t="n"/>
      <c r="G2115" s="59" t="n"/>
      <c r="H2115" s="59" t="n"/>
      <c r="I2115" s="60">
        <f>IF(OR(G2115="",H2115=""),"",MOD(H2115-G2115,1))</f>
        <v/>
      </c>
      <c r="J2115" s="61">
        <f>IF(OR(G2115="",H2115=""),"",ROUND(MOD(H2115-G2115,1)*24,2))</f>
        <v/>
      </c>
      <c r="K2115" s="62">
        <f>IF(E2115="","",IF(E2115="Werken","JA","NEE"))</f>
        <v/>
      </c>
      <c r="L2115" s="61">
        <f>IF(K2115="JA",N(J2115),IF(E2115="","",0))</f>
        <v/>
      </c>
      <c r="M2115" s="62">
        <f>IF(AND(A2115="",E2115=""),"",IF(E2115="","Segment ontbreekt",IF(OR(G2115="",H2115=""),"Van/tot ontbreekt",IF(N(J2115)=0,"Duur is nul",IF(N(J2115)&gt;12,"Langer dan 12 uur - controleren",IF(AND(E2115="Werken",D2115=""),"Werken zonder klant - koppelen","OK"))))))</f>
        <v/>
      </c>
    </row>
    <row r="2116" ht="15" customHeight="1" s="42">
      <c r="A2116" s="55" t="n"/>
      <c r="B2116" s="56">
        <f>IF(A2116="","",WEEKNUM(A2116,21))</f>
        <v/>
      </c>
      <c r="C2116" s="57" t="n"/>
      <c r="D2116" s="57" t="n"/>
      <c r="E2116" s="58" t="n"/>
      <c r="F2116" s="57" t="n"/>
      <c r="G2116" s="59" t="n"/>
      <c r="H2116" s="59" t="n"/>
      <c r="I2116" s="60">
        <f>IF(OR(G2116="",H2116=""),"",MOD(H2116-G2116,1))</f>
        <v/>
      </c>
      <c r="J2116" s="61">
        <f>IF(OR(G2116="",H2116=""),"",ROUND(MOD(H2116-G2116,1)*24,2))</f>
        <v/>
      </c>
      <c r="K2116" s="62">
        <f>IF(E2116="","",IF(E2116="Werken","JA","NEE"))</f>
        <v/>
      </c>
      <c r="L2116" s="61">
        <f>IF(K2116="JA",N(J2116),IF(E2116="","",0))</f>
        <v/>
      </c>
      <c r="M2116" s="62">
        <f>IF(AND(A2116="",E2116=""),"",IF(E2116="","Segment ontbreekt",IF(OR(G2116="",H2116=""),"Van/tot ontbreekt",IF(N(J2116)=0,"Duur is nul",IF(N(J2116)&gt;12,"Langer dan 12 uur - controleren",IF(AND(E2116="Werken",D2116=""),"Werken zonder klant - koppelen","OK"))))))</f>
        <v/>
      </c>
    </row>
    <row r="2117" ht="15" customHeight="1" s="42">
      <c r="A2117" s="55" t="n"/>
      <c r="B2117" s="56">
        <f>IF(A2117="","",WEEKNUM(A2117,21))</f>
        <v/>
      </c>
      <c r="C2117" s="57" t="n"/>
      <c r="D2117" s="57" t="n"/>
      <c r="E2117" s="58" t="n"/>
      <c r="F2117" s="57" t="n"/>
      <c r="G2117" s="59" t="n"/>
      <c r="H2117" s="59" t="n"/>
      <c r="I2117" s="60">
        <f>IF(OR(G2117="",H2117=""),"",MOD(H2117-G2117,1))</f>
        <v/>
      </c>
      <c r="J2117" s="61">
        <f>IF(OR(G2117="",H2117=""),"",ROUND(MOD(H2117-G2117,1)*24,2))</f>
        <v/>
      </c>
      <c r="K2117" s="62">
        <f>IF(E2117="","",IF(E2117="Werken","JA","NEE"))</f>
        <v/>
      </c>
      <c r="L2117" s="61">
        <f>IF(K2117="JA",N(J2117),IF(E2117="","",0))</f>
        <v/>
      </c>
      <c r="M2117" s="62">
        <f>IF(AND(A2117="",E2117=""),"",IF(E2117="","Segment ontbreekt",IF(OR(G2117="",H2117=""),"Van/tot ontbreekt",IF(N(J2117)=0,"Duur is nul",IF(N(J2117)&gt;12,"Langer dan 12 uur - controleren",IF(AND(E2117="Werken",D2117=""),"Werken zonder klant - koppelen","OK"))))))</f>
        <v/>
      </c>
    </row>
    <row r="2118" ht="15" customHeight="1" s="42">
      <c r="A2118" s="55" t="n"/>
      <c r="B2118" s="56">
        <f>IF(A2118="","",WEEKNUM(A2118,21))</f>
        <v/>
      </c>
      <c r="C2118" s="57" t="n"/>
      <c r="D2118" s="57" t="n"/>
      <c r="E2118" s="58" t="n"/>
      <c r="F2118" s="57" t="n"/>
      <c r="G2118" s="59" t="n"/>
      <c r="H2118" s="59" t="n"/>
      <c r="I2118" s="60">
        <f>IF(OR(G2118="",H2118=""),"",MOD(H2118-G2118,1))</f>
        <v/>
      </c>
      <c r="J2118" s="61">
        <f>IF(OR(G2118="",H2118=""),"",ROUND(MOD(H2118-G2118,1)*24,2))</f>
        <v/>
      </c>
      <c r="K2118" s="62">
        <f>IF(E2118="","",IF(E2118="Werken","JA","NEE"))</f>
        <v/>
      </c>
      <c r="L2118" s="61">
        <f>IF(K2118="JA",N(J2118),IF(E2118="","",0))</f>
        <v/>
      </c>
      <c r="M2118" s="62">
        <f>IF(AND(A2118="",E2118=""),"",IF(E2118="","Segment ontbreekt",IF(OR(G2118="",H2118=""),"Van/tot ontbreekt",IF(N(J2118)=0,"Duur is nul",IF(N(J2118)&gt;12,"Langer dan 12 uur - controleren",IF(AND(E2118="Werken",D2118=""),"Werken zonder klant - koppelen","OK"))))))</f>
        <v/>
      </c>
    </row>
    <row r="2119" ht="15" customHeight="1" s="42">
      <c r="A2119" s="55" t="n"/>
      <c r="B2119" s="56">
        <f>IF(A2119="","",WEEKNUM(A2119,21))</f>
        <v/>
      </c>
      <c r="C2119" s="57" t="n"/>
      <c r="D2119" s="57" t="n"/>
      <c r="E2119" s="58" t="n"/>
      <c r="F2119" s="57" t="n"/>
      <c r="G2119" s="59" t="n"/>
      <c r="H2119" s="59" t="n"/>
      <c r="I2119" s="60">
        <f>IF(OR(G2119="",H2119=""),"",MOD(H2119-G2119,1))</f>
        <v/>
      </c>
      <c r="J2119" s="61">
        <f>IF(OR(G2119="",H2119=""),"",ROUND(MOD(H2119-G2119,1)*24,2))</f>
        <v/>
      </c>
      <c r="K2119" s="62">
        <f>IF(E2119="","",IF(E2119="Werken","JA","NEE"))</f>
        <v/>
      </c>
      <c r="L2119" s="61">
        <f>IF(K2119="JA",N(J2119),IF(E2119="","",0))</f>
        <v/>
      </c>
      <c r="M2119" s="62">
        <f>IF(AND(A2119="",E2119=""),"",IF(E2119="","Segment ontbreekt",IF(OR(G2119="",H2119=""),"Van/tot ontbreekt",IF(N(J2119)=0,"Duur is nul",IF(N(J2119)&gt;12,"Langer dan 12 uur - controleren",IF(AND(E2119="Werken",D2119=""),"Werken zonder klant - koppelen","OK"))))))</f>
        <v/>
      </c>
    </row>
    <row r="2120" ht="15" customHeight="1" s="42">
      <c r="A2120" s="55" t="n"/>
      <c r="B2120" s="56">
        <f>IF(A2120="","",WEEKNUM(A2120,21))</f>
        <v/>
      </c>
      <c r="C2120" s="57" t="n"/>
      <c r="D2120" s="57" t="n"/>
      <c r="E2120" s="58" t="n"/>
      <c r="F2120" s="57" t="n"/>
      <c r="G2120" s="59" t="n"/>
      <c r="H2120" s="59" t="n"/>
      <c r="I2120" s="60">
        <f>IF(OR(G2120="",H2120=""),"",MOD(H2120-G2120,1))</f>
        <v/>
      </c>
      <c r="J2120" s="61">
        <f>IF(OR(G2120="",H2120=""),"",ROUND(MOD(H2120-G2120,1)*24,2))</f>
        <v/>
      </c>
      <c r="K2120" s="62">
        <f>IF(E2120="","",IF(E2120="Werken","JA","NEE"))</f>
        <v/>
      </c>
      <c r="L2120" s="61">
        <f>IF(K2120="JA",N(J2120),IF(E2120="","",0))</f>
        <v/>
      </c>
      <c r="M2120" s="62">
        <f>IF(AND(A2120="",E2120=""),"",IF(E2120="","Segment ontbreekt",IF(OR(G2120="",H2120=""),"Van/tot ontbreekt",IF(N(J2120)=0,"Duur is nul",IF(N(J2120)&gt;12,"Langer dan 12 uur - controleren",IF(AND(E2120="Werken",D2120=""),"Werken zonder klant - koppelen","OK"))))))</f>
        <v/>
      </c>
    </row>
    <row r="2121" ht="15" customHeight="1" s="42">
      <c r="A2121" s="55" t="n"/>
      <c r="B2121" s="56">
        <f>IF(A2121="","",WEEKNUM(A2121,21))</f>
        <v/>
      </c>
      <c r="C2121" s="57" t="n"/>
      <c r="D2121" s="57" t="n"/>
      <c r="E2121" s="58" t="n"/>
      <c r="F2121" s="57" t="n"/>
      <c r="G2121" s="59" t="n"/>
      <c r="H2121" s="59" t="n"/>
      <c r="I2121" s="60">
        <f>IF(OR(G2121="",H2121=""),"",MOD(H2121-G2121,1))</f>
        <v/>
      </c>
      <c r="J2121" s="61">
        <f>IF(OR(G2121="",H2121=""),"",ROUND(MOD(H2121-G2121,1)*24,2))</f>
        <v/>
      </c>
      <c r="K2121" s="62">
        <f>IF(E2121="","",IF(E2121="Werken","JA","NEE"))</f>
        <v/>
      </c>
      <c r="L2121" s="61">
        <f>IF(K2121="JA",N(J2121),IF(E2121="","",0))</f>
        <v/>
      </c>
      <c r="M2121" s="62">
        <f>IF(AND(A2121="",E2121=""),"",IF(E2121="","Segment ontbreekt",IF(OR(G2121="",H2121=""),"Van/tot ontbreekt",IF(N(J2121)=0,"Duur is nul",IF(N(J2121)&gt;12,"Langer dan 12 uur - controleren",IF(AND(E2121="Werken",D2121=""),"Werken zonder klant - koppelen","OK"))))))</f>
        <v/>
      </c>
    </row>
    <row r="2122" ht="15" customHeight="1" s="42">
      <c r="A2122" s="55" t="n"/>
      <c r="B2122" s="56">
        <f>IF(A2122="","",WEEKNUM(A2122,21))</f>
        <v/>
      </c>
      <c r="C2122" s="57" t="n"/>
      <c r="D2122" s="57" t="n"/>
      <c r="E2122" s="58" t="n"/>
      <c r="F2122" s="57" t="n"/>
      <c r="G2122" s="59" t="n"/>
      <c r="H2122" s="59" t="n"/>
      <c r="I2122" s="60">
        <f>IF(OR(G2122="",H2122=""),"",MOD(H2122-G2122,1))</f>
        <v/>
      </c>
      <c r="J2122" s="61">
        <f>IF(OR(G2122="",H2122=""),"",ROUND(MOD(H2122-G2122,1)*24,2))</f>
        <v/>
      </c>
      <c r="K2122" s="62">
        <f>IF(E2122="","",IF(E2122="Werken","JA","NEE"))</f>
        <v/>
      </c>
      <c r="L2122" s="61">
        <f>IF(K2122="JA",N(J2122),IF(E2122="","",0))</f>
        <v/>
      </c>
      <c r="M2122" s="62">
        <f>IF(AND(A2122="",E2122=""),"",IF(E2122="","Segment ontbreekt",IF(OR(G2122="",H2122=""),"Van/tot ontbreekt",IF(N(J2122)=0,"Duur is nul",IF(N(J2122)&gt;12,"Langer dan 12 uur - controleren",IF(AND(E2122="Werken",D2122=""),"Werken zonder klant - koppelen","OK"))))))</f>
        <v/>
      </c>
    </row>
    <row r="2123" ht="15" customHeight="1" s="42">
      <c r="A2123" s="55" t="n"/>
      <c r="B2123" s="56">
        <f>IF(A2123="","",WEEKNUM(A2123,21))</f>
        <v/>
      </c>
      <c r="C2123" s="57" t="n"/>
      <c r="D2123" s="57" t="n"/>
      <c r="E2123" s="58" t="n"/>
      <c r="F2123" s="57" t="n"/>
      <c r="G2123" s="59" t="n"/>
      <c r="H2123" s="59" t="n"/>
      <c r="I2123" s="60">
        <f>IF(OR(G2123="",H2123=""),"",MOD(H2123-G2123,1))</f>
        <v/>
      </c>
      <c r="J2123" s="61">
        <f>IF(OR(G2123="",H2123=""),"",ROUND(MOD(H2123-G2123,1)*24,2))</f>
        <v/>
      </c>
      <c r="K2123" s="62">
        <f>IF(E2123="","",IF(E2123="Werken","JA","NEE"))</f>
        <v/>
      </c>
      <c r="L2123" s="61">
        <f>IF(K2123="JA",N(J2123),IF(E2123="","",0))</f>
        <v/>
      </c>
      <c r="M2123" s="62">
        <f>IF(AND(A2123="",E2123=""),"",IF(E2123="","Segment ontbreekt",IF(OR(G2123="",H2123=""),"Van/tot ontbreekt",IF(N(J2123)=0,"Duur is nul",IF(N(J2123)&gt;12,"Langer dan 12 uur - controleren",IF(AND(E2123="Werken",D2123=""),"Werken zonder klant - koppelen","OK"))))))</f>
        <v/>
      </c>
    </row>
    <row r="2124" ht="15" customHeight="1" s="42">
      <c r="A2124" s="55" t="n"/>
      <c r="B2124" s="56">
        <f>IF(A2124="","",WEEKNUM(A2124,21))</f>
        <v/>
      </c>
      <c r="C2124" s="57" t="n"/>
      <c r="D2124" s="57" t="n"/>
      <c r="E2124" s="58" t="n"/>
      <c r="F2124" s="57" t="n"/>
      <c r="G2124" s="59" t="n"/>
      <c r="H2124" s="59" t="n"/>
      <c r="I2124" s="60">
        <f>IF(OR(G2124="",H2124=""),"",MOD(H2124-G2124,1))</f>
        <v/>
      </c>
      <c r="J2124" s="61">
        <f>IF(OR(G2124="",H2124=""),"",ROUND(MOD(H2124-G2124,1)*24,2))</f>
        <v/>
      </c>
      <c r="K2124" s="62">
        <f>IF(E2124="","",IF(E2124="Werken","JA","NEE"))</f>
        <v/>
      </c>
      <c r="L2124" s="61">
        <f>IF(K2124="JA",N(J2124),IF(E2124="","",0))</f>
        <v/>
      </c>
      <c r="M2124" s="62">
        <f>IF(AND(A2124="",E2124=""),"",IF(E2124="","Segment ontbreekt",IF(OR(G2124="",H2124=""),"Van/tot ontbreekt",IF(N(J2124)=0,"Duur is nul",IF(N(J2124)&gt;12,"Langer dan 12 uur - controleren",IF(AND(E2124="Werken",D2124=""),"Werken zonder klant - koppelen","OK"))))))</f>
        <v/>
      </c>
    </row>
    <row r="2125" ht="15" customHeight="1" s="42">
      <c r="A2125" s="55" t="n"/>
      <c r="B2125" s="56">
        <f>IF(A2125="","",WEEKNUM(A2125,21))</f>
        <v/>
      </c>
      <c r="C2125" s="57" t="n"/>
      <c r="D2125" s="57" t="n"/>
      <c r="E2125" s="58" t="n"/>
      <c r="F2125" s="57" t="n"/>
      <c r="G2125" s="59" t="n"/>
      <c r="H2125" s="59" t="n"/>
      <c r="I2125" s="60">
        <f>IF(OR(G2125="",H2125=""),"",MOD(H2125-G2125,1))</f>
        <v/>
      </c>
      <c r="J2125" s="61">
        <f>IF(OR(G2125="",H2125=""),"",ROUND(MOD(H2125-G2125,1)*24,2))</f>
        <v/>
      </c>
      <c r="K2125" s="62">
        <f>IF(E2125="","",IF(E2125="Werken","JA","NEE"))</f>
        <v/>
      </c>
      <c r="L2125" s="61">
        <f>IF(K2125="JA",N(J2125),IF(E2125="","",0))</f>
        <v/>
      </c>
      <c r="M2125" s="62">
        <f>IF(AND(A2125="",E2125=""),"",IF(E2125="","Segment ontbreekt",IF(OR(G2125="",H2125=""),"Van/tot ontbreekt",IF(N(J2125)=0,"Duur is nul",IF(N(J2125)&gt;12,"Langer dan 12 uur - controleren",IF(AND(E2125="Werken",D2125=""),"Werken zonder klant - koppelen","OK"))))))</f>
        <v/>
      </c>
    </row>
    <row r="2126" ht="15" customHeight="1" s="42">
      <c r="A2126" s="55" t="n"/>
      <c r="B2126" s="56">
        <f>IF(A2126="","",WEEKNUM(A2126,21))</f>
        <v/>
      </c>
      <c r="C2126" s="57" t="n"/>
      <c r="D2126" s="57" t="n"/>
      <c r="E2126" s="58" t="n"/>
      <c r="F2126" s="57" t="n"/>
      <c r="G2126" s="59" t="n"/>
      <c r="H2126" s="59" t="n"/>
      <c r="I2126" s="60">
        <f>IF(OR(G2126="",H2126=""),"",MOD(H2126-G2126,1))</f>
        <v/>
      </c>
      <c r="J2126" s="61">
        <f>IF(OR(G2126="",H2126=""),"",ROUND(MOD(H2126-G2126,1)*24,2))</f>
        <v/>
      </c>
      <c r="K2126" s="62">
        <f>IF(E2126="","",IF(E2126="Werken","JA","NEE"))</f>
        <v/>
      </c>
      <c r="L2126" s="61">
        <f>IF(K2126="JA",N(J2126),IF(E2126="","",0))</f>
        <v/>
      </c>
      <c r="M2126" s="62">
        <f>IF(AND(A2126="",E2126=""),"",IF(E2126="","Segment ontbreekt",IF(OR(G2126="",H2126=""),"Van/tot ontbreekt",IF(N(J2126)=0,"Duur is nul",IF(N(J2126)&gt;12,"Langer dan 12 uur - controleren",IF(AND(E2126="Werken",D2126=""),"Werken zonder klant - koppelen","OK"))))))</f>
        <v/>
      </c>
    </row>
    <row r="2127" ht="15" customHeight="1" s="42">
      <c r="A2127" s="55" t="n"/>
      <c r="B2127" s="56">
        <f>IF(A2127="","",WEEKNUM(A2127,21))</f>
        <v/>
      </c>
      <c r="C2127" s="57" t="n"/>
      <c r="D2127" s="57" t="n"/>
      <c r="E2127" s="58" t="n"/>
      <c r="F2127" s="57" t="n"/>
      <c r="G2127" s="59" t="n"/>
      <c r="H2127" s="59" t="n"/>
      <c r="I2127" s="60">
        <f>IF(OR(G2127="",H2127=""),"",MOD(H2127-G2127,1))</f>
        <v/>
      </c>
      <c r="J2127" s="61">
        <f>IF(OR(G2127="",H2127=""),"",ROUND(MOD(H2127-G2127,1)*24,2))</f>
        <v/>
      </c>
      <c r="K2127" s="62">
        <f>IF(E2127="","",IF(E2127="Werken","JA","NEE"))</f>
        <v/>
      </c>
      <c r="L2127" s="61">
        <f>IF(K2127="JA",N(J2127),IF(E2127="","",0))</f>
        <v/>
      </c>
      <c r="M2127" s="62">
        <f>IF(AND(A2127="",E2127=""),"",IF(E2127="","Segment ontbreekt",IF(OR(G2127="",H2127=""),"Van/tot ontbreekt",IF(N(J2127)=0,"Duur is nul",IF(N(J2127)&gt;12,"Langer dan 12 uur - controleren",IF(AND(E2127="Werken",D2127=""),"Werken zonder klant - koppelen","OK"))))))</f>
        <v/>
      </c>
    </row>
    <row r="2128" ht="15" customHeight="1" s="42">
      <c r="A2128" s="55" t="n"/>
      <c r="B2128" s="56">
        <f>IF(A2128="","",WEEKNUM(A2128,21))</f>
        <v/>
      </c>
      <c r="C2128" s="57" t="n"/>
      <c r="D2128" s="57" t="n"/>
      <c r="E2128" s="58" t="n"/>
      <c r="F2128" s="57" t="n"/>
      <c r="G2128" s="59" t="n"/>
      <c r="H2128" s="59" t="n"/>
      <c r="I2128" s="60">
        <f>IF(OR(G2128="",H2128=""),"",MOD(H2128-G2128,1))</f>
        <v/>
      </c>
      <c r="J2128" s="61">
        <f>IF(OR(G2128="",H2128=""),"",ROUND(MOD(H2128-G2128,1)*24,2))</f>
        <v/>
      </c>
      <c r="K2128" s="62">
        <f>IF(E2128="","",IF(E2128="Werken","JA","NEE"))</f>
        <v/>
      </c>
      <c r="L2128" s="61">
        <f>IF(K2128="JA",N(J2128),IF(E2128="","",0))</f>
        <v/>
      </c>
      <c r="M2128" s="62">
        <f>IF(AND(A2128="",E2128=""),"",IF(E2128="","Segment ontbreekt",IF(OR(G2128="",H2128=""),"Van/tot ontbreekt",IF(N(J2128)=0,"Duur is nul",IF(N(J2128)&gt;12,"Langer dan 12 uur - controleren",IF(AND(E2128="Werken",D2128=""),"Werken zonder klant - koppelen","OK"))))))</f>
        <v/>
      </c>
    </row>
    <row r="2129" ht="15" customHeight="1" s="42">
      <c r="A2129" s="55" t="n"/>
      <c r="B2129" s="56">
        <f>IF(A2129="","",WEEKNUM(A2129,21))</f>
        <v/>
      </c>
      <c r="C2129" s="57" t="n"/>
      <c r="D2129" s="57" t="n"/>
      <c r="E2129" s="58" t="n"/>
      <c r="F2129" s="57" t="n"/>
      <c r="G2129" s="59" t="n"/>
      <c r="H2129" s="59" t="n"/>
      <c r="I2129" s="60">
        <f>IF(OR(G2129="",H2129=""),"",MOD(H2129-G2129,1))</f>
        <v/>
      </c>
      <c r="J2129" s="61">
        <f>IF(OR(G2129="",H2129=""),"",ROUND(MOD(H2129-G2129,1)*24,2))</f>
        <v/>
      </c>
      <c r="K2129" s="62">
        <f>IF(E2129="","",IF(E2129="Werken","JA","NEE"))</f>
        <v/>
      </c>
      <c r="L2129" s="61">
        <f>IF(K2129="JA",N(J2129),IF(E2129="","",0))</f>
        <v/>
      </c>
      <c r="M2129" s="62">
        <f>IF(AND(A2129="",E2129=""),"",IF(E2129="","Segment ontbreekt",IF(OR(G2129="",H2129=""),"Van/tot ontbreekt",IF(N(J2129)=0,"Duur is nul",IF(N(J2129)&gt;12,"Langer dan 12 uur - controleren",IF(AND(E2129="Werken",D2129=""),"Werken zonder klant - koppelen","OK"))))))</f>
        <v/>
      </c>
    </row>
    <row r="2130" ht="15" customHeight="1" s="42">
      <c r="A2130" s="55" t="n"/>
      <c r="B2130" s="56">
        <f>IF(A2130="","",WEEKNUM(A2130,21))</f>
        <v/>
      </c>
      <c r="C2130" s="57" t="n"/>
      <c r="D2130" s="57" t="n"/>
      <c r="E2130" s="58" t="n"/>
      <c r="F2130" s="57" t="n"/>
      <c r="G2130" s="59" t="n"/>
      <c r="H2130" s="59" t="n"/>
      <c r="I2130" s="60">
        <f>IF(OR(G2130="",H2130=""),"",MOD(H2130-G2130,1))</f>
        <v/>
      </c>
      <c r="J2130" s="61">
        <f>IF(OR(G2130="",H2130=""),"",ROUND(MOD(H2130-G2130,1)*24,2))</f>
        <v/>
      </c>
      <c r="K2130" s="62">
        <f>IF(E2130="","",IF(E2130="Werken","JA","NEE"))</f>
        <v/>
      </c>
      <c r="L2130" s="61">
        <f>IF(K2130="JA",N(J2130),IF(E2130="","",0))</f>
        <v/>
      </c>
      <c r="M2130" s="62">
        <f>IF(AND(A2130="",E2130=""),"",IF(E2130="","Segment ontbreekt",IF(OR(G2130="",H2130=""),"Van/tot ontbreekt",IF(N(J2130)=0,"Duur is nul",IF(N(J2130)&gt;12,"Langer dan 12 uur - controleren",IF(AND(E2130="Werken",D2130=""),"Werken zonder klant - koppelen","OK"))))))</f>
        <v/>
      </c>
    </row>
    <row r="2131" ht="15" customHeight="1" s="42">
      <c r="A2131" s="55" t="n"/>
      <c r="B2131" s="56">
        <f>IF(A2131="","",WEEKNUM(A2131,21))</f>
        <v/>
      </c>
      <c r="C2131" s="57" t="n"/>
      <c r="D2131" s="57" t="n"/>
      <c r="E2131" s="58" t="n"/>
      <c r="F2131" s="57" t="n"/>
      <c r="G2131" s="59" t="n"/>
      <c r="H2131" s="59" t="n"/>
      <c r="I2131" s="60">
        <f>IF(OR(G2131="",H2131=""),"",MOD(H2131-G2131,1))</f>
        <v/>
      </c>
      <c r="J2131" s="61">
        <f>IF(OR(G2131="",H2131=""),"",ROUND(MOD(H2131-G2131,1)*24,2))</f>
        <v/>
      </c>
      <c r="K2131" s="62">
        <f>IF(E2131="","",IF(E2131="Werken","JA","NEE"))</f>
        <v/>
      </c>
      <c r="L2131" s="61">
        <f>IF(K2131="JA",N(J2131),IF(E2131="","",0))</f>
        <v/>
      </c>
      <c r="M2131" s="62">
        <f>IF(AND(A2131="",E2131=""),"",IF(E2131="","Segment ontbreekt",IF(OR(G2131="",H2131=""),"Van/tot ontbreekt",IF(N(J2131)=0,"Duur is nul",IF(N(J2131)&gt;12,"Langer dan 12 uur - controleren",IF(AND(E2131="Werken",D2131=""),"Werken zonder klant - koppelen","OK"))))))</f>
        <v/>
      </c>
    </row>
    <row r="2132" ht="15" customHeight="1" s="42">
      <c r="A2132" s="55" t="n"/>
      <c r="B2132" s="56">
        <f>IF(A2132="","",WEEKNUM(A2132,21))</f>
        <v/>
      </c>
      <c r="C2132" s="57" t="n"/>
      <c r="D2132" s="57" t="n"/>
      <c r="E2132" s="58" t="n"/>
      <c r="F2132" s="57" t="n"/>
      <c r="G2132" s="59" t="n"/>
      <c r="H2132" s="59" t="n"/>
      <c r="I2132" s="60">
        <f>IF(OR(G2132="",H2132=""),"",MOD(H2132-G2132,1))</f>
        <v/>
      </c>
      <c r="J2132" s="61">
        <f>IF(OR(G2132="",H2132=""),"",ROUND(MOD(H2132-G2132,1)*24,2))</f>
        <v/>
      </c>
      <c r="K2132" s="62">
        <f>IF(E2132="","",IF(E2132="Werken","JA","NEE"))</f>
        <v/>
      </c>
      <c r="L2132" s="61">
        <f>IF(K2132="JA",N(J2132),IF(E2132="","",0))</f>
        <v/>
      </c>
      <c r="M2132" s="62">
        <f>IF(AND(A2132="",E2132=""),"",IF(E2132="","Segment ontbreekt",IF(OR(G2132="",H2132=""),"Van/tot ontbreekt",IF(N(J2132)=0,"Duur is nul",IF(N(J2132)&gt;12,"Langer dan 12 uur - controleren",IF(AND(E2132="Werken",D2132=""),"Werken zonder klant - koppelen","OK"))))))</f>
        <v/>
      </c>
    </row>
    <row r="2133" ht="15" customHeight="1" s="42">
      <c r="A2133" s="55" t="n"/>
      <c r="B2133" s="56">
        <f>IF(A2133="","",WEEKNUM(A2133,21))</f>
        <v/>
      </c>
      <c r="C2133" s="57" t="n"/>
      <c r="D2133" s="57" t="n"/>
      <c r="E2133" s="58" t="n"/>
      <c r="F2133" s="57" t="n"/>
      <c r="G2133" s="59" t="n"/>
      <c r="H2133" s="59" t="n"/>
      <c r="I2133" s="60">
        <f>IF(OR(G2133="",H2133=""),"",MOD(H2133-G2133,1))</f>
        <v/>
      </c>
      <c r="J2133" s="61">
        <f>IF(OR(G2133="",H2133=""),"",ROUND(MOD(H2133-G2133,1)*24,2))</f>
        <v/>
      </c>
      <c r="K2133" s="62">
        <f>IF(E2133="","",IF(E2133="Werken","JA","NEE"))</f>
        <v/>
      </c>
      <c r="L2133" s="61">
        <f>IF(K2133="JA",N(J2133),IF(E2133="","",0))</f>
        <v/>
      </c>
      <c r="M2133" s="62">
        <f>IF(AND(A2133="",E2133=""),"",IF(E2133="","Segment ontbreekt",IF(OR(G2133="",H2133=""),"Van/tot ontbreekt",IF(N(J2133)=0,"Duur is nul",IF(N(J2133)&gt;12,"Langer dan 12 uur - controleren",IF(AND(E2133="Werken",D2133=""),"Werken zonder klant - koppelen","OK"))))))</f>
        <v/>
      </c>
    </row>
    <row r="2134" ht="15" customHeight="1" s="42">
      <c r="A2134" s="55" t="n"/>
      <c r="B2134" s="56">
        <f>IF(A2134="","",WEEKNUM(A2134,21))</f>
        <v/>
      </c>
      <c r="C2134" s="57" t="n"/>
      <c r="D2134" s="57" t="n"/>
      <c r="E2134" s="58" t="n"/>
      <c r="F2134" s="57" t="n"/>
      <c r="G2134" s="59" t="n"/>
      <c r="H2134" s="59" t="n"/>
      <c r="I2134" s="60">
        <f>IF(OR(G2134="",H2134=""),"",MOD(H2134-G2134,1))</f>
        <v/>
      </c>
      <c r="J2134" s="61">
        <f>IF(OR(G2134="",H2134=""),"",ROUND(MOD(H2134-G2134,1)*24,2))</f>
        <v/>
      </c>
      <c r="K2134" s="62">
        <f>IF(E2134="","",IF(E2134="Werken","JA","NEE"))</f>
        <v/>
      </c>
      <c r="L2134" s="61">
        <f>IF(K2134="JA",N(J2134),IF(E2134="","",0))</f>
        <v/>
      </c>
      <c r="M2134" s="62">
        <f>IF(AND(A2134="",E2134=""),"",IF(E2134="","Segment ontbreekt",IF(OR(G2134="",H2134=""),"Van/tot ontbreekt",IF(N(J2134)=0,"Duur is nul",IF(N(J2134)&gt;12,"Langer dan 12 uur - controleren",IF(AND(E2134="Werken",D2134=""),"Werken zonder klant - koppelen","OK"))))))</f>
        <v/>
      </c>
    </row>
    <row r="2135" ht="15" customHeight="1" s="42">
      <c r="A2135" s="55" t="n"/>
      <c r="B2135" s="56">
        <f>IF(A2135="","",WEEKNUM(A2135,21))</f>
        <v/>
      </c>
      <c r="C2135" s="57" t="n"/>
      <c r="D2135" s="57" t="n"/>
      <c r="E2135" s="58" t="n"/>
      <c r="F2135" s="57" t="n"/>
      <c r="G2135" s="59" t="n"/>
      <c r="H2135" s="59" t="n"/>
      <c r="I2135" s="60">
        <f>IF(OR(G2135="",H2135=""),"",MOD(H2135-G2135,1))</f>
        <v/>
      </c>
      <c r="J2135" s="61">
        <f>IF(OR(G2135="",H2135=""),"",ROUND(MOD(H2135-G2135,1)*24,2))</f>
        <v/>
      </c>
      <c r="K2135" s="62">
        <f>IF(E2135="","",IF(E2135="Werken","JA","NEE"))</f>
        <v/>
      </c>
      <c r="L2135" s="61">
        <f>IF(K2135="JA",N(J2135),IF(E2135="","",0))</f>
        <v/>
      </c>
      <c r="M2135" s="62">
        <f>IF(AND(A2135="",E2135=""),"",IF(E2135="","Segment ontbreekt",IF(OR(G2135="",H2135=""),"Van/tot ontbreekt",IF(N(J2135)=0,"Duur is nul",IF(N(J2135)&gt;12,"Langer dan 12 uur - controleren",IF(AND(E2135="Werken",D2135=""),"Werken zonder klant - koppelen","OK"))))))</f>
        <v/>
      </c>
    </row>
    <row r="2136" ht="15" customHeight="1" s="42">
      <c r="A2136" s="55" t="n"/>
      <c r="B2136" s="56">
        <f>IF(A2136="","",WEEKNUM(A2136,21))</f>
        <v/>
      </c>
      <c r="C2136" s="57" t="n"/>
      <c r="D2136" s="57" t="n"/>
      <c r="E2136" s="58" t="n"/>
      <c r="F2136" s="57" t="n"/>
      <c r="G2136" s="59" t="n"/>
      <c r="H2136" s="59" t="n"/>
      <c r="I2136" s="60">
        <f>IF(OR(G2136="",H2136=""),"",MOD(H2136-G2136,1))</f>
        <v/>
      </c>
      <c r="J2136" s="61">
        <f>IF(OR(G2136="",H2136=""),"",ROUND(MOD(H2136-G2136,1)*24,2))</f>
        <v/>
      </c>
      <c r="K2136" s="62">
        <f>IF(E2136="","",IF(E2136="Werken","JA","NEE"))</f>
        <v/>
      </c>
      <c r="L2136" s="61">
        <f>IF(K2136="JA",N(J2136),IF(E2136="","",0))</f>
        <v/>
      </c>
      <c r="M2136" s="62">
        <f>IF(AND(A2136="",E2136=""),"",IF(E2136="","Segment ontbreekt",IF(OR(G2136="",H2136=""),"Van/tot ontbreekt",IF(N(J2136)=0,"Duur is nul",IF(N(J2136)&gt;12,"Langer dan 12 uur - controleren",IF(AND(E2136="Werken",D2136=""),"Werken zonder klant - koppelen","OK"))))))</f>
        <v/>
      </c>
    </row>
    <row r="2137" ht="15" customHeight="1" s="42">
      <c r="A2137" s="55" t="n"/>
      <c r="B2137" s="56">
        <f>IF(A2137="","",WEEKNUM(A2137,21))</f>
        <v/>
      </c>
      <c r="C2137" s="57" t="n"/>
      <c r="D2137" s="57" t="n"/>
      <c r="E2137" s="58" t="n"/>
      <c r="F2137" s="57" t="n"/>
      <c r="G2137" s="59" t="n"/>
      <c r="H2137" s="59" t="n"/>
      <c r="I2137" s="60">
        <f>IF(OR(G2137="",H2137=""),"",MOD(H2137-G2137,1))</f>
        <v/>
      </c>
      <c r="J2137" s="61">
        <f>IF(OR(G2137="",H2137=""),"",ROUND(MOD(H2137-G2137,1)*24,2))</f>
        <v/>
      </c>
      <c r="K2137" s="62">
        <f>IF(E2137="","",IF(E2137="Werken","JA","NEE"))</f>
        <v/>
      </c>
      <c r="L2137" s="61">
        <f>IF(K2137="JA",N(J2137),IF(E2137="","",0))</f>
        <v/>
      </c>
      <c r="M2137" s="62">
        <f>IF(AND(A2137="",E2137=""),"",IF(E2137="","Segment ontbreekt",IF(OR(G2137="",H2137=""),"Van/tot ontbreekt",IF(N(J2137)=0,"Duur is nul",IF(N(J2137)&gt;12,"Langer dan 12 uur - controleren",IF(AND(E2137="Werken",D2137=""),"Werken zonder klant - koppelen","OK"))))))</f>
        <v/>
      </c>
    </row>
    <row r="2138" ht="15" customHeight="1" s="42">
      <c r="A2138" s="55" t="n"/>
      <c r="B2138" s="56">
        <f>IF(A2138="","",WEEKNUM(A2138,21))</f>
        <v/>
      </c>
      <c r="C2138" s="57" t="n"/>
      <c r="D2138" s="57" t="n"/>
      <c r="E2138" s="58" t="n"/>
      <c r="F2138" s="57" t="n"/>
      <c r="G2138" s="59" t="n"/>
      <c r="H2138" s="59" t="n"/>
      <c r="I2138" s="60">
        <f>IF(OR(G2138="",H2138=""),"",MOD(H2138-G2138,1))</f>
        <v/>
      </c>
      <c r="J2138" s="61">
        <f>IF(OR(G2138="",H2138=""),"",ROUND(MOD(H2138-G2138,1)*24,2))</f>
        <v/>
      </c>
      <c r="K2138" s="62">
        <f>IF(E2138="","",IF(E2138="Werken","JA","NEE"))</f>
        <v/>
      </c>
      <c r="L2138" s="61">
        <f>IF(K2138="JA",N(J2138),IF(E2138="","",0))</f>
        <v/>
      </c>
      <c r="M2138" s="62">
        <f>IF(AND(A2138="",E2138=""),"",IF(E2138="","Segment ontbreekt",IF(OR(G2138="",H2138=""),"Van/tot ontbreekt",IF(N(J2138)=0,"Duur is nul",IF(N(J2138)&gt;12,"Langer dan 12 uur - controleren",IF(AND(E2138="Werken",D2138=""),"Werken zonder klant - koppelen","OK"))))))</f>
        <v/>
      </c>
    </row>
    <row r="2139" ht="15" customHeight="1" s="42">
      <c r="A2139" s="55" t="n"/>
      <c r="B2139" s="56">
        <f>IF(A2139="","",WEEKNUM(A2139,21))</f>
        <v/>
      </c>
      <c r="C2139" s="57" t="n"/>
      <c r="D2139" s="57" t="n"/>
      <c r="E2139" s="58" t="n"/>
      <c r="F2139" s="57" t="n"/>
      <c r="G2139" s="59" t="n"/>
      <c r="H2139" s="59" t="n"/>
      <c r="I2139" s="60">
        <f>IF(OR(G2139="",H2139=""),"",MOD(H2139-G2139,1))</f>
        <v/>
      </c>
      <c r="J2139" s="61">
        <f>IF(OR(G2139="",H2139=""),"",ROUND(MOD(H2139-G2139,1)*24,2))</f>
        <v/>
      </c>
      <c r="K2139" s="62">
        <f>IF(E2139="","",IF(E2139="Werken","JA","NEE"))</f>
        <v/>
      </c>
      <c r="L2139" s="61">
        <f>IF(K2139="JA",N(J2139),IF(E2139="","",0))</f>
        <v/>
      </c>
      <c r="M2139" s="62">
        <f>IF(AND(A2139="",E2139=""),"",IF(E2139="","Segment ontbreekt",IF(OR(G2139="",H2139=""),"Van/tot ontbreekt",IF(N(J2139)=0,"Duur is nul",IF(N(J2139)&gt;12,"Langer dan 12 uur - controleren",IF(AND(E2139="Werken",D2139=""),"Werken zonder klant - koppelen","OK"))))))</f>
        <v/>
      </c>
    </row>
    <row r="2140" ht="15" customHeight="1" s="42">
      <c r="A2140" s="55" t="n"/>
      <c r="B2140" s="56">
        <f>IF(A2140="","",WEEKNUM(A2140,21))</f>
        <v/>
      </c>
      <c r="C2140" s="57" t="n"/>
      <c r="D2140" s="57" t="n"/>
      <c r="E2140" s="58" t="n"/>
      <c r="F2140" s="57" t="n"/>
      <c r="G2140" s="59" t="n"/>
      <c r="H2140" s="59" t="n"/>
      <c r="I2140" s="60">
        <f>IF(OR(G2140="",H2140=""),"",MOD(H2140-G2140,1))</f>
        <v/>
      </c>
      <c r="J2140" s="61">
        <f>IF(OR(G2140="",H2140=""),"",ROUND(MOD(H2140-G2140,1)*24,2))</f>
        <v/>
      </c>
      <c r="K2140" s="62">
        <f>IF(E2140="","",IF(E2140="Werken","JA","NEE"))</f>
        <v/>
      </c>
      <c r="L2140" s="61">
        <f>IF(K2140="JA",N(J2140),IF(E2140="","",0))</f>
        <v/>
      </c>
      <c r="M2140" s="62">
        <f>IF(AND(A2140="",E2140=""),"",IF(E2140="","Segment ontbreekt",IF(OR(G2140="",H2140=""),"Van/tot ontbreekt",IF(N(J2140)=0,"Duur is nul",IF(N(J2140)&gt;12,"Langer dan 12 uur - controleren",IF(AND(E2140="Werken",D2140=""),"Werken zonder klant - koppelen","OK"))))))</f>
        <v/>
      </c>
    </row>
    <row r="2141" ht="15" customHeight="1" s="42">
      <c r="A2141" s="55" t="n"/>
      <c r="B2141" s="56">
        <f>IF(A2141="","",WEEKNUM(A2141,21))</f>
        <v/>
      </c>
      <c r="C2141" s="57" t="n"/>
      <c r="D2141" s="57" t="n"/>
      <c r="E2141" s="58" t="n"/>
      <c r="F2141" s="57" t="n"/>
      <c r="G2141" s="59" t="n"/>
      <c r="H2141" s="59" t="n"/>
      <c r="I2141" s="60">
        <f>IF(OR(G2141="",H2141=""),"",MOD(H2141-G2141,1))</f>
        <v/>
      </c>
      <c r="J2141" s="61">
        <f>IF(OR(G2141="",H2141=""),"",ROUND(MOD(H2141-G2141,1)*24,2))</f>
        <v/>
      </c>
      <c r="K2141" s="62">
        <f>IF(E2141="","",IF(E2141="Werken","JA","NEE"))</f>
        <v/>
      </c>
      <c r="L2141" s="61">
        <f>IF(K2141="JA",N(J2141),IF(E2141="","",0))</f>
        <v/>
      </c>
      <c r="M2141" s="62">
        <f>IF(AND(A2141="",E2141=""),"",IF(E2141="","Segment ontbreekt",IF(OR(G2141="",H2141=""),"Van/tot ontbreekt",IF(N(J2141)=0,"Duur is nul",IF(N(J2141)&gt;12,"Langer dan 12 uur - controleren",IF(AND(E2141="Werken",D2141=""),"Werken zonder klant - koppelen","OK"))))))</f>
        <v/>
      </c>
    </row>
    <row r="2142" ht="15" customHeight="1" s="42">
      <c r="A2142" s="55" t="n"/>
      <c r="B2142" s="56">
        <f>IF(A2142="","",WEEKNUM(A2142,21))</f>
        <v/>
      </c>
      <c r="C2142" s="57" t="n"/>
      <c r="D2142" s="57" t="n"/>
      <c r="E2142" s="58" t="n"/>
      <c r="F2142" s="57" t="n"/>
      <c r="G2142" s="59" t="n"/>
      <c r="H2142" s="59" t="n"/>
      <c r="I2142" s="60">
        <f>IF(OR(G2142="",H2142=""),"",MOD(H2142-G2142,1))</f>
        <v/>
      </c>
      <c r="J2142" s="61">
        <f>IF(OR(G2142="",H2142=""),"",ROUND(MOD(H2142-G2142,1)*24,2))</f>
        <v/>
      </c>
      <c r="K2142" s="62">
        <f>IF(E2142="","",IF(E2142="Werken","JA","NEE"))</f>
        <v/>
      </c>
      <c r="L2142" s="61">
        <f>IF(K2142="JA",N(J2142),IF(E2142="","",0))</f>
        <v/>
      </c>
      <c r="M2142" s="62">
        <f>IF(AND(A2142="",E2142=""),"",IF(E2142="","Segment ontbreekt",IF(OR(G2142="",H2142=""),"Van/tot ontbreekt",IF(N(J2142)=0,"Duur is nul",IF(N(J2142)&gt;12,"Langer dan 12 uur - controleren",IF(AND(E2142="Werken",D2142=""),"Werken zonder klant - koppelen","OK"))))))</f>
        <v/>
      </c>
    </row>
    <row r="2143" ht="15" customHeight="1" s="42">
      <c r="A2143" s="55" t="n"/>
      <c r="B2143" s="56">
        <f>IF(A2143="","",WEEKNUM(A2143,21))</f>
        <v/>
      </c>
      <c r="C2143" s="57" t="n"/>
      <c r="D2143" s="57" t="n"/>
      <c r="E2143" s="58" t="n"/>
      <c r="F2143" s="57" t="n"/>
      <c r="G2143" s="59" t="n"/>
      <c r="H2143" s="59" t="n"/>
      <c r="I2143" s="60">
        <f>IF(OR(G2143="",H2143=""),"",MOD(H2143-G2143,1))</f>
        <v/>
      </c>
      <c r="J2143" s="61">
        <f>IF(OR(G2143="",H2143=""),"",ROUND(MOD(H2143-G2143,1)*24,2))</f>
        <v/>
      </c>
      <c r="K2143" s="62">
        <f>IF(E2143="","",IF(E2143="Werken","JA","NEE"))</f>
        <v/>
      </c>
      <c r="L2143" s="61">
        <f>IF(K2143="JA",N(J2143),IF(E2143="","",0))</f>
        <v/>
      </c>
      <c r="M2143" s="62">
        <f>IF(AND(A2143="",E2143=""),"",IF(E2143="","Segment ontbreekt",IF(OR(G2143="",H2143=""),"Van/tot ontbreekt",IF(N(J2143)=0,"Duur is nul",IF(N(J2143)&gt;12,"Langer dan 12 uur - controleren",IF(AND(E2143="Werken",D2143=""),"Werken zonder klant - koppelen","OK"))))))</f>
        <v/>
      </c>
    </row>
    <row r="2144" ht="15" customHeight="1" s="42">
      <c r="A2144" s="55" t="n"/>
      <c r="B2144" s="56">
        <f>IF(A2144="","",WEEKNUM(A2144,21))</f>
        <v/>
      </c>
      <c r="C2144" s="57" t="n"/>
      <c r="D2144" s="57" t="n"/>
      <c r="E2144" s="58" t="n"/>
      <c r="F2144" s="57" t="n"/>
      <c r="G2144" s="59" t="n"/>
      <c r="H2144" s="59" t="n"/>
      <c r="I2144" s="60">
        <f>IF(OR(G2144="",H2144=""),"",MOD(H2144-G2144,1))</f>
        <v/>
      </c>
      <c r="J2144" s="61">
        <f>IF(OR(G2144="",H2144=""),"",ROUND(MOD(H2144-G2144,1)*24,2))</f>
        <v/>
      </c>
      <c r="K2144" s="62">
        <f>IF(E2144="","",IF(E2144="Werken","JA","NEE"))</f>
        <v/>
      </c>
      <c r="L2144" s="61">
        <f>IF(K2144="JA",N(J2144),IF(E2144="","",0))</f>
        <v/>
      </c>
      <c r="M2144" s="62">
        <f>IF(AND(A2144="",E2144=""),"",IF(E2144="","Segment ontbreekt",IF(OR(G2144="",H2144=""),"Van/tot ontbreekt",IF(N(J2144)=0,"Duur is nul",IF(N(J2144)&gt;12,"Langer dan 12 uur - controleren",IF(AND(E2144="Werken",D2144=""),"Werken zonder klant - koppelen","OK"))))))</f>
        <v/>
      </c>
    </row>
    <row r="2145" ht="15" customHeight="1" s="42">
      <c r="A2145" s="55" t="n"/>
      <c r="B2145" s="56">
        <f>IF(A2145="","",WEEKNUM(A2145,21))</f>
        <v/>
      </c>
      <c r="C2145" s="57" t="n"/>
      <c r="D2145" s="57" t="n"/>
      <c r="E2145" s="58" t="n"/>
      <c r="F2145" s="57" t="n"/>
      <c r="G2145" s="59" t="n"/>
      <c r="H2145" s="59" t="n"/>
      <c r="I2145" s="60">
        <f>IF(OR(G2145="",H2145=""),"",MOD(H2145-G2145,1))</f>
        <v/>
      </c>
      <c r="J2145" s="61">
        <f>IF(OR(G2145="",H2145=""),"",ROUND(MOD(H2145-G2145,1)*24,2))</f>
        <v/>
      </c>
      <c r="K2145" s="62">
        <f>IF(E2145="","",IF(E2145="Werken","JA","NEE"))</f>
        <v/>
      </c>
      <c r="L2145" s="61">
        <f>IF(K2145="JA",N(J2145),IF(E2145="","",0))</f>
        <v/>
      </c>
      <c r="M2145" s="62">
        <f>IF(AND(A2145="",E2145=""),"",IF(E2145="","Segment ontbreekt",IF(OR(G2145="",H2145=""),"Van/tot ontbreekt",IF(N(J2145)=0,"Duur is nul",IF(N(J2145)&gt;12,"Langer dan 12 uur - controleren",IF(AND(E2145="Werken",D2145=""),"Werken zonder klant - koppelen","OK"))))))</f>
        <v/>
      </c>
    </row>
    <row r="2146" ht="15" customHeight="1" s="42">
      <c r="A2146" s="55" t="n"/>
      <c r="B2146" s="56">
        <f>IF(A2146="","",WEEKNUM(A2146,21))</f>
        <v/>
      </c>
      <c r="C2146" s="57" t="n"/>
      <c r="D2146" s="57" t="n"/>
      <c r="E2146" s="58" t="n"/>
      <c r="F2146" s="57" t="n"/>
      <c r="G2146" s="59" t="n"/>
      <c r="H2146" s="59" t="n"/>
      <c r="I2146" s="60">
        <f>IF(OR(G2146="",H2146=""),"",MOD(H2146-G2146,1))</f>
        <v/>
      </c>
      <c r="J2146" s="61">
        <f>IF(OR(G2146="",H2146=""),"",ROUND(MOD(H2146-G2146,1)*24,2))</f>
        <v/>
      </c>
      <c r="K2146" s="62">
        <f>IF(E2146="","",IF(E2146="Werken","JA","NEE"))</f>
        <v/>
      </c>
      <c r="L2146" s="61">
        <f>IF(K2146="JA",N(J2146),IF(E2146="","",0))</f>
        <v/>
      </c>
      <c r="M2146" s="62">
        <f>IF(AND(A2146="",E2146=""),"",IF(E2146="","Segment ontbreekt",IF(OR(G2146="",H2146=""),"Van/tot ontbreekt",IF(N(J2146)=0,"Duur is nul",IF(N(J2146)&gt;12,"Langer dan 12 uur - controleren",IF(AND(E2146="Werken",D2146=""),"Werken zonder klant - koppelen","OK"))))))</f>
        <v/>
      </c>
    </row>
    <row r="2147" ht="15" customHeight="1" s="42">
      <c r="A2147" s="55" t="n"/>
      <c r="B2147" s="56">
        <f>IF(A2147="","",WEEKNUM(A2147,21))</f>
        <v/>
      </c>
      <c r="C2147" s="57" t="n"/>
      <c r="D2147" s="57" t="n"/>
      <c r="E2147" s="58" t="n"/>
      <c r="F2147" s="57" t="n"/>
      <c r="G2147" s="59" t="n"/>
      <c r="H2147" s="59" t="n"/>
      <c r="I2147" s="60">
        <f>IF(OR(G2147="",H2147=""),"",MOD(H2147-G2147,1))</f>
        <v/>
      </c>
      <c r="J2147" s="61">
        <f>IF(OR(G2147="",H2147=""),"",ROUND(MOD(H2147-G2147,1)*24,2))</f>
        <v/>
      </c>
      <c r="K2147" s="62">
        <f>IF(E2147="","",IF(E2147="Werken","JA","NEE"))</f>
        <v/>
      </c>
      <c r="L2147" s="61">
        <f>IF(K2147="JA",N(J2147),IF(E2147="","",0))</f>
        <v/>
      </c>
      <c r="M2147" s="62">
        <f>IF(AND(A2147="",E2147=""),"",IF(E2147="","Segment ontbreekt",IF(OR(G2147="",H2147=""),"Van/tot ontbreekt",IF(N(J2147)=0,"Duur is nul",IF(N(J2147)&gt;12,"Langer dan 12 uur - controleren",IF(AND(E2147="Werken",D2147=""),"Werken zonder klant - koppelen","OK"))))))</f>
        <v/>
      </c>
    </row>
    <row r="2148" ht="15" customHeight="1" s="42">
      <c r="A2148" s="55" t="n"/>
      <c r="B2148" s="56">
        <f>IF(A2148="","",WEEKNUM(A2148,21))</f>
        <v/>
      </c>
      <c r="C2148" s="57" t="n"/>
      <c r="D2148" s="57" t="n"/>
      <c r="E2148" s="58" t="n"/>
      <c r="F2148" s="57" t="n"/>
      <c r="G2148" s="59" t="n"/>
      <c r="H2148" s="59" t="n"/>
      <c r="I2148" s="60">
        <f>IF(OR(G2148="",H2148=""),"",MOD(H2148-G2148,1))</f>
        <v/>
      </c>
      <c r="J2148" s="61">
        <f>IF(OR(G2148="",H2148=""),"",ROUND(MOD(H2148-G2148,1)*24,2))</f>
        <v/>
      </c>
      <c r="K2148" s="62">
        <f>IF(E2148="","",IF(E2148="Werken","JA","NEE"))</f>
        <v/>
      </c>
      <c r="L2148" s="61">
        <f>IF(K2148="JA",N(J2148),IF(E2148="","",0))</f>
        <v/>
      </c>
      <c r="M2148" s="62">
        <f>IF(AND(A2148="",E2148=""),"",IF(E2148="","Segment ontbreekt",IF(OR(G2148="",H2148=""),"Van/tot ontbreekt",IF(N(J2148)=0,"Duur is nul",IF(N(J2148)&gt;12,"Langer dan 12 uur - controleren",IF(AND(E2148="Werken",D2148=""),"Werken zonder klant - koppelen","OK"))))))</f>
        <v/>
      </c>
    </row>
    <row r="2149" ht="15" customHeight="1" s="42">
      <c r="A2149" s="55" t="n"/>
      <c r="B2149" s="56">
        <f>IF(A2149="","",WEEKNUM(A2149,21))</f>
        <v/>
      </c>
      <c r="C2149" s="57" t="n"/>
      <c r="D2149" s="57" t="n"/>
      <c r="E2149" s="58" t="n"/>
      <c r="F2149" s="57" t="n"/>
      <c r="G2149" s="59" t="n"/>
      <c r="H2149" s="59" t="n"/>
      <c r="I2149" s="60">
        <f>IF(OR(G2149="",H2149=""),"",MOD(H2149-G2149,1))</f>
        <v/>
      </c>
      <c r="J2149" s="61">
        <f>IF(OR(G2149="",H2149=""),"",ROUND(MOD(H2149-G2149,1)*24,2))</f>
        <v/>
      </c>
      <c r="K2149" s="62">
        <f>IF(E2149="","",IF(E2149="Werken","JA","NEE"))</f>
        <v/>
      </c>
      <c r="L2149" s="61">
        <f>IF(K2149="JA",N(J2149),IF(E2149="","",0))</f>
        <v/>
      </c>
      <c r="M2149" s="62">
        <f>IF(AND(A2149="",E2149=""),"",IF(E2149="","Segment ontbreekt",IF(OR(G2149="",H2149=""),"Van/tot ontbreekt",IF(N(J2149)=0,"Duur is nul",IF(N(J2149)&gt;12,"Langer dan 12 uur - controleren",IF(AND(E2149="Werken",D2149=""),"Werken zonder klant - koppelen","OK"))))))</f>
        <v/>
      </c>
    </row>
    <row r="2150" ht="15" customHeight="1" s="42">
      <c r="A2150" s="55" t="n"/>
      <c r="B2150" s="56">
        <f>IF(A2150="","",WEEKNUM(A2150,21))</f>
        <v/>
      </c>
      <c r="C2150" s="57" t="n"/>
      <c r="D2150" s="57" t="n"/>
      <c r="E2150" s="58" t="n"/>
      <c r="F2150" s="57" t="n"/>
      <c r="G2150" s="59" t="n"/>
      <c r="H2150" s="59" t="n"/>
      <c r="I2150" s="60">
        <f>IF(OR(G2150="",H2150=""),"",MOD(H2150-G2150,1))</f>
        <v/>
      </c>
      <c r="J2150" s="61">
        <f>IF(OR(G2150="",H2150=""),"",ROUND(MOD(H2150-G2150,1)*24,2))</f>
        <v/>
      </c>
      <c r="K2150" s="62">
        <f>IF(E2150="","",IF(E2150="Werken","JA","NEE"))</f>
        <v/>
      </c>
      <c r="L2150" s="61">
        <f>IF(K2150="JA",N(J2150),IF(E2150="","",0))</f>
        <v/>
      </c>
      <c r="M2150" s="62">
        <f>IF(AND(A2150="",E2150=""),"",IF(E2150="","Segment ontbreekt",IF(OR(G2150="",H2150=""),"Van/tot ontbreekt",IF(N(J2150)=0,"Duur is nul",IF(N(J2150)&gt;12,"Langer dan 12 uur - controleren",IF(AND(E2150="Werken",D2150=""),"Werken zonder klant - koppelen","OK"))))))</f>
        <v/>
      </c>
    </row>
    <row r="2151" ht="15" customHeight="1" s="42">
      <c r="A2151" s="55" t="n"/>
      <c r="B2151" s="56">
        <f>IF(A2151="","",WEEKNUM(A2151,21))</f>
        <v/>
      </c>
      <c r="C2151" s="57" t="n"/>
      <c r="D2151" s="57" t="n"/>
      <c r="E2151" s="58" t="n"/>
      <c r="F2151" s="57" t="n"/>
      <c r="G2151" s="59" t="n"/>
      <c r="H2151" s="59" t="n"/>
      <c r="I2151" s="60">
        <f>IF(OR(G2151="",H2151=""),"",MOD(H2151-G2151,1))</f>
        <v/>
      </c>
      <c r="J2151" s="61">
        <f>IF(OR(G2151="",H2151=""),"",ROUND(MOD(H2151-G2151,1)*24,2))</f>
        <v/>
      </c>
      <c r="K2151" s="62">
        <f>IF(E2151="","",IF(E2151="Werken","JA","NEE"))</f>
        <v/>
      </c>
      <c r="L2151" s="61">
        <f>IF(K2151="JA",N(J2151),IF(E2151="","",0))</f>
        <v/>
      </c>
      <c r="M2151" s="62">
        <f>IF(AND(A2151="",E2151=""),"",IF(E2151="","Segment ontbreekt",IF(OR(G2151="",H2151=""),"Van/tot ontbreekt",IF(N(J2151)=0,"Duur is nul",IF(N(J2151)&gt;12,"Langer dan 12 uur - controleren",IF(AND(E2151="Werken",D2151=""),"Werken zonder klant - koppelen","OK"))))))</f>
        <v/>
      </c>
    </row>
    <row r="2152" ht="15" customHeight="1" s="42">
      <c r="A2152" s="55" t="n"/>
      <c r="B2152" s="56">
        <f>IF(A2152="","",WEEKNUM(A2152,21))</f>
        <v/>
      </c>
      <c r="C2152" s="57" t="n"/>
      <c r="D2152" s="57" t="n"/>
      <c r="E2152" s="58" t="n"/>
      <c r="F2152" s="57" t="n"/>
      <c r="G2152" s="59" t="n"/>
      <c r="H2152" s="59" t="n"/>
      <c r="I2152" s="60">
        <f>IF(OR(G2152="",H2152=""),"",MOD(H2152-G2152,1))</f>
        <v/>
      </c>
      <c r="J2152" s="61">
        <f>IF(OR(G2152="",H2152=""),"",ROUND(MOD(H2152-G2152,1)*24,2))</f>
        <v/>
      </c>
      <c r="K2152" s="62">
        <f>IF(E2152="","",IF(E2152="Werken","JA","NEE"))</f>
        <v/>
      </c>
      <c r="L2152" s="61">
        <f>IF(K2152="JA",N(J2152),IF(E2152="","",0))</f>
        <v/>
      </c>
      <c r="M2152" s="62">
        <f>IF(AND(A2152="",E2152=""),"",IF(E2152="","Segment ontbreekt",IF(OR(G2152="",H2152=""),"Van/tot ontbreekt",IF(N(J2152)=0,"Duur is nul",IF(N(J2152)&gt;12,"Langer dan 12 uur - controleren",IF(AND(E2152="Werken",D2152=""),"Werken zonder klant - koppelen","OK"))))))</f>
        <v/>
      </c>
    </row>
    <row r="2153" ht="15" customHeight="1" s="42">
      <c r="A2153" s="55" t="n"/>
      <c r="B2153" s="56">
        <f>IF(A2153="","",WEEKNUM(A2153,21))</f>
        <v/>
      </c>
      <c r="C2153" s="57" t="n"/>
      <c r="D2153" s="57" t="n"/>
      <c r="E2153" s="58" t="n"/>
      <c r="F2153" s="57" t="n"/>
      <c r="G2153" s="59" t="n"/>
      <c r="H2153" s="59" t="n"/>
      <c r="I2153" s="60">
        <f>IF(OR(G2153="",H2153=""),"",MOD(H2153-G2153,1))</f>
        <v/>
      </c>
      <c r="J2153" s="61">
        <f>IF(OR(G2153="",H2153=""),"",ROUND(MOD(H2153-G2153,1)*24,2))</f>
        <v/>
      </c>
      <c r="K2153" s="62">
        <f>IF(E2153="","",IF(E2153="Werken","JA","NEE"))</f>
        <v/>
      </c>
      <c r="L2153" s="61">
        <f>IF(K2153="JA",N(J2153),IF(E2153="","",0))</f>
        <v/>
      </c>
      <c r="M2153" s="62">
        <f>IF(AND(A2153="",E2153=""),"",IF(E2153="","Segment ontbreekt",IF(OR(G2153="",H2153=""),"Van/tot ontbreekt",IF(N(J2153)=0,"Duur is nul",IF(N(J2153)&gt;12,"Langer dan 12 uur - controleren",IF(AND(E2153="Werken",D2153=""),"Werken zonder klant - koppelen","OK"))))))</f>
        <v/>
      </c>
    </row>
    <row r="2154" ht="15" customHeight="1" s="42">
      <c r="A2154" s="55" t="n"/>
      <c r="B2154" s="56">
        <f>IF(A2154="","",WEEKNUM(A2154,21))</f>
        <v/>
      </c>
      <c r="C2154" s="57" t="n"/>
      <c r="D2154" s="57" t="n"/>
      <c r="E2154" s="58" t="n"/>
      <c r="F2154" s="57" t="n"/>
      <c r="G2154" s="59" t="n"/>
      <c r="H2154" s="59" t="n"/>
      <c r="I2154" s="60">
        <f>IF(OR(G2154="",H2154=""),"",MOD(H2154-G2154,1))</f>
        <v/>
      </c>
      <c r="J2154" s="61">
        <f>IF(OR(G2154="",H2154=""),"",ROUND(MOD(H2154-G2154,1)*24,2))</f>
        <v/>
      </c>
      <c r="K2154" s="62">
        <f>IF(E2154="","",IF(E2154="Werken","JA","NEE"))</f>
        <v/>
      </c>
      <c r="L2154" s="61">
        <f>IF(K2154="JA",N(J2154),IF(E2154="","",0))</f>
        <v/>
      </c>
      <c r="M2154" s="62">
        <f>IF(AND(A2154="",E2154=""),"",IF(E2154="","Segment ontbreekt",IF(OR(G2154="",H2154=""),"Van/tot ontbreekt",IF(N(J2154)=0,"Duur is nul",IF(N(J2154)&gt;12,"Langer dan 12 uur - controleren",IF(AND(E2154="Werken",D2154=""),"Werken zonder klant - koppelen","OK"))))))</f>
        <v/>
      </c>
    </row>
    <row r="2155" ht="15" customHeight="1" s="42">
      <c r="A2155" s="55" t="n"/>
      <c r="B2155" s="56">
        <f>IF(A2155="","",WEEKNUM(A2155,21))</f>
        <v/>
      </c>
      <c r="C2155" s="57" t="n"/>
      <c r="D2155" s="57" t="n"/>
      <c r="E2155" s="58" t="n"/>
      <c r="F2155" s="57" t="n"/>
      <c r="G2155" s="59" t="n"/>
      <c r="H2155" s="59" t="n"/>
      <c r="I2155" s="60">
        <f>IF(OR(G2155="",H2155=""),"",MOD(H2155-G2155,1))</f>
        <v/>
      </c>
      <c r="J2155" s="61">
        <f>IF(OR(G2155="",H2155=""),"",ROUND(MOD(H2155-G2155,1)*24,2))</f>
        <v/>
      </c>
      <c r="K2155" s="62">
        <f>IF(E2155="","",IF(E2155="Werken","JA","NEE"))</f>
        <v/>
      </c>
      <c r="L2155" s="61">
        <f>IF(K2155="JA",N(J2155),IF(E2155="","",0))</f>
        <v/>
      </c>
      <c r="M2155" s="62">
        <f>IF(AND(A2155="",E2155=""),"",IF(E2155="","Segment ontbreekt",IF(OR(G2155="",H2155=""),"Van/tot ontbreekt",IF(N(J2155)=0,"Duur is nul",IF(N(J2155)&gt;12,"Langer dan 12 uur - controleren",IF(AND(E2155="Werken",D2155=""),"Werken zonder klant - koppelen","OK"))))))</f>
        <v/>
      </c>
    </row>
    <row r="2156" ht="15" customHeight="1" s="42">
      <c r="A2156" s="55" t="n"/>
      <c r="B2156" s="56">
        <f>IF(A2156="","",WEEKNUM(A2156,21))</f>
        <v/>
      </c>
      <c r="C2156" s="57" t="n"/>
      <c r="D2156" s="57" t="n"/>
      <c r="E2156" s="58" t="n"/>
      <c r="F2156" s="57" t="n"/>
      <c r="G2156" s="59" t="n"/>
      <c r="H2156" s="59" t="n"/>
      <c r="I2156" s="60">
        <f>IF(OR(G2156="",H2156=""),"",MOD(H2156-G2156,1))</f>
        <v/>
      </c>
      <c r="J2156" s="61">
        <f>IF(OR(G2156="",H2156=""),"",ROUND(MOD(H2156-G2156,1)*24,2))</f>
        <v/>
      </c>
      <c r="K2156" s="62">
        <f>IF(E2156="","",IF(E2156="Werken","JA","NEE"))</f>
        <v/>
      </c>
      <c r="L2156" s="61">
        <f>IF(K2156="JA",N(J2156),IF(E2156="","",0))</f>
        <v/>
      </c>
      <c r="M2156" s="62">
        <f>IF(AND(A2156="",E2156=""),"",IF(E2156="","Segment ontbreekt",IF(OR(G2156="",H2156=""),"Van/tot ontbreekt",IF(N(J2156)=0,"Duur is nul",IF(N(J2156)&gt;12,"Langer dan 12 uur - controleren",IF(AND(E2156="Werken",D2156=""),"Werken zonder klant - koppelen","OK"))))))</f>
        <v/>
      </c>
    </row>
    <row r="2157" ht="15" customHeight="1" s="42">
      <c r="A2157" s="55" t="n"/>
      <c r="B2157" s="56">
        <f>IF(A2157="","",WEEKNUM(A2157,21))</f>
        <v/>
      </c>
      <c r="C2157" s="57" t="n"/>
      <c r="D2157" s="57" t="n"/>
      <c r="E2157" s="58" t="n"/>
      <c r="F2157" s="57" t="n"/>
      <c r="G2157" s="59" t="n"/>
      <c r="H2157" s="59" t="n"/>
      <c r="I2157" s="60">
        <f>IF(OR(G2157="",H2157=""),"",MOD(H2157-G2157,1))</f>
        <v/>
      </c>
      <c r="J2157" s="61">
        <f>IF(OR(G2157="",H2157=""),"",ROUND(MOD(H2157-G2157,1)*24,2))</f>
        <v/>
      </c>
      <c r="K2157" s="62">
        <f>IF(E2157="","",IF(E2157="Werken","JA","NEE"))</f>
        <v/>
      </c>
      <c r="L2157" s="61">
        <f>IF(K2157="JA",N(J2157),IF(E2157="","",0))</f>
        <v/>
      </c>
      <c r="M2157" s="62">
        <f>IF(AND(A2157="",E2157=""),"",IF(E2157="","Segment ontbreekt",IF(OR(G2157="",H2157=""),"Van/tot ontbreekt",IF(N(J2157)=0,"Duur is nul",IF(N(J2157)&gt;12,"Langer dan 12 uur - controleren",IF(AND(E2157="Werken",D2157=""),"Werken zonder klant - koppelen","OK"))))))</f>
        <v/>
      </c>
    </row>
    <row r="2158" ht="15" customHeight="1" s="42">
      <c r="A2158" s="55" t="n"/>
      <c r="B2158" s="56">
        <f>IF(A2158="","",WEEKNUM(A2158,21))</f>
        <v/>
      </c>
      <c r="C2158" s="57" t="n"/>
      <c r="D2158" s="57" t="n"/>
      <c r="E2158" s="58" t="n"/>
      <c r="F2158" s="57" t="n"/>
      <c r="G2158" s="59" t="n"/>
      <c r="H2158" s="59" t="n"/>
      <c r="I2158" s="60">
        <f>IF(OR(G2158="",H2158=""),"",MOD(H2158-G2158,1))</f>
        <v/>
      </c>
      <c r="J2158" s="61">
        <f>IF(OR(G2158="",H2158=""),"",ROUND(MOD(H2158-G2158,1)*24,2))</f>
        <v/>
      </c>
      <c r="K2158" s="62">
        <f>IF(E2158="","",IF(E2158="Werken","JA","NEE"))</f>
        <v/>
      </c>
      <c r="L2158" s="61">
        <f>IF(K2158="JA",N(J2158),IF(E2158="","",0))</f>
        <v/>
      </c>
      <c r="M2158" s="62">
        <f>IF(AND(A2158="",E2158=""),"",IF(E2158="","Segment ontbreekt",IF(OR(G2158="",H2158=""),"Van/tot ontbreekt",IF(N(J2158)=0,"Duur is nul",IF(N(J2158)&gt;12,"Langer dan 12 uur - controleren",IF(AND(E2158="Werken",D2158=""),"Werken zonder klant - koppelen","OK"))))))</f>
        <v/>
      </c>
    </row>
    <row r="2159" ht="15" customHeight="1" s="42">
      <c r="A2159" s="55" t="n"/>
      <c r="B2159" s="56">
        <f>IF(A2159="","",WEEKNUM(A2159,21))</f>
        <v/>
      </c>
      <c r="C2159" s="57" t="n"/>
      <c r="D2159" s="57" t="n"/>
      <c r="E2159" s="58" t="n"/>
      <c r="F2159" s="57" t="n"/>
      <c r="G2159" s="59" t="n"/>
      <c r="H2159" s="59" t="n"/>
      <c r="I2159" s="60">
        <f>IF(OR(G2159="",H2159=""),"",MOD(H2159-G2159,1))</f>
        <v/>
      </c>
      <c r="J2159" s="61">
        <f>IF(OR(G2159="",H2159=""),"",ROUND(MOD(H2159-G2159,1)*24,2))</f>
        <v/>
      </c>
      <c r="K2159" s="62">
        <f>IF(E2159="","",IF(E2159="Werken","JA","NEE"))</f>
        <v/>
      </c>
      <c r="L2159" s="61">
        <f>IF(K2159="JA",N(J2159),IF(E2159="","",0))</f>
        <v/>
      </c>
      <c r="M2159" s="62">
        <f>IF(AND(A2159="",E2159=""),"",IF(E2159="","Segment ontbreekt",IF(OR(G2159="",H2159=""),"Van/tot ontbreekt",IF(N(J2159)=0,"Duur is nul",IF(N(J2159)&gt;12,"Langer dan 12 uur - controleren",IF(AND(E2159="Werken",D2159=""),"Werken zonder klant - koppelen","OK"))))))</f>
        <v/>
      </c>
    </row>
    <row r="2160" ht="15" customHeight="1" s="42">
      <c r="A2160" s="55" t="n"/>
      <c r="B2160" s="56">
        <f>IF(A2160="","",WEEKNUM(A2160,21))</f>
        <v/>
      </c>
      <c r="C2160" s="57" t="n"/>
      <c r="D2160" s="57" t="n"/>
      <c r="E2160" s="58" t="n"/>
      <c r="F2160" s="57" t="n"/>
      <c r="G2160" s="59" t="n"/>
      <c r="H2160" s="59" t="n"/>
      <c r="I2160" s="60">
        <f>IF(OR(G2160="",H2160=""),"",MOD(H2160-G2160,1))</f>
        <v/>
      </c>
      <c r="J2160" s="61">
        <f>IF(OR(G2160="",H2160=""),"",ROUND(MOD(H2160-G2160,1)*24,2))</f>
        <v/>
      </c>
      <c r="K2160" s="62">
        <f>IF(E2160="","",IF(E2160="Werken","JA","NEE"))</f>
        <v/>
      </c>
      <c r="L2160" s="61">
        <f>IF(K2160="JA",N(J2160),IF(E2160="","",0))</f>
        <v/>
      </c>
      <c r="M2160" s="62">
        <f>IF(AND(A2160="",E2160=""),"",IF(E2160="","Segment ontbreekt",IF(OR(G2160="",H2160=""),"Van/tot ontbreekt",IF(N(J2160)=0,"Duur is nul",IF(N(J2160)&gt;12,"Langer dan 12 uur - controleren",IF(AND(E2160="Werken",D2160=""),"Werken zonder klant - koppelen","OK"))))))</f>
        <v/>
      </c>
    </row>
    <row r="2161" ht="15" customHeight="1" s="42">
      <c r="A2161" s="55" t="n"/>
      <c r="B2161" s="56">
        <f>IF(A2161="","",WEEKNUM(A2161,21))</f>
        <v/>
      </c>
      <c r="C2161" s="57" t="n"/>
      <c r="D2161" s="57" t="n"/>
      <c r="E2161" s="58" t="n"/>
      <c r="F2161" s="57" t="n"/>
      <c r="G2161" s="59" t="n"/>
      <c r="H2161" s="59" t="n"/>
      <c r="I2161" s="60">
        <f>IF(OR(G2161="",H2161=""),"",MOD(H2161-G2161,1))</f>
        <v/>
      </c>
      <c r="J2161" s="61">
        <f>IF(OR(G2161="",H2161=""),"",ROUND(MOD(H2161-G2161,1)*24,2))</f>
        <v/>
      </c>
      <c r="K2161" s="62">
        <f>IF(E2161="","",IF(E2161="Werken","JA","NEE"))</f>
        <v/>
      </c>
      <c r="L2161" s="61">
        <f>IF(K2161="JA",N(J2161),IF(E2161="","",0))</f>
        <v/>
      </c>
      <c r="M2161" s="62">
        <f>IF(AND(A2161="",E2161=""),"",IF(E2161="","Segment ontbreekt",IF(OR(G2161="",H2161=""),"Van/tot ontbreekt",IF(N(J2161)=0,"Duur is nul",IF(N(J2161)&gt;12,"Langer dan 12 uur - controleren",IF(AND(E2161="Werken",D2161=""),"Werken zonder klant - koppelen","OK"))))))</f>
        <v/>
      </c>
    </row>
    <row r="2162" ht="15" customHeight="1" s="42">
      <c r="A2162" s="55" t="n"/>
      <c r="B2162" s="56">
        <f>IF(A2162="","",WEEKNUM(A2162,21))</f>
        <v/>
      </c>
      <c r="C2162" s="57" t="n"/>
      <c r="D2162" s="57" t="n"/>
      <c r="E2162" s="58" t="n"/>
      <c r="F2162" s="57" t="n"/>
      <c r="G2162" s="59" t="n"/>
      <c r="H2162" s="59" t="n"/>
      <c r="I2162" s="60">
        <f>IF(OR(G2162="",H2162=""),"",MOD(H2162-G2162,1))</f>
        <v/>
      </c>
      <c r="J2162" s="61">
        <f>IF(OR(G2162="",H2162=""),"",ROUND(MOD(H2162-G2162,1)*24,2))</f>
        <v/>
      </c>
      <c r="K2162" s="62">
        <f>IF(E2162="","",IF(E2162="Werken","JA","NEE"))</f>
        <v/>
      </c>
      <c r="L2162" s="61">
        <f>IF(K2162="JA",N(J2162),IF(E2162="","",0))</f>
        <v/>
      </c>
      <c r="M2162" s="62">
        <f>IF(AND(A2162="",E2162=""),"",IF(E2162="","Segment ontbreekt",IF(OR(G2162="",H2162=""),"Van/tot ontbreekt",IF(N(J2162)=0,"Duur is nul",IF(N(J2162)&gt;12,"Langer dan 12 uur - controleren",IF(AND(E2162="Werken",D2162=""),"Werken zonder klant - koppelen","OK"))))))</f>
        <v/>
      </c>
    </row>
    <row r="2163" ht="15" customHeight="1" s="42">
      <c r="A2163" s="55" t="n"/>
      <c r="B2163" s="56">
        <f>IF(A2163="","",WEEKNUM(A2163,21))</f>
        <v/>
      </c>
      <c r="C2163" s="57" t="n"/>
      <c r="D2163" s="57" t="n"/>
      <c r="E2163" s="58" t="n"/>
      <c r="F2163" s="57" t="n"/>
      <c r="G2163" s="59" t="n"/>
      <c r="H2163" s="59" t="n"/>
      <c r="I2163" s="60">
        <f>IF(OR(G2163="",H2163=""),"",MOD(H2163-G2163,1))</f>
        <v/>
      </c>
      <c r="J2163" s="61">
        <f>IF(OR(G2163="",H2163=""),"",ROUND(MOD(H2163-G2163,1)*24,2))</f>
        <v/>
      </c>
      <c r="K2163" s="62">
        <f>IF(E2163="","",IF(E2163="Werken","JA","NEE"))</f>
        <v/>
      </c>
      <c r="L2163" s="61">
        <f>IF(K2163="JA",N(J2163),IF(E2163="","",0))</f>
        <v/>
      </c>
      <c r="M2163" s="62">
        <f>IF(AND(A2163="",E2163=""),"",IF(E2163="","Segment ontbreekt",IF(OR(G2163="",H2163=""),"Van/tot ontbreekt",IF(N(J2163)=0,"Duur is nul",IF(N(J2163)&gt;12,"Langer dan 12 uur - controleren",IF(AND(E2163="Werken",D2163=""),"Werken zonder klant - koppelen","OK"))))))</f>
        <v/>
      </c>
    </row>
    <row r="2164" ht="15" customHeight="1" s="42">
      <c r="A2164" s="55" t="n"/>
      <c r="B2164" s="56">
        <f>IF(A2164="","",WEEKNUM(A2164,21))</f>
        <v/>
      </c>
      <c r="C2164" s="57" t="n"/>
      <c r="D2164" s="57" t="n"/>
      <c r="E2164" s="58" t="n"/>
      <c r="F2164" s="57" t="n"/>
      <c r="G2164" s="59" t="n"/>
      <c r="H2164" s="59" t="n"/>
      <c r="I2164" s="60">
        <f>IF(OR(G2164="",H2164=""),"",MOD(H2164-G2164,1))</f>
        <v/>
      </c>
      <c r="J2164" s="61">
        <f>IF(OR(G2164="",H2164=""),"",ROUND(MOD(H2164-G2164,1)*24,2))</f>
        <v/>
      </c>
      <c r="K2164" s="62">
        <f>IF(E2164="","",IF(E2164="Werken","JA","NEE"))</f>
        <v/>
      </c>
      <c r="L2164" s="61">
        <f>IF(K2164="JA",N(J2164),IF(E2164="","",0))</f>
        <v/>
      </c>
      <c r="M2164" s="62">
        <f>IF(AND(A2164="",E2164=""),"",IF(E2164="","Segment ontbreekt",IF(OR(G2164="",H2164=""),"Van/tot ontbreekt",IF(N(J2164)=0,"Duur is nul",IF(N(J2164)&gt;12,"Langer dan 12 uur - controleren",IF(AND(E2164="Werken",D2164=""),"Werken zonder klant - koppelen","OK"))))))</f>
        <v/>
      </c>
    </row>
    <row r="2165" ht="15" customHeight="1" s="42">
      <c r="A2165" s="55" t="n"/>
      <c r="B2165" s="56">
        <f>IF(A2165="","",WEEKNUM(A2165,21))</f>
        <v/>
      </c>
      <c r="C2165" s="57" t="n"/>
      <c r="D2165" s="57" t="n"/>
      <c r="E2165" s="58" t="n"/>
      <c r="F2165" s="57" t="n"/>
      <c r="G2165" s="59" t="n"/>
      <c r="H2165" s="59" t="n"/>
      <c r="I2165" s="60">
        <f>IF(OR(G2165="",H2165=""),"",MOD(H2165-G2165,1))</f>
        <v/>
      </c>
      <c r="J2165" s="61">
        <f>IF(OR(G2165="",H2165=""),"",ROUND(MOD(H2165-G2165,1)*24,2))</f>
        <v/>
      </c>
      <c r="K2165" s="62">
        <f>IF(E2165="","",IF(E2165="Werken","JA","NEE"))</f>
        <v/>
      </c>
      <c r="L2165" s="61">
        <f>IF(K2165="JA",N(J2165),IF(E2165="","",0))</f>
        <v/>
      </c>
      <c r="M2165" s="62">
        <f>IF(AND(A2165="",E2165=""),"",IF(E2165="","Segment ontbreekt",IF(OR(G2165="",H2165=""),"Van/tot ontbreekt",IF(N(J2165)=0,"Duur is nul",IF(N(J2165)&gt;12,"Langer dan 12 uur - controleren",IF(AND(E2165="Werken",D2165=""),"Werken zonder klant - koppelen","OK"))))))</f>
        <v/>
      </c>
    </row>
    <row r="2166" ht="15" customHeight="1" s="42">
      <c r="A2166" s="55" t="n"/>
      <c r="B2166" s="56">
        <f>IF(A2166="","",WEEKNUM(A2166,21))</f>
        <v/>
      </c>
      <c r="C2166" s="57" t="n"/>
      <c r="D2166" s="57" t="n"/>
      <c r="E2166" s="58" t="n"/>
      <c r="F2166" s="57" t="n"/>
      <c r="G2166" s="59" t="n"/>
      <c r="H2166" s="59" t="n"/>
      <c r="I2166" s="60">
        <f>IF(OR(G2166="",H2166=""),"",MOD(H2166-G2166,1))</f>
        <v/>
      </c>
      <c r="J2166" s="61">
        <f>IF(OR(G2166="",H2166=""),"",ROUND(MOD(H2166-G2166,1)*24,2))</f>
        <v/>
      </c>
      <c r="K2166" s="62">
        <f>IF(E2166="","",IF(E2166="Werken","JA","NEE"))</f>
        <v/>
      </c>
      <c r="L2166" s="61">
        <f>IF(K2166="JA",N(J2166),IF(E2166="","",0))</f>
        <v/>
      </c>
      <c r="M2166" s="62">
        <f>IF(AND(A2166="",E2166=""),"",IF(E2166="","Segment ontbreekt",IF(OR(G2166="",H2166=""),"Van/tot ontbreekt",IF(N(J2166)=0,"Duur is nul",IF(N(J2166)&gt;12,"Langer dan 12 uur - controleren",IF(AND(E2166="Werken",D2166=""),"Werken zonder klant - koppelen","OK"))))))</f>
        <v/>
      </c>
    </row>
    <row r="2167" ht="15" customHeight="1" s="42">
      <c r="A2167" s="55" t="n"/>
      <c r="B2167" s="56">
        <f>IF(A2167="","",WEEKNUM(A2167,21))</f>
        <v/>
      </c>
      <c r="C2167" s="57" t="n"/>
      <c r="D2167" s="57" t="n"/>
      <c r="E2167" s="58" t="n"/>
      <c r="F2167" s="57" t="n"/>
      <c r="G2167" s="59" t="n"/>
      <c r="H2167" s="59" t="n"/>
      <c r="I2167" s="60">
        <f>IF(OR(G2167="",H2167=""),"",MOD(H2167-G2167,1))</f>
        <v/>
      </c>
      <c r="J2167" s="61">
        <f>IF(OR(G2167="",H2167=""),"",ROUND(MOD(H2167-G2167,1)*24,2))</f>
        <v/>
      </c>
      <c r="K2167" s="62">
        <f>IF(E2167="","",IF(E2167="Werken","JA","NEE"))</f>
        <v/>
      </c>
      <c r="L2167" s="61">
        <f>IF(K2167="JA",N(J2167),IF(E2167="","",0))</f>
        <v/>
      </c>
      <c r="M2167" s="62">
        <f>IF(AND(A2167="",E2167=""),"",IF(E2167="","Segment ontbreekt",IF(OR(G2167="",H2167=""),"Van/tot ontbreekt",IF(N(J2167)=0,"Duur is nul",IF(N(J2167)&gt;12,"Langer dan 12 uur - controleren",IF(AND(E2167="Werken",D2167=""),"Werken zonder klant - koppelen","OK"))))))</f>
        <v/>
      </c>
    </row>
    <row r="2168" ht="15" customHeight="1" s="42">
      <c r="A2168" s="55" t="n"/>
      <c r="B2168" s="56">
        <f>IF(A2168="","",WEEKNUM(A2168,21))</f>
        <v/>
      </c>
      <c r="C2168" s="57" t="n"/>
      <c r="D2168" s="57" t="n"/>
      <c r="E2168" s="58" t="n"/>
      <c r="F2168" s="57" t="n"/>
      <c r="G2168" s="59" t="n"/>
      <c r="H2168" s="59" t="n"/>
      <c r="I2168" s="60">
        <f>IF(OR(G2168="",H2168=""),"",MOD(H2168-G2168,1))</f>
        <v/>
      </c>
      <c r="J2168" s="61">
        <f>IF(OR(G2168="",H2168=""),"",ROUND(MOD(H2168-G2168,1)*24,2))</f>
        <v/>
      </c>
      <c r="K2168" s="62">
        <f>IF(E2168="","",IF(E2168="Werken","JA","NEE"))</f>
        <v/>
      </c>
      <c r="L2168" s="61">
        <f>IF(K2168="JA",N(J2168),IF(E2168="","",0))</f>
        <v/>
      </c>
      <c r="M2168" s="62">
        <f>IF(AND(A2168="",E2168=""),"",IF(E2168="","Segment ontbreekt",IF(OR(G2168="",H2168=""),"Van/tot ontbreekt",IF(N(J2168)=0,"Duur is nul",IF(N(J2168)&gt;12,"Langer dan 12 uur - controleren",IF(AND(E2168="Werken",D2168=""),"Werken zonder klant - koppelen","OK"))))))</f>
        <v/>
      </c>
    </row>
    <row r="2169" ht="15" customHeight="1" s="42">
      <c r="A2169" s="55" t="n"/>
      <c r="B2169" s="56">
        <f>IF(A2169="","",WEEKNUM(A2169,21))</f>
        <v/>
      </c>
      <c r="C2169" s="57" t="n"/>
      <c r="D2169" s="57" t="n"/>
      <c r="E2169" s="58" t="n"/>
      <c r="F2169" s="57" t="n"/>
      <c r="G2169" s="59" t="n"/>
      <c r="H2169" s="59" t="n"/>
      <c r="I2169" s="60">
        <f>IF(OR(G2169="",H2169=""),"",MOD(H2169-G2169,1))</f>
        <v/>
      </c>
      <c r="J2169" s="61">
        <f>IF(OR(G2169="",H2169=""),"",ROUND(MOD(H2169-G2169,1)*24,2))</f>
        <v/>
      </c>
      <c r="K2169" s="62">
        <f>IF(E2169="","",IF(E2169="Werken","JA","NEE"))</f>
        <v/>
      </c>
      <c r="L2169" s="61">
        <f>IF(K2169="JA",N(J2169),IF(E2169="","",0))</f>
        <v/>
      </c>
      <c r="M2169" s="62">
        <f>IF(AND(A2169="",E2169=""),"",IF(E2169="","Segment ontbreekt",IF(OR(G2169="",H2169=""),"Van/tot ontbreekt",IF(N(J2169)=0,"Duur is nul",IF(N(J2169)&gt;12,"Langer dan 12 uur - controleren",IF(AND(E2169="Werken",D2169=""),"Werken zonder klant - koppelen","OK"))))))</f>
        <v/>
      </c>
    </row>
    <row r="2170" ht="15" customHeight="1" s="42">
      <c r="A2170" s="55" t="n"/>
      <c r="B2170" s="56">
        <f>IF(A2170="","",WEEKNUM(A2170,21))</f>
        <v/>
      </c>
      <c r="C2170" s="57" t="n"/>
      <c r="D2170" s="57" t="n"/>
      <c r="E2170" s="58" t="n"/>
      <c r="F2170" s="57" t="n"/>
      <c r="G2170" s="59" t="n"/>
      <c r="H2170" s="59" t="n"/>
      <c r="I2170" s="60">
        <f>IF(OR(G2170="",H2170=""),"",MOD(H2170-G2170,1))</f>
        <v/>
      </c>
      <c r="J2170" s="61">
        <f>IF(OR(G2170="",H2170=""),"",ROUND(MOD(H2170-G2170,1)*24,2))</f>
        <v/>
      </c>
      <c r="K2170" s="62">
        <f>IF(E2170="","",IF(E2170="Werken","JA","NEE"))</f>
        <v/>
      </c>
      <c r="L2170" s="61">
        <f>IF(K2170="JA",N(J2170),IF(E2170="","",0))</f>
        <v/>
      </c>
      <c r="M2170" s="62">
        <f>IF(AND(A2170="",E2170=""),"",IF(E2170="","Segment ontbreekt",IF(OR(G2170="",H2170=""),"Van/tot ontbreekt",IF(N(J2170)=0,"Duur is nul",IF(N(J2170)&gt;12,"Langer dan 12 uur - controleren",IF(AND(E2170="Werken",D2170=""),"Werken zonder klant - koppelen","OK"))))))</f>
        <v/>
      </c>
    </row>
    <row r="2171" ht="15" customHeight="1" s="42">
      <c r="A2171" s="55" t="n"/>
      <c r="B2171" s="56">
        <f>IF(A2171="","",WEEKNUM(A2171,21))</f>
        <v/>
      </c>
      <c r="C2171" s="57" t="n"/>
      <c r="D2171" s="57" t="n"/>
      <c r="E2171" s="58" t="n"/>
      <c r="F2171" s="57" t="n"/>
      <c r="G2171" s="59" t="n"/>
      <c r="H2171" s="59" t="n"/>
      <c r="I2171" s="60">
        <f>IF(OR(G2171="",H2171=""),"",MOD(H2171-G2171,1))</f>
        <v/>
      </c>
      <c r="J2171" s="61">
        <f>IF(OR(G2171="",H2171=""),"",ROUND(MOD(H2171-G2171,1)*24,2))</f>
        <v/>
      </c>
      <c r="K2171" s="62">
        <f>IF(E2171="","",IF(E2171="Werken","JA","NEE"))</f>
        <v/>
      </c>
      <c r="L2171" s="61">
        <f>IF(K2171="JA",N(J2171),IF(E2171="","",0))</f>
        <v/>
      </c>
      <c r="M2171" s="62">
        <f>IF(AND(A2171="",E2171=""),"",IF(E2171="","Segment ontbreekt",IF(OR(G2171="",H2171=""),"Van/tot ontbreekt",IF(N(J2171)=0,"Duur is nul",IF(N(J2171)&gt;12,"Langer dan 12 uur - controleren",IF(AND(E2171="Werken",D2171=""),"Werken zonder klant - koppelen","OK"))))))</f>
        <v/>
      </c>
    </row>
    <row r="2172" ht="15" customHeight="1" s="42">
      <c r="A2172" s="55" t="n"/>
      <c r="B2172" s="56">
        <f>IF(A2172="","",WEEKNUM(A2172,21))</f>
        <v/>
      </c>
      <c r="C2172" s="57" t="n"/>
      <c r="D2172" s="57" t="n"/>
      <c r="E2172" s="58" t="n"/>
      <c r="F2172" s="57" t="n"/>
      <c r="G2172" s="59" t="n"/>
      <c r="H2172" s="59" t="n"/>
      <c r="I2172" s="60">
        <f>IF(OR(G2172="",H2172=""),"",MOD(H2172-G2172,1))</f>
        <v/>
      </c>
      <c r="J2172" s="61">
        <f>IF(OR(G2172="",H2172=""),"",ROUND(MOD(H2172-G2172,1)*24,2))</f>
        <v/>
      </c>
      <c r="K2172" s="62">
        <f>IF(E2172="","",IF(E2172="Werken","JA","NEE"))</f>
        <v/>
      </c>
      <c r="L2172" s="61">
        <f>IF(K2172="JA",N(J2172),IF(E2172="","",0))</f>
        <v/>
      </c>
      <c r="M2172" s="62">
        <f>IF(AND(A2172="",E2172=""),"",IF(E2172="","Segment ontbreekt",IF(OR(G2172="",H2172=""),"Van/tot ontbreekt",IF(N(J2172)=0,"Duur is nul",IF(N(J2172)&gt;12,"Langer dan 12 uur - controleren",IF(AND(E2172="Werken",D2172=""),"Werken zonder klant - koppelen","OK"))))))</f>
        <v/>
      </c>
    </row>
    <row r="2173" ht="15" customHeight="1" s="42">
      <c r="A2173" s="55" t="n"/>
      <c r="B2173" s="56">
        <f>IF(A2173="","",WEEKNUM(A2173,21))</f>
        <v/>
      </c>
      <c r="C2173" s="57" t="n"/>
      <c r="D2173" s="57" t="n"/>
      <c r="E2173" s="58" t="n"/>
      <c r="F2173" s="57" t="n"/>
      <c r="G2173" s="59" t="n"/>
      <c r="H2173" s="59" t="n"/>
      <c r="I2173" s="60">
        <f>IF(OR(G2173="",H2173=""),"",MOD(H2173-G2173,1))</f>
        <v/>
      </c>
      <c r="J2173" s="61">
        <f>IF(OR(G2173="",H2173=""),"",ROUND(MOD(H2173-G2173,1)*24,2))</f>
        <v/>
      </c>
      <c r="K2173" s="62">
        <f>IF(E2173="","",IF(E2173="Werken","JA","NEE"))</f>
        <v/>
      </c>
      <c r="L2173" s="61">
        <f>IF(K2173="JA",N(J2173),IF(E2173="","",0))</f>
        <v/>
      </c>
      <c r="M2173" s="62">
        <f>IF(AND(A2173="",E2173=""),"",IF(E2173="","Segment ontbreekt",IF(OR(G2173="",H2173=""),"Van/tot ontbreekt",IF(N(J2173)=0,"Duur is nul",IF(N(J2173)&gt;12,"Langer dan 12 uur - controleren",IF(AND(E2173="Werken",D2173=""),"Werken zonder klant - koppelen","OK"))))))</f>
        <v/>
      </c>
    </row>
    <row r="2174" ht="15" customHeight="1" s="42">
      <c r="A2174" s="55" t="n"/>
      <c r="B2174" s="56">
        <f>IF(A2174="","",WEEKNUM(A2174,21))</f>
        <v/>
      </c>
      <c r="C2174" s="57" t="n"/>
      <c r="D2174" s="57" t="n"/>
      <c r="E2174" s="58" t="n"/>
      <c r="F2174" s="57" t="n"/>
      <c r="G2174" s="59" t="n"/>
      <c r="H2174" s="59" t="n"/>
      <c r="I2174" s="60">
        <f>IF(OR(G2174="",H2174=""),"",MOD(H2174-G2174,1))</f>
        <v/>
      </c>
      <c r="J2174" s="61">
        <f>IF(OR(G2174="",H2174=""),"",ROUND(MOD(H2174-G2174,1)*24,2))</f>
        <v/>
      </c>
      <c r="K2174" s="62">
        <f>IF(E2174="","",IF(E2174="Werken","JA","NEE"))</f>
        <v/>
      </c>
      <c r="L2174" s="61">
        <f>IF(K2174="JA",N(J2174),IF(E2174="","",0))</f>
        <v/>
      </c>
      <c r="M2174" s="62">
        <f>IF(AND(A2174="",E2174=""),"",IF(E2174="","Segment ontbreekt",IF(OR(G2174="",H2174=""),"Van/tot ontbreekt",IF(N(J2174)=0,"Duur is nul",IF(N(J2174)&gt;12,"Langer dan 12 uur - controleren",IF(AND(E2174="Werken",D2174=""),"Werken zonder klant - koppelen","OK"))))))</f>
        <v/>
      </c>
    </row>
    <row r="2175" ht="15" customHeight="1" s="42">
      <c r="A2175" s="55" t="n"/>
      <c r="B2175" s="56">
        <f>IF(A2175="","",WEEKNUM(A2175,21))</f>
        <v/>
      </c>
      <c r="C2175" s="57" t="n"/>
      <c r="D2175" s="57" t="n"/>
      <c r="E2175" s="58" t="n"/>
      <c r="F2175" s="57" t="n"/>
      <c r="G2175" s="59" t="n"/>
      <c r="H2175" s="59" t="n"/>
      <c r="I2175" s="60">
        <f>IF(OR(G2175="",H2175=""),"",MOD(H2175-G2175,1))</f>
        <v/>
      </c>
      <c r="J2175" s="61">
        <f>IF(OR(G2175="",H2175=""),"",ROUND(MOD(H2175-G2175,1)*24,2))</f>
        <v/>
      </c>
      <c r="K2175" s="62">
        <f>IF(E2175="","",IF(E2175="Werken","JA","NEE"))</f>
        <v/>
      </c>
      <c r="L2175" s="61">
        <f>IF(K2175="JA",N(J2175),IF(E2175="","",0))</f>
        <v/>
      </c>
      <c r="M2175" s="62">
        <f>IF(AND(A2175="",E2175=""),"",IF(E2175="","Segment ontbreekt",IF(OR(G2175="",H2175=""),"Van/tot ontbreekt",IF(N(J2175)=0,"Duur is nul",IF(N(J2175)&gt;12,"Langer dan 12 uur - controleren",IF(AND(E2175="Werken",D2175=""),"Werken zonder klant - koppelen","OK"))))))</f>
        <v/>
      </c>
    </row>
    <row r="2176" ht="15" customHeight="1" s="42">
      <c r="A2176" s="55" t="n"/>
      <c r="B2176" s="56">
        <f>IF(A2176="","",WEEKNUM(A2176,21))</f>
        <v/>
      </c>
      <c r="C2176" s="57" t="n"/>
      <c r="D2176" s="57" t="n"/>
      <c r="E2176" s="58" t="n"/>
      <c r="F2176" s="57" t="n"/>
      <c r="G2176" s="59" t="n"/>
      <c r="H2176" s="59" t="n"/>
      <c r="I2176" s="60">
        <f>IF(OR(G2176="",H2176=""),"",MOD(H2176-G2176,1))</f>
        <v/>
      </c>
      <c r="J2176" s="61">
        <f>IF(OR(G2176="",H2176=""),"",ROUND(MOD(H2176-G2176,1)*24,2))</f>
        <v/>
      </c>
      <c r="K2176" s="62">
        <f>IF(E2176="","",IF(E2176="Werken","JA","NEE"))</f>
        <v/>
      </c>
      <c r="L2176" s="61">
        <f>IF(K2176="JA",N(J2176),IF(E2176="","",0))</f>
        <v/>
      </c>
      <c r="M2176" s="62">
        <f>IF(AND(A2176="",E2176=""),"",IF(E2176="","Segment ontbreekt",IF(OR(G2176="",H2176=""),"Van/tot ontbreekt",IF(N(J2176)=0,"Duur is nul",IF(N(J2176)&gt;12,"Langer dan 12 uur - controleren",IF(AND(E2176="Werken",D2176=""),"Werken zonder klant - koppelen","OK"))))))</f>
        <v/>
      </c>
    </row>
    <row r="2177" ht="15" customHeight="1" s="42">
      <c r="A2177" s="55" t="n"/>
      <c r="B2177" s="56">
        <f>IF(A2177="","",WEEKNUM(A2177,21))</f>
        <v/>
      </c>
      <c r="C2177" s="57" t="n"/>
      <c r="D2177" s="57" t="n"/>
      <c r="E2177" s="58" t="n"/>
      <c r="F2177" s="57" t="n"/>
      <c r="G2177" s="59" t="n"/>
      <c r="H2177" s="59" t="n"/>
      <c r="I2177" s="60">
        <f>IF(OR(G2177="",H2177=""),"",MOD(H2177-G2177,1))</f>
        <v/>
      </c>
      <c r="J2177" s="61">
        <f>IF(OR(G2177="",H2177=""),"",ROUND(MOD(H2177-G2177,1)*24,2))</f>
        <v/>
      </c>
      <c r="K2177" s="62">
        <f>IF(E2177="","",IF(E2177="Werken","JA","NEE"))</f>
        <v/>
      </c>
      <c r="L2177" s="61">
        <f>IF(K2177="JA",N(J2177),IF(E2177="","",0))</f>
        <v/>
      </c>
      <c r="M2177" s="62">
        <f>IF(AND(A2177="",E2177=""),"",IF(E2177="","Segment ontbreekt",IF(OR(G2177="",H2177=""),"Van/tot ontbreekt",IF(N(J2177)=0,"Duur is nul",IF(N(J2177)&gt;12,"Langer dan 12 uur - controleren",IF(AND(E2177="Werken",D2177=""),"Werken zonder klant - koppelen","OK"))))))</f>
        <v/>
      </c>
    </row>
    <row r="2178" ht="15" customHeight="1" s="42">
      <c r="A2178" s="55" t="n"/>
      <c r="B2178" s="56">
        <f>IF(A2178="","",WEEKNUM(A2178,21))</f>
        <v/>
      </c>
      <c r="C2178" s="57" t="n"/>
      <c r="D2178" s="57" t="n"/>
      <c r="E2178" s="58" t="n"/>
      <c r="F2178" s="57" t="n"/>
      <c r="G2178" s="59" t="n"/>
      <c r="H2178" s="59" t="n"/>
      <c r="I2178" s="60">
        <f>IF(OR(G2178="",H2178=""),"",MOD(H2178-G2178,1))</f>
        <v/>
      </c>
      <c r="J2178" s="61">
        <f>IF(OR(G2178="",H2178=""),"",ROUND(MOD(H2178-G2178,1)*24,2))</f>
        <v/>
      </c>
      <c r="K2178" s="62">
        <f>IF(E2178="","",IF(E2178="Werken","JA","NEE"))</f>
        <v/>
      </c>
      <c r="L2178" s="61">
        <f>IF(K2178="JA",N(J2178),IF(E2178="","",0))</f>
        <v/>
      </c>
      <c r="M2178" s="62">
        <f>IF(AND(A2178="",E2178=""),"",IF(E2178="","Segment ontbreekt",IF(OR(G2178="",H2178=""),"Van/tot ontbreekt",IF(N(J2178)=0,"Duur is nul",IF(N(J2178)&gt;12,"Langer dan 12 uur - controleren",IF(AND(E2178="Werken",D2178=""),"Werken zonder klant - koppelen","OK"))))))</f>
        <v/>
      </c>
    </row>
    <row r="2179" ht="15" customHeight="1" s="42">
      <c r="A2179" s="55" t="n"/>
      <c r="B2179" s="56">
        <f>IF(A2179="","",WEEKNUM(A2179,21))</f>
        <v/>
      </c>
      <c r="C2179" s="57" t="n"/>
      <c r="D2179" s="57" t="n"/>
      <c r="E2179" s="58" t="n"/>
      <c r="F2179" s="57" t="n"/>
      <c r="G2179" s="59" t="n"/>
      <c r="H2179" s="59" t="n"/>
      <c r="I2179" s="60">
        <f>IF(OR(G2179="",H2179=""),"",MOD(H2179-G2179,1))</f>
        <v/>
      </c>
      <c r="J2179" s="61">
        <f>IF(OR(G2179="",H2179=""),"",ROUND(MOD(H2179-G2179,1)*24,2))</f>
        <v/>
      </c>
      <c r="K2179" s="62">
        <f>IF(E2179="","",IF(E2179="Werken","JA","NEE"))</f>
        <v/>
      </c>
      <c r="L2179" s="61">
        <f>IF(K2179="JA",N(J2179),IF(E2179="","",0))</f>
        <v/>
      </c>
      <c r="M2179" s="62">
        <f>IF(AND(A2179="",E2179=""),"",IF(E2179="","Segment ontbreekt",IF(OR(G2179="",H2179=""),"Van/tot ontbreekt",IF(N(J2179)=0,"Duur is nul",IF(N(J2179)&gt;12,"Langer dan 12 uur - controleren",IF(AND(E2179="Werken",D2179=""),"Werken zonder klant - koppelen","OK"))))))</f>
        <v/>
      </c>
    </row>
    <row r="2180" ht="15" customHeight="1" s="42">
      <c r="A2180" s="55" t="n"/>
      <c r="B2180" s="56">
        <f>IF(A2180="","",WEEKNUM(A2180,21))</f>
        <v/>
      </c>
      <c r="C2180" s="57" t="n"/>
      <c r="D2180" s="57" t="n"/>
      <c r="E2180" s="58" t="n"/>
      <c r="F2180" s="57" t="n"/>
      <c r="G2180" s="59" t="n"/>
      <c r="H2180" s="59" t="n"/>
      <c r="I2180" s="60">
        <f>IF(OR(G2180="",H2180=""),"",MOD(H2180-G2180,1))</f>
        <v/>
      </c>
      <c r="J2180" s="61">
        <f>IF(OR(G2180="",H2180=""),"",ROUND(MOD(H2180-G2180,1)*24,2))</f>
        <v/>
      </c>
      <c r="K2180" s="62">
        <f>IF(E2180="","",IF(E2180="Werken","JA","NEE"))</f>
        <v/>
      </c>
      <c r="L2180" s="61">
        <f>IF(K2180="JA",N(J2180),IF(E2180="","",0))</f>
        <v/>
      </c>
      <c r="M2180" s="62">
        <f>IF(AND(A2180="",E2180=""),"",IF(E2180="","Segment ontbreekt",IF(OR(G2180="",H2180=""),"Van/tot ontbreekt",IF(N(J2180)=0,"Duur is nul",IF(N(J2180)&gt;12,"Langer dan 12 uur - controleren",IF(AND(E2180="Werken",D2180=""),"Werken zonder klant - koppelen","OK"))))))</f>
        <v/>
      </c>
    </row>
    <row r="2181" ht="15" customHeight="1" s="42">
      <c r="A2181" s="55" t="n"/>
      <c r="B2181" s="56">
        <f>IF(A2181="","",WEEKNUM(A2181,21))</f>
        <v/>
      </c>
      <c r="C2181" s="57" t="n"/>
      <c r="D2181" s="57" t="n"/>
      <c r="E2181" s="58" t="n"/>
      <c r="F2181" s="57" t="n"/>
      <c r="G2181" s="59" t="n"/>
      <c r="H2181" s="59" t="n"/>
      <c r="I2181" s="60">
        <f>IF(OR(G2181="",H2181=""),"",MOD(H2181-G2181,1))</f>
        <v/>
      </c>
      <c r="J2181" s="61">
        <f>IF(OR(G2181="",H2181=""),"",ROUND(MOD(H2181-G2181,1)*24,2))</f>
        <v/>
      </c>
      <c r="K2181" s="62">
        <f>IF(E2181="","",IF(E2181="Werken","JA","NEE"))</f>
        <v/>
      </c>
      <c r="L2181" s="61">
        <f>IF(K2181="JA",N(J2181),IF(E2181="","",0))</f>
        <v/>
      </c>
      <c r="M2181" s="62">
        <f>IF(AND(A2181="",E2181=""),"",IF(E2181="","Segment ontbreekt",IF(OR(G2181="",H2181=""),"Van/tot ontbreekt",IF(N(J2181)=0,"Duur is nul",IF(N(J2181)&gt;12,"Langer dan 12 uur - controleren",IF(AND(E2181="Werken",D2181=""),"Werken zonder klant - koppelen","OK"))))))</f>
        <v/>
      </c>
    </row>
    <row r="2182" ht="15" customHeight="1" s="42">
      <c r="A2182" s="55" t="n"/>
      <c r="B2182" s="56">
        <f>IF(A2182="","",WEEKNUM(A2182,21))</f>
        <v/>
      </c>
      <c r="C2182" s="57" t="n"/>
      <c r="D2182" s="57" t="n"/>
      <c r="E2182" s="58" t="n"/>
      <c r="F2182" s="57" t="n"/>
      <c r="G2182" s="59" t="n"/>
      <c r="H2182" s="59" t="n"/>
      <c r="I2182" s="60">
        <f>IF(OR(G2182="",H2182=""),"",MOD(H2182-G2182,1))</f>
        <v/>
      </c>
      <c r="J2182" s="61">
        <f>IF(OR(G2182="",H2182=""),"",ROUND(MOD(H2182-G2182,1)*24,2))</f>
        <v/>
      </c>
      <c r="K2182" s="62">
        <f>IF(E2182="","",IF(E2182="Werken","JA","NEE"))</f>
        <v/>
      </c>
      <c r="L2182" s="61">
        <f>IF(K2182="JA",N(J2182),IF(E2182="","",0))</f>
        <v/>
      </c>
      <c r="M2182" s="62">
        <f>IF(AND(A2182="",E2182=""),"",IF(E2182="","Segment ontbreekt",IF(OR(G2182="",H2182=""),"Van/tot ontbreekt",IF(N(J2182)=0,"Duur is nul",IF(N(J2182)&gt;12,"Langer dan 12 uur - controleren",IF(AND(E2182="Werken",D2182=""),"Werken zonder klant - koppelen","OK"))))))</f>
        <v/>
      </c>
    </row>
    <row r="2183" ht="15" customHeight="1" s="42">
      <c r="A2183" s="55" t="n"/>
      <c r="B2183" s="56">
        <f>IF(A2183="","",WEEKNUM(A2183,21))</f>
        <v/>
      </c>
      <c r="C2183" s="57" t="n"/>
      <c r="D2183" s="57" t="n"/>
      <c r="E2183" s="58" t="n"/>
      <c r="F2183" s="57" t="n"/>
      <c r="G2183" s="59" t="n"/>
      <c r="H2183" s="59" t="n"/>
      <c r="I2183" s="60">
        <f>IF(OR(G2183="",H2183=""),"",MOD(H2183-G2183,1))</f>
        <v/>
      </c>
      <c r="J2183" s="61">
        <f>IF(OR(G2183="",H2183=""),"",ROUND(MOD(H2183-G2183,1)*24,2))</f>
        <v/>
      </c>
      <c r="K2183" s="62">
        <f>IF(E2183="","",IF(E2183="Werken","JA","NEE"))</f>
        <v/>
      </c>
      <c r="L2183" s="61">
        <f>IF(K2183="JA",N(J2183),IF(E2183="","",0))</f>
        <v/>
      </c>
      <c r="M2183" s="62">
        <f>IF(AND(A2183="",E2183=""),"",IF(E2183="","Segment ontbreekt",IF(OR(G2183="",H2183=""),"Van/tot ontbreekt",IF(N(J2183)=0,"Duur is nul",IF(N(J2183)&gt;12,"Langer dan 12 uur - controleren",IF(AND(E2183="Werken",D2183=""),"Werken zonder klant - koppelen","OK"))))))</f>
        <v/>
      </c>
    </row>
    <row r="2184" ht="15" customHeight="1" s="42">
      <c r="A2184" s="55" t="n"/>
      <c r="B2184" s="56">
        <f>IF(A2184="","",WEEKNUM(A2184,21))</f>
        <v/>
      </c>
      <c r="C2184" s="57" t="n"/>
      <c r="D2184" s="57" t="n"/>
      <c r="E2184" s="58" t="n"/>
      <c r="F2184" s="57" t="n"/>
      <c r="G2184" s="59" t="n"/>
      <c r="H2184" s="59" t="n"/>
      <c r="I2184" s="60">
        <f>IF(OR(G2184="",H2184=""),"",MOD(H2184-G2184,1))</f>
        <v/>
      </c>
      <c r="J2184" s="61">
        <f>IF(OR(G2184="",H2184=""),"",ROUND(MOD(H2184-G2184,1)*24,2))</f>
        <v/>
      </c>
      <c r="K2184" s="62">
        <f>IF(E2184="","",IF(E2184="Werken","JA","NEE"))</f>
        <v/>
      </c>
      <c r="L2184" s="61">
        <f>IF(K2184="JA",N(J2184),IF(E2184="","",0))</f>
        <v/>
      </c>
      <c r="M2184" s="62">
        <f>IF(AND(A2184="",E2184=""),"",IF(E2184="","Segment ontbreekt",IF(OR(G2184="",H2184=""),"Van/tot ontbreekt",IF(N(J2184)=0,"Duur is nul",IF(N(J2184)&gt;12,"Langer dan 12 uur - controleren",IF(AND(E2184="Werken",D2184=""),"Werken zonder klant - koppelen","OK"))))))</f>
        <v/>
      </c>
    </row>
    <row r="2185" ht="15" customHeight="1" s="42">
      <c r="A2185" s="55" t="n"/>
      <c r="B2185" s="56">
        <f>IF(A2185="","",WEEKNUM(A2185,21))</f>
        <v/>
      </c>
      <c r="C2185" s="57" t="n"/>
      <c r="D2185" s="57" t="n"/>
      <c r="E2185" s="58" t="n"/>
      <c r="F2185" s="57" t="n"/>
      <c r="G2185" s="59" t="n"/>
      <c r="H2185" s="59" t="n"/>
      <c r="I2185" s="60">
        <f>IF(OR(G2185="",H2185=""),"",MOD(H2185-G2185,1))</f>
        <v/>
      </c>
      <c r="J2185" s="61">
        <f>IF(OR(G2185="",H2185=""),"",ROUND(MOD(H2185-G2185,1)*24,2))</f>
        <v/>
      </c>
      <c r="K2185" s="62">
        <f>IF(E2185="","",IF(E2185="Werken","JA","NEE"))</f>
        <v/>
      </c>
      <c r="L2185" s="61">
        <f>IF(K2185="JA",N(J2185),IF(E2185="","",0))</f>
        <v/>
      </c>
      <c r="M2185" s="62">
        <f>IF(AND(A2185="",E2185=""),"",IF(E2185="","Segment ontbreekt",IF(OR(G2185="",H2185=""),"Van/tot ontbreekt",IF(N(J2185)=0,"Duur is nul",IF(N(J2185)&gt;12,"Langer dan 12 uur - controleren",IF(AND(E2185="Werken",D2185=""),"Werken zonder klant - koppelen","OK"))))))</f>
        <v/>
      </c>
    </row>
    <row r="2186" ht="15" customHeight="1" s="42">
      <c r="A2186" s="55" t="n"/>
      <c r="B2186" s="56">
        <f>IF(A2186="","",WEEKNUM(A2186,21))</f>
        <v/>
      </c>
      <c r="C2186" s="57" t="n"/>
      <c r="D2186" s="57" t="n"/>
      <c r="E2186" s="58" t="n"/>
      <c r="F2186" s="57" t="n"/>
      <c r="G2186" s="59" t="n"/>
      <c r="H2186" s="59" t="n"/>
      <c r="I2186" s="60">
        <f>IF(OR(G2186="",H2186=""),"",MOD(H2186-G2186,1))</f>
        <v/>
      </c>
      <c r="J2186" s="61">
        <f>IF(OR(G2186="",H2186=""),"",ROUND(MOD(H2186-G2186,1)*24,2))</f>
        <v/>
      </c>
      <c r="K2186" s="62">
        <f>IF(E2186="","",IF(E2186="Werken","JA","NEE"))</f>
        <v/>
      </c>
      <c r="L2186" s="61">
        <f>IF(K2186="JA",N(J2186),IF(E2186="","",0))</f>
        <v/>
      </c>
      <c r="M2186" s="62">
        <f>IF(AND(A2186="",E2186=""),"",IF(E2186="","Segment ontbreekt",IF(OR(G2186="",H2186=""),"Van/tot ontbreekt",IF(N(J2186)=0,"Duur is nul",IF(N(J2186)&gt;12,"Langer dan 12 uur - controleren",IF(AND(E2186="Werken",D2186=""),"Werken zonder klant - koppelen","OK"))))))</f>
        <v/>
      </c>
    </row>
    <row r="2187" ht="15" customHeight="1" s="42">
      <c r="A2187" s="55" t="n"/>
      <c r="B2187" s="56">
        <f>IF(A2187="","",WEEKNUM(A2187,21))</f>
        <v/>
      </c>
      <c r="C2187" s="57" t="n"/>
      <c r="D2187" s="57" t="n"/>
      <c r="E2187" s="58" t="n"/>
      <c r="F2187" s="57" t="n"/>
      <c r="G2187" s="59" t="n"/>
      <c r="H2187" s="59" t="n"/>
      <c r="I2187" s="60">
        <f>IF(OR(G2187="",H2187=""),"",MOD(H2187-G2187,1))</f>
        <v/>
      </c>
      <c r="J2187" s="61">
        <f>IF(OR(G2187="",H2187=""),"",ROUND(MOD(H2187-G2187,1)*24,2))</f>
        <v/>
      </c>
      <c r="K2187" s="62">
        <f>IF(E2187="","",IF(E2187="Werken","JA","NEE"))</f>
        <v/>
      </c>
      <c r="L2187" s="61">
        <f>IF(K2187="JA",N(J2187),IF(E2187="","",0))</f>
        <v/>
      </c>
      <c r="M2187" s="62">
        <f>IF(AND(A2187="",E2187=""),"",IF(E2187="","Segment ontbreekt",IF(OR(G2187="",H2187=""),"Van/tot ontbreekt",IF(N(J2187)=0,"Duur is nul",IF(N(J2187)&gt;12,"Langer dan 12 uur - controleren",IF(AND(E2187="Werken",D2187=""),"Werken zonder klant - koppelen","OK"))))))</f>
        <v/>
      </c>
    </row>
    <row r="2188" ht="15" customHeight="1" s="42">
      <c r="A2188" s="55" t="n"/>
      <c r="B2188" s="56">
        <f>IF(A2188="","",WEEKNUM(A2188,21))</f>
        <v/>
      </c>
      <c r="C2188" s="57" t="n"/>
      <c r="D2188" s="57" t="n"/>
      <c r="E2188" s="58" t="n"/>
      <c r="F2188" s="57" t="n"/>
      <c r="G2188" s="59" t="n"/>
      <c r="H2188" s="59" t="n"/>
      <c r="I2188" s="60">
        <f>IF(OR(G2188="",H2188=""),"",MOD(H2188-G2188,1))</f>
        <v/>
      </c>
      <c r="J2188" s="61">
        <f>IF(OR(G2188="",H2188=""),"",ROUND(MOD(H2188-G2188,1)*24,2))</f>
        <v/>
      </c>
      <c r="K2188" s="62">
        <f>IF(E2188="","",IF(E2188="Werken","JA","NEE"))</f>
        <v/>
      </c>
      <c r="L2188" s="61">
        <f>IF(K2188="JA",N(J2188),IF(E2188="","",0))</f>
        <v/>
      </c>
      <c r="M2188" s="62">
        <f>IF(AND(A2188="",E2188=""),"",IF(E2188="","Segment ontbreekt",IF(OR(G2188="",H2188=""),"Van/tot ontbreekt",IF(N(J2188)=0,"Duur is nul",IF(N(J2188)&gt;12,"Langer dan 12 uur - controleren",IF(AND(E2188="Werken",D2188=""),"Werken zonder klant - koppelen","OK"))))))</f>
        <v/>
      </c>
    </row>
    <row r="2189" ht="15" customHeight="1" s="42">
      <c r="A2189" s="55" t="n"/>
      <c r="B2189" s="56">
        <f>IF(A2189="","",WEEKNUM(A2189,21))</f>
        <v/>
      </c>
      <c r="C2189" s="57" t="n"/>
      <c r="D2189" s="57" t="n"/>
      <c r="E2189" s="58" t="n"/>
      <c r="F2189" s="57" t="n"/>
      <c r="G2189" s="59" t="n"/>
      <c r="H2189" s="59" t="n"/>
      <c r="I2189" s="60">
        <f>IF(OR(G2189="",H2189=""),"",MOD(H2189-G2189,1))</f>
        <v/>
      </c>
      <c r="J2189" s="61">
        <f>IF(OR(G2189="",H2189=""),"",ROUND(MOD(H2189-G2189,1)*24,2))</f>
        <v/>
      </c>
      <c r="K2189" s="62">
        <f>IF(E2189="","",IF(E2189="Werken","JA","NEE"))</f>
        <v/>
      </c>
      <c r="L2189" s="61">
        <f>IF(K2189="JA",N(J2189),IF(E2189="","",0))</f>
        <v/>
      </c>
      <c r="M2189" s="62">
        <f>IF(AND(A2189="",E2189=""),"",IF(E2189="","Segment ontbreekt",IF(OR(G2189="",H2189=""),"Van/tot ontbreekt",IF(N(J2189)=0,"Duur is nul",IF(N(J2189)&gt;12,"Langer dan 12 uur - controleren",IF(AND(E2189="Werken",D2189=""),"Werken zonder klant - koppelen","OK"))))))</f>
        <v/>
      </c>
    </row>
    <row r="2190" ht="15" customHeight="1" s="42">
      <c r="A2190" s="55" t="n"/>
      <c r="B2190" s="56">
        <f>IF(A2190="","",WEEKNUM(A2190,21))</f>
        <v/>
      </c>
      <c r="C2190" s="57" t="n"/>
      <c r="D2190" s="57" t="n"/>
      <c r="E2190" s="58" t="n"/>
      <c r="F2190" s="57" t="n"/>
      <c r="G2190" s="59" t="n"/>
      <c r="H2190" s="59" t="n"/>
      <c r="I2190" s="60">
        <f>IF(OR(G2190="",H2190=""),"",MOD(H2190-G2190,1))</f>
        <v/>
      </c>
      <c r="J2190" s="61">
        <f>IF(OR(G2190="",H2190=""),"",ROUND(MOD(H2190-G2190,1)*24,2))</f>
        <v/>
      </c>
      <c r="K2190" s="62">
        <f>IF(E2190="","",IF(E2190="Werken","JA","NEE"))</f>
        <v/>
      </c>
      <c r="L2190" s="61">
        <f>IF(K2190="JA",N(J2190),IF(E2190="","",0))</f>
        <v/>
      </c>
      <c r="M2190" s="62">
        <f>IF(AND(A2190="",E2190=""),"",IF(E2190="","Segment ontbreekt",IF(OR(G2190="",H2190=""),"Van/tot ontbreekt",IF(N(J2190)=0,"Duur is nul",IF(N(J2190)&gt;12,"Langer dan 12 uur - controleren",IF(AND(E2190="Werken",D2190=""),"Werken zonder klant - koppelen","OK"))))))</f>
        <v/>
      </c>
    </row>
    <row r="2191" ht="15" customHeight="1" s="42">
      <c r="A2191" s="55" t="n"/>
      <c r="B2191" s="56">
        <f>IF(A2191="","",WEEKNUM(A2191,21))</f>
        <v/>
      </c>
      <c r="C2191" s="57" t="n"/>
      <c r="D2191" s="57" t="n"/>
      <c r="E2191" s="58" t="n"/>
      <c r="F2191" s="57" t="n"/>
      <c r="G2191" s="59" t="n"/>
      <c r="H2191" s="59" t="n"/>
      <c r="I2191" s="60">
        <f>IF(OR(G2191="",H2191=""),"",MOD(H2191-G2191,1))</f>
        <v/>
      </c>
      <c r="J2191" s="61">
        <f>IF(OR(G2191="",H2191=""),"",ROUND(MOD(H2191-G2191,1)*24,2))</f>
        <v/>
      </c>
      <c r="K2191" s="62">
        <f>IF(E2191="","",IF(E2191="Werken","JA","NEE"))</f>
        <v/>
      </c>
      <c r="L2191" s="61">
        <f>IF(K2191="JA",N(J2191),IF(E2191="","",0))</f>
        <v/>
      </c>
      <c r="M2191" s="62">
        <f>IF(AND(A2191="",E2191=""),"",IF(E2191="","Segment ontbreekt",IF(OR(G2191="",H2191=""),"Van/tot ontbreekt",IF(N(J2191)=0,"Duur is nul",IF(N(J2191)&gt;12,"Langer dan 12 uur - controleren",IF(AND(E2191="Werken",D2191=""),"Werken zonder klant - koppelen","OK"))))))</f>
        <v/>
      </c>
    </row>
    <row r="2192" ht="15" customHeight="1" s="42">
      <c r="A2192" s="55" t="n"/>
      <c r="B2192" s="56">
        <f>IF(A2192="","",WEEKNUM(A2192,21))</f>
        <v/>
      </c>
      <c r="C2192" s="57" t="n"/>
      <c r="D2192" s="57" t="n"/>
      <c r="E2192" s="58" t="n"/>
      <c r="F2192" s="57" t="n"/>
      <c r="G2192" s="59" t="n"/>
      <c r="H2192" s="59" t="n"/>
      <c r="I2192" s="60">
        <f>IF(OR(G2192="",H2192=""),"",MOD(H2192-G2192,1))</f>
        <v/>
      </c>
      <c r="J2192" s="61">
        <f>IF(OR(G2192="",H2192=""),"",ROUND(MOD(H2192-G2192,1)*24,2))</f>
        <v/>
      </c>
      <c r="K2192" s="62">
        <f>IF(E2192="","",IF(E2192="Werken","JA","NEE"))</f>
        <v/>
      </c>
      <c r="L2192" s="61">
        <f>IF(K2192="JA",N(J2192),IF(E2192="","",0))</f>
        <v/>
      </c>
      <c r="M2192" s="62">
        <f>IF(AND(A2192="",E2192=""),"",IF(E2192="","Segment ontbreekt",IF(OR(G2192="",H2192=""),"Van/tot ontbreekt",IF(N(J2192)=0,"Duur is nul",IF(N(J2192)&gt;12,"Langer dan 12 uur - controleren",IF(AND(E2192="Werken",D2192=""),"Werken zonder klant - koppelen","OK"))))))</f>
        <v/>
      </c>
    </row>
    <row r="2193" ht="15" customHeight="1" s="42">
      <c r="A2193" s="55" t="n"/>
      <c r="B2193" s="56">
        <f>IF(A2193="","",WEEKNUM(A2193,21))</f>
        <v/>
      </c>
      <c r="C2193" s="57" t="n"/>
      <c r="D2193" s="57" t="n"/>
      <c r="E2193" s="58" t="n"/>
      <c r="F2193" s="57" t="n"/>
      <c r="G2193" s="59" t="n"/>
      <c r="H2193" s="59" t="n"/>
      <c r="I2193" s="60">
        <f>IF(OR(G2193="",H2193=""),"",MOD(H2193-G2193,1))</f>
        <v/>
      </c>
      <c r="J2193" s="61">
        <f>IF(OR(G2193="",H2193=""),"",ROUND(MOD(H2193-G2193,1)*24,2))</f>
        <v/>
      </c>
      <c r="K2193" s="62">
        <f>IF(E2193="","",IF(E2193="Werken","JA","NEE"))</f>
        <v/>
      </c>
      <c r="L2193" s="61">
        <f>IF(K2193="JA",N(J2193),IF(E2193="","",0))</f>
        <v/>
      </c>
      <c r="M2193" s="62">
        <f>IF(AND(A2193="",E2193=""),"",IF(E2193="","Segment ontbreekt",IF(OR(G2193="",H2193=""),"Van/tot ontbreekt",IF(N(J2193)=0,"Duur is nul",IF(N(J2193)&gt;12,"Langer dan 12 uur - controleren",IF(AND(E2193="Werken",D2193=""),"Werken zonder klant - koppelen","OK"))))))</f>
        <v/>
      </c>
    </row>
    <row r="2194" ht="15" customHeight="1" s="42">
      <c r="A2194" s="55" t="n"/>
      <c r="B2194" s="56">
        <f>IF(A2194="","",WEEKNUM(A2194,21))</f>
        <v/>
      </c>
      <c r="C2194" s="57" t="n"/>
      <c r="D2194" s="57" t="n"/>
      <c r="E2194" s="58" t="n"/>
      <c r="F2194" s="57" t="n"/>
      <c r="G2194" s="59" t="n"/>
      <c r="H2194" s="59" t="n"/>
      <c r="I2194" s="60">
        <f>IF(OR(G2194="",H2194=""),"",MOD(H2194-G2194,1))</f>
        <v/>
      </c>
      <c r="J2194" s="61">
        <f>IF(OR(G2194="",H2194=""),"",ROUND(MOD(H2194-G2194,1)*24,2))</f>
        <v/>
      </c>
      <c r="K2194" s="62">
        <f>IF(E2194="","",IF(E2194="Werken","JA","NEE"))</f>
        <v/>
      </c>
      <c r="L2194" s="61">
        <f>IF(K2194="JA",N(J2194),IF(E2194="","",0))</f>
        <v/>
      </c>
      <c r="M2194" s="62">
        <f>IF(AND(A2194="",E2194=""),"",IF(E2194="","Segment ontbreekt",IF(OR(G2194="",H2194=""),"Van/tot ontbreekt",IF(N(J2194)=0,"Duur is nul",IF(N(J2194)&gt;12,"Langer dan 12 uur - controleren",IF(AND(E2194="Werken",D2194=""),"Werken zonder klant - koppelen","OK"))))))</f>
        <v/>
      </c>
    </row>
    <row r="2195" ht="15" customHeight="1" s="42">
      <c r="A2195" s="55" t="n"/>
      <c r="B2195" s="56">
        <f>IF(A2195="","",WEEKNUM(A2195,21))</f>
        <v/>
      </c>
      <c r="C2195" s="57" t="n"/>
      <c r="D2195" s="57" t="n"/>
      <c r="E2195" s="58" t="n"/>
      <c r="F2195" s="57" t="n"/>
      <c r="G2195" s="59" t="n"/>
      <c r="H2195" s="59" t="n"/>
      <c r="I2195" s="60">
        <f>IF(OR(G2195="",H2195=""),"",MOD(H2195-G2195,1))</f>
        <v/>
      </c>
      <c r="J2195" s="61">
        <f>IF(OR(G2195="",H2195=""),"",ROUND(MOD(H2195-G2195,1)*24,2))</f>
        <v/>
      </c>
      <c r="K2195" s="62">
        <f>IF(E2195="","",IF(E2195="Werken","JA","NEE"))</f>
        <v/>
      </c>
      <c r="L2195" s="61">
        <f>IF(K2195="JA",N(J2195),IF(E2195="","",0))</f>
        <v/>
      </c>
      <c r="M2195" s="62">
        <f>IF(AND(A2195="",E2195=""),"",IF(E2195="","Segment ontbreekt",IF(OR(G2195="",H2195=""),"Van/tot ontbreekt",IF(N(J2195)=0,"Duur is nul",IF(N(J2195)&gt;12,"Langer dan 12 uur - controleren",IF(AND(E2195="Werken",D2195=""),"Werken zonder klant - koppelen","OK"))))))</f>
        <v/>
      </c>
    </row>
    <row r="2196" ht="15" customHeight="1" s="42">
      <c r="A2196" s="55" t="n"/>
      <c r="B2196" s="56">
        <f>IF(A2196="","",WEEKNUM(A2196,21))</f>
        <v/>
      </c>
      <c r="C2196" s="57" t="n"/>
      <c r="D2196" s="57" t="n"/>
      <c r="E2196" s="58" t="n"/>
      <c r="F2196" s="57" t="n"/>
      <c r="G2196" s="59" t="n"/>
      <c r="H2196" s="59" t="n"/>
      <c r="I2196" s="60">
        <f>IF(OR(G2196="",H2196=""),"",MOD(H2196-G2196,1))</f>
        <v/>
      </c>
      <c r="J2196" s="61">
        <f>IF(OR(G2196="",H2196=""),"",ROUND(MOD(H2196-G2196,1)*24,2))</f>
        <v/>
      </c>
      <c r="K2196" s="62">
        <f>IF(E2196="","",IF(E2196="Werken","JA","NEE"))</f>
        <v/>
      </c>
      <c r="L2196" s="61">
        <f>IF(K2196="JA",N(J2196),IF(E2196="","",0))</f>
        <v/>
      </c>
      <c r="M2196" s="62">
        <f>IF(AND(A2196="",E2196=""),"",IF(E2196="","Segment ontbreekt",IF(OR(G2196="",H2196=""),"Van/tot ontbreekt",IF(N(J2196)=0,"Duur is nul",IF(N(J2196)&gt;12,"Langer dan 12 uur - controleren",IF(AND(E2196="Werken",D2196=""),"Werken zonder klant - koppelen","OK"))))))</f>
        <v/>
      </c>
    </row>
    <row r="2197" ht="15" customHeight="1" s="42">
      <c r="A2197" s="55" t="n"/>
      <c r="B2197" s="56">
        <f>IF(A2197="","",WEEKNUM(A2197,21))</f>
        <v/>
      </c>
      <c r="C2197" s="57" t="n"/>
      <c r="D2197" s="57" t="n"/>
      <c r="E2197" s="58" t="n"/>
      <c r="F2197" s="57" t="n"/>
      <c r="G2197" s="59" t="n"/>
      <c r="H2197" s="59" t="n"/>
      <c r="I2197" s="60">
        <f>IF(OR(G2197="",H2197=""),"",MOD(H2197-G2197,1))</f>
        <v/>
      </c>
      <c r="J2197" s="61">
        <f>IF(OR(G2197="",H2197=""),"",ROUND(MOD(H2197-G2197,1)*24,2))</f>
        <v/>
      </c>
      <c r="K2197" s="62">
        <f>IF(E2197="","",IF(E2197="Werken","JA","NEE"))</f>
        <v/>
      </c>
      <c r="L2197" s="61">
        <f>IF(K2197="JA",N(J2197),IF(E2197="","",0))</f>
        <v/>
      </c>
      <c r="M2197" s="62">
        <f>IF(AND(A2197="",E2197=""),"",IF(E2197="","Segment ontbreekt",IF(OR(G2197="",H2197=""),"Van/tot ontbreekt",IF(N(J2197)=0,"Duur is nul",IF(N(J2197)&gt;12,"Langer dan 12 uur - controleren",IF(AND(E2197="Werken",D2197=""),"Werken zonder klant - koppelen","OK"))))))</f>
        <v/>
      </c>
    </row>
    <row r="2198" ht="15" customHeight="1" s="42">
      <c r="A2198" s="55" t="n"/>
      <c r="B2198" s="56">
        <f>IF(A2198="","",WEEKNUM(A2198,21))</f>
        <v/>
      </c>
      <c r="C2198" s="57" t="n"/>
      <c r="D2198" s="57" t="n"/>
      <c r="E2198" s="58" t="n"/>
      <c r="F2198" s="57" t="n"/>
      <c r="G2198" s="59" t="n"/>
      <c r="H2198" s="59" t="n"/>
      <c r="I2198" s="60">
        <f>IF(OR(G2198="",H2198=""),"",MOD(H2198-G2198,1))</f>
        <v/>
      </c>
      <c r="J2198" s="61">
        <f>IF(OR(G2198="",H2198=""),"",ROUND(MOD(H2198-G2198,1)*24,2))</f>
        <v/>
      </c>
      <c r="K2198" s="62">
        <f>IF(E2198="","",IF(E2198="Werken","JA","NEE"))</f>
        <v/>
      </c>
      <c r="L2198" s="61">
        <f>IF(K2198="JA",N(J2198),IF(E2198="","",0))</f>
        <v/>
      </c>
      <c r="M2198" s="62">
        <f>IF(AND(A2198="",E2198=""),"",IF(E2198="","Segment ontbreekt",IF(OR(G2198="",H2198=""),"Van/tot ontbreekt",IF(N(J2198)=0,"Duur is nul",IF(N(J2198)&gt;12,"Langer dan 12 uur - controleren",IF(AND(E2198="Werken",D2198=""),"Werken zonder klant - koppelen","OK"))))))</f>
        <v/>
      </c>
    </row>
    <row r="2199" ht="15" customHeight="1" s="42">
      <c r="A2199" s="55" t="n"/>
      <c r="B2199" s="56">
        <f>IF(A2199="","",WEEKNUM(A2199,21))</f>
        <v/>
      </c>
      <c r="C2199" s="57" t="n"/>
      <c r="D2199" s="57" t="n"/>
      <c r="E2199" s="58" t="n"/>
      <c r="F2199" s="57" t="n"/>
      <c r="G2199" s="59" t="n"/>
      <c r="H2199" s="59" t="n"/>
      <c r="I2199" s="60">
        <f>IF(OR(G2199="",H2199=""),"",MOD(H2199-G2199,1))</f>
        <v/>
      </c>
      <c r="J2199" s="61">
        <f>IF(OR(G2199="",H2199=""),"",ROUND(MOD(H2199-G2199,1)*24,2))</f>
        <v/>
      </c>
      <c r="K2199" s="62">
        <f>IF(E2199="","",IF(E2199="Werken","JA","NEE"))</f>
        <v/>
      </c>
      <c r="L2199" s="61">
        <f>IF(K2199="JA",N(J2199),IF(E2199="","",0))</f>
        <v/>
      </c>
      <c r="M2199" s="62">
        <f>IF(AND(A2199="",E2199=""),"",IF(E2199="","Segment ontbreekt",IF(OR(G2199="",H2199=""),"Van/tot ontbreekt",IF(N(J2199)=0,"Duur is nul",IF(N(J2199)&gt;12,"Langer dan 12 uur - controleren",IF(AND(E2199="Werken",D2199=""),"Werken zonder klant - koppelen","OK"))))))</f>
        <v/>
      </c>
    </row>
    <row r="2200" ht="15" customHeight="1" s="42">
      <c r="A2200" s="55" t="n"/>
      <c r="B2200" s="56">
        <f>IF(A2200="","",WEEKNUM(A2200,21))</f>
        <v/>
      </c>
      <c r="C2200" s="57" t="n"/>
      <c r="D2200" s="57" t="n"/>
      <c r="E2200" s="58" t="n"/>
      <c r="F2200" s="57" t="n"/>
      <c r="G2200" s="59" t="n"/>
      <c r="H2200" s="59" t="n"/>
      <c r="I2200" s="60">
        <f>IF(OR(G2200="",H2200=""),"",MOD(H2200-G2200,1))</f>
        <v/>
      </c>
      <c r="J2200" s="61">
        <f>IF(OR(G2200="",H2200=""),"",ROUND(MOD(H2200-G2200,1)*24,2))</f>
        <v/>
      </c>
      <c r="K2200" s="62">
        <f>IF(E2200="","",IF(E2200="Werken","JA","NEE"))</f>
        <v/>
      </c>
      <c r="L2200" s="61">
        <f>IF(K2200="JA",N(J2200),IF(E2200="","",0))</f>
        <v/>
      </c>
      <c r="M2200" s="62">
        <f>IF(AND(A2200="",E2200=""),"",IF(E2200="","Segment ontbreekt",IF(OR(G2200="",H2200=""),"Van/tot ontbreekt",IF(N(J2200)=0,"Duur is nul",IF(N(J2200)&gt;12,"Langer dan 12 uur - controleren",IF(AND(E2200="Werken",D2200=""),"Werken zonder klant - koppelen","OK"))))))</f>
        <v/>
      </c>
    </row>
    <row r="2201" ht="15" customHeight="1" s="42">
      <c r="A2201" s="55" t="n"/>
      <c r="B2201" s="56">
        <f>IF(A2201="","",WEEKNUM(A2201,21))</f>
        <v/>
      </c>
      <c r="C2201" s="57" t="n"/>
      <c r="D2201" s="57" t="n"/>
      <c r="E2201" s="58" t="n"/>
      <c r="F2201" s="57" t="n"/>
      <c r="G2201" s="59" t="n"/>
      <c r="H2201" s="59" t="n"/>
      <c r="I2201" s="60">
        <f>IF(OR(G2201="",H2201=""),"",MOD(H2201-G2201,1))</f>
        <v/>
      </c>
      <c r="J2201" s="61">
        <f>IF(OR(G2201="",H2201=""),"",ROUND(MOD(H2201-G2201,1)*24,2))</f>
        <v/>
      </c>
      <c r="K2201" s="62">
        <f>IF(E2201="","",IF(E2201="Werken","JA","NEE"))</f>
        <v/>
      </c>
      <c r="L2201" s="61">
        <f>IF(K2201="JA",N(J2201),IF(E2201="","",0))</f>
        <v/>
      </c>
      <c r="M2201" s="62">
        <f>IF(AND(A2201="",E2201=""),"",IF(E2201="","Segment ontbreekt",IF(OR(G2201="",H2201=""),"Van/tot ontbreekt",IF(N(J2201)=0,"Duur is nul",IF(N(J2201)&gt;12,"Langer dan 12 uur - controleren",IF(AND(E2201="Werken",D2201=""),"Werken zonder klant - koppelen","OK"))))))</f>
        <v/>
      </c>
    </row>
    <row r="2202" ht="15" customHeight="1" s="42">
      <c r="A2202" s="55" t="n"/>
      <c r="B2202" s="56">
        <f>IF(A2202="","",WEEKNUM(A2202,21))</f>
        <v/>
      </c>
      <c r="C2202" s="57" t="n"/>
      <c r="D2202" s="57" t="n"/>
      <c r="E2202" s="58" t="n"/>
      <c r="F2202" s="57" t="n"/>
      <c r="G2202" s="59" t="n"/>
      <c r="H2202" s="59" t="n"/>
      <c r="I2202" s="60">
        <f>IF(OR(G2202="",H2202=""),"",MOD(H2202-G2202,1))</f>
        <v/>
      </c>
      <c r="J2202" s="61">
        <f>IF(OR(G2202="",H2202=""),"",ROUND(MOD(H2202-G2202,1)*24,2))</f>
        <v/>
      </c>
      <c r="K2202" s="62">
        <f>IF(E2202="","",IF(E2202="Werken","JA","NEE"))</f>
        <v/>
      </c>
      <c r="L2202" s="61">
        <f>IF(K2202="JA",N(J2202),IF(E2202="","",0))</f>
        <v/>
      </c>
      <c r="M2202" s="62">
        <f>IF(AND(A2202="",E2202=""),"",IF(E2202="","Segment ontbreekt",IF(OR(G2202="",H2202=""),"Van/tot ontbreekt",IF(N(J2202)=0,"Duur is nul",IF(N(J2202)&gt;12,"Langer dan 12 uur - controleren",IF(AND(E2202="Werken",D2202=""),"Werken zonder klant - koppelen","OK"))))))</f>
        <v/>
      </c>
    </row>
    <row r="2203" ht="15" customHeight="1" s="42">
      <c r="A2203" s="55" t="n"/>
      <c r="B2203" s="56">
        <f>IF(A2203="","",WEEKNUM(A2203,21))</f>
        <v/>
      </c>
      <c r="C2203" s="57" t="n"/>
      <c r="D2203" s="57" t="n"/>
      <c r="E2203" s="58" t="n"/>
      <c r="F2203" s="57" t="n"/>
      <c r="G2203" s="59" t="n"/>
      <c r="H2203" s="59" t="n"/>
      <c r="I2203" s="60">
        <f>IF(OR(G2203="",H2203=""),"",MOD(H2203-G2203,1))</f>
        <v/>
      </c>
      <c r="J2203" s="61">
        <f>IF(OR(G2203="",H2203=""),"",ROUND(MOD(H2203-G2203,1)*24,2))</f>
        <v/>
      </c>
      <c r="K2203" s="62">
        <f>IF(E2203="","",IF(E2203="Werken","JA","NEE"))</f>
        <v/>
      </c>
      <c r="L2203" s="61">
        <f>IF(K2203="JA",N(J2203),IF(E2203="","",0))</f>
        <v/>
      </c>
      <c r="M2203" s="62">
        <f>IF(AND(A2203="",E2203=""),"",IF(E2203="","Segment ontbreekt",IF(OR(G2203="",H2203=""),"Van/tot ontbreekt",IF(N(J2203)=0,"Duur is nul",IF(N(J2203)&gt;12,"Langer dan 12 uur - controleren",IF(AND(E2203="Werken",D2203=""),"Werken zonder klant - koppelen","OK"))))))</f>
        <v/>
      </c>
    </row>
    <row r="2204" ht="15" customHeight="1" s="42">
      <c r="A2204" s="55" t="n"/>
      <c r="B2204" s="56">
        <f>IF(A2204="","",WEEKNUM(A2204,21))</f>
        <v/>
      </c>
      <c r="C2204" s="57" t="n"/>
      <c r="D2204" s="57" t="n"/>
      <c r="E2204" s="58" t="n"/>
      <c r="F2204" s="57" t="n"/>
      <c r="G2204" s="59" t="n"/>
      <c r="H2204" s="59" t="n"/>
      <c r="I2204" s="60">
        <f>IF(OR(G2204="",H2204=""),"",MOD(H2204-G2204,1))</f>
        <v/>
      </c>
      <c r="J2204" s="61">
        <f>IF(OR(G2204="",H2204=""),"",ROUND(MOD(H2204-G2204,1)*24,2))</f>
        <v/>
      </c>
      <c r="K2204" s="62">
        <f>IF(E2204="","",IF(E2204="Werken","JA","NEE"))</f>
        <v/>
      </c>
      <c r="L2204" s="61">
        <f>IF(K2204="JA",N(J2204),IF(E2204="","",0))</f>
        <v/>
      </c>
      <c r="M2204" s="62">
        <f>IF(AND(A2204="",E2204=""),"",IF(E2204="","Segment ontbreekt",IF(OR(G2204="",H2204=""),"Van/tot ontbreekt",IF(N(J2204)=0,"Duur is nul",IF(N(J2204)&gt;12,"Langer dan 12 uur - controleren",IF(AND(E2204="Werken",D2204=""),"Werken zonder klant - koppelen","OK"))))))</f>
        <v/>
      </c>
    </row>
    <row r="2205" ht="15" customHeight="1" s="42">
      <c r="A2205" s="55" t="n"/>
      <c r="B2205" s="56">
        <f>IF(A2205="","",WEEKNUM(A2205,21))</f>
        <v/>
      </c>
      <c r="C2205" s="57" t="n"/>
      <c r="D2205" s="57" t="n"/>
      <c r="E2205" s="58" t="n"/>
      <c r="F2205" s="57" t="n"/>
      <c r="G2205" s="59" t="n"/>
      <c r="H2205" s="59" t="n"/>
      <c r="I2205" s="60">
        <f>IF(OR(G2205="",H2205=""),"",MOD(H2205-G2205,1))</f>
        <v/>
      </c>
      <c r="J2205" s="61">
        <f>IF(OR(G2205="",H2205=""),"",ROUND(MOD(H2205-G2205,1)*24,2))</f>
        <v/>
      </c>
      <c r="K2205" s="62">
        <f>IF(E2205="","",IF(E2205="Werken","JA","NEE"))</f>
        <v/>
      </c>
      <c r="L2205" s="61">
        <f>IF(K2205="JA",N(J2205),IF(E2205="","",0))</f>
        <v/>
      </c>
      <c r="M2205" s="62">
        <f>IF(AND(A2205="",E2205=""),"",IF(E2205="","Segment ontbreekt",IF(OR(G2205="",H2205=""),"Van/tot ontbreekt",IF(N(J2205)=0,"Duur is nul",IF(N(J2205)&gt;12,"Langer dan 12 uur - controleren",IF(AND(E2205="Werken",D2205=""),"Werken zonder klant - koppelen","OK"))))))</f>
        <v/>
      </c>
    </row>
    <row r="2206" ht="15" customHeight="1" s="42">
      <c r="A2206" s="55" t="n"/>
      <c r="B2206" s="56">
        <f>IF(A2206="","",WEEKNUM(A2206,21))</f>
        <v/>
      </c>
      <c r="C2206" s="57" t="n"/>
      <c r="D2206" s="57" t="n"/>
      <c r="E2206" s="58" t="n"/>
      <c r="F2206" s="57" t="n"/>
      <c r="G2206" s="59" t="n"/>
      <c r="H2206" s="59" t="n"/>
      <c r="I2206" s="60">
        <f>IF(OR(G2206="",H2206=""),"",MOD(H2206-G2206,1))</f>
        <v/>
      </c>
      <c r="J2206" s="61">
        <f>IF(OR(G2206="",H2206=""),"",ROUND(MOD(H2206-G2206,1)*24,2))</f>
        <v/>
      </c>
      <c r="K2206" s="62">
        <f>IF(E2206="","",IF(E2206="Werken","JA","NEE"))</f>
        <v/>
      </c>
      <c r="L2206" s="61">
        <f>IF(K2206="JA",N(J2206),IF(E2206="","",0))</f>
        <v/>
      </c>
      <c r="M2206" s="62">
        <f>IF(AND(A2206="",E2206=""),"",IF(E2206="","Segment ontbreekt",IF(OR(G2206="",H2206=""),"Van/tot ontbreekt",IF(N(J2206)=0,"Duur is nul",IF(N(J2206)&gt;12,"Langer dan 12 uur - controleren",IF(AND(E2206="Werken",D2206=""),"Werken zonder klant - koppelen","OK"))))))</f>
        <v/>
      </c>
    </row>
    <row r="2207" ht="15" customHeight="1" s="42">
      <c r="A2207" s="55" t="n"/>
      <c r="B2207" s="56">
        <f>IF(A2207="","",WEEKNUM(A2207,21))</f>
        <v/>
      </c>
      <c r="C2207" s="57" t="n"/>
      <c r="D2207" s="57" t="n"/>
      <c r="E2207" s="58" t="n"/>
      <c r="F2207" s="57" t="n"/>
      <c r="G2207" s="59" t="n"/>
      <c r="H2207" s="59" t="n"/>
      <c r="I2207" s="60">
        <f>IF(OR(G2207="",H2207=""),"",MOD(H2207-G2207,1))</f>
        <v/>
      </c>
      <c r="J2207" s="61">
        <f>IF(OR(G2207="",H2207=""),"",ROUND(MOD(H2207-G2207,1)*24,2))</f>
        <v/>
      </c>
      <c r="K2207" s="62">
        <f>IF(E2207="","",IF(E2207="Werken","JA","NEE"))</f>
        <v/>
      </c>
      <c r="L2207" s="61">
        <f>IF(K2207="JA",N(J2207),IF(E2207="","",0))</f>
        <v/>
      </c>
      <c r="M2207" s="62">
        <f>IF(AND(A2207="",E2207=""),"",IF(E2207="","Segment ontbreekt",IF(OR(G2207="",H2207=""),"Van/tot ontbreekt",IF(N(J2207)=0,"Duur is nul",IF(N(J2207)&gt;12,"Langer dan 12 uur - controleren",IF(AND(E2207="Werken",D2207=""),"Werken zonder klant - koppelen","OK"))))))</f>
        <v/>
      </c>
    </row>
    <row r="2208" ht="15" customHeight="1" s="42">
      <c r="A2208" s="55" t="n"/>
      <c r="B2208" s="56">
        <f>IF(A2208="","",WEEKNUM(A2208,21))</f>
        <v/>
      </c>
      <c r="C2208" s="57" t="n"/>
      <c r="D2208" s="57" t="n"/>
      <c r="E2208" s="58" t="n"/>
      <c r="F2208" s="57" t="n"/>
      <c r="G2208" s="59" t="n"/>
      <c r="H2208" s="59" t="n"/>
      <c r="I2208" s="60">
        <f>IF(OR(G2208="",H2208=""),"",MOD(H2208-G2208,1))</f>
        <v/>
      </c>
      <c r="J2208" s="61">
        <f>IF(OR(G2208="",H2208=""),"",ROUND(MOD(H2208-G2208,1)*24,2))</f>
        <v/>
      </c>
      <c r="K2208" s="62">
        <f>IF(E2208="","",IF(E2208="Werken","JA","NEE"))</f>
        <v/>
      </c>
      <c r="L2208" s="61">
        <f>IF(K2208="JA",N(J2208),IF(E2208="","",0))</f>
        <v/>
      </c>
      <c r="M2208" s="62">
        <f>IF(AND(A2208="",E2208=""),"",IF(E2208="","Segment ontbreekt",IF(OR(G2208="",H2208=""),"Van/tot ontbreekt",IF(N(J2208)=0,"Duur is nul",IF(N(J2208)&gt;12,"Langer dan 12 uur - controleren",IF(AND(E2208="Werken",D2208=""),"Werken zonder klant - koppelen","OK"))))))</f>
        <v/>
      </c>
    </row>
    <row r="2209" ht="15" customHeight="1" s="42">
      <c r="A2209" s="55" t="n"/>
      <c r="B2209" s="56">
        <f>IF(A2209="","",WEEKNUM(A2209,21))</f>
        <v/>
      </c>
      <c r="C2209" s="57" t="n"/>
      <c r="D2209" s="57" t="n"/>
      <c r="E2209" s="58" t="n"/>
      <c r="F2209" s="57" t="n"/>
      <c r="G2209" s="59" t="n"/>
      <c r="H2209" s="59" t="n"/>
      <c r="I2209" s="60">
        <f>IF(OR(G2209="",H2209=""),"",MOD(H2209-G2209,1))</f>
        <v/>
      </c>
      <c r="J2209" s="61">
        <f>IF(OR(G2209="",H2209=""),"",ROUND(MOD(H2209-G2209,1)*24,2))</f>
        <v/>
      </c>
      <c r="K2209" s="62">
        <f>IF(E2209="","",IF(E2209="Werken","JA","NEE"))</f>
        <v/>
      </c>
      <c r="L2209" s="61">
        <f>IF(K2209="JA",N(J2209),IF(E2209="","",0))</f>
        <v/>
      </c>
      <c r="M2209" s="62">
        <f>IF(AND(A2209="",E2209=""),"",IF(E2209="","Segment ontbreekt",IF(OR(G2209="",H2209=""),"Van/tot ontbreekt",IF(N(J2209)=0,"Duur is nul",IF(N(J2209)&gt;12,"Langer dan 12 uur - controleren",IF(AND(E2209="Werken",D2209=""),"Werken zonder klant - koppelen","OK"))))))</f>
        <v/>
      </c>
    </row>
    <row r="2210" ht="15" customHeight="1" s="42">
      <c r="A2210" s="55" t="n"/>
      <c r="B2210" s="56">
        <f>IF(A2210="","",WEEKNUM(A2210,21))</f>
        <v/>
      </c>
      <c r="C2210" s="57" t="n"/>
      <c r="D2210" s="57" t="n"/>
      <c r="E2210" s="58" t="n"/>
      <c r="F2210" s="57" t="n"/>
      <c r="G2210" s="59" t="n"/>
      <c r="H2210" s="59" t="n"/>
      <c r="I2210" s="60">
        <f>IF(OR(G2210="",H2210=""),"",MOD(H2210-G2210,1))</f>
        <v/>
      </c>
      <c r="J2210" s="61">
        <f>IF(OR(G2210="",H2210=""),"",ROUND(MOD(H2210-G2210,1)*24,2))</f>
        <v/>
      </c>
      <c r="K2210" s="62">
        <f>IF(E2210="","",IF(E2210="Werken","JA","NEE"))</f>
        <v/>
      </c>
      <c r="L2210" s="61">
        <f>IF(K2210="JA",N(J2210),IF(E2210="","",0))</f>
        <v/>
      </c>
      <c r="M2210" s="62">
        <f>IF(AND(A2210="",E2210=""),"",IF(E2210="","Segment ontbreekt",IF(OR(G2210="",H2210=""),"Van/tot ontbreekt",IF(N(J2210)=0,"Duur is nul",IF(N(J2210)&gt;12,"Langer dan 12 uur - controleren",IF(AND(E2210="Werken",D2210=""),"Werken zonder klant - koppelen","OK"))))))</f>
        <v/>
      </c>
    </row>
    <row r="2211" ht="15" customHeight="1" s="42">
      <c r="A2211" s="55" t="n"/>
      <c r="B2211" s="56">
        <f>IF(A2211="","",WEEKNUM(A2211,21))</f>
        <v/>
      </c>
      <c r="C2211" s="57" t="n"/>
      <c r="D2211" s="57" t="n"/>
      <c r="E2211" s="58" t="n"/>
      <c r="F2211" s="57" t="n"/>
      <c r="G2211" s="59" t="n"/>
      <c r="H2211" s="59" t="n"/>
      <c r="I2211" s="60">
        <f>IF(OR(G2211="",H2211=""),"",MOD(H2211-G2211,1))</f>
        <v/>
      </c>
      <c r="J2211" s="61">
        <f>IF(OR(G2211="",H2211=""),"",ROUND(MOD(H2211-G2211,1)*24,2))</f>
        <v/>
      </c>
      <c r="K2211" s="62">
        <f>IF(E2211="","",IF(E2211="Werken","JA","NEE"))</f>
        <v/>
      </c>
      <c r="L2211" s="61">
        <f>IF(K2211="JA",N(J2211),IF(E2211="","",0))</f>
        <v/>
      </c>
      <c r="M2211" s="62">
        <f>IF(AND(A2211="",E2211=""),"",IF(E2211="","Segment ontbreekt",IF(OR(G2211="",H2211=""),"Van/tot ontbreekt",IF(N(J2211)=0,"Duur is nul",IF(N(J2211)&gt;12,"Langer dan 12 uur - controleren",IF(AND(E2211="Werken",D2211=""),"Werken zonder klant - koppelen","OK"))))))</f>
        <v/>
      </c>
    </row>
    <row r="2212" ht="15" customHeight="1" s="42">
      <c r="A2212" s="55" t="n"/>
      <c r="B2212" s="56">
        <f>IF(A2212="","",WEEKNUM(A2212,21))</f>
        <v/>
      </c>
      <c r="C2212" s="57" t="n"/>
      <c r="D2212" s="57" t="n"/>
      <c r="E2212" s="58" t="n"/>
      <c r="F2212" s="57" t="n"/>
      <c r="G2212" s="59" t="n"/>
      <c r="H2212" s="59" t="n"/>
      <c r="I2212" s="60">
        <f>IF(OR(G2212="",H2212=""),"",MOD(H2212-G2212,1))</f>
        <v/>
      </c>
      <c r="J2212" s="61">
        <f>IF(OR(G2212="",H2212=""),"",ROUND(MOD(H2212-G2212,1)*24,2))</f>
        <v/>
      </c>
      <c r="K2212" s="62">
        <f>IF(E2212="","",IF(E2212="Werken","JA","NEE"))</f>
        <v/>
      </c>
      <c r="L2212" s="61">
        <f>IF(K2212="JA",N(J2212),IF(E2212="","",0))</f>
        <v/>
      </c>
      <c r="M2212" s="62">
        <f>IF(AND(A2212="",E2212=""),"",IF(E2212="","Segment ontbreekt",IF(OR(G2212="",H2212=""),"Van/tot ontbreekt",IF(N(J2212)=0,"Duur is nul",IF(N(J2212)&gt;12,"Langer dan 12 uur - controleren",IF(AND(E2212="Werken",D2212=""),"Werken zonder klant - koppelen","OK"))))))</f>
        <v/>
      </c>
    </row>
    <row r="2213" ht="15" customHeight="1" s="42">
      <c r="A2213" s="55" t="n"/>
      <c r="B2213" s="56">
        <f>IF(A2213="","",WEEKNUM(A2213,21))</f>
        <v/>
      </c>
      <c r="C2213" s="57" t="n"/>
      <c r="D2213" s="57" t="n"/>
      <c r="E2213" s="58" t="n"/>
      <c r="F2213" s="57" t="n"/>
      <c r="G2213" s="59" t="n"/>
      <c r="H2213" s="59" t="n"/>
      <c r="I2213" s="60">
        <f>IF(OR(G2213="",H2213=""),"",MOD(H2213-G2213,1))</f>
        <v/>
      </c>
      <c r="J2213" s="61">
        <f>IF(OR(G2213="",H2213=""),"",ROUND(MOD(H2213-G2213,1)*24,2))</f>
        <v/>
      </c>
      <c r="K2213" s="62">
        <f>IF(E2213="","",IF(E2213="Werken","JA","NEE"))</f>
        <v/>
      </c>
      <c r="L2213" s="61">
        <f>IF(K2213="JA",N(J2213),IF(E2213="","",0))</f>
        <v/>
      </c>
      <c r="M2213" s="62">
        <f>IF(AND(A2213="",E2213=""),"",IF(E2213="","Segment ontbreekt",IF(OR(G2213="",H2213=""),"Van/tot ontbreekt",IF(N(J2213)=0,"Duur is nul",IF(N(J2213)&gt;12,"Langer dan 12 uur - controleren",IF(AND(E2213="Werken",D2213=""),"Werken zonder klant - koppelen","OK"))))))</f>
        <v/>
      </c>
    </row>
    <row r="2214" ht="15" customHeight="1" s="42">
      <c r="A2214" s="55" t="n"/>
      <c r="B2214" s="56">
        <f>IF(A2214="","",WEEKNUM(A2214,21))</f>
        <v/>
      </c>
      <c r="C2214" s="57" t="n"/>
      <c r="D2214" s="57" t="n"/>
      <c r="E2214" s="58" t="n"/>
      <c r="F2214" s="57" t="n"/>
      <c r="G2214" s="59" t="n"/>
      <c r="H2214" s="59" t="n"/>
      <c r="I2214" s="60">
        <f>IF(OR(G2214="",H2214=""),"",MOD(H2214-G2214,1))</f>
        <v/>
      </c>
      <c r="J2214" s="61">
        <f>IF(OR(G2214="",H2214=""),"",ROUND(MOD(H2214-G2214,1)*24,2))</f>
        <v/>
      </c>
      <c r="K2214" s="62">
        <f>IF(E2214="","",IF(E2214="Werken","JA","NEE"))</f>
        <v/>
      </c>
      <c r="L2214" s="61">
        <f>IF(K2214="JA",N(J2214),IF(E2214="","",0))</f>
        <v/>
      </c>
      <c r="M2214" s="62">
        <f>IF(AND(A2214="",E2214=""),"",IF(E2214="","Segment ontbreekt",IF(OR(G2214="",H2214=""),"Van/tot ontbreekt",IF(N(J2214)=0,"Duur is nul",IF(N(J2214)&gt;12,"Langer dan 12 uur - controleren",IF(AND(E2214="Werken",D2214=""),"Werken zonder klant - koppelen","OK"))))))</f>
        <v/>
      </c>
    </row>
    <row r="2215" ht="15" customHeight="1" s="42">
      <c r="A2215" s="55" t="n"/>
      <c r="B2215" s="56">
        <f>IF(A2215="","",WEEKNUM(A2215,21))</f>
        <v/>
      </c>
      <c r="C2215" s="57" t="n"/>
      <c r="D2215" s="57" t="n"/>
      <c r="E2215" s="58" t="n"/>
      <c r="F2215" s="57" t="n"/>
      <c r="G2215" s="59" t="n"/>
      <c r="H2215" s="59" t="n"/>
      <c r="I2215" s="60">
        <f>IF(OR(G2215="",H2215=""),"",MOD(H2215-G2215,1))</f>
        <v/>
      </c>
      <c r="J2215" s="61">
        <f>IF(OR(G2215="",H2215=""),"",ROUND(MOD(H2215-G2215,1)*24,2))</f>
        <v/>
      </c>
      <c r="K2215" s="62">
        <f>IF(E2215="","",IF(E2215="Werken","JA","NEE"))</f>
        <v/>
      </c>
      <c r="L2215" s="61">
        <f>IF(K2215="JA",N(J2215),IF(E2215="","",0))</f>
        <v/>
      </c>
      <c r="M2215" s="62">
        <f>IF(AND(A2215="",E2215=""),"",IF(E2215="","Segment ontbreekt",IF(OR(G2215="",H2215=""),"Van/tot ontbreekt",IF(N(J2215)=0,"Duur is nul",IF(N(J2215)&gt;12,"Langer dan 12 uur - controleren",IF(AND(E2215="Werken",D2215=""),"Werken zonder klant - koppelen","OK"))))))</f>
        <v/>
      </c>
    </row>
    <row r="2216" ht="15" customHeight="1" s="42">
      <c r="A2216" s="55" t="n"/>
      <c r="B2216" s="56">
        <f>IF(A2216="","",WEEKNUM(A2216,21))</f>
        <v/>
      </c>
      <c r="C2216" s="57" t="n"/>
      <c r="D2216" s="57" t="n"/>
      <c r="E2216" s="58" t="n"/>
      <c r="F2216" s="57" t="n"/>
      <c r="G2216" s="59" t="n"/>
      <c r="H2216" s="59" t="n"/>
      <c r="I2216" s="60">
        <f>IF(OR(G2216="",H2216=""),"",MOD(H2216-G2216,1))</f>
        <v/>
      </c>
      <c r="J2216" s="61">
        <f>IF(OR(G2216="",H2216=""),"",ROUND(MOD(H2216-G2216,1)*24,2))</f>
        <v/>
      </c>
      <c r="K2216" s="62">
        <f>IF(E2216="","",IF(E2216="Werken","JA","NEE"))</f>
        <v/>
      </c>
      <c r="L2216" s="61">
        <f>IF(K2216="JA",N(J2216),IF(E2216="","",0))</f>
        <v/>
      </c>
      <c r="M2216" s="62">
        <f>IF(AND(A2216="",E2216=""),"",IF(E2216="","Segment ontbreekt",IF(OR(G2216="",H2216=""),"Van/tot ontbreekt",IF(N(J2216)=0,"Duur is nul",IF(N(J2216)&gt;12,"Langer dan 12 uur - controleren",IF(AND(E2216="Werken",D2216=""),"Werken zonder klant - koppelen","OK"))))))</f>
        <v/>
      </c>
    </row>
    <row r="2217" ht="15" customHeight="1" s="42">
      <c r="A2217" s="55" t="n"/>
      <c r="B2217" s="56">
        <f>IF(A2217="","",WEEKNUM(A2217,21))</f>
        <v/>
      </c>
      <c r="C2217" s="57" t="n"/>
      <c r="D2217" s="57" t="n"/>
      <c r="E2217" s="58" t="n"/>
      <c r="F2217" s="57" t="n"/>
      <c r="G2217" s="59" t="n"/>
      <c r="H2217" s="59" t="n"/>
      <c r="I2217" s="60">
        <f>IF(OR(G2217="",H2217=""),"",MOD(H2217-G2217,1))</f>
        <v/>
      </c>
      <c r="J2217" s="61">
        <f>IF(OR(G2217="",H2217=""),"",ROUND(MOD(H2217-G2217,1)*24,2))</f>
        <v/>
      </c>
      <c r="K2217" s="62">
        <f>IF(E2217="","",IF(E2217="Werken","JA","NEE"))</f>
        <v/>
      </c>
      <c r="L2217" s="61">
        <f>IF(K2217="JA",N(J2217),IF(E2217="","",0))</f>
        <v/>
      </c>
      <c r="M2217" s="62">
        <f>IF(AND(A2217="",E2217=""),"",IF(E2217="","Segment ontbreekt",IF(OR(G2217="",H2217=""),"Van/tot ontbreekt",IF(N(J2217)=0,"Duur is nul",IF(N(J2217)&gt;12,"Langer dan 12 uur - controleren",IF(AND(E2217="Werken",D2217=""),"Werken zonder klant - koppelen","OK"))))))</f>
        <v/>
      </c>
    </row>
    <row r="2218" ht="15" customHeight="1" s="42">
      <c r="A2218" s="55" t="n"/>
      <c r="B2218" s="56">
        <f>IF(A2218="","",WEEKNUM(A2218,21))</f>
        <v/>
      </c>
      <c r="C2218" s="57" t="n"/>
      <c r="D2218" s="57" t="n"/>
      <c r="E2218" s="58" t="n"/>
      <c r="F2218" s="57" t="n"/>
      <c r="G2218" s="59" t="n"/>
      <c r="H2218" s="59" t="n"/>
      <c r="I2218" s="60">
        <f>IF(OR(G2218="",H2218=""),"",MOD(H2218-G2218,1))</f>
        <v/>
      </c>
      <c r="J2218" s="61">
        <f>IF(OR(G2218="",H2218=""),"",ROUND(MOD(H2218-G2218,1)*24,2))</f>
        <v/>
      </c>
      <c r="K2218" s="62">
        <f>IF(E2218="","",IF(E2218="Werken","JA","NEE"))</f>
        <v/>
      </c>
      <c r="L2218" s="61">
        <f>IF(K2218="JA",N(J2218),IF(E2218="","",0))</f>
        <v/>
      </c>
      <c r="M2218" s="62">
        <f>IF(AND(A2218="",E2218=""),"",IF(E2218="","Segment ontbreekt",IF(OR(G2218="",H2218=""),"Van/tot ontbreekt",IF(N(J2218)=0,"Duur is nul",IF(N(J2218)&gt;12,"Langer dan 12 uur - controleren",IF(AND(E2218="Werken",D2218=""),"Werken zonder klant - koppelen","OK"))))))</f>
        <v/>
      </c>
    </row>
    <row r="2219" ht="15" customHeight="1" s="42">
      <c r="A2219" s="55" t="n"/>
      <c r="B2219" s="56">
        <f>IF(A2219="","",WEEKNUM(A2219,21))</f>
        <v/>
      </c>
      <c r="C2219" s="57" t="n"/>
      <c r="D2219" s="57" t="n"/>
      <c r="E2219" s="58" t="n"/>
      <c r="F2219" s="57" t="n"/>
      <c r="G2219" s="59" t="n"/>
      <c r="H2219" s="59" t="n"/>
      <c r="I2219" s="60">
        <f>IF(OR(G2219="",H2219=""),"",MOD(H2219-G2219,1))</f>
        <v/>
      </c>
      <c r="J2219" s="61">
        <f>IF(OR(G2219="",H2219=""),"",ROUND(MOD(H2219-G2219,1)*24,2))</f>
        <v/>
      </c>
      <c r="K2219" s="62">
        <f>IF(E2219="","",IF(E2219="Werken","JA","NEE"))</f>
        <v/>
      </c>
      <c r="L2219" s="61">
        <f>IF(K2219="JA",N(J2219),IF(E2219="","",0))</f>
        <v/>
      </c>
      <c r="M2219" s="62">
        <f>IF(AND(A2219="",E2219=""),"",IF(E2219="","Segment ontbreekt",IF(OR(G2219="",H2219=""),"Van/tot ontbreekt",IF(N(J2219)=0,"Duur is nul",IF(N(J2219)&gt;12,"Langer dan 12 uur - controleren",IF(AND(E2219="Werken",D2219=""),"Werken zonder klant - koppelen","OK"))))))</f>
        <v/>
      </c>
    </row>
    <row r="2220" ht="15" customHeight="1" s="42">
      <c r="A2220" s="55" t="n"/>
      <c r="B2220" s="56">
        <f>IF(A2220="","",WEEKNUM(A2220,21))</f>
        <v/>
      </c>
      <c r="C2220" s="57" t="n"/>
      <c r="D2220" s="57" t="n"/>
      <c r="E2220" s="58" t="n"/>
      <c r="F2220" s="57" t="n"/>
      <c r="G2220" s="59" t="n"/>
      <c r="H2220" s="59" t="n"/>
      <c r="I2220" s="60">
        <f>IF(OR(G2220="",H2220=""),"",MOD(H2220-G2220,1))</f>
        <v/>
      </c>
      <c r="J2220" s="61">
        <f>IF(OR(G2220="",H2220=""),"",ROUND(MOD(H2220-G2220,1)*24,2))</f>
        <v/>
      </c>
      <c r="K2220" s="62">
        <f>IF(E2220="","",IF(E2220="Werken","JA","NEE"))</f>
        <v/>
      </c>
      <c r="L2220" s="61">
        <f>IF(K2220="JA",N(J2220),IF(E2220="","",0))</f>
        <v/>
      </c>
      <c r="M2220" s="62">
        <f>IF(AND(A2220="",E2220=""),"",IF(E2220="","Segment ontbreekt",IF(OR(G2220="",H2220=""),"Van/tot ontbreekt",IF(N(J2220)=0,"Duur is nul",IF(N(J2220)&gt;12,"Langer dan 12 uur - controleren",IF(AND(E2220="Werken",D2220=""),"Werken zonder klant - koppelen","OK"))))))</f>
        <v/>
      </c>
    </row>
    <row r="2221" ht="15" customHeight="1" s="42">
      <c r="A2221" s="55" t="n"/>
      <c r="B2221" s="56">
        <f>IF(A2221="","",WEEKNUM(A2221,21))</f>
        <v/>
      </c>
      <c r="C2221" s="57" t="n"/>
      <c r="D2221" s="57" t="n"/>
      <c r="E2221" s="58" t="n"/>
      <c r="F2221" s="57" t="n"/>
      <c r="G2221" s="59" t="n"/>
      <c r="H2221" s="59" t="n"/>
      <c r="I2221" s="60">
        <f>IF(OR(G2221="",H2221=""),"",MOD(H2221-G2221,1))</f>
        <v/>
      </c>
      <c r="J2221" s="61">
        <f>IF(OR(G2221="",H2221=""),"",ROUND(MOD(H2221-G2221,1)*24,2))</f>
        <v/>
      </c>
      <c r="K2221" s="62">
        <f>IF(E2221="","",IF(E2221="Werken","JA","NEE"))</f>
        <v/>
      </c>
      <c r="L2221" s="61">
        <f>IF(K2221="JA",N(J2221),IF(E2221="","",0))</f>
        <v/>
      </c>
      <c r="M2221" s="62">
        <f>IF(AND(A2221="",E2221=""),"",IF(E2221="","Segment ontbreekt",IF(OR(G2221="",H2221=""),"Van/tot ontbreekt",IF(N(J2221)=0,"Duur is nul",IF(N(J2221)&gt;12,"Langer dan 12 uur - controleren",IF(AND(E2221="Werken",D2221=""),"Werken zonder klant - koppelen","OK"))))))</f>
        <v/>
      </c>
    </row>
    <row r="2222" ht="15" customHeight="1" s="42">
      <c r="A2222" s="55" t="n"/>
      <c r="B2222" s="56">
        <f>IF(A2222="","",WEEKNUM(A2222,21))</f>
        <v/>
      </c>
      <c r="C2222" s="57" t="n"/>
      <c r="D2222" s="57" t="n"/>
      <c r="E2222" s="58" t="n"/>
      <c r="F2222" s="57" t="n"/>
      <c r="G2222" s="59" t="n"/>
      <c r="H2222" s="59" t="n"/>
      <c r="I2222" s="60">
        <f>IF(OR(G2222="",H2222=""),"",MOD(H2222-G2222,1))</f>
        <v/>
      </c>
      <c r="J2222" s="61">
        <f>IF(OR(G2222="",H2222=""),"",ROUND(MOD(H2222-G2222,1)*24,2))</f>
        <v/>
      </c>
      <c r="K2222" s="62">
        <f>IF(E2222="","",IF(E2222="Werken","JA","NEE"))</f>
        <v/>
      </c>
      <c r="L2222" s="61">
        <f>IF(K2222="JA",N(J2222),IF(E2222="","",0))</f>
        <v/>
      </c>
      <c r="M2222" s="62">
        <f>IF(AND(A2222="",E2222=""),"",IF(E2222="","Segment ontbreekt",IF(OR(G2222="",H2222=""),"Van/tot ontbreekt",IF(N(J2222)=0,"Duur is nul",IF(N(J2222)&gt;12,"Langer dan 12 uur - controleren",IF(AND(E2222="Werken",D2222=""),"Werken zonder klant - koppelen","OK"))))))</f>
        <v/>
      </c>
    </row>
    <row r="2223" ht="15" customHeight="1" s="42">
      <c r="A2223" s="55" t="n"/>
      <c r="B2223" s="56">
        <f>IF(A2223="","",WEEKNUM(A2223,21))</f>
        <v/>
      </c>
      <c r="C2223" s="57" t="n"/>
      <c r="D2223" s="57" t="n"/>
      <c r="E2223" s="58" t="n"/>
      <c r="F2223" s="57" t="n"/>
      <c r="G2223" s="59" t="n"/>
      <c r="H2223" s="59" t="n"/>
      <c r="I2223" s="60">
        <f>IF(OR(G2223="",H2223=""),"",MOD(H2223-G2223,1))</f>
        <v/>
      </c>
      <c r="J2223" s="61">
        <f>IF(OR(G2223="",H2223=""),"",ROUND(MOD(H2223-G2223,1)*24,2))</f>
        <v/>
      </c>
      <c r="K2223" s="62">
        <f>IF(E2223="","",IF(E2223="Werken","JA","NEE"))</f>
        <v/>
      </c>
      <c r="L2223" s="61">
        <f>IF(K2223="JA",N(J2223),IF(E2223="","",0))</f>
        <v/>
      </c>
      <c r="M2223" s="62">
        <f>IF(AND(A2223="",E2223=""),"",IF(E2223="","Segment ontbreekt",IF(OR(G2223="",H2223=""),"Van/tot ontbreekt",IF(N(J2223)=0,"Duur is nul",IF(N(J2223)&gt;12,"Langer dan 12 uur - controleren",IF(AND(E2223="Werken",D2223=""),"Werken zonder klant - koppelen","OK"))))))</f>
        <v/>
      </c>
    </row>
    <row r="2224" ht="15" customHeight="1" s="42">
      <c r="A2224" s="55" t="n"/>
      <c r="B2224" s="56">
        <f>IF(A2224="","",WEEKNUM(A2224,21))</f>
        <v/>
      </c>
      <c r="C2224" s="57" t="n"/>
      <c r="D2224" s="57" t="n"/>
      <c r="E2224" s="58" t="n"/>
      <c r="F2224" s="57" t="n"/>
      <c r="G2224" s="59" t="n"/>
      <c r="H2224" s="59" t="n"/>
      <c r="I2224" s="60">
        <f>IF(OR(G2224="",H2224=""),"",MOD(H2224-G2224,1))</f>
        <v/>
      </c>
      <c r="J2224" s="61">
        <f>IF(OR(G2224="",H2224=""),"",ROUND(MOD(H2224-G2224,1)*24,2))</f>
        <v/>
      </c>
      <c r="K2224" s="62">
        <f>IF(E2224="","",IF(E2224="Werken","JA","NEE"))</f>
        <v/>
      </c>
      <c r="L2224" s="61">
        <f>IF(K2224="JA",N(J2224),IF(E2224="","",0))</f>
        <v/>
      </c>
      <c r="M2224" s="62">
        <f>IF(AND(A2224="",E2224=""),"",IF(E2224="","Segment ontbreekt",IF(OR(G2224="",H2224=""),"Van/tot ontbreekt",IF(N(J2224)=0,"Duur is nul",IF(N(J2224)&gt;12,"Langer dan 12 uur - controleren",IF(AND(E2224="Werken",D2224=""),"Werken zonder klant - koppelen","OK"))))))</f>
        <v/>
      </c>
    </row>
    <row r="2225" ht="15" customHeight="1" s="42">
      <c r="A2225" s="55" t="n"/>
      <c r="B2225" s="56">
        <f>IF(A2225="","",WEEKNUM(A2225,21))</f>
        <v/>
      </c>
      <c r="C2225" s="57" t="n"/>
      <c r="D2225" s="57" t="n"/>
      <c r="E2225" s="58" t="n"/>
      <c r="F2225" s="57" t="n"/>
      <c r="G2225" s="59" t="n"/>
      <c r="H2225" s="59" t="n"/>
      <c r="I2225" s="60">
        <f>IF(OR(G2225="",H2225=""),"",MOD(H2225-G2225,1))</f>
        <v/>
      </c>
      <c r="J2225" s="61">
        <f>IF(OR(G2225="",H2225=""),"",ROUND(MOD(H2225-G2225,1)*24,2))</f>
        <v/>
      </c>
      <c r="K2225" s="62">
        <f>IF(E2225="","",IF(E2225="Werken","JA","NEE"))</f>
        <v/>
      </c>
      <c r="L2225" s="61">
        <f>IF(K2225="JA",N(J2225),IF(E2225="","",0))</f>
        <v/>
      </c>
      <c r="M2225" s="62">
        <f>IF(AND(A2225="",E2225=""),"",IF(E2225="","Segment ontbreekt",IF(OR(G2225="",H2225=""),"Van/tot ontbreekt",IF(N(J2225)=0,"Duur is nul",IF(N(J2225)&gt;12,"Langer dan 12 uur - controleren",IF(AND(E2225="Werken",D2225=""),"Werken zonder klant - koppelen","OK"))))))</f>
        <v/>
      </c>
    </row>
    <row r="2226" ht="15" customHeight="1" s="42">
      <c r="A2226" s="55" t="n"/>
      <c r="B2226" s="56">
        <f>IF(A2226="","",WEEKNUM(A2226,21))</f>
        <v/>
      </c>
      <c r="C2226" s="57" t="n"/>
      <c r="D2226" s="57" t="n"/>
      <c r="E2226" s="58" t="n"/>
      <c r="F2226" s="57" t="n"/>
      <c r="G2226" s="59" t="n"/>
      <c r="H2226" s="59" t="n"/>
      <c r="I2226" s="60">
        <f>IF(OR(G2226="",H2226=""),"",MOD(H2226-G2226,1))</f>
        <v/>
      </c>
      <c r="J2226" s="61">
        <f>IF(OR(G2226="",H2226=""),"",ROUND(MOD(H2226-G2226,1)*24,2))</f>
        <v/>
      </c>
      <c r="K2226" s="62">
        <f>IF(E2226="","",IF(E2226="Werken","JA","NEE"))</f>
        <v/>
      </c>
      <c r="L2226" s="61">
        <f>IF(K2226="JA",N(J2226),IF(E2226="","",0))</f>
        <v/>
      </c>
      <c r="M2226" s="62">
        <f>IF(AND(A2226="",E2226=""),"",IF(E2226="","Segment ontbreekt",IF(OR(G2226="",H2226=""),"Van/tot ontbreekt",IF(N(J2226)=0,"Duur is nul",IF(N(J2226)&gt;12,"Langer dan 12 uur - controleren",IF(AND(E2226="Werken",D2226=""),"Werken zonder klant - koppelen","OK"))))))</f>
        <v/>
      </c>
    </row>
    <row r="2227" ht="15" customHeight="1" s="42">
      <c r="A2227" s="55" t="n"/>
      <c r="B2227" s="56">
        <f>IF(A2227="","",WEEKNUM(A2227,21))</f>
        <v/>
      </c>
      <c r="C2227" s="57" t="n"/>
      <c r="D2227" s="57" t="n"/>
      <c r="E2227" s="58" t="n"/>
      <c r="F2227" s="57" t="n"/>
      <c r="G2227" s="59" t="n"/>
      <c r="H2227" s="59" t="n"/>
      <c r="I2227" s="60">
        <f>IF(OR(G2227="",H2227=""),"",MOD(H2227-G2227,1))</f>
        <v/>
      </c>
      <c r="J2227" s="61">
        <f>IF(OR(G2227="",H2227=""),"",ROUND(MOD(H2227-G2227,1)*24,2))</f>
        <v/>
      </c>
      <c r="K2227" s="62">
        <f>IF(E2227="","",IF(E2227="Werken","JA","NEE"))</f>
        <v/>
      </c>
      <c r="L2227" s="61">
        <f>IF(K2227="JA",N(J2227),IF(E2227="","",0))</f>
        <v/>
      </c>
      <c r="M2227" s="62">
        <f>IF(AND(A2227="",E2227=""),"",IF(E2227="","Segment ontbreekt",IF(OR(G2227="",H2227=""),"Van/tot ontbreekt",IF(N(J2227)=0,"Duur is nul",IF(N(J2227)&gt;12,"Langer dan 12 uur - controleren",IF(AND(E2227="Werken",D2227=""),"Werken zonder klant - koppelen","OK"))))))</f>
        <v/>
      </c>
    </row>
    <row r="2228" ht="15" customHeight="1" s="42">
      <c r="A2228" s="55" t="n"/>
      <c r="B2228" s="56">
        <f>IF(A2228="","",WEEKNUM(A2228,21))</f>
        <v/>
      </c>
      <c r="C2228" s="57" t="n"/>
      <c r="D2228" s="57" t="n"/>
      <c r="E2228" s="58" t="n"/>
      <c r="F2228" s="57" t="n"/>
      <c r="G2228" s="59" t="n"/>
      <c r="H2228" s="59" t="n"/>
      <c r="I2228" s="60">
        <f>IF(OR(G2228="",H2228=""),"",MOD(H2228-G2228,1))</f>
        <v/>
      </c>
      <c r="J2228" s="61">
        <f>IF(OR(G2228="",H2228=""),"",ROUND(MOD(H2228-G2228,1)*24,2))</f>
        <v/>
      </c>
      <c r="K2228" s="62">
        <f>IF(E2228="","",IF(E2228="Werken","JA","NEE"))</f>
        <v/>
      </c>
      <c r="L2228" s="61">
        <f>IF(K2228="JA",N(J2228),IF(E2228="","",0))</f>
        <v/>
      </c>
      <c r="M2228" s="62">
        <f>IF(AND(A2228="",E2228=""),"",IF(E2228="","Segment ontbreekt",IF(OR(G2228="",H2228=""),"Van/tot ontbreekt",IF(N(J2228)=0,"Duur is nul",IF(N(J2228)&gt;12,"Langer dan 12 uur - controleren",IF(AND(E2228="Werken",D2228=""),"Werken zonder klant - koppelen","OK"))))))</f>
        <v/>
      </c>
    </row>
    <row r="2229" ht="15" customHeight="1" s="42">
      <c r="A2229" s="55" t="n"/>
      <c r="B2229" s="56">
        <f>IF(A2229="","",WEEKNUM(A2229,21))</f>
        <v/>
      </c>
      <c r="C2229" s="57" t="n"/>
      <c r="D2229" s="57" t="n"/>
      <c r="E2229" s="58" t="n"/>
      <c r="F2229" s="57" t="n"/>
      <c r="G2229" s="59" t="n"/>
      <c r="H2229" s="59" t="n"/>
      <c r="I2229" s="60">
        <f>IF(OR(G2229="",H2229=""),"",MOD(H2229-G2229,1))</f>
        <v/>
      </c>
      <c r="J2229" s="61">
        <f>IF(OR(G2229="",H2229=""),"",ROUND(MOD(H2229-G2229,1)*24,2))</f>
        <v/>
      </c>
      <c r="K2229" s="62">
        <f>IF(E2229="","",IF(E2229="Werken","JA","NEE"))</f>
        <v/>
      </c>
      <c r="L2229" s="61">
        <f>IF(K2229="JA",N(J2229),IF(E2229="","",0))</f>
        <v/>
      </c>
      <c r="M2229" s="62">
        <f>IF(AND(A2229="",E2229=""),"",IF(E2229="","Segment ontbreekt",IF(OR(G2229="",H2229=""),"Van/tot ontbreekt",IF(N(J2229)=0,"Duur is nul",IF(N(J2229)&gt;12,"Langer dan 12 uur - controleren",IF(AND(E2229="Werken",D2229=""),"Werken zonder klant - koppelen","OK"))))))</f>
        <v/>
      </c>
    </row>
    <row r="2230" ht="15" customHeight="1" s="42">
      <c r="A2230" s="55" t="n"/>
      <c r="B2230" s="56">
        <f>IF(A2230="","",WEEKNUM(A2230,21))</f>
        <v/>
      </c>
      <c r="C2230" s="57" t="n"/>
      <c r="D2230" s="57" t="n"/>
      <c r="E2230" s="58" t="n"/>
      <c r="F2230" s="57" t="n"/>
      <c r="G2230" s="59" t="n"/>
      <c r="H2230" s="59" t="n"/>
      <c r="I2230" s="60">
        <f>IF(OR(G2230="",H2230=""),"",MOD(H2230-G2230,1))</f>
        <v/>
      </c>
      <c r="J2230" s="61">
        <f>IF(OR(G2230="",H2230=""),"",ROUND(MOD(H2230-G2230,1)*24,2))</f>
        <v/>
      </c>
      <c r="K2230" s="62">
        <f>IF(E2230="","",IF(E2230="Werken","JA","NEE"))</f>
        <v/>
      </c>
      <c r="L2230" s="61">
        <f>IF(K2230="JA",N(J2230),IF(E2230="","",0))</f>
        <v/>
      </c>
      <c r="M2230" s="62">
        <f>IF(AND(A2230="",E2230=""),"",IF(E2230="","Segment ontbreekt",IF(OR(G2230="",H2230=""),"Van/tot ontbreekt",IF(N(J2230)=0,"Duur is nul",IF(N(J2230)&gt;12,"Langer dan 12 uur - controleren",IF(AND(E2230="Werken",D2230=""),"Werken zonder klant - koppelen","OK"))))))</f>
        <v/>
      </c>
    </row>
    <row r="2231" ht="15" customHeight="1" s="42">
      <c r="A2231" s="55" t="n"/>
      <c r="B2231" s="56">
        <f>IF(A2231="","",WEEKNUM(A2231,21))</f>
        <v/>
      </c>
      <c r="C2231" s="57" t="n"/>
      <c r="D2231" s="57" t="n"/>
      <c r="E2231" s="58" t="n"/>
      <c r="F2231" s="57" t="n"/>
      <c r="G2231" s="59" t="n"/>
      <c r="H2231" s="59" t="n"/>
      <c r="I2231" s="60">
        <f>IF(OR(G2231="",H2231=""),"",MOD(H2231-G2231,1))</f>
        <v/>
      </c>
      <c r="J2231" s="61">
        <f>IF(OR(G2231="",H2231=""),"",ROUND(MOD(H2231-G2231,1)*24,2))</f>
        <v/>
      </c>
      <c r="K2231" s="62">
        <f>IF(E2231="","",IF(E2231="Werken","JA","NEE"))</f>
        <v/>
      </c>
      <c r="L2231" s="61">
        <f>IF(K2231="JA",N(J2231),IF(E2231="","",0))</f>
        <v/>
      </c>
      <c r="M2231" s="62">
        <f>IF(AND(A2231="",E2231=""),"",IF(E2231="","Segment ontbreekt",IF(OR(G2231="",H2231=""),"Van/tot ontbreekt",IF(N(J2231)=0,"Duur is nul",IF(N(J2231)&gt;12,"Langer dan 12 uur - controleren",IF(AND(E2231="Werken",D2231=""),"Werken zonder klant - koppelen","OK"))))))</f>
        <v/>
      </c>
    </row>
    <row r="2232" ht="15" customHeight="1" s="42">
      <c r="A2232" s="55" t="n"/>
      <c r="B2232" s="56">
        <f>IF(A2232="","",WEEKNUM(A2232,21))</f>
        <v/>
      </c>
      <c r="C2232" s="57" t="n"/>
      <c r="D2232" s="57" t="n"/>
      <c r="E2232" s="58" t="n"/>
      <c r="F2232" s="57" t="n"/>
      <c r="G2232" s="59" t="n"/>
      <c r="H2232" s="59" t="n"/>
      <c r="I2232" s="60">
        <f>IF(OR(G2232="",H2232=""),"",MOD(H2232-G2232,1))</f>
        <v/>
      </c>
      <c r="J2232" s="61">
        <f>IF(OR(G2232="",H2232=""),"",ROUND(MOD(H2232-G2232,1)*24,2))</f>
        <v/>
      </c>
      <c r="K2232" s="62">
        <f>IF(E2232="","",IF(E2232="Werken","JA","NEE"))</f>
        <v/>
      </c>
      <c r="L2232" s="61">
        <f>IF(K2232="JA",N(J2232),IF(E2232="","",0))</f>
        <v/>
      </c>
      <c r="M2232" s="62">
        <f>IF(AND(A2232="",E2232=""),"",IF(E2232="","Segment ontbreekt",IF(OR(G2232="",H2232=""),"Van/tot ontbreekt",IF(N(J2232)=0,"Duur is nul",IF(N(J2232)&gt;12,"Langer dan 12 uur - controleren",IF(AND(E2232="Werken",D2232=""),"Werken zonder klant - koppelen","OK"))))))</f>
        <v/>
      </c>
    </row>
    <row r="2233" ht="15" customHeight="1" s="42">
      <c r="A2233" s="55" t="n"/>
      <c r="B2233" s="56">
        <f>IF(A2233="","",WEEKNUM(A2233,21))</f>
        <v/>
      </c>
      <c r="C2233" s="57" t="n"/>
      <c r="D2233" s="57" t="n"/>
      <c r="E2233" s="58" t="n"/>
      <c r="F2233" s="57" t="n"/>
      <c r="G2233" s="59" t="n"/>
      <c r="H2233" s="59" t="n"/>
      <c r="I2233" s="60">
        <f>IF(OR(G2233="",H2233=""),"",MOD(H2233-G2233,1))</f>
        <v/>
      </c>
      <c r="J2233" s="61">
        <f>IF(OR(G2233="",H2233=""),"",ROUND(MOD(H2233-G2233,1)*24,2))</f>
        <v/>
      </c>
      <c r="K2233" s="62">
        <f>IF(E2233="","",IF(E2233="Werken","JA","NEE"))</f>
        <v/>
      </c>
      <c r="L2233" s="61">
        <f>IF(K2233="JA",N(J2233),IF(E2233="","",0))</f>
        <v/>
      </c>
      <c r="M2233" s="62">
        <f>IF(AND(A2233="",E2233=""),"",IF(E2233="","Segment ontbreekt",IF(OR(G2233="",H2233=""),"Van/tot ontbreekt",IF(N(J2233)=0,"Duur is nul",IF(N(J2233)&gt;12,"Langer dan 12 uur - controleren",IF(AND(E2233="Werken",D2233=""),"Werken zonder klant - koppelen","OK"))))))</f>
        <v/>
      </c>
    </row>
    <row r="2234" ht="15" customHeight="1" s="42">
      <c r="A2234" s="55" t="n"/>
      <c r="B2234" s="56">
        <f>IF(A2234="","",WEEKNUM(A2234,21))</f>
        <v/>
      </c>
      <c r="C2234" s="57" t="n"/>
      <c r="D2234" s="57" t="n"/>
      <c r="E2234" s="58" t="n"/>
      <c r="F2234" s="57" t="n"/>
      <c r="G2234" s="59" t="n"/>
      <c r="H2234" s="59" t="n"/>
      <c r="I2234" s="60">
        <f>IF(OR(G2234="",H2234=""),"",MOD(H2234-G2234,1))</f>
        <v/>
      </c>
      <c r="J2234" s="61">
        <f>IF(OR(G2234="",H2234=""),"",ROUND(MOD(H2234-G2234,1)*24,2))</f>
        <v/>
      </c>
      <c r="K2234" s="62">
        <f>IF(E2234="","",IF(E2234="Werken","JA","NEE"))</f>
        <v/>
      </c>
      <c r="L2234" s="61">
        <f>IF(K2234="JA",N(J2234),IF(E2234="","",0))</f>
        <v/>
      </c>
      <c r="M2234" s="62">
        <f>IF(AND(A2234="",E2234=""),"",IF(E2234="","Segment ontbreekt",IF(OR(G2234="",H2234=""),"Van/tot ontbreekt",IF(N(J2234)=0,"Duur is nul",IF(N(J2234)&gt;12,"Langer dan 12 uur - controleren",IF(AND(E2234="Werken",D2234=""),"Werken zonder klant - koppelen","OK"))))))</f>
        <v/>
      </c>
    </row>
    <row r="2235" ht="15" customHeight="1" s="42">
      <c r="A2235" s="55" t="n"/>
      <c r="B2235" s="56">
        <f>IF(A2235="","",WEEKNUM(A2235,21))</f>
        <v/>
      </c>
      <c r="C2235" s="57" t="n"/>
      <c r="D2235" s="57" t="n"/>
      <c r="E2235" s="58" t="n"/>
      <c r="F2235" s="57" t="n"/>
      <c r="G2235" s="59" t="n"/>
      <c r="H2235" s="59" t="n"/>
      <c r="I2235" s="60">
        <f>IF(OR(G2235="",H2235=""),"",MOD(H2235-G2235,1))</f>
        <v/>
      </c>
      <c r="J2235" s="61">
        <f>IF(OR(G2235="",H2235=""),"",ROUND(MOD(H2235-G2235,1)*24,2))</f>
        <v/>
      </c>
      <c r="K2235" s="62">
        <f>IF(E2235="","",IF(E2235="Werken","JA","NEE"))</f>
        <v/>
      </c>
      <c r="L2235" s="61">
        <f>IF(K2235="JA",N(J2235),IF(E2235="","",0))</f>
        <v/>
      </c>
      <c r="M2235" s="62">
        <f>IF(AND(A2235="",E2235=""),"",IF(E2235="","Segment ontbreekt",IF(OR(G2235="",H2235=""),"Van/tot ontbreekt",IF(N(J2235)=0,"Duur is nul",IF(N(J2235)&gt;12,"Langer dan 12 uur - controleren",IF(AND(E2235="Werken",D2235=""),"Werken zonder klant - koppelen","OK"))))))</f>
        <v/>
      </c>
    </row>
    <row r="2236" ht="15" customHeight="1" s="42">
      <c r="A2236" s="55" t="n"/>
      <c r="B2236" s="56">
        <f>IF(A2236="","",WEEKNUM(A2236,21))</f>
        <v/>
      </c>
      <c r="C2236" s="57" t="n"/>
      <c r="D2236" s="57" t="n"/>
      <c r="E2236" s="58" t="n"/>
      <c r="F2236" s="57" t="n"/>
      <c r="G2236" s="59" t="n"/>
      <c r="H2236" s="59" t="n"/>
      <c r="I2236" s="60">
        <f>IF(OR(G2236="",H2236=""),"",MOD(H2236-G2236,1))</f>
        <v/>
      </c>
      <c r="J2236" s="61">
        <f>IF(OR(G2236="",H2236=""),"",ROUND(MOD(H2236-G2236,1)*24,2))</f>
        <v/>
      </c>
      <c r="K2236" s="62">
        <f>IF(E2236="","",IF(E2236="Werken","JA","NEE"))</f>
        <v/>
      </c>
      <c r="L2236" s="61">
        <f>IF(K2236="JA",N(J2236),IF(E2236="","",0))</f>
        <v/>
      </c>
      <c r="M2236" s="62">
        <f>IF(AND(A2236="",E2236=""),"",IF(E2236="","Segment ontbreekt",IF(OR(G2236="",H2236=""),"Van/tot ontbreekt",IF(N(J2236)=0,"Duur is nul",IF(N(J2236)&gt;12,"Langer dan 12 uur - controleren",IF(AND(E2236="Werken",D2236=""),"Werken zonder klant - koppelen","OK"))))))</f>
        <v/>
      </c>
    </row>
    <row r="2237" ht="15" customHeight="1" s="42">
      <c r="A2237" s="55" t="n"/>
      <c r="B2237" s="56">
        <f>IF(A2237="","",WEEKNUM(A2237,21))</f>
        <v/>
      </c>
      <c r="C2237" s="57" t="n"/>
      <c r="D2237" s="57" t="n"/>
      <c r="E2237" s="58" t="n"/>
      <c r="F2237" s="57" t="n"/>
      <c r="G2237" s="59" t="n"/>
      <c r="H2237" s="59" t="n"/>
      <c r="I2237" s="60">
        <f>IF(OR(G2237="",H2237=""),"",MOD(H2237-G2237,1))</f>
        <v/>
      </c>
      <c r="J2237" s="61">
        <f>IF(OR(G2237="",H2237=""),"",ROUND(MOD(H2237-G2237,1)*24,2))</f>
        <v/>
      </c>
      <c r="K2237" s="62">
        <f>IF(E2237="","",IF(E2237="Werken","JA","NEE"))</f>
        <v/>
      </c>
      <c r="L2237" s="61">
        <f>IF(K2237="JA",N(J2237),IF(E2237="","",0))</f>
        <v/>
      </c>
      <c r="M2237" s="62">
        <f>IF(AND(A2237="",E2237=""),"",IF(E2237="","Segment ontbreekt",IF(OR(G2237="",H2237=""),"Van/tot ontbreekt",IF(N(J2237)=0,"Duur is nul",IF(N(J2237)&gt;12,"Langer dan 12 uur - controleren",IF(AND(E2237="Werken",D2237=""),"Werken zonder klant - koppelen","OK"))))))</f>
        <v/>
      </c>
    </row>
    <row r="2238" ht="15" customHeight="1" s="42">
      <c r="A2238" s="55" t="n"/>
      <c r="B2238" s="56">
        <f>IF(A2238="","",WEEKNUM(A2238,21))</f>
        <v/>
      </c>
      <c r="C2238" s="57" t="n"/>
      <c r="D2238" s="57" t="n"/>
      <c r="E2238" s="58" t="n"/>
      <c r="F2238" s="57" t="n"/>
      <c r="G2238" s="59" t="n"/>
      <c r="H2238" s="59" t="n"/>
      <c r="I2238" s="60">
        <f>IF(OR(G2238="",H2238=""),"",MOD(H2238-G2238,1))</f>
        <v/>
      </c>
      <c r="J2238" s="61">
        <f>IF(OR(G2238="",H2238=""),"",ROUND(MOD(H2238-G2238,1)*24,2))</f>
        <v/>
      </c>
      <c r="K2238" s="62">
        <f>IF(E2238="","",IF(E2238="Werken","JA","NEE"))</f>
        <v/>
      </c>
      <c r="L2238" s="61">
        <f>IF(K2238="JA",N(J2238),IF(E2238="","",0))</f>
        <v/>
      </c>
      <c r="M2238" s="62">
        <f>IF(AND(A2238="",E2238=""),"",IF(E2238="","Segment ontbreekt",IF(OR(G2238="",H2238=""),"Van/tot ontbreekt",IF(N(J2238)=0,"Duur is nul",IF(N(J2238)&gt;12,"Langer dan 12 uur - controleren",IF(AND(E2238="Werken",D2238=""),"Werken zonder klant - koppelen","OK"))))))</f>
        <v/>
      </c>
    </row>
    <row r="2239" ht="15" customHeight="1" s="42">
      <c r="A2239" s="55" t="n"/>
      <c r="B2239" s="56">
        <f>IF(A2239="","",WEEKNUM(A2239,21))</f>
        <v/>
      </c>
      <c r="C2239" s="57" t="n"/>
      <c r="D2239" s="57" t="n"/>
      <c r="E2239" s="58" t="n"/>
      <c r="F2239" s="57" t="n"/>
      <c r="G2239" s="59" t="n"/>
      <c r="H2239" s="59" t="n"/>
      <c r="I2239" s="60">
        <f>IF(OR(G2239="",H2239=""),"",MOD(H2239-G2239,1))</f>
        <v/>
      </c>
      <c r="J2239" s="61">
        <f>IF(OR(G2239="",H2239=""),"",ROUND(MOD(H2239-G2239,1)*24,2))</f>
        <v/>
      </c>
      <c r="K2239" s="62">
        <f>IF(E2239="","",IF(E2239="Werken","JA","NEE"))</f>
        <v/>
      </c>
      <c r="L2239" s="61">
        <f>IF(K2239="JA",N(J2239),IF(E2239="","",0))</f>
        <v/>
      </c>
      <c r="M2239" s="62">
        <f>IF(AND(A2239="",E2239=""),"",IF(E2239="","Segment ontbreekt",IF(OR(G2239="",H2239=""),"Van/tot ontbreekt",IF(N(J2239)=0,"Duur is nul",IF(N(J2239)&gt;12,"Langer dan 12 uur - controleren",IF(AND(E2239="Werken",D2239=""),"Werken zonder klant - koppelen","OK"))))))</f>
        <v/>
      </c>
    </row>
    <row r="2240" ht="15" customHeight="1" s="42">
      <c r="A2240" s="55" t="n"/>
      <c r="B2240" s="56">
        <f>IF(A2240="","",WEEKNUM(A2240,21))</f>
        <v/>
      </c>
      <c r="C2240" s="57" t="n"/>
      <c r="D2240" s="57" t="n"/>
      <c r="E2240" s="58" t="n"/>
      <c r="F2240" s="57" t="n"/>
      <c r="G2240" s="59" t="n"/>
      <c r="H2240" s="59" t="n"/>
      <c r="I2240" s="60">
        <f>IF(OR(G2240="",H2240=""),"",MOD(H2240-G2240,1))</f>
        <v/>
      </c>
      <c r="J2240" s="61">
        <f>IF(OR(G2240="",H2240=""),"",ROUND(MOD(H2240-G2240,1)*24,2))</f>
        <v/>
      </c>
      <c r="K2240" s="62">
        <f>IF(E2240="","",IF(E2240="Werken","JA","NEE"))</f>
        <v/>
      </c>
      <c r="L2240" s="61">
        <f>IF(K2240="JA",N(J2240),IF(E2240="","",0))</f>
        <v/>
      </c>
      <c r="M2240" s="62">
        <f>IF(AND(A2240="",E2240=""),"",IF(E2240="","Segment ontbreekt",IF(OR(G2240="",H2240=""),"Van/tot ontbreekt",IF(N(J2240)=0,"Duur is nul",IF(N(J2240)&gt;12,"Langer dan 12 uur - controleren",IF(AND(E2240="Werken",D2240=""),"Werken zonder klant - koppelen","OK"))))))</f>
        <v/>
      </c>
    </row>
    <row r="2241" ht="15" customHeight="1" s="42">
      <c r="A2241" s="55" t="n"/>
      <c r="B2241" s="56">
        <f>IF(A2241="","",WEEKNUM(A2241,21))</f>
        <v/>
      </c>
      <c r="C2241" s="57" t="n"/>
      <c r="D2241" s="57" t="n"/>
      <c r="E2241" s="58" t="n"/>
      <c r="F2241" s="57" t="n"/>
      <c r="G2241" s="59" t="n"/>
      <c r="H2241" s="59" t="n"/>
      <c r="I2241" s="60">
        <f>IF(OR(G2241="",H2241=""),"",MOD(H2241-G2241,1))</f>
        <v/>
      </c>
      <c r="J2241" s="61">
        <f>IF(OR(G2241="",H2241=""),"",ROUND(MOD(H2241-G2241,1)*24,2))</f>
        <v/>
      </c>
      <c r="K2241" s="62">
        <f>IF(E2241="","",IF(E2241="Werken","JA","NEE"))</f>
        <v/>
      </c>
      <c r="L2241" s="61">
        <f>IF(K2241="JA",N(J2241),IF(E2241="","",0))</f>
        <v/>
      </c>
      <c r="M2241" s="62">
        <f>IF(AND(A2241="",E2241=""),"",IF(E2241="","Segment ontbreekt",IF(OR(G2241="",H2241=""),"Van/tot ontbreekt",IF(N(J2241)=0,"Duur is nul",IF(N(J2241)&gt;12,"Langer dan 12 uur - controleren",IF(AND(E2241="Werken",D2241=""),"Werken zonder klant - koppelen","OK"))))))</f>
        <v/>
      </c>
    </row>
    <row r="2242" ht="15" customHeight="1" s="42">
      <c r="A2242" s="55" t="n"/>
      <c r="B2242" s="56">
        <f>IF(A2242="","",WEEKNUM(A2242,21))</f>
        <v/>
      </c>
      <c r="C2242" s="57" t="n"/>
      <c r="D2242" s="57" t="n"/>
      <c r="E2242" s="58" t="n"/>
      <c r="F2242" s="57" t="n"/>
      <c r="G2242" s="59" t="n"/>
      <c r="H2242" s="59" t="n"/>
      <c r="I2242" s="60">
        <f>IF(OR(G2242="",H2242=""),"",MOD(H2242-G2242,1))</f>
        <v/>
      </c>
      <c r="J2242" s="61">
        <f>IF(OR(G2242="",H2242=""),"",ROUND(MOD(H2242-G2242,1)*24,2))</f>
        <v/>
      </c>
      <c r="K2242" s="62">
        <f>IF(E2242="","",IF(E2242="Werken","JA","NEE"))</f>
        <v/>
      </c>
      <c r="L2242" s="61">
        <f>IF(K2242="JA",N(J2242),IF(E2242="","",0))</f>
        <v/>
      </c>
      <c r="M2242" s="62">
        <f>IF(AND(A2242="",E2242=""),"",IF(E2242="","Segment ontbreekt",IF(OR(G2242="",H2242=""),"Van/tot ontbreekt",IF(N(J2242)=0,"Duur is nul",IF(N(J2242)&gt;12,"Langer dan 12 uur - controleren",IF(AND(E2242="Werken",D2242=""),"Werken zonder klant - koppelen","OK"))))))</f>
        <v/>
      </c>
    </row>
    <row r="2243" ht="15" customHeight="1" s="42">
      <c r="A2243" s="55" t="n"/>
      <c r="B2243" s="56">
        <f>IF(A2243="","",WEEKNUM(A2243,21))</f>
        <v/>
      </c>
      <c r="C2243" s="57" t="n"/>
      <c r="D2243" s="57" t="n"/>
      <c r="E2243" s="58" t="n"/>
      <c r="F2243" s="57" t="n"/>
      <c r="G2243" s="59" t="n"/>
      <c r="H2243" s="59" t="n"/>
      <c r="I2243" s="60">
        <f>IF(OR(G2243="",H2243=""),"",MOD(H2243-G2243,1))</f>
        <v/>
      </c>
      <c r="J2243" s="61">
        <f>IF(OR(G2243="",H2243=""),"",ROUND(MOD(H2243-G2243,1)*24,2))</f>
        <v/>
      </c>
      <c r="K2243" s="62">
        <f>IF(E2243="","",IF(E2243="Werken","JA","NEE"))</f>
        <v/>
      </c>
      <c r="L2243" s="61">
        <f>IF(K2243="JA",N(J2243),IF(E2243="","",0))</f>
        <v/>
      </c>
      <c r="M2243" s="62">
        <f>IF(AND(A2243="",E2243=""),"",IF(E2243="","Segment ontbreekt",IF(OR(G2243="",H2243=""),"Van/tot ontbreekt",IF(N(J2243)=0,"Duur is nul",IF(N(J2243)&gt;12,"Langer dan 12 uur - controleren",IF(AND(E2243="Werken",D2243=""),"Werken zonder klant - koppelen","OK"))))))</f>
        <v/>
      </c>
    </row>
    <row r="2244" ht="15" customHeight="1" s="42">
      <c r="A2244" s="55" t="n"/>
      <c r="B2244" s="56">
        <f>IF(A2244="","",WEEKNUM(A2244,21))</f>
        <v/>
      </c>
      <c r="C2244" s="57" t="n"/>
      <c r="D2244" s="57" t="n"/>
      <c r="E2244" s="58" t="n"/>
      <c r="F2244" s="57" t="n"/>
      <c r="G2244" s="59" t="n"/>
      <c r="H2244" s="59" t="n"/>
      <c r="I2244" s="60">
        <f>IF(OR(G2244="",H2244=""),"",MOD(H2244-G2244,1))</f>
        <v/>
      </c>
      <c r="J2244" s="61">
        <f>IF(OR(G2244="",H2244=""),"",ROUND(MOD(H2244-G2244,1)*24,2))</f>
        <v/>
      </c>
      <c r="K2244" s="62">
        <f>IF(E2244="","",IF(E2244="Werken","JA","NEE"))</f>
        <v/>
      </c>
      <c r="L2244" s="61">
        <f>IF(K2244="JA",N(J2244),IF(E2244="","",0))</f>
        <v/>
      </c>
      <c r="M2244" s="62">
        <f>IF(AND(A2244="",E2244=""),"",IF(E2244="","Segment ontbreekt",IF(OR(G2244="",H2244=""),"Van/tot ontbreekt",IF(N(J2244)=0,"Duur is nul",IF(N(J2244)&gt;12,"Langer dan 12 uur - controleren",IF(AND(E2244="Werken",D2244=""),"Werken zonder klant - koppelen","OK"))))))</f>
        <v/>
      </c>
    </row>
    <row r="2245" ht="15" customHeight="1" s="42">
      <c r="A2245" s="55" t="n"/>
      <c r="B2245" s="56">
        <f>IF(A2245="","",WEEKNUM(A2245,21))</f>
        <v/>
      </c>
      <c r="C2245" s="57" t="n"/>
      <c r="D2245" s="57" t="n"/>
      <c r="E2245" s="58" t="n"/>
      <c r="F2245" s="57" t="n"/>
      <c r="G2245" s="59" t="n"/>
      <c r="H2245" s="59" t="n"/>
      <c r="I2245" s="60">
        <f>IF(OR(G2245="",H2245=""),"",MOD(H2245-G2245,1))</f>
        <v/>
      </c>
      <c r="J2245" s="61">
        <f>IF(OR(G2245="",H2245=""),"",ROUND(MOD(H2245-G2245,1)*24,2))</f>
        <v/>
      </c>
      <c r="K2245" s="62">
        <f>IF(E2245="","",IF(E2245="Werken","JA","NEE"))</f>
        <v/>
      </c>
      <c r="L2245" s="61">
        <f>IF(K2245="JA",N(J2245),IF(E2245="","",0))</f>
        <v/>
      </c>
      <c r="M2245" s="62">
        <f>IF(AND(A2245="",E2245=""),"",IF(E2245="","Segment ontbreekt",IF(OR(G2245="",H2245=""),"Van/tot ontbreekt",IF(N(J2245)=0,"Duur is nul",IF(N(J2245)&gt;12,"Langer dan 12 uur - controleren",IF(AND(E2245="Werken",D2245=""),"Werken zonder klant - koppelen","OK"))))))</f>
        <v/>
      </c>
    </row>
    <row r="2246" ht="15" customHeight="1" s="42">
      <c r="A2246" s="55" t="n"/>
      <c r="B2246" s="56">
        <f>IF(A2246="","",WEEKNUM(A2246,21))</f>
        <v/>
      </c>
      <c r="C2246" s="57" t="n"/>
      <c r="D2246" s="57" t="n"/>
      <c r="E2246" s="58" t="n"/>
      <c r="F2246" s="57" t="n"/>
      <c r="G2246" s="59" t="n"/>
      <c r="H2246" s="59" t="n"/>
      <c r="I2246" s="60">
        <f>IF(OR(G2246="",H2246=""),"",MOD(H2246-G2246,1))</f>
        <v/>
      </c>
      <c r="J2246" s="61">
        <f>IF(OR(G2246="",H2246=""),"",ROUND(MOD(H2246-G2246,1)*24,2))</f>
        <v/>
      </c>
      <c r="K2246" s="62">
        <f>IF(E2246="","",IF(E2246="Werken","JA","NEE"))</f>
        <v/>
      </c>
      <c r="L2246" s="61">
        <f>IF(K2246="JA",N(J2246),IF(E2246="","",0))</f>
        <v/>
      </c>
      <c r="M2246" s="62">
        <f>IF(AND(A2246="",E2246=""),"",IF(E2246="","Segment ontbreekt",IF(OR(G2246="",H2246=""),"Van/tot ontbreekt",IF(N(J2246)=0,"Duur is nul",IF(N(J2246)&gt;12,"Langer dan 12 uur - controleren",IF(AND(E2246="Werken",D2246=""),"Werken zonder klant - koppelen","OK"))))))</f>
        <v/>
      </c>
    </row>
    <row r="2247" ht="15" customHeight="1" s="42">
      <c r="A2247" s="55" t="n"/>
      <c r="B2247" s="56">
        <f>IF(A2247="","",WEEKNUM(A2247,21))</f>
        <v/>
      </c>
      <c r="C2247" s="57" t="n"/>
      <c r="D2247" s="57" t="n"/>
      <c r="E2247" s="58" t="n"/>
      <c r="F2247" s="57" t="n"/>
      <c r="G2247" s="59" t="n"/>
      <c r="H2247" s="59" t="n"/>
      <c r="I2247" s="60">
        <f>IF(OR(G2247="",H2247=""),"",MOD(H2247-G2247,1))</f>
        <v/>
      </c>
      <c r="J2247" s="61">
        <f>IF(OR(G2247="",H2247=""),"",ROUND(MOD(H2247-G2247,1)*24,2))</f>
        <v/>
      </c>
      <c r="K2247" s="62">
        <f>IF(E2247="","",IF(E2247="Werken","JA","NEE"))</f>
        <v/>
      </c>
      <c r="L2247" s="61">
        <f>IF(K2247="JA",N(J2247),IF(E2247="","",0))</f>
        <v/>
      </c>
      <c r="M2247" s="62">
        <f>IF(AND(A2247="",E2247=""),"",IF(E2247="","Segment ontbreekt",IF(OR(G2247="",H2247=""),"Van/tot ontbreekt",IF(N(J2247)=0,"Duur is nul",IF(N(J2247)&gt;12,"Langer dan 12 uur - controleren",IF(AND(E2247="Werken",D2247=""),"Werken zonder klant - koppelen","OK"))))))</f>
        <v/>
      </c>
    </row>
    <row r="2248" ht="15" customHeight="1" s="42">
      <c r="A2248" s="55" t="n"/>
      <c r="B2248" s="56">
        <f>IF(A2248="","",WEEKNUM(A2248,21))</f>
        <v/>
      </c>
      <c r="C2248" s="57" t="n"/>
      <c r="D2248" s="57" t="n"/>
      <c r="E2248" s="58" t="n"/>
      <c r="F2248" s="57" t="n"/>
      <c r="G2248" s="59" t="n"/>
      <c r="H2248" s="59" t="n"/>
      <c r="I2248" s="60">
        <f>IF(OR(G2248="",H2248=""),"",MOD(H2248-G2248,1))</f>
        <v/>
      </c>
      <c r="J2248" s="61">
        <f>IF(OR(G2248="",H2248=""),"",ROUND(MOD(H2248-G2248,1)*24,2))</f>
        <v/>
      </c>
      <c r="K2248" s="62">
        <f>IF(E2248="","",IF(E2248="Werken","JA","NEE"))</f>
        <v/>
      </c>
      <c r="L2248" s="61">
        <f>IF(K2248="JA",N(J2248),IF(E2248="","",0))</f>
        <v/>
      </c>
      <c r="M2248" s="62">
        <f>IF(AND(A2248="",E2248=""),"",IF(E2248="","Segment ontbreekt",IF(OR(G2248="",H2248=""),"Van/tot ontbreekt",IF(N(J2248)=0,"Duur is nul",IF(N(J2248)&gt;12,"Langer dan 12 uur - controleren",IF(AND(E2248="Werken",D2248=""),"Werken zonder klant - koppelen","OK"))))))</f>
        <v/>
      </c>
    </row>
    <row r="2249" ht="15" customHeight="1" s="42">
      <c r="A2249" s="55" t="n"/>
      <c r="B2249" s="56">
        <f>IF(A2249="","",WEEKNUM(A2249,21))</f>
        <v/>
      </c>
      <c r="C2249" s="57" t="n"/>
      <c r="D2249" s="57" t="n"/>
      <c r="E2249" s="58" t="n"/>
      <c r="F2249" s="57" t="n"/>
      <c r="G2249" s="59" t="n"/>
      <c r="H2249" s="59" t="n"/>
      <c r="I2249" s="60">
        <f>IF(OR(G2249="",H2249=""),"",MOD(H2249-G2249,1))</f>
        <v/>
      </c>
      <c r="J2249" s="61">
        <f>IF(OR(G2249="",H2249=""),"",ROUND(MOD(H2249-G2249,1)*24,2))</f>
        <v/>
      </c>
      <c r="K2249" s="62">
        <f>IF(E2249="","",IF(E2249="Werken","JA","NEE"))</f>
        <v/>
      </c>
      <c r="L2249" s="61">
        <f>IF(K2249="JA",N(J2249),IF(E2249="","",0))</f>
        <v/>
      </c>
      <c r="M2249" s="62">
        <f>IF(AND(A2249="",E2249=""),"",IF(E2249="","Segment ontbreekt",IF(OR(G2249="",H2249=""),"Van/tot ontbreekt",IF(N(J2249)=0,"Duur is nul",IF(N(J2249)&gt;12,"Langer dan 12 uur - controleren",IF(AND(E2249="Werken",D2249=""),"Werken zonder klant - koppelen","OK"))))))</f>
        <v/>
      </c>
    </row>
    <row r="2250" ht="15" customHeight="1" s="42">
      <c r="A2250" s="55" t="n"/>
      <c r="B2250" s="56">
        <f>IF(A2250="","",WEEKNUM(A2250,21))</f>
        <v/>
      </c>
      <c r="C2250" s="57" t="n"/>
      <c r="D2250" s="57" t="n"/>
      <c r="E2250" s="58" t="n"/>
      <c r="F2250" s="57" t="n"/>
      <c r="G2250" s="59" t="n"/>
      <c r="H2250" s="59" t="n"/>
      <c r="I2250" s="60">
        <f>IF(OR(G2250="",H2250=""),"",MOD(H2250-G2250,1))</f>
        <v/>
      </c>
      <c r="J2250" s="61">
        <f>IF(OR(G2250="",H2250=""),"",ROUND(MOD(H2250-G2250,1)*24,2))</f>
        <v/>
      </c>
      <c r="K2250" s="62">
        <f>IF(E2250="","",IF(E2250="Werken","JA","NEE"))</f>
        <v/>
      </c>
      <c r="L2250" s="61">
        <f>IF(K2250="JA",N(J2250),IF(E2250="","",0))</f>
        <v/>
      </c>
      <c r="M2250" s="62">
        <f>IF(AND(A2250="",E2250=""),"",IF(E2250="","Segment ontbreekt",IF(OR(G2250="",H2250=""),"Van/tot ontbreekt",IF(N(J2250)=0,"Duur is nul",IF(N(J2250)&gt;12,"Langer dan 12 uur - controleren",IF(AND(E2250="Werken",D2250=""),"Werken zonder klant - koppelen","OK"))))))</f>
        <v/>
      </c>
    </row>
    <row r="2251" ht="15" customHeight="1" s="42">
      <c r="A2251" s="55" t="n"/>
      <c r="B2251" s="56">
        <f>IF(A2251="","",WEEKNUM(A2251,21))</f>
        <v/>
      </c>
      <c r="C2251" s="57" t="n"/>
      <c r="D2251" s="57" t="n"/>
      <c r="E2251" s="58" t="n"/>
      <c r="F2251" s="57" t="n"/>
      <c r="G2251" s="59" t="n"/>
      <c r="H2251" s="59" t="n"/>
      <c r="I2251" s="60">
        <f>IF(OR(G2251="",H2251=""),"",MOD(H2251-G2251,1))</f>
        <v/>
      </c>
      <c r="J2251" s="61">
        <f>IF(OR(G2251="",H2251=""),"",ROUND(MOD(H2251-G2251,1)*24,2))</f>
        <v/>
      </c>
      <c r="K2251" s="62">
        <f>IF(E2251="","",IF(E2251="Werken","JA","NEE"))</f>
        <v/>
      </c>
      <c r="L2251" s="61">
        <f>IF(K2251="JA",N(J2251),IF(E2251="","",0))</f>
        <v/>
      </c>
      <c r="M2251" s="62">
        <f>IF(AND(A2251="",E2251=""),"",IF(E2251="","Segment ontbreekt",IF(OR(G2251="",H2251=""),"Van/tot ontbreekt",IF(N(J2251)=0,"Duur is nul",IF(N(J2251)&gt;12,"Langer dan 12 uur - controleren",IF(AND(E2251="Werken",D2251=""),"Werken zonder klant - koppelen","OK"))))))</f>
        <v/>
      </c>
    </row>
    <row r="2252" ht="15" customHeight="1" s="42">
      <c r="A2252" s="55" t="n"/>
      <c r="B2252" s="56">
        <f>IF(A2252="","",WEEKNUM(A2252,21))</f>
        <v/>
      </c>
      <c r="C2252" s="57" t="n"/>
      <c r="D2252" s="57" t="n"/>
      <c r="E2252" s="58" t="n"/>
      <c r="F2252" s="57" t="n"/>
      <c r="G2252" s="59" t="n"/>
      <c r="H2252" s="59" t="n"/>
      <c r="I2252" s="60">
        <f>IF(OR(G2252="",H2252=""),"",MOD(H2252-G2252,1))</f>
        <v/>
      </c>
      <c r="J2252" s="61">
        <f>IF(OR(G2252="",H2252=""),"",ROUND(MOD(H2252-G2252,1)*24,2))</f>
        <v/>
      </c>
      <c r="K2252" s="62">
        <f>IF(E2252="","",IF(E2252="Werken","JA","NEE"))</f>
        <v/>
      </c>
      <c r="L2252" s="61">
        <f>IF(K2252="JA",N(J2252),IF(E2252="","",0))</f>
        <v/>
      </c>
      <c r="M2252" s="62">
        <f>IF(AND(A2252="",E2252=""),"",IF(E2252="","Segment ontbreekt",IF(OR(G2252="",H2252=""),"Van/tot ontbreekt",IF(N(J2252)=0,"Duur is nul",IF(N(J2252)&gt;12,"Langer dan 12 uur - controleren",IF(AND(E2252="Werken",D2252=""),"Werken zonder klant - koppelen","OK"))))))</f>
        <v/>
      </c>
    </row>
    <row r="2253" ht="15" customHeight="1" s="42">
      <c r="A2253" s="55" t="n"/>
      <c r="B2253" s="56">
        <f>IF(A2253="","",WEEKNUM(A2253,21))</f>
        <v/>
      </c>
      <c r="C2253" s="57" t="n"/>
      <c r="D2253" s="57" t="n"/>
      <c r="E2253" s="58" t="n"/>
      <c r="F2253" s="57" t="n"/>
      <c r="G2253" s="59" t="n"/>
      <c r="H2253" s="59" t="n"/>
      <c r="I2253" s="60">
        <f>IF(OR(G2253="",H2253=""),"",MOD(H2253-G2253,1))</f>
        <v/>
      </c>
      <c r="J2253" s="61">
        <f>IF(OR(G2253="",H2253=""),"",ROUND(MOD(H2253-G2253,1)*24,2))</f>
        <v/>
      </c>
      <c r="K2253" s="62">
        <f>IF(E2253="","",IF(E2253="Werken","JA","NEE"))</f>
        <v/>
      </c>
      <c r="L2253" s="61">
        <f>IF(K2253="JA",N(J2253),IF(E2253="","",0))</f>
        <v/>
      </c>
      <c r="M2253" s="62">
        <f>IF(AND(A2253="",E2253=""),"",IF(E2253="","Segment ontbreekt",IF(OR(G2253="",H2253=""),"Van/tot ontbreekt",IF(N(J2253)=0,"Duur is nul",IF(N(J2253)&gt;12,"Langer dan 12 uur - controleren",IF(AND(E2253="Werken",D2253=""),"Werken zonder klant - koppelen","OK"))))))</f>
        <v/>
      </c>
    </row>
    <row r="2254" ht="15" customHeight="1" s="42">
      <c r="A2254" s="55" t="n"/>
      <c r="B2254" s="56">
        <f>IF(A2254="","",WEEKNUM(A2254,21))</f>
        <v/>
      </c>
      <c r="C2254" s="57" t="n"/>
      <c r="D2254" s="57" t="n"/>
      <c r="E2254" s="58" t="n"/>
      <c r="F2254" s="57" t="n"/>
      <c r="G2254" s="59" t="n"/>
      <c r="H2254" s="59" t="n"/>
      <c r="I2254" s="60">
        <f>IF(OR(G2254="",H2254=""),"",MOD(H2254-G2254,1))</f>
        <v/>
      </c>
      <c r="J2254" s="61">
        <f>IF(OR(G2254="",H2254=""),"",ROUND(MOD(H2254-G2254,1)*24,2))</f>
        <v/>
      </c>
      <c r="K2254" s="62">
        <f>IF(E2254="","",IF(E2254="Werken","JA","NEE"))</f>
        <v/>
      </c>
      <c r="L2254" s="61">
        <f>IF(K2254="JA",N(J2254),IF(E2254="","",0))</f>
        <v/>
      </c>
      <c r="M2254" s="62">
        <f>IF(AND(A2254="",E2254=""),"",IF(E2254="","Segment ontbreekt",IF(OR(G2254="",H2254=""),"Van/tot ontbreekt",IF(N(J2254)=0,"Duur is nul",IF(N(J2254)&gt;12,"Langer dan 12 uur - controleren",IF(AND(E2254="Werken",D2254=""),"Werken zonder klant - koppelen","OK"))))))</f>
        <v/>
      </c>
    </row>
    <row r="2255" ht="15" customHeight="1" s="42">
      <c r="A2255" s="55" t="n"/>
      <c r="B2255" s="56">
        <f>IF(A2255="","",WEEKNUM(A2255,21))</f>
        <v/>
      </c>
      <c r="C2255" s="57" t="n"/>
      <c r="D2255" s="57" t="n"/>
      <c r="E2255" s="58" t="n"/>
      <c r="F2255" s="57" t="n"/>
      <c r="G2255" s="59" t="n"/>
      <c r="H2255" s="59" t="n"/>
      <c r="I2255" s="60">
        <f>IF(OR(G2255="",H2255=""),"",MOD(H2255-G2255,1))</f>
        <v/>
      </c>
      <c r="J2255" s="61">
        <f>IF(OR(G2255="",H2255=""),"",ROUND(MOD(H2255-G2255,1)*24,2))</f>
        <v/>
      </c>
      <c r="K2255" s="62">
        <f>IF(E2255="","",IF(E2255="Werken","JA","NEE"))</f>
        <v/>
      </c>
      <c r="L2255" s="61">
        <f>IF(K2255="JA",N(J2255),IF(E2255="","",0))</f>
        <v/>
      </c>
      <c r="M2255" s="62">
        <f>IF(AND(A2255="",E2255=""),"",IF(E2255="","Segment ontbreekt",IF(OR(G2255="",H2255=""),"Van/tot ontbreekt",IF(N(J2255)=0,"Duur is nul",IF(N(J2255)&gt;12,"Langer dan 12 uur - controleren",IF(AND(E2255="Werken",D2255=""),"Werken zonder klant - koppelen","OK"))))))</f>
        <v/>
      </c>
    </row>
    <row r="2256" ht="15" customHeight="1" s="42">
      <c r="A2256" s="55" t="n"/>
      <c r="B2256" s="56">
        <f>IF(A2256="","",WEEKNUM(A2256,21))</f>
        <v/>
      </c>
      <c r="C2256" s="57" t="n"/>
      <c r="D2256" s="57" t="n"/>
      <c r="E2256" s="58" t="n"/>
      <c r="F2256" s="57" t="n"/>
      <c r="G2256" s="59" t="n"/>
      <c r="H2256" s="59" t="n"/>
      <c r="I2256" s="60">
        <f>IF(OR(G2256="",H2256=""),"",MOD(H2256-G2256,1))</f>
        <v/>
      </c>
      <c r="J2256" s="61">
        <f>IF(OR(G2256="",H2256=""),"",ROUND(MOD(H2256-G2256,1)*24,2))</f>
        <v/>
      </c>
      <c r="K2256" s="62">
        <f>IF(E2256="","",IF(E2256="Werken","JA","NEE"))</f>
        <v/>
      </c>
      <c r="L2256" s="61">
        <f>IF(K2256="JA",N(J2256),IF(E2256="","",0))</f>
        <v/>
      </c>
      <c r="M2256" s="62">
        <f>IF(AND(A2256="",E2256=""),"",IF(E2256="","Segment ontbreekt",IF(OR(G2256="",H2256=""),"Van/tot ontbreekt",IF(N(J2256)=0,"Duur is nul",IF(N(J2256)&gt;12,"Langer dan 12 uur - controleren",IF(AND(E2256="Werken",D2256=""),"Werken zonder klant - koppelen","OK"))))))</f>
        <v/>
      </c>
    </row>
    <row r="2257" ht="15" customHeight="1" s="42">
      <c r="A2257" s="55" t="n"/>
      <c r="B2257" s="56">
        <f>IF(A2257="","",WEEKNUM(A2257,21))</f>
        <v/>
      </c>
      <c r="C2257" s="57" t="n"/>
      <c r="D2257" s="57" t="n"/>
      <c r="E2257" s="58" t="n"/>
      <c r="F2257" s="57" t="n"/>
      <c r="G2257" s="59" t="n"/>
      <c r="H2257" s="59" t="n"/>
      <c r="I2257" s="60">
        <f>IF(OR(G2257="",H2257=""),"",MOD(H2257-G2257,1))</f>
        <v/>
      </c>
      <c r="J2257" s="61">
        <f>IF(OR(G2257="",H2257=""),"",ROUND(MOD(H2257-G2257,1)*24,2))</f>
        <v/>
      </c>
      <c r="K2257" s="62">
        <f>IF(E2257="","",IF(E2257="Werken","JA","NEE"))</f>
        <v/>
      </c>
      <c r="L2257" s="61">
        <f>IF(K2257="JA",N(J2257),IF(E2257="","",0))</f>
        <v/>
      </c>
      <c r="M2257" s="62">
        <f>IF(AND(A2257="",E2257=""),"",IF(E2257="","Segment ontbreekt",IF(OR(G2257="",H2257=""),"Van/tot ontbreekt",IF(N(J2257)=0,"Duur is nul",IF(N(J2257)&gt;12,"Langer dan 12 uur - controleren",IF(AND(E2257="Werken",D2257=""),"Werken zonder klant - koppelen","OK"))))))</f>
        <v/>
      </c>
    </row>
    <row r="2258" ht="15" customHeight="1" s="42">
      <c r="A2258" s="55" t="n"/>
      <c r="B2258" s="56">
        <f>IF(A2258="","",WEEKNUM(A2258,21))</f>
        <v/>
      </c>
      <c r="C2258" s="57" t="n"/>
      <c r="D2258" s="57" t="n"/>
      <c r="E2258" s="58" t="n"/>
      <c r="F2258" s="57" t="n"/>
      <c r="G2258" s="59" t="n"/>
      <c r="H2258" s="59" t="n"/>
      <c r="I2258" s="60">
        <f>IF(OR(G2258="",H2258=""),"",MOD(H2258-G2258,1))</f>
        <v/>
      </c>
      <c r="J2258" s="61">
        <f>IF(OR(G2258="",H2258=""),"",ROUND(MOD(H2258-G2258,1)*24,2))</f>
        <v/>
      </c>
      <c r="K2258" s="62">
        <f>IF(E2258="","",IF(E2258="Werken","JA","NEE"))</f>
        <v/>
      </c>
      <c r="L2258" s="61">
        <f>IF(K2258="JA",N(J2258),IF(E2258="","",0))</f>
        <v/>
      </c>
      <c r="M2258" s="62">
        <f>IF(AND(A2258="",E2258=""),"",IF(E2258="","Segment ontbreekt",IF(OR(G2258="",H2258=""),"Van/tot ontbreekt",IF(N(J2258)=0,"Duur is nul",IF(N(J2258)&gt;12,"Langer dan 12 uur - controleren",IF(AND(E2258="Werken",D2258=""),"Werken zonder klant - koppelen","OK"))))))</f>
        <v/>
      </c>
    </row>
    <row r="2259" ht="15" customHeight="1" s="42">
      <c r="A2259" s="55" t="n"/>
      <c r="B2259" s="56">
        <f>IF(A2259="","",WEEKNUM(A2259,21))</f>
        <v/>
      </c>
      <c r="C2259" s="57" t="n"/>
      <c r="D2259" s="57" t="n"/>
      <c r="E2259" s="58" t="n"/>
      <c r="F2259" s="57" t="n"/>
      <c r="G2259" s="59" t="n"/>
      <c r="H2259" s="59" t="n"/>
      <c r="I2259" s="60">
        <f>IF(OR(G2259="",H2259=""),"",MOD(H2259-G2259,1))</f>
        <v/>
      </c>
      <c r="J2259" s="61">
        <f>IF(OR(G2259="",H2259=""),"",ROUND(MOD(H2259-G2259,1)*24,2))</f>
        <v/>
      </c>
      <c r="K2259" s="62">
        <f>IF(E2259="","",IF(E2259="Werken","JA","NEE"))</f>
        <v/>
      </c>
      <c r="L2259" s="61">
        <f>IF(K2259="JA",N(J2259),IF(E2259="","",0))</f>
        <v/>
      </c>
      <c r="M2259" s="62">
        <f>IF(AND(A2259="",E2259=""),"",IF(E2259="","Segment ontbreekt",IF(OR(G2259="",H2259=""),"Van/tot ontbreekt",IF(N(J2259)=0,"Duur is nul",IF(N(J2259)&gt;12,"Langer dan 12 uur - controleren",IF(AND(E2259="Werken",D2259=""),"Werken zonder klant - koppelen","OK"))))))</f>
        <v/>
      </c>
    </row>
    <row r="2260" ht="15" customHeight="1" s="42">
      <c r="A2260" s="55" t="n"/>
      <c r="B2260" s="56">
        <f>IF(A2260="","",WEEKNUM(A2260,21))</f>
        <v/>
      </c>
      <c r="C2260" s="57" t="n"/>
      <c r="D2260" s="57" t="n"/>
      <c r="E2260" s="58" t="n"/>
      <c r="F2260" s="57" t="n"/>
      <c r="G2260" s="59" t="n"/>
      <c r="H2260" s="59" t="n"/>
      <c r="I2260" s="60">
        <f>IF(OR(G2260="",H2260=""),"",MOD(H2260-G2260,1))</f>
        <v/>
      </c>
      <c r="J2260" s="61">
        <f>IF(OR(G2260="",H2260=""),"",ROUND(MOD(H2260-G2260,1)*24,2))</f>
        <v/>
      </c>
      <c r="K2260" s="62">
        <f>IF(E2260="","",IF(E2260="Werken","JA","NEE"))</f>
        <v/>
      </c>
      <c r="L2260" s="61">
        <f>IF(K2260="JA",N(J2260),IF(E2260="","",0))</f>
        <v/>
      </c>
      <c r="M2260" s="62">
        <f>IF(AND(A2260="",E2260=""),"",IF(E2260="","Segment ontbreekt",IF(OR(G2260="",H2260=""),"Van/tot ontbreekt",IF(N(J2260)=0,"Duur is nul",IF(N(J2260)&gt;12,"Langer dan 12 uur - controleren",IF(AND(E2260="Werken",D2260=""),"Werken zonder klant - koppelen","OK"))))))</f>
        <v/>
      </c>
    </row>
    <row r="2261" ht="15" customHeight="1" s="42">
      <c r="A2261" s="55" t="n"/>
      <c r="B2261" s="56">
        <f>IF(A2261="","",WEEKNUM(A2261,21))</f>
        <v/>
      </c>
      <c r="C2261" s="57" t="n"/>
      <c r="D2261" s="57" t="n"/>
      <c r="E2261" s="58" t="n"/>
      <c r="F2261" s="57" t="n"/>
      <c r="G2261" s="59" t="n"/>
      <c r="H2261" s="59" t="n"/>
      <c r="I2261" s="60">
        <f>IF(OR(G2261="",H2261=""),"",MOD(H2261-G2261,1))</f>
        <v/>
      </c>
      <c r="J2261" s="61">
        <f>IF(OR(G2261="",H2261=""),"",ROUND(MOD(H2261-G2261,1)*24,2))</f>
        <v/>
      </c>
      <c r="K2261" s="62">
        <f>IF(E2261="","",IF(E2261="Werken","JA","NEE"))</f>
        <v/>
      </c>
      <c r="L2261" s="61">
        <f>IF(K2261="JA",N(J2261),IF(E2261="","",0))</f>
        <v/>
      </c>
      <c r="M2261" s="62">
        <f>IF(AND(A2261="",E2261=""),"",IF(E2261="","Segment ontbreekt",IF(OR(G2261="",H2261=""),"Van/tot ontbreekt",IF(N(J2261)=0,"Duur is nul",IF(N(J2261)&gt;12,"Langer dan 12 uur - controleren",IF(AND(E2261="Werken",D2261=""),"Werken zonder klant - koppelen","OK"))))))</f>
        <v/>
      </c>
    </row>
    <row r="2262" ht="15" customHeight="1" s="42">
      <c r="A2262" s="55" t="n"/>
      <c r="B2262" s="56">
        <f>IF(A2262="","",WEEKNUM(A2262,21))</f>
        <v/>
      </c>
      <c r="C2262" s="57" t="n"/>
      <c r="D2262" s="57" t="n"/>
      <c r="E2262" s="58" t="n"/>
      <c r="F2262" s="57" t="n"/>
      <c r="G2262" s="59" t="n"/>
      <c r="H2262" s="59" t="n"/>
      <c r="I2262" s="60">
        <f>IF(OR(G2262="",H2262=""),"",MOD(H2262-G2262,1))</f>
        <v/>
      </c>
      <c r="J2262" s="61">
        <f>IF(OR(G2262="",H2262=""),"",ROUND(MOD(H2262-G2262,1)*24,2))</f>
        <v/>
      </c>
      <c r="K2262" s="62">
        <f>IF(E2262="","",IF(E2262="Werken","JA","NEE"))</f>
        <v/>
      </c>
      <c r="L2262" s="61">
        <f>IF(K2262="JA",N(J2262),IF(E2262="","",0))</f>
        <v/>
      </c>
      <c r="M2262" s="62">
        <f>IF(AND(A2262="",E2262=""),"",IF(E2262="","Segment ontbreekt",IF(OR(G2262="",H2262=""),"Van/tot ontbreekt",IF(N(J2262)=0,"Duur is nul",IF(N(J2262)&gt;12,"Langer dan 12 uur - controleren",IF(AND(E2262="Werken",D2262=""),"Werken zonder klant - koppelen","OK"))))))</f>
        <v/>
      </c>
    </row>
    <row r="2263" ht="15" customHeight="1" s="42">
      <c r="A2263" s="55" t="n"/>
      <c r="B2263" s="56">
        <f>IF(A2263="","",WEEKNUM(A2263,21))</f>
        <v/>
      </c>
      <c r="C2263" s="57" t="n"/>
      <c r="D2263" s="57" t="n"/>
      <c r="E2263" s="58" t="n"/>
      <c r="F2263" s="57" t="n"/>
      <c r="G2263" s="59" t="n"/>
      <c r="H2263" s="59" t="n"/>
      <c r="I2263" s="60">
        <f>IF(OR(G2263="",H2263=""),"",MOD(H2263-G2263,1))</f>
        <v/>
      </c>
      <c r="J2263" s="61">
        <f>IF(OR(G2263="",H2263=""),"",ROUND(MOD(H2263-G2263,1)*24,2))</f>
        <v/>
      </c>
      <c r="K2263" s="62">
        <f>IF(E2263="","",IF(E2263="Werken","JA","NEE"))</f>
        <v/>
      </c>
      <c r="L2263" s="61">
        <f>IF(K2263="JA",N(J2263),IF(E2263="","",0))</f>
        <v/>
      </c>
      <c r="M2263" s="62">
        <f>IF(AND(A2263="",E2263=""),"",IF(E2263="","Segment ontbreekt",IF(OR(G2263="",H2263=""),"Van/tot ontbreekt",IF(N(J2263)=0,"Duur is nul",IF(N(J2263)&gt;12,"Langer dan 12 uur - controleren",IF(AND(E2263="Werken",D2263=""),"Werken zonder klant - koppelen","OK"))))))</f>
        <v/>
      </c>
    </row>
    <row r="2264" ht="15" customHeight="1" s="42">
      <c r="A2264" s="55" t="n"/>
      <c r="B2264" s="56">
        <f>IF(A2264="","",WEEKNUM(A2264,21))</f>
        <v/>
      </c>
      <c r="C2264" s="57" t="n"/>
      <c r="D2264" s="57" t="n"/>
      <c r="E2264" s="58" t="n"/>
      <c r="F2264" s="57" t="n"/>
      <c r="G2264" s="59" t="n"/>
      <c r="H2264" s="59" t="n"/>
      <c r="I2264" s="60">
        <f>IF(OR(G2264="",H2264=""),"",MOD(H2264-G2264,1))</f>
        <v/>
      </c>
      <c r="J2264" s="61">
        <f>IF(OR(G2264="",H2264=""),"",ROUND(MOD(H2264-G2264,1)*24,2))</f>
        <v/>
      </c>
      <c r="K2264" s="62">
        <f>IF(E2264="","",IF(E2264="Werken","JA","NEE"))</f>
        <v/>
      </c>
      <c r="L2264" s="61">
        <f>IF(K2264="JA",N(J2264),IF(E2264="","",0))</f>
        <v/>
      </c>
      <c r="M2264" s="62">
        <f>IF(AND(A2264="",E2264=""),"",IF(E2264="","Segment ontbreekt",IF(OR(G2264="",H2264=""),"Van/tot ontbreekt",IF(N(J2264)=0,"Duur is nul",IF(N(J2264)&gt;12,"Langer dan 12 uur - controleren",IF(AND(E2264="Werken",D2264=""),"Werken zonder klant - koppelen","OK"))))))</f>
        <v/>
      </c>
    </row>
    <row r="2265" ht="15" customHeight="1" s="42">
      <c r="A2265" s="55" t="n"/>
      <c r="B2265" s="56">
        <f>IF(A2265="","",WEEKNUM(A2265,21))</f>
        <v/>
      </c>
      <c r="C2265" s="57" t="n"/>
      <c r="D2265" s="57" t="n"/>
      <c r="E2265" s="58" t="n"/>
      <c r="F2265" s="57" t="n"/>
      <c r="G2265" s="59" t="n"/>
      <c r="H2265" s="59" t="n"/>
      <c r="I2265" s="60">
        <f>IF(OR(G2265="",H2265=""),"",MOD(H2265-G2265,1))</f>
        <v/>
      </c>
      <c r="J2265" s="61">
        <f>IF(OR(G2265="",H2265=""),"",ROUND(MOD(H2265-G2265,1)*24,2))</f>
        <v/>
      </c>
      <c r="K2265" s="62">
        <f>IF(E2265="","",IF(E2265="Werken","JA","NEE"))</f>
        <v/>
      </c>
      <c r="L2265" s="61">
        <f>IF(K2265="JA",N(J2265),IF(E2265="","",0))</f>
        <v/>
      </c>
      <c r="M2265" s="62">
        <f>IF(AND(A2265="",E2265=""),"",IF(E2265="","Segment ontbreekt",IF(OR(G2265="",H2265=""),"Van/tot ontbreekt",IF(N(J2265)=0,"Duur is nul",IF(N(J2265)&gt;12,"Langer dan 12 uur - controleren",IF(AND(E2265="Werken",D2265=""),"Werken zonder klant - koppelen","OK"))))))</f>
        <v/>
      </c>
    </row>
    <row r="2266" ht="15" customHeight="1" s="42">
      <c r="A2266" s="55" t="n"/>
      <c r="B2266" s="56">
        <f>IF(A2266="","",WEEKNUM(A2266,21))</f>
        <v/>
      </c>
      <c r="C2266" s="57" t="n"/>
      <c r="D2266" s="57" t="n"/>
      <c r="E2266" s="58" t="n"/>
      <c r="F2266" s="57" t="n"/>
      <c r="G2266" s="59" t="n"/>
      <c r="H2266" s="59" t="n"/>
      <c r="I2266" s="60">
        <f>IF(OR(G2266="",H2266=""),"",MOD(H2266-G2266,1))</f>
        <v/>
      </c>
      <c r="J2266" s="61">
        <f>IF(OR(G2266="",H2266=""),"",ROUND(MOD(H2266-G2266,1)*24,2))</f>
        <v/>
      </c>
      <c r="K2266" s="62">
        <f>IF(E2266="","",IF(E2266="Werken","JA","NEE"))</f>
        <v/>
      </c>
      <c r="L2266" s="61">
        <f>IF(K2266="JA",N(J2266),IF(E2266="","",0))</f>
        <v/>
      </c>
      <c r="M2266" s="62">
        <f>IF(AND(A2266="",E2266=""),"",IF(E2266="","Segment ontbreekt",IF(OR(G2266="",H2266=""),"Van/tot ontbreekt",IF(N(J2266)=0,"Duur is nul",IF(N(J2266)&gt;12,"Langer dan 12 uur - controleren",IF(AND(E2266="Werken",D2266=""),"Werken zonder klant - koppelen","OK"))))))</f>
        <v/>
      </c>
    </row>
    <row r="2267" ht="15" customHeight="1" s="42">
      <c r="A2267" s="55" t="n"/>
      <c r="B2267" s="56">
        <f>IF(A2267="","",WEEKNUM(A2267,21))</f>
        <v/>
      </c>
      <c r="C2267" s="57" t="n"/>
      <c r="D2267" s="57" t="n"/>
      <c r="E2267" s="58" t="n"/>
      <c r="F2267" s="57" t="n"/>
      <c r="G2267" s="59" t="n"/>
      <c r="H2267" s="59" t="n"/>
      <c r="I2267" s="60">
        <f>IF(OR(G2267="",H2267=""),"",MOD(H2267-G2267,1))</f>
        <v/>
      </c>
      <c r="J2267" s="61">
        <f>IF(OR(G2267="",H2267=""),"",ROUND(MOD(H2267-G2267,1)*24,2))</f>
        <v/>
      </c>
      <c r="K2267" s="62">
        <f>IF(E2267="","",IF(E2267="Werken","JA","NEE"))</f>
        <v/>
      </c>
      <c r="L2267" s="61">
        <f>IF(K2267="JA",N(J2267),IF(E2267="","",0))</f>
        <v/>
      </c>
      <c r="M2267" s="62">
        <f>IF(AND(A2267="",E2267=""),"",IF(E2267="","Segment ontbreekt",IF(OR(G2267="",H2267=""),"Van/tot ontbreekt",IF(N(J2267)=0,"Duur is nul",IF(N(J2267)&gt;12,"Langer dan 12 uur - controleren",IF(AND(E2267="Werken",D2267=""),"Werken zonder klant - koppelen","OK"))))))</f>
        <v/>
      </c>
    </row>
    <row r="2268" ht="15" customHeight="1" s="42">
      <c r="A2268" s="55" t="n"/>
      <c r="B2268" s="56">
        <f>IF(A2268="","",WEEKNUM(A2268,21))</f>
        <v/>
      </c>
      <c r="C2268" s="57" t="n"/>
      <c r="D2268" s="57" t="n"/>
      <c r="E2268" s="58" t="n"/>
      <c r="F2268" s="57" t="n"/>
      <c r="G2268" s="59" t="n"/>
      <c r="H2268" s="59" t="n"/>
      <c r="I2268" s="60">
        <f>IF(OR(G2268="",H2268=""),"",MOD(H2268-G2268,1))</f>
        <v/>
      </c>
      <c r="J2268" s="61">
        <f>IF(OR(G2268="",H2268=""),"",ROUND(MOD(H2268-G2268,1)*24,2))</f>
        <v/>
      </c>
      <c r="K2268" s="62">
        <f>IF(E2268="","",IF(E2268="Werken","JA","NEE"))</f>
        <v/>
      </c>
      <c r="L2268" s="61">
        <f>IF(K2268="JA",N(J2268),IF(E2268="","",0))</f>
        <v/>
      </c>
      <c r="M2268" s="62">
        <f>IF(AND(A2268="",E2268=""),"",IF(E2268="","Segment ontbreekt",IF(OR(G2268="",H2268=""),"Van/tot ontbreekt",IF(N(J2268)=0,"Duur is nul",IF(N(J2268)&gt;12,"Langer dan 12 uur - controleren",IF(AND(E2268="Werken",D2268=""),"Werken zonder klant - koppelen","OK"))))))</f>
        <v/>
      </c>
    </row>
    <row r="2269" ht="15" customHeight="1" s="42">
      <c r="A2269" s="55" t="n"/>
      <c r="B2269" s="56">
        <f>IF(A2269="","",WEEKNUM(A2269,21))</f>
        <v/>
      </c>
      <c r="C2269" s="57" t="n"/>
      <c r="D2269" s="57" t="n"/>
      <c r="E2269" s="58" t="n"/>
      <c r="F2269" s="57" t="n"/>
      <c r="G2269" s="59" t="n"/>
      <c r="H2269" s="59" t="n"/>
      <c r="I2269" s="60">
        <f>IF(OR(G2269="",H2269=""),"",MOD(H2269-G2269,1))</f>
        <v/>
      </c>
      <c r="J2269" s="61">
        <f>IF(OR(G2269="",H2269=""),"",ROUND(MOD(H2269-G2269,1)*24,2))</f>
        <v/>
      </c>
      <c r="K2269" s="62">
        <f>IF(E2269="","",IF(E2269="Werken","JA","NEE"))</f>
        <v/>
      </c>
      <c r="L2269" s="61">
        <f>IF(K2269="JA",N(J2269),IF(E2269="","",0))</f>
        <v/>
      </c>
      <c r="M2269" s="62">
        <f>IF(AND(A2269="",E2269=""),"",IF(E2269="","Segment ontbreekt",IF(OR(G2269="",H2269=""),"Van/tot ontbreekt",IF(N(J2269)=0,"Duur is nul",IF(N(J2269)&gt;12,"Langer dan 12 uur - controleren",IF(AND(E2269="Werken",D2269=""),"Werken zonder klant - koppelen","OK"))))))</f>
        <v/>
      </c>
    </row>
    <row r="2270" ht="15" customHeight="1" s="42">
      <c r="A2270" s="55" t="n"/>
      <c r="B2270" s="56">
        <f>IF(A2270="","",WEEKNUM(A2270,21))</f>
        <v/>
      </c>
      <c r="C2270" s="57" t="n"/>
      <c r="D2270" s="57" t="n"/>
      <c r="E2270" s="58" t="n"/>
      <c r="F2270" s="57" t="n"/>
      <c r="G2270" s="59" t="n"/>
      <c r="H2270" s="59" t="n"/>
      <c r="I2270" s="60">
        <f>IF(OR(G2270="",H2270=""),"",MOD(H2270-G2270,1))</f>
        <v/>
      </c>
      <c r="J2270" s="61">
        <f>IF(OR(G2270="",H2270=""),"",ROUND(MOD(H2270-G2270,1)*24,2))</f>
        <v/>
      </c>
      <c r="K2270" s="62">
        <f>IF(E2270="","",IF(E2270="Werken","JA","NEE"))</f>
        <v/>
      </c>
      <c r="L2270" s="61">
        <f>IF(K2270="JA",N(J2270),IF(E2270="","",0))</f>
        <v/>
      </c>
      <c r="M2270" s="62">
        <f>IF(AND(A2270="",E2270=""),"",IF(E2270="","Segment ontbreekt",IF(OR(G2270="",H2270=""),"Van/tot ontbreekt",IF(N(J2270)=0,"Duur is nul",IF(N(J2270)&gt;12,"Langer dan 12 uur - controleren",IF(AND(E2270="Werken",D2270=""),"Werken zonder klant - koppelen","OK"))))))</f>
        <v/>
      </c>
    </row>
    <row r="2271" ht="15" customHeight="1" s="42">
      <c r="A2271" s="55" t="n"/>
      <c r="B2271" s="56">
        <f>IF(A2271="","",WEEKNUM(A2271,21))</f>
        <v/>
      </c>
      <c r="C2271" s="57" t="n"/>
      <c r="D2271" s="57" t="n"/>
      <c r="E2271" s="58" t="n"/>
      <c r="F2271" s="57" t="n"/>
      <c r="G2271" s="59" t="n"/>
      <c r="H2271" s="59" t="n"/>
      <c r="I2271" s="60">
        <f>IF(OR(G2271="",H2271=""),"",MOD(H2271-G2271,1))</f>
        <v/>
      </c>
      <c r="J2271" s="61">
        <f>IF(OR(G2271="",H2271=""),"",ROUND(MOD(H2271-G2271,1)*24,2))</f>
        <v/>
      </c>
      <c r="K2271" s="62">
        <f>IF(E2271="","",IF(E2271="Werken","JA","NEE"))</f>
        <v/>
      </c>
      <c r="L2271" s="61">
        <f>IF(K2271="JA",N(J2271),IF(E2271="","",0))</f>
        <v/>
      </c>
      <c r="M2271" s="62">
        <f>IF(AND(A2271="",E2271=""),"",IF(E2271="","Segment ontbreekt",IF(OR(G2271="",H2271=""),"Van/tot ontbreekt",IF(N(J2271)=0,"Duur is nul",IF(N(J2271)&gt;12,"Langer dan 12 uur - controleren",IF(AND(E2271="Werken",D2271=""),"Werken zonder klant - koppelen","OK"))))))</f>
        <v/>
      </c>
    </row>
    <row r="2272" ht="15" customHeight="1" s="42">
      <c r="A2272" s="55" t="n"/>
      <c r="B2272" s="56">
        <f>IF(A2272="","",WEEKNUM(A2272,21))</f>
        <v/>
      </c>
      <c r="C2272" s="57" t="n"/>
      <c r="D2272" s="57" t="n"/>
      <c r="E2272" s="58" t="n"/>
      <c r="F2272" s="57" t="n"/>
      <c r="G2272" s="59" t="n"/>
      <c r="H2272" s="59" t="n"/>
      <c r="I2272" s="60">
        <f>IF(OR(G2272="",H2272=""),"",MOD(H2272-G2272,1))</f>
        <v/>
      </c>
      <c r="J2272" s="61">
        <f>IF(OR(G2272="",H2272=""),"",ROUND(MOD(H2272-G2272,1)*24,2))</f>
        <v/>
      </c>
      <c r="K2272" s="62">
        <f>IF(E2272="","",IF(E2272="Werken","JA","NEE"))</f>
        <v/>
      </c>
      <c r="L2272" s="61">
        <f>IF(K2272="JA",N(J2272),IF(E2272="","",0))</f>
        <v/>
      </c>
      <c r="M2272" s="62">
        <f>IF(AND(A2272="",E2272=""),"",IF(E2272="","Segment ontbreekt",IF(OR(G2272="",H2272=""),"Van/tot ontbreekt",IF(N(J2272)=0,"Duur is nul",IF(N(J2272)&gt;12,"Langer dan 12 uur - controleren",IF(AND(E2272="Werken",D2272=""),"Werken zonder klant - koppelen","OK"))))))</f>
        <v/>
      </c>
    </row>
    <row r="2273" ht="15" customHeight="1" s="42">
      <c r="A2273" s="55" t="n"/>
      <c r="B2273" s="56">
        <f>IF(A2273="","",WEEKNUM(A2273,21))</f>
        <v/>
      </c>
      <c r="C2273" s="57" t="n"/>
      <c r="D2273" s="57" t="n"/>
      <c r="E2273" s="58" t="n"/>
      <c r="F2273" s="57" t="n"/>
      <c r="G2273" s="59" t="n"/>
      <c r="H2273" s="59" t="n"/>
      <c r="I2273" s="60">
        <f>IF(OR(G2273="",H2273=""),"",MOD(H2273-G2273,1))</f>
        <v/>
      </c>
      <c r="J2273" s="61">
        <f>IF(OR(G2273="",H2273=""),"",ROUND(MOD(H2273-G2273,1)*24,2))</f>
        <v/>
      </c>
      <c r="K2273" s="62">
        <f>IF(E2273="","",IF(E2273="Werken","JA","NEE"))</f>
        <v/>
      </c>
      <c r="L2273" s="61">
        <f>IF(K2273="JA",N(J2273),IF(E2273="","",0))</f>
        <v/>
      </c>
      <c r="M2273" s="62">
        <f>IF(AND(A2273="",E2273=""),"",IF(E2273="","Segment ontbreekt",IF(OR(G2273="",H2273=""),"Van/tot ontbreekt",IF(N(J2273)=0,"Duur is nul",IF(N(J2273)&gt;12,"Langer dan 12 uur - controleren",IF(AND(E2273="Werken",D2273=""),"Werken zonder klant - koppelen","OK"))))))</f>
        <v/>
      </c>
    </row>
    <row r="2274" ht="15" customHeight="1" s="42">
      <c r="A2274" s="55" t="n"/>
      <c r="B2274" s="56">
        <f>IF(A2274="","",WEEKNUM(A2274,21))</f>
        <v/>
      </c>
      <c r="C2274" s="57" t="n"/>
      <c r="D2274" s="57" t="n"/>
      <c r="E2274" s="58" t="n"/>
      <c r="F2274" s="57" t="n"/>
      <c r="G2274" s="59" t="n"/>
      <c r="H2274" s="59" t="n"/>
      <c r="I2274" s="60">
        <f>IF(OR(G2274="",H2274=""),"",MOD(H2274-G2274,1))</f>
        <v/>
      </c>
      <c r="J2274" s="61">
        <f>IF(OR(G2274="",H2274=""),"",ROUND(MOD(H2274-G2274,1)*24,2))</f>
        <v/>
      </c>
      <c r="K2274" s="62">
        <f>IF(E2274="","",IF(E2274="Werken","JA","NEE"))</f>
        <v/>
      </c>
      <c r="L2274" s="61">
        <f>IF(K2274="JA",N(J2274),IF(E2274="","",0))</f>
        <v/>
      </c>
      <c r="M2274" s="62">
        <f>IF(AND(A2274="",E2274=""),"",IF(E2274="","Segment ontbreekt",IF(OR(G2274="",H2274=""),"Van/tot ontbreekt",IF(N(J2274)=0,"Duur is nul",IF(N(J2274)&gt;12,"Langer dan 12 uur - controleren",IF(AND(E2274="Werken",D2274=""),"Werken zonder klant - koppelen","OK"))))))</f>
        <v/>
      </c>
    </row>
    <row r="2275" ht="15" customHeight="1" s="42">
      <c r="A2275" s="55" t="n"/>
      <c r="B2275" s="56">
        <f>IF(A2275="","",WEEKNUM(A2275,21))</f>
        <v/>
      </c>
      <c r="C2275" s="57" t="n"/>
      <c r="D2275" s="57" t="n"/>
      <c r="E2275" s="58" t="n"/>
      <c r="F2275" s="57" t="n"/>
      <c r="G2275" s="59" t="n"/>
      <c r="H2275" s="59" t="n"/>
      <c r="I2275" s="60">
        <f>IF(OR(G2275="",H2275=""),"",MOD(H2275-G2275,1))</f>
        <v/>
      </c>
      <c r="J2275" s="61">
        <f>IF(OR(G2275="",H2275=""),"",ROUND(MOD(H2275-G2275,1)*24,2))</f>
        <v/>
      </c>
      <c r="K2275" s="62">
        <f>IF(E2275="","",IF(E2275="Werken","JA","NEE"))</f>
        <v/>
      </c>
      <c r="L2275" s="61">
        <f>IF(K2275="JA",N(J2275),IF(E2275="","",0))</f>
        <v/>
      </c>
      <c r="M2275" s="62">
        <f>IF(AND(A2275="",E2275=""),"",IF(E2275="","Segment ontbreekt",IF(OR(G2275="",H2275=""),"Van/tot ontbreekt",IF(N(J2275)=0,"Duur is nul",IF(N(J2275)&gt;12,"Langer dan 12 uur - controleren",IF(AND(E2275="Werken",D2275=""),"Werken zonder klant - koppelen","OK"))))))</f>
        <v/>
      </c>
    </row>
    <row r="2276" ht="15" customHeight="1" s="42">
      <c r="A2276" s="55" t="n"/>
      <c r="B2276" s="56">
        <f>IF(A2276="","",WEEKNUM(A2276,21))</f>
        <v/>
      </c>
      <c r="C2276" s="57" t="n"/>
      <c r="D2276" s="57" t="n"/>
      <c r="E2276" s="58" t="n"/>
      <c r="F2276" s="57" t="n"/>
      <c r="G2276" s="59" t="n"/>
      <c r="H2276" s="59" t="n"/>
      <c r="I2276" s="60">
        <f>IF(OR(G2276="",H2276=""),"",MOD(H2276-G2276,1))</f>
        <v/>
      </c>
      <c r="J2276" s="61">
        <f>IF(OR(G2276="",H2276=""),"",ROUND(MOD(H2276-G2276,1)*24,2))</f>
        <v/>
      </c>
      <c r="K2276" s="62">
        <f>IF(E2276="","",IF(E2276="Werken","JA","NEE"))</f>
        <v/>
      </c>
      <c r="L2276" s="61">
        <f>IF(K2276="JA",N(J2276),IF(E2276="","",0))</f>
        <v/>
      </c>
      <c r="M2276" s="62">
        <f>IF(AND(A2276="",E2276=""),"",IF(E2276="","Segment ontbreekt",IF(OR(G2276="",H2276=""),"Van/tot ontbreekt",IF(N(J2276)=0,"Duur is nul",IF(N(J2276)&gt;12,"Langer dan 12 uur - controleren",IF(AND(E2276="Werken",D2276=""),"Werken zonder klant - koppelen","OK"))))))</f>
        <v/>
      </c>
    </row>
    <row r="2277" ht="15" customHeight="1" s="42">
      <c r="A2277" s="55" t="n"/>
      <c r="B2277" s="56">
        <f>IF(A2277="","",WEEKNUM(A2277,21))</f>
        <v/>
      </c>
      <c r="C2277" s="57" t="n"/>
      <c r="D2277" s="57" t="n"/>
      <c r="E2277" s="58" t="n"/>
      <c r="F2277" s="57" t="n"/>
      <c r="G2277" s="59" t="n"/>
      <c r="H2277" s="59" t="n"/>
      <c r="I2277" s="60">
        <f>IF(OR(G2277="",H2277=""),"",MOD(H2277-G2277,1))</f>
        <v/>
      </c>
      <c r="J2277" s="61">
        <f>IF(OR(G2277="",H2277=""),"",ROUND(MOD(H2277-G2277,1)*24,2))</f>
        <v/>
      </c>
      <c r="K2277" s="62">
        <f>IF(E2277="","",IF(E2277="Werken","JA","NEE"))</f>
        <v/>
      </c>
      <c r="L2277" s="61">
        <f>IF(K2277="JA",N(J2277),IF(E2277="","",0))</f>
        <v/>
      </c>
      <c r="M2277" s="62">
        <f>IF(AND(A2277="",E2277=""),"",IF(E2277="","Segment ontbreekt",IF(OR(G2277="",H2277=""),"Van/tot ontbreekt",IF(N(J2277)=0,"Duur is nul",IF(N(J2277)&gt;12,"Langer dan 12 uur - controleren",IF(AND(E2277="Werken",D2277=""),"Werken zonder klant - koppelen","OK"))))))</f>
        <v/>
      </c>
    </row>
    <row r="2278" ht="15" customHeight="1" s="42">
      <c r="A2278" s="55" t="n"/>
      <c r="B2278" s="56">
        <f>IF(A2278="","",WEEKNUM(A2278,21))</f>
        <v/>
      </c>
      <c r="C2278" s="57" t="n"/>
      <c r="D2278" s="57" t="n"/>
      <c r="E2278" s="58" t="n"/>
      <c r="F2278" s="57" t="n"/>
      <c r="G2278" s="59" t="n"/>
      <c r="H2278" s="59" t="n"/>
      <c r="I2278" s="60">
        <f>IF(OR(G2278="",H2278=""),"",MOD(H2278-G2278,1))</f>
        <v/>
      </c>
      <c r="J2278" s="61">
        <f>IF(OR(G2278="",H2278=""),"",ROUND(MOD(H2278-G2278,1)*24,2))</f>
        <v/>
      </c>
      <c r="K2278" s="62">
        <f>IF(E2278="","",IF(E2278="Werken","JA","NEE"))</f>
        <v/>
      </c>
      <c r="L2278" s="61">
        <f>IF(K2278="JA",N(J2278),IF(E2278="","",0))</f>
        <v/>
      </c>
      <c r="M2278" s="62">
        <f>IF(AND(A2278="",E2278=""),"",IF(E2278="","Segment ontbreekt",IF(OR(G2278="",H2278=""),"Van/tot ontbreekt",IF(N(J2278)=0,"Duur is nul",IF(N(J2278)&gt;12,"Langer dan 12 uur - controleren",IF(AND(E2278="Werken",D2278=""),"Werken zonder klant - koppelen","OK"))))))</f>
        <v/>
      </c>
    </row>
    <row r="2279" ht="15" customHeight="1" s="42">
      <c r="A2279" s="55" t="n"/>
      <c r="B2279" s="56">
        <f>IF(A2279="","",WEEKNUM(A2279,21))</f>
        <v/>
      </c>
      <c r="C2279" s="57" t="n"/>
      <c r="D2279" s="57" t="n"/>
      <c r="E2279" s="58" t="n"/>
      <c r="F2279" s="57" t="n"/>
      <c r="G2279" s="59" t="n"/>
      <c r="H2279" s="59" t="n"/>
      <c r="I2279" s="60">
        <f>IF(OR(G2279="",H2279=""),"",MOD(H2279-G2279,1))</f>
        <v/>
      </c>
      <c r="J2279" s="61">
        <f>IF(OR(G2279="",H2279=""),"",ROUND(MOD(H2279-G2279,1)*24,2))</f>
        <v/>
      </c>
      <c r="K2279" s="62">
        <f>IF(E2279="","",IF(E2279="Werken","JA","NEE"))</f>
        <v/>
      </c>
      <c r="L2279" s="61">
        <f>IF(K2279="JA",N(J2279),IF(E2279="","",0))</f>
        <v/>
      </c>
      <c r="M2279" s="62">
        <f>IF(AND(A2279="",E2279=""),"",IF(E2279="","Segment ontbreekt",IF(OR(G2279="",H2279=""),"Van/tot ontbreekt",IF(N(J2279)=0,"Duur is nul",IF(N(J2279)&gt;12,"Langer dan 12 uur - controleren",IF(AND(E2279="Werken",D2279=""),"Werken zonder klant - koppelen","OK"))))))</f>
        <v/>
      </c>
    </row>
    <row r="2280" ht="15" customHeight="1" s="42">
      <c r="A2280" s="55" t="n"/>
      <c r="B2280" s="56">
        <f>IF(A2280="","",WEEKNUM(A2280,21))</f>
        <v/>
      </c>
      <c r="C2280" s="57" t="n"/>
      <c r="D2280" s="57" t="n"/>
      <c r="E2280" s="58" t="n"/>
      <c r="F2280" s="57" t="n"/>
      <c r="G2280" s="59" t="n"/>
      <c r="H2280" s="59" t="n"/>
      <c r="I2280" s="60">
        <f>IF(OR(G2280="",H2280=""),"",MOD(H2280-G2280,1))</f>
        <v/>
      </c>
      <c r="J2280" s="61">
        <f>IF(OR(G2280="",H2280=""),"",ROUND(MOD(H2280-G2280,1)*24,2))</f>
        <v/>
      </c>
      <c r="K2280" s="62">
        <f>IF(E2280="","",IF(E2280="Werken","JA","NEE"))</f>
        <v/>
      </c>
      <c r="L2280" s="61">
        <f>IF(K2280="JA",N(J2280),IF(E2280="","",0))</f>
        <v/>
      </c>
      <c r="M2280" s="62">
        <f>IF(AND(A2280="",E2280=""),"",IF(E2280="","Segment ontbreekt",IF(OR(G2280="",H2280=""),"Van/tot ontbreekt",IF(N(J2280)=0,"Duur is nul",IF(N(J2280)&gt;12,"Langer dan 12 uur - controleren",IF(AND(E2280="Werken",D2280=""),"Werken zonder klant - koppelen","OK"))))))</f>
        <v/>
      </c>
    </row>
    <row r="2281" ht="15" customHeight="1" s="42">
      <c r="A2281" s="55" t="n"/>
      <c r="B2281" s="56">
        <f>IF(A2281="","",WEEKNUM(A2281,21))</f>
        <v/>
      </c>
      <c r="C2281" s="57" t="n"/>
      <c r="D2281" s="57" t="n"/>
      <c r="E2281" s="58" t="n"/>
      <c r="F2281" s="57" t="n"/>
      <c r="G2281" s="59" t="n"/>
      <c r="H2281" s="59" t="n"/>
      <c r="I2281" s="60">
        <f>IF(OR(G2281="",H2281=""),"",MOD(H2281-G2281,1))</f>
        <v/>
      </c>
      <c r="J2281" s="61">
        <f>IF(OR(G2281="",H2281=""),"",ROUND(MOD(H2281-G2281,1)*24,2))</f>
        <v/>
      </c>
      <c r="K2281" s="62">
        <f>IF(E2281="","",IF(E2281="Werken","JA","NEE"))</f>
        <v/>
      </c>
      <c r="L2281" s="61">
        <f>IF(K2281="JA",N(J2281),IF(E2281="","",0))</f>
        <v/>
      </c>
      <c r="M2281" s="62">
        <f>IF(AND(A2281="",E2281=""),"",IF(E2281="","Segment ontbreekt",IF(OR(G2281="",H2281=""),"Van/tot ontbreekt",IF(N(J2281)=0,"Duur is nul",IF(N(J2281)&gt;12,"Langer dan 12 uur - controleren",IF(AND(E2281="Werken",D2281=""),"Werken zonder klant - koppelen","OK"))))))</f>
        <v/>
      </c>
    </row>
    <row r="2282" ht="15" customHeight="1" s="42">
      <c r="A2282" s="55" t="n"/>
      <c r="B2282" s="56">
        <f>IF(A2282="","",WEEKNUM(A2282,21))</f>
        <v/>
      </c>
      <c r="C2282" s="57" t="n"/>
      <c r="D2282" s="57" t="n"/>
      <c r="E2282" s="58" t="n"/>
      <c r="F2282" s="57" t="n"/>
      <c r="G2282" s="59" t="n"/>
      <c r="H2282" s="59" t="n"/>
      <c r="I2282" s="60">
        <f>IF(OR(G2282="",H2282=""),"",MOD(H2282-G2282,1))</f>
        <v/>
      </c>
      <c r="J2282" s="61">
        <f>IF(OR(G2282="",H2282=""),"",ROUND(MOD(H2282-G2282,1)*24,2))</f>
        <v/>
      </c>
      <c r="K2282" s="62">
        <f>IF(E2282="","",IF(E2282="Werken","JA","NEE"))</f>
        <v/>
      </c>
      <c r="L2282" s="61">
        <f>IF(K2282="JA",N(J2282),IF(E2282="","",0))</f>
        <v/>
      </c>
      <c r="M2282" s="62">
        <f>IF(AND(A2282="",E2282=""),"",IF(E2282="","Segment ontbreekt",IF(OR(G2282="",H2282=""),"Van/tot ontbreekt",IF(N(J2282)=0,"Duur is nul",IF(N(J2282)&gt;12,"Langer dan 12 uur - controleren",IF(AND(E2282="Werken",D2282=""),"Werken zonder klant - koppelen","OK"))))))</f>
        <v/>
      </c>
    </row>
    <row r="2283" ht="15" customHeight="1" s="42">
      <c r="A2283" s="55" t="n"/>
      <c r="B2283" s="56">
        <f>IF(A2283="","",WEEKNUM(A2283,21))</f>
        <v/>
      </c>
      <c r="C2283" s="57" t="n"/>
      <c r="D2283" s="57" t="n"/>
      <c r="E2283" s="58" t="n"/>
      <c r="F2283" s="57" t="n"/>
      <c r="G2283" s="59" t="n"/>
      <c r="H2283" s="59" t="n"/>
      <c r="I2283" s="60">
        <f>IF(OR(G2283="",H2283=""),"",MOD(H2283-G2283,1))</f>
        <v/>
      </c>
      <c r="J2283" s="61">
        <f>IF(OR(G2283="",H2283=""),"",ROUND(MOD(H2283-G2283,1)*24,2))</f>
        <v/>
      </c>
      <c r="K2283" s="62">
        <f>IF(E2283="","",IF(E2283="Werken","JA","NEE"))</f>
        <v/>
      </c>
      <c r="L2283" s="61">
        <f>IF(K2283="JA",N(J2283),IF(E2283="","",0))</f>
        <v/>
      </c>
      <c r="M2283" s="62">
        <f>IF(AND(A2283="",E2283=""),"",IF(E2283="","Segment ontbreekt",IF(OR(G2283="",H2283=""),"Van/tot ontbreekt",IF(N(J2283)=0,"Duur is nul",IF(N(J2283)&gt;12,"Langer dan 12 uur - controleren",IF(AND(E2283="Werken",D2283=""),"Werken zonder klant - koppelen","OK"))))))</f>
        <v/>
      </c>
    </row>
    <row r="2284" ht="15" customHeight="1" s="42">
      <c r="A2284" s="55" t="n"/>
      <c r="B2284" s="56">
        <f>IF(A2284="","",WEEKNUM(A2284,21))</f>
        <v/>
      </c>
      <c r="C2284" s="57" t="n"/>
      <c r="D2284" s="57" t="n"/>
      <c r="E2284" s="58" t="n"/>
      <c r="F2284" s="57" t="n"/>
      <c r="G2284" s="59" t="n"/>
      <c r="H2284" s="59" t="n"/>
      <c r="I2284" s="60">
        <f>IF(OR(G2284="",H2284=""),"",MOD(H2284-G2284,1))</f>
        <v/>
      </c>
      <c r="J2284" s="61">
        <f>IF(OR(G2284="",H2284=""),"",ROUND(MOD(H2284-G2284,1)*24,2))</f>
        <v/>
      </c>
      <c r="K2284" s="62">
        <f>IF(E2284="","",IF(E2284="Werken","JA","NEE"))</f>
        <v/>
      </c>
      <c r="L2284" s="61">
        <f>IF(K2284="JA",N(J2284),IF(E2284="","",0))</f>
        <v/>
      </c>
      <c r="M2284" s="62">
        <f>IF(AND(A2284="",E2284=""),"",IF(E2284="","Segment ontbreekt",IF(OR(G2284="",H2284=""),"Van/tot ontbreekt",IF(N(J2284)=0,"Duur is nul",IF(N(J2284)&gt;12,"Langer dan 12 uur - controleren",IF(AND(E2284="Werken",D2284=""),"Werken zonder klant - koppelen","OK"))))))</f>
        <v/>
      </c>
    </row>
    <row r="2285" ht="15" customHeight="1" s="42">
      <c r="A2285" s="55" t="n"/>
      <c r="B2285" s="56">
        <f>IF(A2285="","",WEEKNUM(A2285,21))</f>
        <v/>
      </c>
      <c r="C2285" s="57" t="n"/>
      <c r="D2285" s="57" t="n"/>
      <c r="E2285" s="58" t="n"/>
      <c r="F2285" s="57" t="n"/>
      <c r="G2285" s="59" t="n"/>
      <c r="H2285" s="59" t="n"/>
      <c r="I2285" s="60">
        <f>IF(OR(G2285="",H2285=""),"",MOD(H2285-G2285,1))</f>
        <v/>
      </c>
      <c r="J2285" s="61">
        <f>IF(OR(G2285="",H2285=""),"",ROUND(MOD(H2285-G2285,1)*24,2))</f>
        <v/>
      </c>
      <c r="K2285" s="62">
        <f>IF(E2285="","",IF(E2285="Werken","JA","NEE"))</f>
        <v/>
      </c>
      <c r="L2285" s="61">
        <f>IF(K2285="JA",N(J2285),IF(E2285="","",0))</f>
        <v/>
      </c>
      <c r="M2285" s="62">
        <f>IF(AND(A2285="",E2285=""),"",IF(E2285="","Segment ontbreekt",IF(OR(G2285="",H2285=""),"Van/tot ontbreekt",IF(N(J2285)=0,"Duur is nul",IF(N(J2285)&gt;12,"Langer dan 12 uur - controleren",IF(AND(E2285="Werken",D2285=""),"Werken zonder klant - koppelen","OK"))))))</f>
        <v/>
      </c>
    </row>
    <row r="2286" ht="15" customHeight="1" s="42">
      <c r="A2286" s="55" t="n"/>
      <c r="B2286" s="56">
        <f>IF(A2286="","",WEEKNUM(A2286,21))</f>
        <v/>
      </c>
      <c r="C2286" s="57" t="n"/>
      <c r="D2286" s="57" t="n"/>
      <c r="E2286" s="58" t="n"/>
      <c r="F2286" s="57" t="n"/>
      <c r="G2286" s="59" t="n"/>
      <c r="H2286" s="59" t="n"/>
      <c r="I2286" s="60">
        <f>IF(OR(G2286="",H2286=""),"",MOD(H2286-G2286,1))</f>
        <v/>
      </c>
      <c r="J2286" s="61">
        <f>IF(OR(G2286="",H2286=""),"",ROUND(MOD(H2286-G2286,1)*24,2))</f>
        <v/>
      </c>
      <c r="K2286" s="62">
        <f>IF(E2286="","",IF(E2286="Werken","JA","NEE"))</f>
        <v/>
      </c>
      <c r="L2286" s="61">
        <f>IF(K2286="JA",N(J2286),IF(E2286="","",0))</f>
        <v/>
      </c>
      <c r="M2286" s="62">
        <f>IF(AND(A2286="",E2286=""),"",IF(E2286="","Segment ontbreekt",IF(OR(G2286="",H2286=""),"Van/tot ontbreekt",IF(N(J2286)=0,"Duur is nul",IF(N(J2286)&gt;12,"Langer dan 12 uur - controleren",IF(AND(E2286="Werken",D2286=""),"Werken zonder klant - koppelen","OK"))))))</f>
        <v/>
      </c>
    </row>
    <row r="2287" ht="15" customHeight="1" s="42">
      <c r="A2287" s="55" t="n"/>
      <c r="B2287" s="56">
        <f>IF(A2287="","",WEEKNUM(A2287,21))</f>
        <v/>
      </c>
      <c r="C2287" s="57" t="n"/>
      <c r="D2287" s="57" t="n"/>
      <c r="E2287" s="58" t="n"/>
      <c r="F2287" s="57" t="n"/>
      <c r="G2287" s="59" t="n"/>
      <c r="H2287" s="59" t="n"/>
      <c r="I2287" s="60">
        <f>IF(OR(G2287="",H2287=""),"",MOD(H2287-G2287,1))</f>
        <v/>
      </c>
      <c r="J2287" s="61">
        <f>IF(OR(G2287="",H2287=""),"",ROUND(MOD(H2287-G2287,1)*24,2))</f>
        <v/>
      </c>
      <c r="K2287" s="62">
        <f>IF(E2287="","",IF(E2287="Werken","JA","NEE"))</f>
        <v/>
      </c>
      <c r="L2287" s="61">
        <f>IF(K2287="JA",N(J2287),IF(E2287="","",0))</f>
        <v/>
      </c>
      <c r="M2287" s="62">
        <f>IF(AND(A2287="",E2287=""),"",IF(E2287="","Segment ontbreekt",IF(OR(G2287="",H2287=""),"Van/tot ontbreekt",IF(N(J2287)=0,"Duur is nul",IF(N(J2287)&gt;12,"Langer dan 12 uur - controleren",IF(AND(E2287="Werken",D2287=""),"Werken zonder klant - koppelen","OK"))))))</f>
        <v/>
      </c>
    </row>
    <row r="2288" ht="15" customHeight="1" s="42">
      <c r="A2288" s="55" t="n"/>
      <c r="B2288" s="56">
        <f>IF(A2288="","",WEEKNUM(A2288,21))</f>
        <v/>
      </c>
      <c r="C2288" s="57" t="n"/>
      <c r="D2288" s="57" t="n"/>
      <c r="E2288" s="58" t="n"/>
      <c r="F2288" s="57" t="n"/>
      <c r="G2288" s="59" t="n"/>
      <c r="H2288" s="59" t="n"/>
      <c r="I2288" s="60">
        <f>IF(OR(G2288="",H2288=""),"",MOD(H2288-G2288,1))</f>
        <v/>
      </c>
      <c r="J2288" s="61">
        <f>IF(OR(G2288="",H2288=""),"",ROUND(MOD(H2288-G2288,1)*24,2))</f>
        <v/>
      </c>
      <c r="K2288" s="62">
        <f>IF(E2288="","",IF(E2288="Werken","JA","NEE"))</f>
        <v/>
      </c>
      <c r="L2288" s="61">
        <f>IF(K2288="JA",N(J2288),IF(E2288="","",0))</f>
        <v/>
      </c>
      <c r="M2288" s="62">
        <f>IF(AND(A2288="",E2288=""),"",IF(E2288="","Segment ontbreekt",IF(OR(G2288="",H2288=""),"Van/tot ontbreekt",IF(N(J2288)=0,"Duur is nul",IF(N(J2288)&gt;12,"Langer dan 12 uur - controleren",IF(AND(E2288="Werken",D2288=""),"Werken zonder klant - koppelen","OK"))))))</f>
        <v/>
      </c>
    </row>
    <row r="2289" ht="15" customHeight="1" s="42">
      <c r="A2289" s="55" t="n"/>
      <c r="B2289" s="56">
        <f>IF(A2289="","",WEEKNUM(A2289,21))</f>
        <v/>
      </c>
      <c r="C2289" s="57" t="n"/>
      <c r="D2289" s="57" t="n"/>
      <c r="E2289" s="58" t="n"/>
      <c r="F2289" s="57" t="n"/>
      <c r="G2289" s="59" t="n"/>
      <c r="H2289" s="59" t="n"/>
      <c r="I2289" s="60">
        <f>IF(OR(G2289="",H2289=""),"",MOD(H2289-G2289,1))</f>
        <v/>
      </c>
      <c r="J2289" s="61">
        <f>IF(OR(G2289="",H2289=""),"",ROUND(MOD(H2289-G2289,1)*24,2))</f>
        <v/>
      </c>
      <c r="K2289" s="62">
        <f>IF(E2289="","",IF(E2289="Werken","JA","NEE"))</f>
        <v/>
      </c>
      <c r="L2289" s="61">
        <f>IF(K2289="JA",N(J2289),IF(E2289="","",0))</f>
        <v/>
      </c>
      <c r="M2289" s="62">
        <f>IF(AND(A2289="",E2289=""),"",IF(E2289="","Segment ontbreekt",IF(OR(G2289="",H2289=""),"Van/tot ontbreekt",IF(N(J2289)=0,"Duur is nul",IF(N(J2289)&gt;12,"Langer dan 12 uur - controleren",IF(AND(E2289="Werken",D2289=""),"Werken zonder klant - koppelen","OK"))))))</f>
        <v/>
      </c>
    </row>
    <row r="2290" ht="15" customHeight="1" s="42">
      <c r="A2290" s="55" t="n"/>
      <c r="B2290" s="56">
        <f>IF(A2290="","",WEEKNUM(A2290,21))</f>
        <v/>
      </c>
      <c r="C2290" s="57" t="n"/>
      <c r="D2290" s="57" t="n"/>
      <c r="E2290" s="58" t="n"/>
      <c r="F2290" s="57" t="n"/>
      <c r="G2290" s="59" t="n"/>
      <c r="H2290" s="59" t="n"/>
      <c r="I2290" s="60">
        <f>IF(OR(G2290="",H2290=""),"",MOD(H2290-G2290,1))</f>
        <v/>
      </c>
      <c r="J2290" s="61">
        <f>IF(OR(G2290="",H2290=""),"",ROUND(MOD(H2290-G2290,1)*24,2))</f>
        <v/>
      </c>
      <c r="K2290" s="62">
        <f>IF(E2290="","",IF(E2290="Werken","JA","NEE"))</f>
        <v/>
      </c>
      <c r="L2290" s="61">
        <f>IF(K2290="JA",N(J2290),IF(E2290="","",0))</f>
        <v/>
      </c>
      <c r="M2290" s="62">
        <f>IF(AND(A2290="",E2290=""),"",IF(E2290="","Segment ontbreekt",IF(OR(G2290="",H2290=""),"Van/tot ontbreekt",IF(N(J2290)=0,"Duur is nul",IF(N(J2290)&gt;12,"Langer dan 12 uur - controleren",IF(AND(E2290="Werken",D2290=""),"Werken zonder klant - koppelen","OK"))))))</f>
        <v/>
      </c>
    </row>
    <row r="2291" ht="15" customHeight="1" s="42">
      <c r="A2291" s="55" t="n"/>
      <c r="B2291" s="56">
        <f>IF(A2291="","",WEEKNUM(A2291,21))</f>
        <v/>
      </c>
      <c r="C2291" s="57" t="n"/>
      <c r="D2291" s="57" t="n"/>
      <c r="E2291" s="58" t="n"/>
      <c r="F2291" s="57" t="n"/>
      <c r="G2291" s="59" t="n"/>
      <c r="H2291" s="59" t="n"/>
      <c r="I2291" s="60">
        <f>IF(OR(G2291="",H2291=""),"",MOD(H2291-G2291,1))</f>
        <v/>
      </c>
      <c r="J2291" s="61">
        <f>IF(OR(G2291="",H2291=""),"",ROUND(MOD(H2291-G2291,1)*24,2))</f>
        <v/>
      </c>
      <c r="K2291" s="62">
        <f>IF(E2291="","",IF(E2291="Werken","JA","NEE"))</f>
        <v/>
      </c>
      <c r="L2291" s="61">
        <f>IF(K2291="JA",N(J2291),IF(E2291="","",0))</f>
        <v/>
      </c>
      <c r="M2291" s="62">
        <f>IF(AND(A2291="",E2291=""),"",IF(E2291="","Segment ontbreekt",IF(OR(G2291="",H2291=""),"Van/tot ontbreekt",IF(N(J2291)=0,"Duur is nul",IF(N(J2291)&gt;12,"Langer dan 12 uur - controleren",IF(AND(E2291="Werken",D2291=""),"Werken zonder klant - koppelen","OK"))))))</f>
        <v/>
      </c>
    </row>
    <row r="2292" ht="15" customHeight="1" s="42">
      <c r="A2292" s="55" t="n"/>
      <c r="B2292" s="56">
        <f>IF(A2292="","",WEEKNUM(A2292,21))</f>
        <v/>
      </c>
      <c r="C2292" s="57" t="n"/>
      <c r="D2292" s="57" t="n"/>
      <c r="E2292" s="58" t="n"/>
      <c r="F2292" s="57" t="n"/>
      <c r="G2292" s="59" t="n"/>
      <c r="H2292" s="59" t="n"/>
      <c r="I2292" s="60">
        <f>IF(OR(G2292="",H2292=""),"",MOD(H2292-G2292,1))</f>
        <v/>
      </c>
      <c r="J2292" s="61">
        <f>IF(OR(G2292="",H2292=""),"",ROUND(MOD(H2292-G2292,1)*24,2))</f>
        <v/>
      </c>
      <c r="K2292" s="62">
        <f>IF(E2292="","",IF(E2292="Werken","JA","NEE"))</f>
        <v/>
      </c>
      <c r="L2292" s="61">
        <f>IF(K2292="JA",N(J2292),IF(E2292="","",0))</f>
        <v/>
      </c>
      <c r="M2292" s="62">
        <f>IF(AND(A2292="",E2292=""),"",IF(E2292="","Segment ontbreekt",IF(OR(G2292="",H2292=""),"Van/tot ontbreekt",IF(N(J2292)=0,"Duur is nul",IF(N(J2292)&gt;12,"Langer dan 12 uur - controleren",IF(AND(E2292="Werken",D2292=""),"Werken zonder klant - koppelen","OK"))))))</f>
        <v/>
      </c>
    </row>
    <row r="2293" ht="15" customHeight="1" s="42">
      <c r="A2293" s="55" t="n"/>
      <c r="B2293" s="56">
        <f>IF(A2293="","",WEEKNUM(A2293,21))</f>
        <v/>
      </c>
      <c r="C2293" s="57" t="n"/>
      <c r="D2293" s="57" t="n"/>
      <c r="E2293" s="58" t="n"/>
      <c r="F2293" s="57" t="n"/>
      <c r="G2293" s="59" t="n"/>
      <c r="H2293" s="59" t="n"/>
      <c r="I2293" s="60">
        <f>IF(OR(G2293="",H2293=""),"",MOD(H2293-G2293,1))</f>
        <v/>
      </c>
      <c r="J2293" s="61">
        <f>IF(OR(G2293="",H2293=""),"",ROUND(MOD(H2293-G2293,1)*24,2))</f>
        <v/>
      </c>
      <c r="K2293" s="62">
        <f>IF(E2293="","",IF(E2293="Werken","JA","NEE"))</f>
        <v/>
      </c>
      <c r="L2293" s="61">
        <f>IF(K2293="JA",N(J2293),IF(E2293="","",0))</f>
        <v/>
      </c>
      <c r="M2293" s="62">
        <f>IF(AND(A2293="",E2293=""),"",IF(E2293="","Segment ontbreekt",IF(OR(G2293="",H2293=""),"Van/tot ontbreekt",IF(N(J2293)=0,"Duur is nul",IF(N(J2293)&gt;12,"Langer dan 12 uur - controleren",IF(AND(E2293="Werken",D2293=""),"Werken zonder klant - koppelen","OK"))))))</f>
        <v/>
      </c>
    </row>
    <row r="2294" ht="15" customHeight="1" s="42">
      <c r="A2294" s="55" t="n"/>
      <c r="B2294" s="56">
        <f>IF(A2294="","",WEEKNUM(A2294,21))</f>
        <v/>
      </c>
      <c r="C2294" s="57" t="n"/>
      <c r="D2294" s="57" t="n"/>
      <c r="E2294" s="58" t="n"/>
      <c r="F2294" s="57" t="n"/>
      <c r="G2294" s="59" t="n"/>
      <c r="H2294" s="59" t="n"/>
      <c r="I2294" s="60">
        <f>IF(OR(G2294="",H2294=""),"",MOD(H2294-G2294,1))</f>
        <v/>
      </c>
      <c r="J2294" s="61">
        <f>IF(OR(G2294="",H2294=""),"",ROUND(MOD(H2294-G2294,1)*24,2))</f>
        <v/>
      </c>
      <c r="K2294" s="62">
        <f>IF(E2294="","",IF(E2294="Werken","JA","NEE"))</f>
        <v/>
      </c>
      <c r="L2294" s="61">
        <f>IF(K2294="JA",N(J2294),IF(E2294="","",0))</f>
        <v/>
      </c>
      <c r="M2294" s="62">
        <f>IF(AND(A2294="",E2294=""),"",IF(E2294="","Segment ontbreekt",IF(OR(G2294="",H2294=""),"Van/tot ontbreekt",IF(N(J2294)=0,"Duur is nul",IF(N(J2294)&gt;12,"Langer dan 12 uur - controleren",IF(AND(E2294="Werken",D2294=""),"Werken zonder klant - koppelen","OK"))))))</f>
        <v/>
      </c>
    </row>
    <row r="2295" ht="15" customHeight="1" s="42">
      <c r="A2295" s="55" t="n"/>
      <c r="B2295" s="56">
        <f>IF(A2295="","",WEEKNUM(A2295,21))</f>
        <v/>
      </c>
      <c r="C2295" s="57" t="n"/>
      <c r="D2295" s="57" t="n"/>
      <c r="E2295" s="58" t="n"/>
      <c r="F2295" s="57" t="n"/>
      <c r="G2295" s="59" t="n"/>
      <c r="H2295" s="59" t="n"/>
      <c r="I2295" s="60">
        <f>IF(OR(G2295="",H2295=""),"",MOD(H2295-G2295,1))</f>
        <v/>
      </c>
      <c r="J2295" s="61">
        <f>IF(OR(G2295="",H2295=""),"",ROUND(MOD(H2295-G2295,1)*24,2))</f>
        <v/>
      </c>
      <c r="K2295" s="62">
        <f>IF(E2295="","",IF(E2295="Werken","JA","NEE"))</f>
        <v/>
      </c>
      <c r="L2295" s="61">
        <f>IF(K2295="JA",N(J2295),IF(E2295="","",0))</f>
        <v/>
      </c>
      <c r="M2295" s="62">
        <f>IF(AND(A2295="",E2295=""),"",IF(E2295="","Segment ontbreekt",IF(OR(G2295="",H2295=""),"Van/tot ontbreekt",IF(N(J2295)=0,"Duur is nul",IF(N(J2295)&gt;12,"Langer dan 12 uur - controleren",IF(AND(E2295="Werken",D2295=""),"Werken zonder klant - koppelen","OK"))))))</f>
        <v/>
      </c>
    </row>
    <row r="2296" ht="15" customHeight="1" s="42">
      <c r="A2296" s="55" t="n"/>
      <c r="B2296" s="56">
        <f>IF(A2296="","",WEEKNUM(A2296,21))</f>
        <v/>
      </c>
      <c r="C2296" s="57" t="n"/>
      <c r="D2296" s="57" t="n"/>
      <c r="E2296" s="58" t="n"/>
      <c r="F2296" s="57" t="n"/>
      <c r="G2296" s="59" t="n"/>
      <c r="H2296" s="59" t="n"/>
      <c r="I2296" s="60">
        <f>IF(OR(G2296="",H2296=""),"",MOD(H2296-G2296,1))</f>
        <v/>
      </c>
      <c r="J2296" s="61">
        <f>IF(OR(G2296="",H2296=""),"",ROUND(MOD(H2296-G2296,1)*24,2))</f>
        <v/>
      </c>
      <c r="K2296" s="62">
        <f>IF(E2296="","",IF(E2296="Werken","JA","NEE"))</f>
        <v/>
      </c>
      <c r="L2296" s="61">
        <f>IF(K2296="JA",N(J2296),IF(E2296="","",0))</f>
        <v/>
      </c>
      <c r="M2296" s="62">
        <f>IF(AND(A2296="",E2296=""),"",IF(E2296="","Segment ontbreekt",IF(OR(G2296="",H2296=""),"Van/tot ontbreekt",IF(N(J2296)=0,"Duur is nul",IF(N(J2296)&gt;12,"Langer dan 12 uur - controleren",IF(AND(E2296="Werken",D2296=""),"Werken zonder klant - koppelen","OK"))))))</f>
        <v/>
      </c>
    </row>
    <row r="2297" ht="15" customHeight="1" s="42">
      <c r="A2297" s="55" t="n"/>
      <c r="B2297" s="56">
        <f>IF(A2297="","",WEEKNUM(A2297,21))</f>
        <v/>
      </c>
      <c r="C2297" s="57" t="n"/>
      <c r="D2297" s="57" t="n"/>
      <c r="E2297" s="58" t="n"/>
      <c r="F2297" s="57" t="n"/>
      <c r="G2297" s="59" t="n"/>
      <c r="H2297" s="59" t="n"/>
      <c r="I2297" s="60">
        <f>IF(OR(G2297="",H2297=""),"",MOD(H2297-G2297,1))</f>
        <v/>
      </c>
      <c r="J2297" s="61">
        <f>IF(OR(G2297="",H2297=""),"",ROUND(MOD(H2297-G2297,1)*24,2))</f>
        <v/>
      </c>
      <c r="K2297" s="62">
        <f>IF(E2297="","",IF(E2297="Werken","JA","NEE"))</f>
        <v/>
      </c>
      <c r="L2297" s="61">
        <f>IF(K2297="JA",N(J2297),IF(E2297="","",0))</f>
        <v/>
      </c>
      <c r="M2297" s="62">
        <f>IF(AND(A2297="",E2297=""),"",IF(E2297="","Segment ontbreekt",IF(OR(G2297="",H2297=""),"Van/tot ontbreekt",IF(N(J2297)=0,"Duur is nul",IF(N(J2297)&gt;12,"Langer dan 12 uur - controleren",IF(AND(E2297="Werken",D2297=""),"Werken zonder klant - koppelen","OK"))))))</f>
        <v/>
      </c>
    </row>
    <row r="2298" ht="15" customHeight="1" s="42">
      <c r="A2298" s="55" t="n"/>
      <c r="B2298" s="56">
        <f>IF(A2298="","",WEEKNUM(A2298,21))</f>
        <v/>
      </c>
      <c r="C2298" s="57" t="n"/>
      <c r="D2298" s="57" t="n"/>
      <c r="E2298" s="58" t="n"/>
      <c r="F2298" s="57" t="n"/>
      <c r="G2298" s="59" t="n"/>
      <c r="H2298" s="59" t="n"/>
      <c r="I2298" s="60">
        <f>IF(OR(G2298="",H2298=""),"",MOD(H2298-G2298,1))</f>
        <v/>
      </c>
      <c r="J2298" s="61">
        <f>IF(OR(G2298="",H2298=""),"",ROUND(MOD(H2298-G2298,1)*24,2))</f>
        <v/>
      </c>
      <c r="K2298" s="62">
        <f>IF(E2298="","",IF(E2298="Werken","JA","NEE"))</f>
        <v/>
      </c>
      <c r="L2298" s="61">
        <f>IF(K2298="JA",N(J2298),IF(E2298="","",0))</f>
        <v/>
      </c>
      <c r="M2298" s="62">
        <f>IF(AND(A2298="",E2298=""),"",IF(E2298="","Segment ontbreekt",IF(OR(G2298="",H2298=""),"Van/tot ontbreekt",IF(N(J2298)=0,"Duur is nul",IF(N(J2298)&gt;12,"Langer dan 12 uur - controleren",IF(AND(E2298="Werken",D2298=""),"Werken zonder klant - koppelen","OK"))))))</f>
        <v/>
      </c>
    </row>
    <row r="2299" ht="15" customHeight="1" s="42">
      <c r="A2299" s="55" t="n"/>
      <c r="B2299" s="56">
        <f>IF(A2299="","",WEEKNUM(A2299,21))</f>
        <v/>
      </c>
      <c r="C2299" s="57" t="n"/>
      <c r="D2299" s="57" t="n"/>
      <c r="E2299" s="58" t="n"/>
      <c r="F2299" s="57" t="n"/>
      <c r="G2299" s="59" t="n"/>
      <c r="H2299" s="59" t="n"/>
      <c r="I2299" s="60">
        <f>IF(OR(G2299="",H2299=""),"",MOD(H2299-G2299,1))</f>
        <v/>
      </c>
      <c r="J2299" s="61">
        <f>IF(OR(G2299="",H2299=""),"",ROUND(MOD(H2299-G2299,1)*24,2))</f>
        <v/>
      </c>
      <c r="K2299" s="62">
        <f>IF(E2299="","",IF(E2299="Werken","JA","NEE"))</f>
        <v/>
      </c>
      <c r="L2299" s="61">
        <f>IF(K2299="JA",N(J2299),IF(E2299="","",0))</f>
        <v/>
      </c>
      <c r="M2299" s="62">
        <f>IF(AND(A2299="",E2299=""),"",IF(E2299="","Segment ontbreekt",IF(OR(G2299="",H2299=""),"Van/tot ontbreekt",IF(N(J2299)=0,"Duur is nul",IF(N(J2299)&gt;12,"Langer dan 12 uur - controleren",IF(AND(E2299="Werken",D2299=""),"Werken zonder klant - koppelen","OK"))))))</f>
        <v/>
      </c>
    </row>
    <row r="2300" ht="15" customHeight="1" s="42">
      <c r="A2300" s="55" t="n"/>
      <c r="B2300" s="56">
        <f>IF(A2300="","",WEEKNUM(A2300,21))</f>
        <v/>
      </c>
      <c r="C2300" s="57" t="n"/>
      <c r="D2300" s="57" t="n"/>
      <c r="E2300" s="58" t="n"/>
      <c r="F2300" s="57" t="n"/>
      <c r="G2300" s="59" t="n"/>
      <c r="H2300" s="59" t="n"/>
      <c r="I2300" s="60">
        <f>IF(OR(G2300="",H2300=""),"",MOD(H2300-G2300,1))</f>
        <v/>
      </c>
      <c r="J2300" s="61">
        <f>IF(OR(G2300="",H2300=""),"",ROUND(MOD(H2300-G2300,1)*24,2))</f>
        <v/>
      </c>
      <c r="K2300" s="62">
        <f>IF(E2300="","",IF(E2300="Werken","JA","NEE"))</f>
        <v/>
      </c>
      <c r="L2300" s="61">
        <f>IF(K2300="JA",N(J2300),IF(E2300="","",0))</f>
        <v/>
      </c>
      <c r="M2300" s="62">
        <f>IF(AND(A2300="",E2300=""),"",IF(E2300="","Segment ontbreekt",IF(OR(G2300="",H2300=""),"Van/tot ontbreekt",IF(N(J2300)=0,"Duur is nul",IF(N(J2300)&gt;12,"Langer dan 12 uur - controleren",IF(AND(E2300="Werken",D2300=""),"Werken zonder klant - koppelen","OK"))))))</f>
        <v/>
      </c>
    </row>
    <row r="2301" ht="15" customHeight="1" s="42">
      <c r="A2301" s="55" t="n"/>
      <c r="B2301" s="56">
        <f>IF(A2301="","",WEEKNUM(A2301,21))</f>
        <v/>
      </c>
      <c r="C2301" s="57" t="n"/>
      <c r="D2301" s="57" t="n"/>
      <c r="E2301" s="58" t="n"/>
      <c r="F2301" s="57" t="n"/>
      <c r="G2301" s="59" t="n"/>
      <c r="H2301" s="59" t="n"/>
      <c r="I2301" s="60">
        <f>IF(OR(G2301="",H2301=""),"",MOD(H2301-G2301,1))</f>
        <v/>
      </c>
      <c r="J2301" s="61">
        <f>IF(OR(G2301="",H2301=""),"",ROUND(MOD(H2301-G2301,1)*24,2))</f>
        <v/>
      </c>
      <c r="K2301" s="62">
        <f>IF(E2301="","",IF(E2301="Werken","JA","NEE"))</f>
        <v/>
      </c>
      <c r="L2301" s="61">
        <f>IF(K2301="JA",N(J2301),IF(E2301="","",0))</f>
        <v/>
      </c>
      <c r="M2301" s="62">
        <f>IF(AND(A2301="",E2301=""),"",IF(E2301="","Segment ontbreekt",IF(OR(G2301="",H2301=""),"Van/tot ontbreekt",IF(N(J2301)=0,"Duur is nul",IF(N(J2301)&gt;12,"Langer dan 12 uur - controleren",IF(AND(E2301="Werken",D2301=""),"Werken zonder klant - koppelen","OK"))))))</f>
        <v/>
      </c>
    </row>
    <row r="2302" ht="15" customHeight="1" s="42">
      <c r="A2302" s="55" t="n"/>
      <c r="B2302" s="56">
        <f>IF(A2302="","",WEEKNUM(A2302,21))</f>
        <v/>
      </c>
      <c r="C2302" s="57" t="n"/>
      <c r="D2302" s="57" t="n"/>
      <c r="E2302" s="58" t="n"/>
      <c r="F2302" s="57" t="n"/>
      <c r="G2302" s="59" t="n"/>
      <c r="H2302" s="59" t="n"/>
      <c r="I2302" s="60">
        <f>IF(OR(G2302="",H2302=""),"",MOD(H2302-G2302,1))</f>
        <v/>
      </c>
      <c r="J2302" s="61">
        <f>IF(OR(G2302="",H2302=""),"",ROUND(MOD(H2302-G2302,1)*24,2))</f>
        <v/>
      </c>
      <c r="K2302" s="62">
        <f>IF(E2302="","",IF(E2302="Werken","JA","NEE"))</f>
        <v/>
      </c>
      <c r="L2302" s="61">
        <f>IF(K2302="JA",N(J2302),IF(E2302="","",0))</f>
        <v/>
      </c>
      <c r="M2302" s="62">
        <f>IF(AND(A2302="",E2302=""),"",IF(E2302="","Segment ontbreekt",IF(OR(G2302="",H2302=""),"Van/tot ontbreekt",IF(N(J2302)=0,"Duur is nul",IF(N(J2302)&gt;12,"Langer dan 12 uur - controleren",IF(AND(E2302="Werken",D2302=""),"Werken zonder klant - koppelen","OK"))))))</f>
        <v/>
      </c>
    </row>
    <row r="2303" ht="15" customHeight="1" s="42">
      <c r="A2303" s="55" t="n"/>
      <c r="B2303" s="56">
        <f>IF(A2303="","",WEEKNUM(A2303,21))</f>
        <v/>
      </c>
      <c r="C2303" s="57" t="n"/>
      <c r="D2303" s="57" t="n"/>
      <c r="E2303" s="58" t="n"/>
      <c r="F2303" s="57" t="n"/>
      <c r="G2303" s="59" t="n"/>
      <c r="H2303" s="59" t="n"/>
      <c r="I2303" s="60">
        <f>IF(OR(G2303="",H2303=""),"",MOD(H2303-G2303,1))</f>
        <v/>
      </c>
      <c r="J2303" s="61">
        <f>IF(OR(G2303="",H2303=""),"",ROUND(MOD(H2303-G2303,1)*24,2))</f>
        <v/>
      </c>
      <c r="K2303" s="62">
        <f>IF(E2303="","",IF(E2303="Werken","JA","NEE"))</f>
        <v/>
      </c>
      <c r="L2303" s="61">
        <f>IF(K2303="JA",N(J2303),IF(E2303="","",0))</f>
        <v/>
      </c>
      <c r="M2303" s="62">
        <f>IF(AND(A2303="",E2303=""),"",IF(E2303="","Segment ontbreekt",IF(OR(G2303="",H2303=""),"Van/tot ontbreekt",IF(N(J2303)=0,"Duur is nul",IF(N(J2303)&gt;12,"Langer dan 12 uur - controleren",IF(AND(E2303="Werken",D2303=""),"Werken zonder klant - koppelen","OK"))))))</f>
        <v/>
      </c>
    </row>
    <row r="2304" ht="15" customHeight="1" s="42">
      <c r="A2304" s="55" t="n"/>
      <c r="B2304" s="56">
        <f>IF(A2304="","",WEEKNUM(A2304,21))</f>
        <v/>
      </c>
      <c r="C2304" s="57" t="n"/>
      <c r="D2304" s="57" t="n"/>
      <c r="E2304" s="58" t="n"/>
      <c r="F2304" s="57" t="n"/>
      <c r="G2304" s="59" t="n"/>
      <c r="H2304" s="59" t="n"/>
      <c r="I2304" s="60">
        <f>IF(OR(G2304="",H2304=""),"",MOD(H2304-G2304,1))</f>
        <v/>
      </c>
      <c r="J2304" s="61">
        <f>IF(OR(G2304="",H2304=""),"",ROUND(MOD(H2304-G2304,1)*24,2))</f>
        <v/>
      </c>
      <c r="K2304" s="62">
        <f>IF(E2304="","",IF(E2304="Werken","JA","NEE"))</f>
        <v/>
      </c>
      <c r="L2304" s="61">
        <f>IF(K2304="JA",N(J2304),IF(E2304="","",0))</f>
        <v/>
      </c>
      <c r="M2304" s="62">
        <f>IF(AND(A2304="",E2304=""),"",IF(E2304="","Segment ontbreekt",IF(OR(G2304="",H2304=""),"Van/tot ontbreekt",IF(N(J2304)=0,"Duur is nul",IF(N(J2304)&gt;12,"Langer dan 12 uur - controleren",IF(AND(E2304="Werken",D2304=""),"Werken zonder klant - koppelen","OK"))))))</f>
        <v/>
      </c>
    </row>
    <row r="2305" ht="15" customHeight="1" s="42">
      <c r="A2305" s="55" t="n"/>
      <c r="B2305" s="56">
        <f>IF(A2305="","",WEEKNUM(A2305,21))</f>
        <v/>
      </c>
      <c r="C2305" s="57" t="n"/>
      <c r="D2305" s="57" t="n"/>
      <c r="E2305" s="58" t="n"/>
      <c r="F2305" s="57" t="n"/>
      <c r="G2305" s="59" t="n"/>
      <c r="H2305" s="59" t="n"/>
      <c r="I2305" s="60">
        <f>IF(OR(G2305="",H2305=""),"",MOD(H2305-G2305,1))</f>
        <v/>
      </c>
      <c r="J2305" s="61">
        <f>IF(OR(G2305="",H2305=""),"",ROUND(MOD(H2305-G2305,1)*24,2))</f>
        <v/>
      </c>
      <c r="K2305" s="62">
        <f>IF(E2305="","",IF(E2305="Werken","JA","NEE"))</f>
        <v/>
      </c>
      <c r="L2305" s="61">
        <f>IF(K2305="JA",N(J2305),IF(E2305="","",0))</f>
        <v/>
      </c>
      <c r="M2305" s="62">
        <f>IF(AND(A2305="",E2305=""),"",IF(E2305="","Segment ontbreekt",IF(OR(G2305="",H2305=""),"Van/tot ontbreekt",IF(N(J2305)=0,"Duur is nul",IF(N(J2305)&gt;12,"Langer dan 12 uur - controleren",IF(AND(E2305="Werken",D2305=""),"Werken zonder klant - koppelen","OK"))))))</f>
        <v/>
      </c>
    </row>
    <row r="2306" ht="15" customHeight="1" s="42">
      <c r="A2306" s="55" t="n"/>
      <c r="B2306" s="56">
        <f>IF(A2306="","",WEEKNUM(A2306,21))</f>
        <v/>
      </c>
      <c r="C2306" s="57" t="n"/>
      <c r="D2306" s="57" t="n"/>
      <c r="E2306" s="58" t="n"/>
      <c r="F2306" s="57" t="n"/>
      <c r="G2306" s="59" t="n"/>
      <c r="H2306" s="59" t="n"/>
      <c r="I2306" s="60">
        <f>IF(OR(G2306="",H2306=""),"",MOD(H2306-G2306,1))</f>
        <v/>
      </c>
      <c r="J2306" s="61">
        <f>IF(OR(G2306="",H2306=""),"",ROUND(MOD(H2306-G2306,1)*24,2))</f>
        <v/>
      </c>
      <c r="K2306" s="62">
        <f>IF(E2306="","",IF(E2306="Werken","JA","NEE"))</f>
        <v/>
      </c>
      <c r="L2306" s="61">
        <f>IF(K2306="JA",N(J2306),IF(E2306="","",0))</f>
        <v/>
      </c>
      <c r="M2306" s="62">
        <f>IF(AND(A2306="",E2306=""),"",IF(E2306="","Segment ontbreekt",IF(OR(G2306="",H2306=""),"Van/tot ontbreekt",IF(N(J2306)=0,"Duur is nul",IF(N(J2306)&gt;12,"Langer dan 12 uur - controleren",IF(AND(E2306="Werken",D2306=""),"Werken zonder klant - koppelen","OK"))))))</f>
        <v/>
      </c>
    </row>
    <row r="2307" ht="15" customHeight="1" s="42">
      <c r="A2307" s="55" t="n"/>
      <c r="B2307" s="56">
        <f>IF(A2307="","",WEEKNUM(A2307,21))</f>
        <v/>
      </c>
      <c r="C2307" s="57" t="n"/>
      <c r="D2307" s="57" t="n"/>
      <c r="E2307" s="58" t="n"/>
      <c r="F2307" s="57" t="n"/>
      <c r="G2307" s="59" t="n"/>
      <c r="H2307" s="59" t="n"/>
      <c r="I2307" s="60">
        <f>IF(OR(G2307="",H2307=""),"",MOD(H2307-G2307,1))</f>
        <v/>
      </c>
      <c r="J2307" s="61">
        <f>IF(OR(G2307="",H2307=""),"",ROUND(MOD(H2307-G2307,1)*24,2))</f>
        <v/>
      </c>
      <c r="K2307" s="62">
        <f>IF(E2307="","",IF(E2307="Werken","JA","NEE"))</f>
        <v/>
      </c>
      <c r="L2307" s="61">
        <f>IF(K2307="JA",N(J2307),IF(E2307="","",0))</f>
        <v/>
      </c>
      <c r="M2307" s="62">
        <f>IF(AND(A2307="",E2307=""),"",IF(E2307="","Segment ontbreekt",IF(OR(G2307="",H2307=""),"Van/tot ontbreekt",IF(N(J2307)=0,"Duur is nul",IF(N(J2307)&gt;12,"Langer dan 12 uur - controleren",IF(AND(E2307="Werken",D2307=""),"Werken zonder klant - koppelen","OK"))))))</f>
        <v/>
      </c>
    </row>
    <row r="2308" ht="15" customHeight="1" s="42">
      <c r="A2308" s="55" t="n"/>
      <c r="B2308" s="56">
        <f>IF(A2308="","",WEEKNUM(A2308,21))</f>
        <v/>
      </c>
      <c r="C2308" s="57" t="n"/>
      <c r="D2308" s="57" t="n"/>
      <c r="E2308" s="58" t="n"/>
      <c r="F2308" s="57" t="n"/>
      <c r="G2308" s="59" t="n"/>
      <c r="H2308" s="59" t="n"/>
      <c r="I2308" s="60">
        <f>IF(OR(G2308="",H2308=""),"",MOD(H2308-G2308,1))</f>
        <v/>
      </c>
      <c r="J2308" s="61">
        <f>IF(OR(G2308="",H2308=""),"",ROUND(MOD(H2308-G2308,1)*24,2))</f>
        <v/>
      </c>
      <c r="K2308" s="62">
        <f>IF(E2308="","",IF(E2308="Werken","JA","NEE"))</f>
        <v/>
      </c>
      <c r="L2308" s="61">
        <f>IF(K2308="JA",N(J2308),IF(E2308="","",0))</f>
        <v/>
      </c>
      <c r="M2308" s="62">
        <f>IF(AND(A2308="",E2308=""),"",IF(E2308="","Segment ontbreekt",IF(OR(G2308="",H2308=""),"Van/tot ontbreekt",IF(N(J2308)=0,"Duur is nul",IF(N(J2308)&gt;12,"Langer dan 12 uur - controleren",IF(AND(E2308="Werken",D2308=""),"Werken zonder klant - koppelen","OK"))))))</f>
        <v/>
      </c>
    </row>
    <row r="2309" ht="15" customHeight="1" s="42">
      <c r="A2309" s="55" t="n"/>
      <c r="B2309" s="56">
        <f>IF(A2309="","",WEEKNUM(A2309,21))</f>
        <v/>
      </c>
      <c r="C2309" s="57" t="n"/>
      <c r="D2309" s="57" t="n"/>
      <c r="E2309" s="58" t="n"/>
      <c r="F2309" s="57" t="n"/>
      <c r="G2309" s="59" t="n"/>
      <c r="H2309" s="59" t="n"/>
      <c r="I2309" s="60">
        <f>IF(OR(G2309="",H2309=""),"",MOD(H2309-G2309,1))</f>
        <v/>
      </c>
      <c r="J2309" s="61">
        <f>IF(OR(G2309="",H2309=""),"",ROUND(MOD(H2309-G2309,1)*24,2))</f>
        <v/>
      </c>
      <c r="K2309" s="62">
        <f>IF(E2309="","",IF(E2309="Werken","JA","NEE"))</f>
        <v/>
      </c>
      <c r="L2309" s="61">
        <f>IF(K2309="JA",N(J2309),IF(E2309="","",0))</f>
        <v/>
      </c>
      <c r="M2309" s="62">
        <f>IF(AND(A2309="",E2309=""),"",IF(E2309="","Segment ontbreekt",IF(OR(G2309="",H2309=""),"Van/tot ontbreekt",IF(N(J2309)=0,"Duur is nul",IF(N(J2309)&gt;12,"Langer dan 12 uur - controleren",IF(AND(E2309="Werken",D2309=""),"Werken zonder klant - koppelen","OK"))))))</f>
        <v/>
      </c>
    </row>
    <row r="2310" ht="15" customHeight="1" s="42">
      <c r="A2310" s="55" t="n"/>
      <c r="B2310" s="56">
        <f>IF(A2310="","",WEEKNUM(A2310,21))</f>
        <v/>
      </c>
      <c r="C2310" s="57" t="n"/>
      <c r="D2310" s="57" t="n"/>
      <c r="E2310" s="58" t="n"/>
      <c r="F2310" s="57" t="n"/>
      <c r="G2310" s="59" t="n"/>
      <c r="H2310" s="59" t="n"/>
      <c r="I2310" s="60">
        <f>IF(OR(G2310="",H2310=""),"",MOD(H2310-G2310,1))</f>
        <v/>
      </c>
      <c r="J2310" s="61">
        <f>IF(OR(G2310="",H2310=""),"",ROUND(MOD(H2310-G2310,1)*24,2))</f>
        <v/>
      </c>
      <c r="K2310" s="62">
        <f>IF(E2310="","",IF(E2310="Werken","JA","NEE"))</f>
        <v/>
      </c>
      <c r="L2310" s="61">
        <f>IF(K2310="JA",N(J2310),IF(E2310="","",0))</f>
        <v/>
      </c>
      <c r="M2310" s="62">
        <f>IF(AND(A2310="",E2310=""),"",IF(E2310="","Segment ontbreekt",IF(OR(G2310="",H2310=""),"Van/tot ontbreekt",IF(N(J2310)=0,"Duur is nul",IF(N(J2310)&gt;12,"Langer dan 12 uur - controleren",IF(AND(E2310="Werken",D2310=""),"Werken zonder klant - koppelen","OK"))))))</f>
        <v/>
      </c>
    </row>
    <row r="2311" ht="15" customHeight="1" s="42">
      <c r="A2311" s="55" t="n"/>
      <c r="B2311" s="56">
        <f>IF(A2311="","",WEEKNUM(A2311,21))</f>
        <v/>
      </c>
      <c r="C2311" s="57" t="n"/>
      <c r="D2311" s="57" t="n"/>
      <c r="E2311" s="58" t="n"/>
      <c r="F2311" s="57" t="n"/>
      <c r="G2311" s="59" t="n"/>
      <c r="H2311" s="59" t="n"/>
      <c r="I2311" s="60">
        <f>IF(OR(G2311="",H2311=""),"",MOD(H2311-G2311,1))</f>
        <v/>
      </c>
      <c r="J2311" s="61">
        <f>IF(OR(G2311="",H2311=""),"",ROUND(MOD(H2311-G2311,1)*24,2))</f>
        <v/>
      </c>
      <c r="K2311" s="62">
        <f>IF(E2311="","",IF(E2311="Werken","JA","NEE"))</f>
        <v/>
      </c>
      <c r="L2311" s="61">
        <f>IF(K2311="JA",N(J2311),IF(E2311="","",0))</f>
        <v/>
      </c>
      <c r="M2311" s="62">
        <f>IF(AND(A2311="",E2311=""),"",IF(E2311="","Segment ontbreekt",IF(OR(G2311="",H2311=""),"Van/tot ontbreekt",IF(N(J2311)=0,"Duur is nul",IF(N(J2311)&gt;12,"Langer dan 12 uur - controleren",IF(AND(E2311="Werken",D2311=""),"Werken zonder klant - koppelen","OK"))))))</f>
        <v/>
      </c>
    </row>
    <row r="2312" ht="15" customHeight="1" s="42">
      <c r="A2312" s="55" t="n"/>
      <c r="B2312" s="56">
        <f>IF(A2312="","",WEEKNUM(A2312,21))</f>
        <v/>
      </c>
      <c r="C2312" s="57" t="n"/>
      <c r="D2312" s="57" t="n"/>
      <c r="E2312" s="58" t="n"/>
      <c r="F2312" s="57" t="n"/>
      <c r="G2312" s="59" t="n"/>
      <c r="H2312" s="59" t="n"/>
      <c r="I2312" s="60">
        <f>IF(OR(G2312="",H2312=""),"",MOD(H2312-G2312,1))</f>
        <v/>
      </c>
      <c r="J2312" s="61">
        <f>IF(OR(G2312="",H2312=""),"",ROUND(MOD(H2312-G2312,1)*24,2))</f>
        <v/>
      </c>
      <c r="K2312" s="62">
        <f>IF(E2312="","",IF(E2312="Werken","JA","NEE"))</f>
        <v/>
      </c>
      <c r="L2312" s="61">
        <f>IF(K2312="JA",N(J2312),IF(E2312="","",0))</f>
        <v/>
      </c>
      <c r="M2312" s="62">
        <f>IF(AND(A2312="",E2312=""),"",IF(E2312="","Segment ontbreekt",IF(OR(G2312="",H2312=""),"Van/tot ontbreekt",IF(N(J2312)=0,"Duur is nul",IF(N(J2312)&gt;12,"Langer dan 12 uur - controleren",IF(AND(E2312="Werken",D2312=""),"Werken zonder klant - koppelen","OK"))))))</f>
        <v/>
      </c>
    </row>
    <row r="2313" ht="15" customHeight="1" s="42">
      <c r="A2313" s="55" t="n"/>
      <c r="B2313" s="56">
        <f>IF(A2313="","",WEEKNUM(A2313,21))</f>
        <v/>
      </c>
      <c r="C2313" s="57" t="n"/>
      <c r="D2313" s="57" t="n"/>
      <c r="E2313" s="58" t="n"/>
      <c r="F2313" s="57" t="n"/>
      <c r="G2313" s="59" t="n"/>
      <c r="H2313" s="59" t="n"/>
      <c r="I2313" s="60">
        <f>IF(OR(G2313="",H2313=""),"",MOD(H2313-G2313,1))</f>
        <v/>
      </c>
      <c r="J2313" s="61">
        <f>IF(OR(G2313="",H2313=""),"",ROUND(MOD(H2313-G2313,1)*24,2))</f>
        <v/>
      </c>
      <c r="K2313" s="62">
        <f>IF(E2313="","",IF(E2313="Werken","JA","NEE"))</f>
        <v/>
      </c>
      <c r="L2313" s="61">
        <f>IF(K2313="JA",N(J2313),IF(E2313="","",0))</f>
        <v/>
      </c>
      <c r="M2313" s="62">
        <f>IF(AND(A2313="",E2313=""),"",IF(E2313="","Segment ontbreekt",IF(OR(G2313="",H2313=""),"Van/tot ontbreekt",IF(N(J2313)=0,"Duur is nul",IF(N(J2313)&gt;12,"Langer dan 12 uur - controleren",IF(AND(E2313="Werken",D2313=""),"Werken zonder klant - koppelen","OK"))))))</f>
        <v/>
      </c>
    </row>
    <row r="2314" ht="15" customHeight="1" s="42">
      <c r="A2314" s="55" t="n"/>
      <c r="B2314" s="56">
        <f>IF(A2314="","",WEEKNUM(A2314,21))</f>
        <v/>
      </c>
      <c r="C2314" s="57" t="n"/>
      <c r="D2314" s="57" t="n"/>
      <c r="E2314" s="58" t="n"/>
      <c r="F2314" s="57" t="n"/>
      <c r="G2314" s="59" t="n"/>
      <c r="H2314" s="59" t="n"/>
      <c r="I2314" s="60">
        <f>IF(OR(G2314="",H2314=""),"",MOD(H2314-G2314,1))</f>
        <v/>
      </c>
      <c r="J2314" s="61">
        <f>IF(OR(G2314="",H2314=""),"",ROUND(MOD(H2314-G2314,1)*24,2))</f>
        <v/>
      </c>
      <c r="K2314" s="62">
        <f>IF(E2314="","",IF(E2314="Werken","JA","NEE"))</f>
        <v/>
      </c>
      <c r="L2314" s="61">
        <f>IF(K2314="JA",N(J2314),IF(E2314="","",0))</f>
        <v/>
      </c>
      <c r="M2314" s="62">
        <f>IF(AND(A2314="",E2314=""),"",IF(E2314="","Segment ontbreekt",IF(OR(G2314="",H2314=""),"Van/tot ontbreekt",IF(N(J2314)=0,"Duur is nul",IF(N(J2314)&gt;12,"Langer dan 12 uur - controleren",IF(AND(E2314="Werken",D2314=""),"Werken zonder klant - koppelen","OK"))))))</f>
        <v/>
      </c>
    </row>
    <row r="2315" ht="15" customHeight="1" s="42">
      <c r="A2315" s="55" t="n"/>
      <c r="B2315" s="56">
        <f>IF(A2315="","",WEEKNUM(A2315,21))</f>
        <v/>
      </c>
      <c r="C2315" s="57" t="n"/>
      <c r="D2315" s="57" t="n"/>
      <c r="E2315" s="58" t="n"/>
      <c r="F2315" s="57" t="n"/>
      <c r="G2315" s="59" t="n"/>
      <c r="H2315" s="59" t="n"/>
      <c r="I2315" s="60">
        <f>IF(OR(G2315="",H2315=""),"",MOD(H2315-G2315,1))</f>
        <v/>
      </c>
      <c r="J2315" s="61">
        <f>IF(OR(G2315="",H2315=""),"",ROUND(MOD(H2315-G2315,1)*24,2))</f>
        <v/>
      </c>
      <c r="K2315" s="62">
        <f>IF(E2315="","",IF(E2315="Werken","JA","NEE"))</f>
        <v/>
      </c>
      <c r="L2315" s="61">
        <f>IF(K2315="JA",N(J2315),IF(E2315="","",0))</f>
        <v/>
      </c>
      <c r="M2315" s="62">
        <f>IF(AND(A2315="",E2315=""),"",IF(E2315="","Segment ontbreekt",IF(OR(G2315="",H2315=""),"Van/tot ontbreekt",IF(N(J2315)=0,"Duur is nul",IF(N(J2315)&gt;12,"Langer dan 12 uur - controleren",IF(AND(E2315="Werken",D2315=""),"Werken zonder klant - koppelen","OK"))))))</f>
        <v/>
      </c>
    </row>
    <row r="2316" ht="15" customHeight="1" s="42">
      <c r="A2316" s="55" t="n"/>
      <c r="B2316" s="56">
        <f>IF(A2316="","",WEEKNUM(A2316,21))</f>
        <v/>
      </c>
      <c r="C2316" s="57" t="n"/>
      <c r="D2316" s="57" t="n"/>
      <c r="E2316" s="58" t="n"/>
      <c r="F2316" s="57" t="n"/>
      <c r="G2316" s="59" t="n"/>
      <c r="H2316" s="59" t="n"/>
      <c r="I2316" s="60">
        <f>IF(OR(G2316="",H2316=""),"",MOD(H2316-G2316,1))</f>
        <v/>
      </c>
      <c r="J2316" s="61">
        <f>IF(OR(G2316="",H2316=""),"",ROUND(MOD(H2316-G2316,1)*24,2))</f>
        <v/>
      </c>
      <c r="K2316" s="62">
        <f>IF(E2316="","",IF(E2316="Werken","JA","NEE"))</f>
        <v/>
      </c>
      <c r="L2316" s="61">
        <f>IF(K2316="JA",N(J2316),IF(E2316="","",0))</f>
        <v/>
      </c>
      <c r="M2316" s="62">
        <f>IF(AND(A2316="",E2316=""),"",IF(E2316="","Segment ontbreekt",IF(OR(G2316="",H2316=""),"Van/tot ontbreekt",IF(N(J2316)=0,"Duur is nul",IF(N(J2316)&gt;12,"Langer dan 12 uur - controleren",IF(AND(E2316="Werken",D2316=""),"Werken zonder klant - koppelen","OK"))))))</f>
        <v/>
      </c>
    </row>
    <row r="2317" ht="15" customHeight="1" s="42">
      <c r="A2317" s="55" t="n"/>
      <c r="B2317" s="56">
        <f>IF(A2317="","",WEEKNUM(A2317,21))</f>
        <v/>
      </c>
      <c r="C2317" s="57" t="n"/>
      <c r="D2317" s="57" t="n"/>
      <c r="E2317" s="58" t="n"/>
      <c r="F2317" s="57" t="n"/>
      <c r="G2317" s="59" t="n"/>
      <c r="H2317" s="59" t="n"/>
      <c r="I2317" s="60">
        <f>IF(OR(G2317="",H2317=""),"",MOD(H2317-G2317,1))</f>
        <v/>
      </c>
      <c r="J2317" s="61">
        <f>IF(OR(G2317="",H2317=""),"",ROUND(MOD(H2317-G2317,1)*24,2))</f>
        <v/>
      </c>
      <c r="K2317" s="62">
        <f>IF(E2317="","",IF(E2317="Werken","JA","NEE"))</f>
        <v/>
      </c>
      <c r="L2317" s="61">
        <f>IF(K2317="JA",N(J2317),IF(E2317="","",0))</f>
        <v/>
      </c>
      <c r="M2317" s="62">
        <f>IF(AND(A2317="",E2317=""),"",IF(E2317="","Segment ontbreekt",IF(OR(G2317="",H2317=""),"Van/tot ontbreekt",IF(N(J2317)=0,"Duur is nul",IF(N(J2317)&gt;12,"Langer dan 12 uur - controleren",IF(AND(E2317="Werken",D2317=""),"Werken zonder klant - koppelen","OK"))))))</f>
        <v/>
      </c>
    </row>
    <row r="2318" ht="15" customHeight="1" s="42">
      <c r="A2318" s="55" t="n"/>
      <c r="B2318" s="56">
        <f>IF(A2318="","",WEEKNUM(A2318,21))</f>
        <v/>
      </c>
      <c r="C2318" s="57" t="n"/>
      <c r="D2318" s="57" t="n"/>
      <c r="E2318" s="58" t="n"/>
      <c r="F2318" s="57" t="n"/>
      <c r="G2318" s="59" t="n"/>
      <c r="H2318" s="59" t="n"/>
      <c r="I2318" s="60">
        <f>IF(OR(G2318="",H2318=""),"",MOD(H2318-G2318,1))</f>
        <v/>
      </c>
      <c r="J2318" s="61">
        <f>IF(OR(G2318="",H2318=""),"",ROUND(MOD(H2318-G2318,1)*24,2))</f>
        <v/>
      </c>
      <c r="K2318" s="62">
        <f>IF(E2318="","",IF(E2318="Werken","JA","NEE"))</f>
        <v/>
      </c>
      <c r="L2318" s="61">
        <f>IF(K2318="JA",N(J2318),IF(E2318="","",0))</f>
        <v/>
      </c>
      <c r="M2318" s="62">
        <f>IF(AND(A2318="",E2318=""),"",IF(E2318="","Segment ontbreekt",IF(OR(G2318="",H2318=""),"Van/tot ontbreekt",IF(N(J2318)=0,"Duur is nul",IF(N(J2318)&gt;12,"Langer dan 12 uur - controleren",IF(AND(E2318="Werken",D2318=""),"Werken zonder klant - koppelen","OK"))))))</f>
        <v/>
      </c>
    </row>
    <row r="2319" ht="15" customHeight="1" s="42">
      <c r="A2319" s="55" t="n"/>
      <c r="B2319" s="56">
        <f>IF(A2319="","",WEEKNUM(A2319,21))</f>
        <v/>
      </c>
      <c r="C2319" s="57" t="n"/>
      <c r="D2319" s="57" t="n"/>
      <c r="E2319" s="58" t="n"/>
      <c r="F2319" s="57" t="n"/>
      <c r="G2319" s="59" t="n"/>
      <c r="H2319" s="59" t="n"/>
      <c r="I2319" s="60">
        <f>IF(OR(G2319="",H2319=""),"",MOD(H2319-G2319,1))</f>
        <v/>
      </c>
      <c r="J2319" s="61">
        <f>IF(OR(G2319="",H2319=""),"",ROUND(MOD(H2319-G2319,1)*24,2))</f>
        <v/>
      </c>
      <c r="K2319" s="62">
        <f>IF(E2319="","",IF(E2319="Werken","JA","NEE"))</f>
        <v/>
      </c>
      <c r="L2319" s="61">
        <f>IF(K2319="JA",N(J2319),IF(E2319="","",0))</f>
        <v/>
      </c>
      <c r="M2319" s="62">
        <f>IF(AND(A2319="",E2319=""),"",IF(E2319="","Segment ontbreekt",IF(OR(G2319="",H2319=""),"Van/tot ontbreekt",IF(N(J2319)=0,"Duur is nul",IF(N(J2319)&gt;12,"Langer dan 12 uur - controleren",IF(AND(E2319="Werken",D2319=""),"Werken zonder klant - koppelen","OK"))))))</f>
        <v/>
      </c>
    </row>
    <row r="2320" ht="15" customHeight="1" s="42">
      <c r="A2320" s="55" t="n"/>
      <c r="B2320" s="56">
        <f>IF(A2320="","",WEEKNUM(A2320,21))</f>
        <v/>
      </c>
      <c r="C2320" s="57" t="n"/>
      <c r="D2320" s="57" t="n"/>
      <c r="E2320" s="58" t="n"/>
      <c r="F2320" s="57" t="n"/>
      <c r="G2320" s="59" t="n"/>
      <c r="H2320" s="59" t="n"/>
      <c r="I2320" s="60">
        <f>IF(OR(G2320="",H2320=""),"",MOD(H2320-G2320,1))</f>
        <v/>
      </c>
      <c r="J2320" s="61">
        <f>IF(OR(G2320="",H2320=""),"",ROUND(MOD(H2320-G2320,1)*24,2))</f>
        <v/>
      </c>
      <c r="K2320" s="62">
        <f>IF(E2320="","",IF(E2320="Werken","JA","NEE"))</f>
        <v/>
      </c>
      <c r="L2320" s="61">
        <f>IF(K2320="JA",N(J2320),IF(E2320="","",0))</f>
        <v/>
      </c>
      <c r="M2320" s="62">
        <f>IF(AND(A2320="",E2320=""),"",IF(E2320="","Segment ontbreekt",IF(OR(G2320="",H2320=""),"Van/tot ontbreekt",IF(N(J2320)=0,"Duur is nul",IF(N(J2320)&gt;12,"Langer dan 12 uur - controleren",IF(AND(E2320="Werken",D2320=""),"Werken zonder klant - koppelen","OK"))))))</f>
        <v/>
      </c>
    </row>
    <row r="2321" ht="15" customHeight="1" s="42">
      <c r="A2321" s="55" t="n"/>
      <c r="B2321" s="56">
        <f>IF(A2321="","",WEEKNUM(A2321,21))</f>
        <v/>
      </c>
      <c r="C2321" s="57" t="n"/>
      <c r="D2321" s="57" t="n"/>
      <c r="E2321" s="58" t="n"/>
      <c r="F2321" s="57" t="n"/>
      <c r="G2321" s="59" t="n"/>
      <c r="H2321" s="59" t="n"/>
      <c r="I2321" s="60">
        <f>IF(OR(G2321="",H2321=""),"",MOD(H2321-G2321,1))</f>
        <v/>
      </c>
      <c r="J2321" s="61">
        <f>IF(OR(G2321="",H2321=""),"",ROUND(MOD(H2321-G2321,1)*24,2))</f>
        <v/>
      </c>
      <c r="K2321" s="62">
        <f>IF(E2321="","",IF(E2321="Werken","JA","NEE"))</f>
        <v/>
      </c>
      <c r="L2321" s="61">
        <f>IF(K2321="JA",N(J2321),IF(E2321="","",0))</f>
        <v/>
      </c>
      <c r="M2321" s="62">
        <f>IF(AND(A2321="",E2321=""),"",IF(E2321="","Segment ontbreekt",IF(OR(G2321="",H2321=""),"Van/tot ontbreekt",IF(N(J2321)=0,"Duur is nul",IF(N(J2321)&gt;12,"Langer dan 12 uur - controleren",IF(AND(E2321="Werken",D2321=""),"Werken zonder klant - koppelen","OK"))))))</f>
        <v/>
      </c>
    </row>
    <row r="2322" ht="15" customHeight="1" s="42">
      <c r="A2322" s="55" t="n"/>
      <c r="B2322" s="56">
        <f>IF(A2322="","",WEEKNUM(A2322,21))</f>
        <v/>
      </c>
      <c r="C2322" s="57" t="n"/>
      <c r="D2322" s="57" t="n"/>
      <c r="E2322" s="58" t="n"/>
      <c r="F2322" s="57" t="n"/>
      <c r="G2322" s="59" t="n"/>
      <c r="H2322" s="59" t="n"/>
      <c r="I2322" s="60">
        <f>IF(OR(G2322="",H2322=""),"",MOD(H2322-G2322,1))</f>
        <v/>
      </c>
      <c r="J2322" s="61">
        <f>IF(OR(G2322="",H2322=""),"",ROUND(MOD(H2322-G2322,1)*24,2))</f>
        <v/>
      </c>
      <c r="K2322" s="62">
        <f>IF(E2322="","",IF(E2322="Werken","JA","NEE"))</f>
        <v/>
      </c>
      <c r="L2322" s="61">
        <f>IF(K2322="JA",N(J2322),IF(E2322="","",0))</f>
        <v/>
      </c>
      <c r="M2322" s="62">
        <f>IF(AND(A2322="",E2322=""),"",IF(E2322="","Segment ontbreekt",IF(OR(G2322="",H2322=""),"Van/tot ontbreekt",IF(N(J2322)=0,"Duur is nul",IF(N(J2322)&gt;12,"Langer dan 12 uur - controleren",IF(AND(E2322="Werken",D2322=""),"Werken zonder klant - koppelen","OK"))))))</f>
        <v/>
      </c>
    </row>
    <row r="2323" ht="15" customHeight="1" s="42">
      <c r="A2323" s="55" t="n"/>
      <c r="B2323" s="56">
        <f>IF(A2323="","",WEEKNUM(A2323,21))</f>
        <v/>
      </c>
      <c r="C2323" s="57" t="n"/>
      <c r="D2323" s="57" t="n"/>
      <c r="E2323" s="58" t="n"/>
      <c r="F2323" s="57" t="n"/>
      <c r="G2323" s="59" t="n"/>
      <c r="H2323" s="59" t="n"/>
      <c r="I2323" s="60">
        <f>IF(OR(G2323="",H2323=""),"",MOD(H2323-G2323,1))</f>
        <v/>
      </c>
      <c r="J2323" s="61">
        <f>IF(OR(G2323="",H2323=""),"",ROUND(MOD(H2323-G2323,1)*24,2))</f>
        <v/>
      </c>
      <c r="K2323" s="62">
        <f>IF(E2323="","",IF(E2323="Werken","JA","NEE"))</f>
        <v/>
      </c>
      <c r="L2323" s="61">
        <f>IF(K2323="JA",N(J2323),IF(E2323="","",0))</f>
        <v/>
      </c>
      <c r="M2323" s="62">
        <f>IF(AND(A2323="",E2323=""),"",IF(E2323="","Segment ontbreekt",IF(OR(G2323="",H2323=""),"Van/tot ontbreekt",IF(N(J2323)=0,"Duur is nul",IF(N(J2323)&gt;12,"Langer dan 12 uur - controleren",IF(AND(E2323="Werken",D2323=""),"Werken zonder klant - koppelen","OK"))))))</f>
        <v/>
      </c>
    </row>
    <row r="2324" ht="15" customHeight="1" s="42">
      <c r="A2324" s="55" t="n"/>
      <c r="B2324" s="56">
        <f>IF(A2324="","",WEEKNUM(A2324,21))</f>
        <v/>
      </c>
      <c r="C2324" s="57" t="n"/>
      <c r="D2324" s="57" t="n"/>
      <c r="E2324" s="58" t="n"/>
      <c r="F2324" s="57" t="n"/>
      <c r="G2324" s="59" t="n"/>
      <c r="H2324" s="59" t="n"/>
      <c r="I2324" s="60">
        <f>IF(OR(G2324="",H2324=""),"",MOD(H2324-G2324,1))</f>
        <v/>
      </c>
      <c r="J2324" s="61">
        <f>IF(OR(G2324="",H2324=""),"",ROUND(MOD(H2324-G2324,1)*24,2))</f>
        <v/>
      </c>
      <c r="K2324" s="62">
        <f>IF(E2324="","",IF(E2324="Werken","JA","NEE"))</f>
        <v/>
      </c>
      <c r="L2324" s="61">
        <f>IF(K2324="JA",N(J2324),IF(E2324="","",0))</f>
        <v/>
      </c>
      <c r="M2324" s="62">
        <f>IF(AND(A2324="",E2324=""),"",IF(E2324="","Segment ontbreekt",IF(OR(G2324="",H2324=""),"Van/tot ontbreekt",IF(N(J2324)=0,"Duur is nul",IF(N(J2324)&gt;12,"Langer dan 12 uur - controleren",IF(AND(E2324="Werken",D2324=""),"Werken zonder klant - koppelen","OK"))))))</f>
        <v/>
      </c>
    </row>
    <row r="2325" ht="15" customHeight="1" s="42">
      <c r="A2325" s="55" t="n"/>
      <c r="B2325" s="56">
        <f>IF(A2325="","",WEEKNUM(A2325,21))</f>
        <v/>
      </c>
      <c r="C2325" s="57" t="n"/>
      <c r="D2325" s="57" t="n"/>
      <c r="E2325" s="58" t="n"/>
      <c r="F2325" s="57" t="n"/>
      <c r="G2325" s="59" t="n"/>
      <c r="H2325" s="59" t="n"/>
      <c r="I2325" s="60">
        <f>IF(OR(G2325="",H2325=""),"",MOD(H2325-G2325,1))</f>
        <v/>
      </c>
      <c r="J2325" s="61">
        <f>IF(OR(G2325="",H2325=""),"",ROUND(MOD(H2325-G2325,1)*24,2))</f>
        <v/>
      </c>
      <c r="K2325" s="62">
        <f>IF(E2325="","",IF(E2325="Werken","JA","NEE"))</f>
        <v/>
      </c>
      <c r="L2325" s="61">
        <f>IF(K2325="JA",N(J2325),IF(E2325="","",0))</f>
        <v/>
      </c>
      <c r="M2325" s="62">
        <f>IF(AND(A2325="",E2325=""),"",IF(E2325="","Segment ontbreekt",IF(OR(G2325="",H2325=""),"Van/tot ontbreekt",IF(N(J2325)=0,"Duur is nul",IF(N(J2325)&gt;12,"Langer dan 12 uur - controleren",IF(AND(E2325="Werken",D2325=""),"Werken zonder klant - koppelen","OK"))))))</f>
        <v/>
      </c>
    </row>
    <row r="2326" ht="15" customHeight="1" s="42">
      <c r="A2326" s="55" t="n"/>
      <c r="B2326" s="56">
        <f>IF(A2326="","",WEEKNUM(A2326,21))</f>
        <v/>
      </c>
      <c r="C2326" s="57" t="n"/>
      <c r="D2326" s="57" t="n"/>
      <c r="E2326" s="58" t="n"/>
      <c r="F2326" s="57" t="n"/>
      <c r="G2326" s="59" t="n"/>
      <c r="H2326" s="59" t="n"/>
      <c r="I2326" s="60">
        <f>IF(OR(G2326="",H2326=""),"",MOD(H2326-G2326,1))</f>
        <v/>
      </c>
      <c r="J2326" s="61">
        <f>IF(OR(G2326="",H2326=""),"",ROUND(MOD(H2326-G2326,1)*24,2))</f>
        <v/>
      </c>
      <c r="K2326" s="62">
        <f>IF(E2326="","",IF(E2326="Werken","JA","NEE"))</f>
        <v/>
      </c>
      <c r="L2326" s="61">
        <f>IF(K2326="JA",N(J2326),IF(E2326="","",0))</f>
        <v/>
      </c>
      <c r="M2326" s="62">
        <f>IF(AND(A2326="",E2326=""),"",IF(E2326="","Segment ontbreekt",IF(OR(G2326="",H2326=""),"Van/tot ontbreekt",IF(N(J2326)=0,"Duur is nul",IF(N(J2326)&gt;12,"Langer dan 12 uur - controleren",IF(AND(E2326="Werken",D2326=""),"Werken zonder klant - koppelen","OK"))))))</f>
        <v/>
      </c>
    </row>
    <row r="2327" ht="15" customHeight="1" s="42">
      <c r="A2327" s="55" t="n"/>
      <c r="B2327" s="56">
        <f>IF(A2327="","",WEEKNUM(A2327,21))</f>
        <v/>
      </c>
      <c r="C2327" s="57" t="n"/>
      <c r="D2327" s="57" t="n"/>
      <c r="E2327" s="58" t="n"/>
      <c r="F2327" s="57" t="n"/>
      <c r="G2327" s="59" t="n"/>
      <c r="H2327" s="59" t="n"/>
      <c r="I2327" s="60">
        <f>IF(OR(G2327="",H2327=""),"",MOD(H2327-G2327,1))</f>
        <v/>
      </c>
      <c r="J2327" s="61">
        <f>IF(OR(G2327="",H2327=""),"",ROUND(MOD(H2327-G2327,1)*24,2))</f>
        <v/>
      </c>
      <c r="K2327" s="62">
        <f>IF(E2327="","",IF(E2327="Werken","JA","NEE"))</f>
        <v/>
      </c>
      <c r="L2327" s="61">
        <f>IF(K2327="JA",N(J2327),IF(E2327="","",0))</f>
        <v/>
      </c>
      <c r="M2327" s="62">
        <f>IF(AND(A2327="",E2327=""),"",IF(E2327="","Segment ontbreekt",IF(OR(G2327="",H2327=""),"Van/tot ontbreekt",IF(N(J2327)=0,"Duur is nul",IF(N(J2327)&gt;12,"Langer dan 12 uur - controleren",IF(AND(E2327="Werken",D2327=""),"Werken zonder klant - koppelen","OK"))))))</f>
        <v/>
      </c>
    </row>
    <row r="2328" ht="15" customHeight="1" s="42">
      <c r="A2328" s="55" t="n"/>
      <c r="B2328" s="56">
        <f>IF(A2328="","",WEEKNUM(A2328,21))</f>
        <v/>
      </c>
      <c r="C2328" s="57" t="n"/>
      <c r="D2328" s="57" t="n"/>
      <c r="E2328" s="58" t="n"/>
      <c r="F2328" s="57" t="n"/>
      <c r="G2328" s="59" t="n"/>
      <c r="H2328" s="59" t="n"/>
      <c r="I2328" s="60">
        <f>IF(OR(G2328="",H2328=""),"",MOD(H2328-G2328,1))</f>
        <v/>
      </c>
      <c r="J2328" s="61">
        <f>IF(OR(G2328="",H2328=""),"",ROUND(MOD(H2328-G2328,1)*24,2))</f>
        <v/>
      </c>
      <c r="K2328" s="62">
        <f>IF(E2328="","",IF(E2328="Werken","JA","NEE"))</f>
        <v/>
      </c>
      <c r="L2328" s="61">
        <f>IF(K2328="JA",N(J2328),IF(E2328="","",0))</f>
        <v/>
      </c>
      <c r="M2328" s="62">
        <f>IF(AND(A2328="",E2328=""),"",IF(E2328="","Segment ontbreekt",IF(OR(G2328="",H2328=""),"Van/tot ontbreekt",IF(N(J2328)=0,"Duur is nul",IF(N(J2328)&gt;12,"Langer dan 12 uur - controleren",IF(AND(E2328="Werken",D2328=""),"Werken zonder klant - koppelen","OK"))))))</f>
        <v/>
      </c>
    </row>
    <row r="2329" ht="15" customHeight="1" s="42">
      <c r="A2329" s="55" t="n"/>
      <c r="B2329" s="56">
        <f>IF(A2329="","",WEEKNUM(A2329,21))</f>
        <v/>
      </c>
      <c r="C2329" s="57" t="n"/>
      <c r="D2329" s="57" t="n"/>
      <c r="E2329" s="58" t="n"/>
      <c r="F2329" s="57" t="n"/>
      <c r="G2329" s="59" t="n"/>
      <c r="H2329" s="59" t="n"/>
      <c r="I2329" s="60">
        <f>IF(OR(G2329="",H2329=""),"",MOD(H2329-G2329,1))</f>
        <v/>
      </c>
      <c r="J2329" s="61">
        <f>IF(OR(G2329="",H2329=""),"",ROUND(MOD(H2329-G2329,1)*24,2))</f>
        <v/>
      </c>
      <c r="K2329" s="62">
        <f>IF(E2329="","",IF(E2329="Werken","JA","NEE"))</f>
        <v/>
      </c>
      <c r="L2329" s="61">
        <f>IF(K2329="JA",N(J2329),IF(E2329="","",0))</f>
        <v/>
      </c>
      <c r="M2329" s="62">
        <f>IF(AND(A2329="",E2329=""),"",IF(E2329="","Segment ontbreekt",IF(OR(G2329="",H2329=""),"Van/tot ontbreekt",IF(N(J2329)=0,"Duur is nul",IF(N(J2329)&gt;12,"Langer dan 12 uur - controleren",IF(AND(E2329="Werken",D2329=""),"Werken zonder klant - koppelen","OK"))))))</f>
        <v/>
      </c>
    </row>
    <row r="2330" ht="15" customHeight="1" s="42">
      <c r="A2330" s="55" t="n"/>
      <c r="B2330" s="56">
        <f>IF(A2330="","",WEEKNUM(A2330,21))</f>
        <v/>
      </c>
      <c r="C2330" s="57" t="n"/>
      <c r="D2330" s="57" t="n"/>
      <c r="E2330" s="58" t="n"/>
      <c r="F2330" s="57" t="n"/>
      <c r="G2330" s="59" t="n"/>
      <c r="H2330" s="59" t="n"/>
      <c r="I2330" s="60">
        <f>IF(OR(G2330="",H2330=""),"",MOD(H2330-G2330,1))</f>
        <v/>
      </c>
      <c r="J2330" s="61">
        <f>IF(OR(G2330="",H2330=""),"",ROUND(MOD(H2330-G2330,1)*24,2))</f>
        <v/>
      </c>
      <c r="K2330" s="62">
        <f>IF(E2330="","",IF(E2330="Werken","JA","NEE"))</f>
        <v/>
      </c>
      <c r="L2330" s="61">
        <f>IF(K2330="JA",N(J2330),IF(E2330="","",0))</f>
        <v/>
      </c>
      <c r="M2330" s="62">
        <f>IF(AND(A2330="",E2330=""),"",IF(E2330="","Segment ontbreekt",IF(OR(G2330="",H2330=""),"Van/tot ontbreekt",IF(N(J2330)=0,"Duur is nul",IF(N(J2330)&gt;12,"Langer dan 12 uur - controleren",IF(AND(E2330="Werken",D2330=""),"Werken zonder klant - koppelen","OK"))))))</f>
        <v/>
      </c>
    </row>
    <row r="2331" ht="15" customHeight="1" s="42">
      <c r="A2331" s="55" t="n"/>
      <c r="B2331" s="56">
        <f>IF(A2331="","",WEEKNUM(A2331,21))</f>
        <v/>
      </c>
      <c r="C2331" s="57" t="n"/>
      <c r="D2331" s="57" t="n"/>
      <c r="E2331" s="58" t="n"/>
      <c r="F2331" s="57" t="n"/>
      <c r="G2331" s="59" t="n"/>
      <c r="H2331" s="59" t="n"/>
      <c r="I2331" s="60">
        <f>IF(OR(G2331="",H2331=""),"",MOD(H2331-G2331,1))</f>
        <v/>
      </c>
      <c r="J2331" s="61">
        <f>IF(OR(G2331="",H2331=""),"",ROUND(MOD(H2331-G2331,1)*24,2))</f>
        <v/>
      </c>
      <c r="K2331" s="62">
        <f>IF(E2331="","",IF(E2331="Werken","JA","NEE"))</f>
        <v/>
      </c>
      <c r="L2331" s="61">
        <f>IF(K2331="JA",N(J2331),IF(E2331="","",0))</f>
        <v/>
      </c>
      <c r="M2331" s="62">
        <f>IF(AND(A2331="",E2331=""),"",IF(E2331="","Segment ontbreekt",IF(OR(G2331="",H2331=""),"Van/tot ontbreekt",IF(N(J2331)=0,"Duur is nul",IF(N(J2331)&gt;12,"Langer dan 12 uur - controleren",IF(AND(E2331="Werken",D2331=""),"Werken zonder klant - koppelen","OK"))))))</f>
        <v/>
      </c>
    </row>
    <row r="2332" ht="15" customHeight="1" s="42">
      <c r="A2332" s="55" t="n"/>
      <c r="B2332" s="56">
        <f>IF(A2332="","",WEEKNUM(A2332,21))</f>
        <v/>
      </c>
      <c r="C2332" s="57" t="n"/>
      <c r="D2332" s="57" t="n"/>
      <c r="E2332" s="58" t="n"/>
      <c r="F2332" s="57" t="n"/>
      <c r="G2332" s="59" t="n"/>
      <c r="H2332" s="59" t="n"/>
      <c r="I2332" s="60">
        <f>IF(OR(G2332="",H2332=""),"",MOD(H2332-G2332,1))</f>
        <v/>
      </c>
      <c r="J2332" s="61">
        <f>IF(OR(G2332="",H2332=""),"",ROUND(MOD(H2332-G2332,1)*24,2))</f>
        <v/>
      </c>
      <c r="K2332" s="62">
        <f>IF(E2332="","",IF(E2332="Werken","JA","NEE"))</f>
        <v/>
      </c>
      <c r="L2332" s="61">
        <f>IF(K2332="JA",N(J2332),IF(E2332="","",0))</f>
        <v/>
      </c>
      <c r="M2332" s="62">
        <f>IF(AND(A2332="",E2332=""),"",IF(E2332="","Segment ontbreekt",IF(OR(G2332="",H2332=""),"Van/tot ontbreekt",IF(N(J2332)=0,"Duur is nul",IF(N(J2332)&gt;12,"Langer dan 12 uur - controleren",IF(AND(E2332="Werken",D2332=""),"Werken zonder klant - koppelen","OK"))))))</f>
        <v/>
      </c>
    </row>
    <row r="2333" ht="15" customHeight="1" s="42">
      <c r="A2333" s="55" t="n"/>
      <c r="B2333" s="56">
        <f>IF(A2333="","",WEEKNUM(A2333,21))</f>
        <v/>
      </c>
      <c r="C2333" s="57" t="n"/>
      <c r="D2333" s="57" t="n"/>
      <c r="E2333" s="58" t="n"/>
      <c r="F2333" s="57" t="n"/>
      <c r="G2333" s="59" t="n"/>
      <c r="H2333" s="59" t="n"/>
      <c r="I2333" s="60">
        <f>IF(OR(G2333="",H2333=""),"",MOD(H2333-G2333,1))</f>
        <v/>
      </c>
      <c r="J2333" s="61">
        <f>IF(OR(G2333="",H2333=""),"",ROUND(MOD(H2333-G2333,1)*24,2))</f>
        <v/>
      </c>
      <c r="K2333" s="62">
        <f>IF(E2333="","",IF(E2333="Werken","JA","NEE"))</f>
        <v/>
      </c>
      <c r="L2333" s="61">
        <f>IF(K2333="JA",N(J2333),IF(E2333="","",0))</f>
        <v/>
      </c>
      <c r="M2333" s="62">
        <f>IF(AND(A2333="",E2333=""),"",IF(E2333="","Segment ontbreekt",IF(OR(G2333="",H2333=""),"Van/tot ontbreekt",IF(N(J2333)=0,"Duur is nul",IF(N(J2333)&gt;12,"Langer dan 12 uur - controleren",IF(AND(E2333="Werken",D2333=""),"Werken zonder klant - koppelen","OK"))))))</f>
        <v/>
      </c>
    </row>
    <row r="2334" ht="15" customHeight="1" s="42">
      <c r="A2334" s="55" t="n"/>
      <c r="B2334" s="56">
        <f>IF(A2334="","",WEEKNUM(A2334,21))</f>
        <v/>
      </c>
      <c r="C2334" s="57" t="n"/>
      <c r="D2334" s="57" t="n"/>
      <c r="E2334" s="58" t="n"/>
      <c r="F2334" s="57" t="n"/>
      <c r="G2334" s="59" t="n"/>
      <c r="H2334" s="59" t="n"/>
      <c r="I2334" s="60">
        <f>IF(OR(G2334="",H2334=""),"",MOD(H2334-G2334,1))</f>
        <v/>
      </c>
      <c r="J2334" s="61">
        <f>IF(OR(G2334="",H2334=""),"",ROUND(MOD(H2334-G2334,1)*24,2))</f>
        <v/>
      </c>
      <c r="K2334" s="62">
        <f>IF(E2334="","",IF(E2334="Werken","JA","NEE"))</f>
        <v/>
      </c>
      <c r="L2334" s="61">
        <f>IF(K2334="JA",N(J2334),IF(E2334="","",0))</f>
        <v/>
      </c>
      <c r="M2334" s="62">
        <f>IF(AND(A2334="",E2334=""),"",IF(E2334="","Segment ontbreekt",IF(OR(G2334="",H2334=""),"Van/tot ontbreekt",IF(N(J2334)=0,"Duur is nul",IF(N(J2334)&gt;12,"Langer dan 12 uur - controleren",IF(AND(E2334="Werken",D2334=""),"Werken zonder klant - koppelen","OK"))))))</f>
        <v/>
      </c>
    </row>
    <row r="2335" ht="15" customHeight="1" s="42">
      <c r="A2335" s="55" t="n"/>
      <c r="B2335" s="56">
        <f>IF(A2335="","",WEEKNUM(A2335,21))</f>
        <v/>
      </c>
      <c r="C2335" s="57" t="n"/>
      <c r="D2335" s="57" t="n"/>
      <c r="E2335" s="58" t="n"/>
      <c r="F2335" s="57" t="n"/>
      <c r="G2335" s="59" t="n"/>
      <c r="H2335" s="59" t="n"/>
      <c r="I2335" s="60">
        <f>IF(OR(G2335="",H2335=""),"",MOD(H2335-G2335,1))</f>
        <v/>
      </c>
      <c r="J2335" s="61">
        <f>IF(OR(G2335="",H2335=""),"",ROUND(MOD(H2335-G2335,1)*24,2))</f>
        <v/>
      </c>
      <c r="K2335" s="62">
        <f>IF(E2335="","",IF(E2335="Werken","JA","NEE"))</f>
        <v/>
      </c>
      <c r="L2335" s="61">
        <f>IF(K2335="JA",N(J2335),IF(E2335="","",0))</f>
        <v/>
      </c>
      <c r="M2335" s="62">
        <f>IF(AND(A2335="",E2335=""),"",IF(E2335="","Segment ontbreekt",IF(OR(G2335="",H2335=""),"Van/tot ontbreekt",IF(N(J2335)=0,"Duur is nul",IF(N(J2335)&gt;12,"Langer dan 12 uur - controleren",IF(AND(E2335="Werken",D2335=""),"Werken zonder klant - koppelen","OK"))))))</f>
        <v/>
      </c>
    </row>
    <row r="2336" ht="15" customHeight="1" s="42">
      <c r="A2336" s="55" t="n"/>
      <c r="B2336" s="56">
        <f>IF(A2336="","",WEEKNUM(A2336,21))</f>
        <v/>
      </c>
      <c r="C2336" s="57" t="n"/>
      <c r="D2336" s="57" t="n"/>
      <c r="E2336" s="58" t="n"/>
      <c r="F2336" s="57" t="n"/>
      <c r="G2336" s="59" t="n"/>
      <c r="H2336" s="59" t="n"/>
      <c r="I2336" s="60">
        <f>IF(OR(G2336="",H2336=""),"",MOD(H2336-G2336,1))</f>
        <v/>
      </c>
      <c r="J2336" s="61">
        <f>IF(OR(G2336="",H2336=""),"",ROUND(MOD(H2336-G2336,1)*24,2))</f>
        <v/>
      </c>
      <c r="K2336" s="62">
        <f>IF(E2336="","",IF(E2336="Werken","JA","NEE"))</f>
        <v/>
      </c>
      <c r="L2336" s="61">
        <f>IF(K2336="JA",N(J2336),IF(E2336="","",0))</f>
        <v/>
      </c>
      <c r="M2336" s="62">
        <f>IF(AND(A2336="",E2336=""),"",IF(E2336="","Segment ontbreekt",IF(OR(G2336="",H2336=""),"Van/tot ontbreekt",IF(N(J2336)=0,"Duur is nul",IF(N(J2336)&gt;12,"Langer dan 12 uur - controleren",IF(AND(E2336="Werken",D2336=""),"Werken zonder klant - koppelen","OK"))))))</f>
        <v/>
      </c>
    </row>
    <row r="2337" ht="15" customHeight="1" s="42">
      <c r="A2337" s="55" t="n"/>
      <c r="B2337" s="56">
        <f>IF(A2337="","",WEEKNUM(A2337,21))</f>
        <v/>
      </c>
      <c r="C2337" s="57" t="n"/>
      <c r="D2337" s="57" t="n"/>
      <c r="E2337" s="58" t="n"/>
      <c r="F2337" s="57" t="n"/>
      <c r="G2337" s="59" t="n"/>
      <c r="H2337" s="59" t="n"/>
      <c r="I2337" s="60">
        <f>IF(OR(G2337="",H2337=""),"",MOD(H2337-G2337,1))</f>
        <v/>
      </c>
      <c r="J2337" s="61">
        <f>IF(OR(G2337="",H2337=""),"",ROUND(MOD(H2337-G2337,1)*24,2))</f>
        <v/>
      </c>
      <c r="K2337" s="62">
        <f>IF(E2337="","",IF(E2337="Werken","JA","NEE"))</f>
        <v/>
      </c>
      <c r="L2337" s="61">
        <f>IF(K2337="JA",N(J2337),IF(E2337="","",0))</f>
        <v/>
      </c>
      <c r="M2337" s="62">
        <f>IF(AND(A2337="",E2337=""),"",IF(E2337="","Segment ontbreekt",IF(OR(G2337="",H2337=""),"Van/tot ontbreekt",IF(N(J2337)=0,"Duur is nul",IF(N(J2337)&gt;12,"Langer dan 12 uur - controleren",IF(AND(E2337="Werken",D2337=""),"Werken zonder klant - koppelen","OK"))))))</f>
        <v/>
      </c>
    </row>
    <row r="2338" ht="15" customHeight="1" s="42">
      <c r="A2338" s="55" t="n"/>
      <c r="B2338" s="56">
        <f>IF(A2338="","",WEEKNUM(A2338,21))</f>
        <v/>
      </c>
      <c r="C2338" s="57" t="n"/>
      <c r="D2338" s="57" t="n"/>
      <c r="E2338" s="58" t="n"/>
      <c r="F2338" s="57" t="n"/>
      <c r="G2338" s="59" t="n"/>
      <c r="H2338" s="59" t="n"/>
      <c r="I2338" s="60">
        <f>IF(OR(G2338="",H2338=""),"",MOD(H2338-G2338,1))</f>
        <v/>
      </c>
      <c r="J2338" s="61">
        <f>IF(OR(G2338="",H2338=""),"",ROUND(MOD(H2338-G2338,1)*24,2))</f>
        <v/>
      </c>
      <c r="K2338" s="62">
        <f>IF(E2338="","",IF(E2338="Werken","JA","NEE"))</f>
        <v/>
      </c>
      <c r="L2338" s="61">
        <f>IF(K2338="JA",N(J2338),IF(E2338="","",0))</f>
        <v/>
      </c>
      <c r="M2338" s="62">
        <f>IF(AND(A2338="",E2338=""),"",IF(E2338="","Segment ontbreekt",IF(OR(G2338="",H2338=""),"Van/tot ontbreekt",IF(N(J2338)=0,"Duur is nul",IF(N(J2338)&gt;12,"Langer dan 12 uur - controleren",IF(AND(E2338="Werken",D2338=""),"Werken zonder klant - koppelen","OK"))))))</f>
        <v/>
      </c>
    </row>
    <row r="2339" ht="15" customHeight="1" s="42">
      <c r="A2339" s="55" t="n"/>
      <c r="B2339" s="56">
        <f>IF(A2339="","",WEEKNUM(A2339,21))</f>
        <v/>
      </c>
      <c r="C2339" s="57" t="n"/>
      <c r="D2339" s="57" t="n"/>
      <c r="E2339" s="58" t="n"/>
      <c r="F2339" s="57" t="n"/>
      <c r="G2339" s="59" t="n"/>
      <c r="H2339" s="59" t="n"/>
      <c r="I2339" s="60">
        <f>IF(OR(G2339="",H2339=""),"",MOD(H2339-G2339,1))</f>
        <v/>
      </c>
      <c r="J2339" s="61">
        <f>IF(OR(G2339="",H2339=""),"",ROUND(MOD(H2339-G2339,1)*24,2))</f>
        <v/>
      </c>
      <c r="K2339" s="62">
        <f>IF(E2339="","",IF(E2339="Werken","JA","NEE"))</f>
        <v/>
      </c>
      <c r="L2339" s="61">
        <f>IF(K2339="JA",N(J2339),IF(E2339="","",0))</f>
        <v/>
      </c>
      <c r="M2339" s="62">
        <f>IF(AND(A2339="",E2339=""),"",IF(E2339="","Segment ontbreekt",IF(OR(G2339="",H2339=""),"Van/tot ontbreekt",IF(N(J2339)=0,"Duur is nul",IF(N(J2339)&gt;12,"Langer dan 12 uur - controleren",IF(AND(E2339="Werken",D2339=""),"Werken zonder klant - koppelen","OK"))))))</f>
        <v/>
      </c>
    </row>
    <row r="2340" ht="15" customHeight="1" s="42">
      <c r="A2340" s="55" t="n"/>
      <c r="B2340" s="56">
        <f>IF(A2340="","",WEEKNUM(A2340,21))</f>
        <v/>
      </c>
      <c r="C2340" s="57" t="n"/>
      <c r="D2340" s="57" t="n"/>
      <c r="E2340" s="58" t="n"/>
      <c r="F2340" s="57" t="n"/>
      <c r="G2340" s="59" t="n"/>
      <c r="H2340" s="59" t="n"/>
      <c r="I2340" s="60">
        <f>IF(OR(G2340="",H2340=""),"",MOD(H2340-G2340,1))</f>
        <v/>
      </c>
      <c r="J2340" s="61">
        <f>IF(OR(G2340="",H2340=""),"",ROUND(MOD(H2340-G2340,1)*24,2))</f>
        <v/>
      </c>
      <c r="K2340" s="62">
        <f>IF(E2340="","",IF(E2340="Werken","JA","NEE"))</f>
        <v/>
      </c>
      <c r="L2340" s="61">
        <f>IF(K2340="JA",N(J2340),IF(E2340="","",0))</f>
        <v/>
      </c>
      <c r="M2340" s="62">
        <f>IF(AND(A2340="",E2340=""),"",IF(E2340="","Segment ontbreekt",IF(OR(G2340="",H2340=""),"Van/tot ontbreekt",IF(N(J2340)=0,"Duur is nul",IF(N(J2340)&gt;12,"Langer dan 12 uur - controleren",IF(AND(E2340="Werken",D2340=""),"Werken zonder klant - koppelen","OK"))))))</f>
        <v/>
      </c>
    </row>
    <row r="2341" ht="15" customHeight="1" s="42">
      <c r="A2341" s="55" t="n"/>
      <c r="B2341" s="56">
        <f>IF(A2341="","",WEEKNUM(A2341,21))</f>
        <v/>
      </c>
      <c r="C2341" s="57" t="n"/>
      <c r="D2341" s="57" t="n"/>
      <c r="E2341" s="58" t="n"/>
      <c r="F2341" s="57" t="n"/>
      <c r="G2341" s="59" t="n"/>
      <c r="H2341" s="59" t="n"/>
      <c r="I2341" s="60">
        <f>IF(OR(G2341="",H2341=""),"",MOD(H2341-G2341,1))</f>
        <v/>
      </c>
      <c r="J2341" s="61">
        <f>IF(OR(G2341="",H2341=""),"",ROUND(MOD(H2341-G2341,1)*24,2))</f>
        <v/>
      </c>
      <c r="K2341" s="62">
        <f>IF(E2341="","",IF(E2341="Werken","JA","NEE"))</f>
        <v/>
      </c>
      <c r="L2341" s="61">
        <f>IF(K2341="JA",N(J2341),IF(E2341="","",0))</f>
        <v/>
      </c>
      <c r="M2341" s="62">
        <f>IF(AND(A2341="",E2341=""),"",IF(E2341="","Segment ontbreekt",IF(OR(G2341="",H2341=""),"Van/tot ontbreekt",IF(N(J2341)=0,"Duur is nul",IF(N(J2341)&gt;12,"Langer dan 12 uur - controleren",IF(AND(E2341="Werken",D2341=""),"Werken zonder klant - koppelen","OK"))))))</f>
        <v/>
      </c>
    </row>
    <row r="2342" ht="15" customHeight="1" s="42">
      <c r="A2342" s="55" t="n"/>
      <c r="B2342" s="56">
        <f>IF(A2342="","",WEEKNUM(A2342,21))</f>
        <v/>
      </c>
      <c r="C2342" s="57" t="n"/>
      <c r="D2342" s="57" t="n"/>
      <c r="E2342" s="58" t="n"/>
      <c r="F2342" s="57" t="n"/>
      <c r="G2342" s="59" t="n"/>
      <c r="H2342" s="59" t="n"/>
      <c r="I2342" s="60">
        <f>IF(OR(G2342="",H2342=""),"",MOD(H2342-G2342,1))</f>
        <v/>
      </c>
      <c r="J2342" s="61">
        <f>IF(OR(G2342="",H2342=""),"",ROUND(MOD(H2342-G2342,1)*24,2))</f>
        <v/>
      </c>
      <c r="K2342" s="62">
        <f>IF(E2342="","",IF(E2342="Werken","JA","NEE"))</f>
        <v/>
      </c>
      <c r="L2342" s="61">
        <f>IF(K2342="JA",N(J2342),IF(E2342="","",0))</f>
        <v/>
      </c>
      <c r="M2342" s="62">
        <f>IF(AND(A2342="",E2342=""),"",IF(E2342="","Segment ontbreekt",IF(OR(G2342="",H2342=""),"Van/tot ontbreekt",IF(N(J2342)=0,"Duur is nul",IF(N(J2342)&gt;12,"Langer dan 12 uur - controleren",IF(AND(E2342="Werken",D2342=""),"Werken zonder klant - koppelen","OK"))))))</f>
        <v/>
      </c>
    </row>
    <row r="2343" ht="15" customHeight="1" s="42">
      <c r="A2343" s="55" t="n"/>
      <c r="B2343" s="56">
        <f>IF(A2343="","",WEEKNUM(A2343,21))</f>
        <v/>
      </c>
      <c r="C2343" s="57" t="n"/>
      <c r="D2343" s="57" t="n"/>
      <c r="E2343" s="58" t="n"/>
      <c r="F2343" s="57" t="n"/>
      <c r="G2343" s="59" t="n"/>
      <c r="H2343" s="59" t="n"/>
      <c r="I2343" s="60">
        <f>IF(OR(G2343="",H2343=""),"",MOD(H2343-G2343,1))</f>
        <v/>
      </c>
      <c r="J2343" s="61">
        <f>IF(OR(G2343="",H2343=""),"",ROUND(MOD(H2343-G2343,1)*24,2))</f>
        <v/>
      </c>
      <c r="K2343" s="62">
        <f>IF(E2343="","",IF(E2343="Werken","JA","NEE"))</f>
        <v/>
      </c>
      <c r="L2343" s="61">
        <f>IF(K2343="JA",N(J2343),IF(E2343="","",0))</f>
        <v/>
      </c>
      <c r="M2343" s="62">
        <f>IF(AND(A2343="",E2343=""),"",IF(E2343="","Segment ontbreekt",IF(OR(G2343="",H2343=""),"Van/tot ontbreekt",IF(N(J2343)=0,"Duur is nul",IF(N(J2343)&gt;12,"Langer dan 12 uur - controleren",IF(AND(E2343="Werken",D2343=""),"Werken zonder klant - koppelen","OK"))))))</f>
        <v/>
      </c>
    </row>
    <row r="2344" ht="15" customHeight="1" s="42">
      <c r="A2344" s="55" t="n"/>
      <c r="B2344" s="56">
        <f>IF(A2344="","",WEEKNUM(A2344,21))</f>
        <v/>
      </c>
      <c r="C2344" s="57" t="n"/>
      <c r="D2344" s="57" t="n"/>
      <c r="E2344" s="58" t="n"/>
      <c r="F2344" s="57" t="n"/>
      <c r="G2344" s="59" t="n"/>
      <c r="H2344" s="59" t="n"/>
      <c r="I2344" s="60">
        <f>IF(OR(G2344="",H2344=""),"",MOD(H2344-G2344,1))</f>
        <v/>
      </c>
      <c r="J2344" s="61">
        <f>IF(OR(G2344="",H2344=""),"",ROUND(MOD(H2344-G2344,1)*24,2))</f>
        <v/>
      </c>
      <c r="K2344" s="62">
        <f>IF(E2344="","",IF(E2344="Werken","JA","NEE"))</f>
        <v/>
      </c>
      <c r="L2344" s="61">
        <f>IF(K2344="JA",N(J2344),IF(E2344="","",0))</f>
        <v/>
      </c>
      <c r="M2344" s="62">
        <f>IF(AND(A2344="",E2344=""),"",IF(E2344="","Segment ontbreekt",IF(OR(G2344="",H2344=""),"Van/tot ontbreekt",IF(N(J2344)=0,"Duur is nul",IF(N(J2344)&gt;12,"Langer dan 12 uur - controleren",IF(AND(E2344="Werken",D2344=""),"Werken zonder klant - koppelen","OK"))))))</f>
        <v/>
      </c>
    </row>
    <row r="2345" ht="15" customHeight="1" s="42">
      <c r="A2345" s="55" t="n"/>
      <c r="B2345" s="56">
        <f>IF(A2345="","",WEEKNUM(A2345,21))</f>
        <v/>
      </c>
      <c r="C2345" s="57" t="n"/>
      <c r="D2345" s="57" t="n"/>
      <c r="E2345" s="58" t="n"/>
      <c r="F2345" s="57" t="n"/>
      <c r="G2345" s="59" t="n"/>
      <c r="H2345" s="59" t="n"/>
      <c r="I2345" s="60">
        <f>IF(OR(G2345="",H2345=""),"",MOD(H2345-G2345,1))</f>
        <v/>
      </c>
      <c r="J2345" s="61">
        <f>IF(OR(G2345="",H2345=""),"",ROUND(MOD(H2345-G2345,1)*24,2))</f>
        <v/>
      </c>
      <c r="K2345" s="62">
        <f>IF(E2345="","",IF(E2345="Werken","JA","NEE"))</f>
        <v/>
      </c>
      <c r="L2345" s="61">
        <f>IF(K2345="JA",N(J2345),IF(E2345="","",0))</f>
        <v/>
      </c>
      <c r="M2345" s="62">
        <f>IF(AND(A2345="",E2345=""),"",IF(E2345="","Segment ontbreekt",IF(OR(G2345="",H2345=""),"Van/tot ontbreekt",IF(N(J2345)=0,"Duur is nul",IF(N(J2345)&gt;12,"Langer dan 12 uur - controleren",IF(AND(E2345="Werken",D2345=""),"Werken zonder klant - koppelen","OK"))))))</f>
        <v/>
      </c>
    </row>
    <row r="2346" ht="15" customHeight="1" s="42">
      <c r="A2346" s="55" t="n"/>
      <c r="B2346" s="56">
        <f>IF(A2346="","",WEEKNUM(A2346,21))</f>
        <v/>
      </c>
      <c r="C2346" s="57" t="n"/>
      <c r="D2346" s="57" t="n"/>
      <c r="E2346" s="58" t="n"/>
      <c r="F2346" s="57" t="n"/>
      <c r="G2346" s="59" t="n"/>
      <c r="H2346" s="59" t="n"/>
      <c r="I2346" s="60">
        <f>IF(OR(G2346="",H2346=""),"",MOD(H2346-G2346,1))</f>
        <v/>
      </c>
      <c r="J2346" s="61">
        <f>IF(OR(G2346="",H2346=""),"",ROUND(MOD(H2346-G2346,1)*24,2))</f>
        <v/>
      </c>
      <c r="K2346" s="62">
        <f>IF(E2346="","",IF(E2346="Werken","JA","NEE"))</f>
        <v/>
      </c>
      <c r="L2346" s="61">
        <f>IF(K2346="JA",N(J2346),IF(E2346="","",0))</f>
        <v/>
      </c>
      <c r="M2346" s="62">
        <f>IF(AND(A2346="",E2346=""),"",IF(E2346="","Segment ontbreekt",IF(OR(G2346="",H2346=""),"Van/tot ontbreekt",IF(N(J2346)=0,"Duur is nul",IF(N(J2346)&gt;12,"Langer dan 12 uur - controleren",IF(AND(E2346="Werken",D2346=""),"Werken zonder klant - koppelen","OK"))))))</f>
        <v/>
      </c>
    </row>
    <row r="2347" ht="15" customHeight="1" s="42">
      <c r="A2347" s="55" t="n"/>
      <c r="B2347" s="56">
        <f>IF(A2347="","",WEEKNUM(A2347,21))</f>
        <v/>
      </c>
      <c r="C2347" s="57" t="n"/>
      <c r="D2347" s="57" t="n"/>
      <c r="E2347" s="58" t="n"/>
      <c r="F2347" s="57" t="n"/>
      <c r="G2347" s="59" t="n"/>
      <c r="H2347" s="59" t="n"/>
      <c r="I2347" s="60">
        <f>IF(OR(G2347="",H2347=""),"",MOD(H2347-G2347,1))</f>
        <v/>
      </c>
      <c r="J2347" s="61">
        <f>IF(OR(G2347="",H2347=""),"",ROUND(MOD(H2347-G2347,1)*24,2))</f>
        <v/>
      </c>
      <c r="K2347" s="62">
        <f>IF(E2347="","",IF(E2347="Werken","JA","NEE"))</f>
        <v/>
      </c>
      <c r="L2347" s="61">
        <f>IF(K2347="JA",N(J2347),IF(E2347="","",0))</f>
        <v/>
      </c>
      <c r="M2347" s="62">
        <f>IF(AND(A2347="",E2347=""),"",IF(E2347="","Segment ontbreekt",IF(OR(G2347="",H2347=""),"Van/tot ontbreekt",IF(N(J2347)=0,"Duur is nul",IF(N(J2347)&gt;12,"Langer dan 12 uur - controleren",IF(AND(E2347="Werken",D2347=""),"Werken zonder klant - koppelen","OK"))))))</f>
        <v/>
      </c>
    </row>
    <row r="2348" ht="15" customHeight="1" s="42">
      <c r="A2348" s="55" t="n"/>
      <c r="B2348" s="56">
        <f>IF(A2348="","",WEEKNUM(A2348,21))</f>
        <v/>
      </c>
      <c r="C2348" s="57" t="n"/>
      <c r="D2348" s="57" t="n"/>
      <c r="E2348" s="58" t="n"/>
      <c r="F2348" s="57" t="n"/>
      <c r="G2348" s="59" t="n"/>
      <c r="H2348" s="59" t="n"/>
      <c r="I2348" s="60">
        <f>IF(OR(G2348="",H2348=""),"",MOD(H2348-G2348,1))</f>
        <v/>
      </c>
      <c r="J2348" s="61">
        <f>IF(OR(G2348="",H2348=""),"",ROUND(MOD(H2348-G2348,1)*24,2))</f>
        <v/>
      </c>
      <c r="K2348" s="62">
        <f>IF(E2348="","",IF(E2348="Werken","JA","NEE"))</f>
        <v/>
      </c>
      <c r="L2348" s="61">
        <f>IF(K2348="JA",N(J2348),IF(E2348="","",0))</f>
        <v/>
      </c>
      <c r="M2348" s="62">
        <f>IF(AND(A2348="",E2348=""),"",IF(E2348="","Segment ontbreekt",IF(OR(G2348="",H2348=""),"Van/tot ontbreekt",IF(N(J2348)=0,"Duur is nul",IF(N(J2348)&gt;12,"Langer dan 12 uur - controleren",IF(AND(E2348="Werken",D2348=""),"Werken zonder klant - koppelen","OK"))))))</f>
        <v/>
      </c>
    </row>
    <row r="2349" ht="15" customHeight="1" s="42">
      <c r="A2349" s="55" t="n"/>
      <c r="B2349" s="56">
        <f>IF(A2349="","",WEEKNUM(A2349,21))</f>
        <v/>
      </c>
      <c r="C2349" s="57" t="n"/>
      <c r="D2349" s="57" t="n"/>
      <c r="E2349" s="58" t="n"/>
      <c r="F2349" s="57" t="n"/>
      <c r="G2349" s="59" t="n"/>
      <c r="H2349" s="59" t="n"/>
      <c r="I2349" s="60">
        <f>IF(OR(G2349="",H2349=""),"",MOD(H2349-G2349,1))</f>
        <v/>
      </c>
      <c r="J2349" s="61">
        <f>IF(OR(G2349="",H2349=""),"",ROUND(MOD(H2349-G2349,1)*24,2))</f>
        <v/>
      </c>
      <c r="K2349" s="62">
        <f>IF(E2349="","",IF(E2349="Werken","JA","NEE"))</f>
        <v/>
      </c>
      <c r="L2349" s="61">
        <f>IF(K2349="JA",N(J2349),IF(E2349="","",0))</f>
        <v/>
      </c>
      <c r="M2349" s="62">
        <f>IF(AND(A2349="",E2349=""),"",IF(E2349="","Segment ontbreekt",IF(OR(G2349="",H2349=""),"Van/tot ontbreekt",IF(N(J2349)=0,"Duur is nul",IF(N(J2349)&gt;12,"Langer dan 12 uur - controleren",IF(AND(E2349="Werken",D2349=""),"Werken zonder klant - koppelen","OK"))))))</f>
        <v/>
      </c>
    </row>
    <row r="2350" ht="15" customHeight="1" s="42">
      <c r="A2350" s="55" t="n"/>
      <c r="B2350" s="56">
        <f>IF(A2350="","",WEEKNUM(A2350,21))</f>
        <v/>
      </c>
      <c r="C2350" s="57" t="n"/>
      <c r="D2350" s="57" t="n"/>
      <c r="E2350" s="58" t="n"/>
      <c r="F2350" s="57" t="n"/>
      <c r="G2350" s="59" t="n"/>
      <c r="H2350" s="59" t="n"/>
      <c r="I2350" s="60">
        <f>IF(OR(G2350="",H2350=""),"",MOD(H2350-G2350,1))</f>
        <v/>
      </c>
      <c r="J2350" s="61">
        <f>IF(OR(G2350="",H2350=""),"",ROUND(MOD(H2350-G2350,1)*24,2))</f>
        <v/>
      </c>
      <c r="K2350" s="62">
        <f>IF(E2350="","",IF(E2350="Werken","JA","NEE"))</f>
        <v/>
      </c>
      <c r="L2350" s="61">
        <f>IF(K2350="JA",N(J2350),IF(E2350="","",0))</f>
        <v/>
      </c>
      <c r="M2350" s="62">
        <f>IF(AND(A2350="",E2350=""),"",IF(E2350="","Segment ontbreekt",IF(OR(G2350="",H2350=""),"Van/tot ontbreekt",IF(N(J2350)=0,"Duur is nul",IF(N(J2350)&gt;12,"Langer dan 12 uur - controleren",IF(AND(E2350="Werken",D2350=""),"Werken zonder klant - koppelen","OK"))))))</f>
        <v/>
      </c>
    </row>
    <row r="2351" ht="15" customHeight="1" s="42">
      <c r="A2351" s="55" t="n"/>
      <c r="B2351" s="56">
        <f>IF(A2351="","",WEEKNUM(A2351,21))</f>
        <v/>
      </c>
      <c r="C2351" s="57" t="n"/>
      <c r="D2351" s="57" t="n"/>
      <c r="E2351" s="58" t="n"/>
      <c r="F2351" s="57" t="n"/>
      <c r="G2351" s="59" t="n"/>
      <c r="H2351" s="59" t="n"/>
      <c r="I2351" s="60">
        <f>IF(OR(G2351="",H2351=""),"",MOD(H2351-G2351,1))</f>
        <v/>
      </c>
      <c r="J2351" s="61">
        <f>IF(OR(G2351="",H2351=""),"",ROUND(MOD(H2351-G2351,1)*24,2))</f>
        <v/>
      </c>
      <c r="K2351" s="62">
        <f>IF(E2351="","",IF(E2351="Werken","JA","NEE"))</f>
        <v/>
      </c>
      <c r="L2351" s="61">
        <f>IF(K2351="JA",N(J2351),IF(E2351="","",0))</f>
        <v/>
      </c>
      <c r="M2351" s="62">
        <f>IF(AND(A2351="",E2351=""),"",IF(E2351="","Segment ontbreekt",IF(OR(G2351="",H2351=""),"Van/tot ontbreekt",IF(N(J2351)=0,"Duur is nul",IF(N(J2351)&gt;12,"Langer dan 12 uur - controleren",IF(AND(E2351="Werken",D2351=""),"Werken zonder klant - koppelen","OK"))))))</f>
        <v/>
      </c>
    </row>
    <row r="2352" ht="15" customHeight="1" s="42">
      <c r="A2352" s="55" t="n"/>
      <c r="B2352" s="56">
        <f>IF(A2352="","",WEEKNUM(A2352,21))</f>
        <v/>
      </c>
      <c r="C2352" s="57" t="n"/>
      <c r="D2352" s="57" t="n"/>
      <c r="E2352" s="58" t="n"/>
      <c r="F2352" s="57" t="n"/>
      <c r="G2352" s="59" t="n"/>
      <c r="H2352" s="59" t="n"/>
      <c r="I2352" s="60">
        <f>IF(OR(G2352="",H2352=""),"",MOD(H2352-G2352,1))</f>
        <v/>
      </c>
      <c r="J2352" s="61">
        <f>IF(OR(G2352="",H2352=""),"",ROUND(MOD(H2352-G2352,1)*24,2))</f>
        <v/>
      </c>
      <c r="K2352" s="62">
        <f>IF(E2352="","",IF(E2352="Werken","JA","NEE"))</f>
        <v/>
      </c>
      <c r="L2352" s="61">
        <f>IF(K2352="JA",N(J2352),IF(E2352="","",0))</f>
        <v/>
      </c>
      <c r="M2352" s="62">
        <f>IF(AND(A2352="",E2352=""),"",IF(E2352="","Segment ontbreekt",IF(OR(G2352="",H2352=""),"Van/tot ontbreekt",IF(N(J2352)=0,"Duur is nul",IF(N(J2352)&gt;12,"Langer dan 12 uur - controleren",IF(AND(E2352="Werken",D2352=""),"Werken zonder klant - koppelen","OK"))))))</f>
        <v/>
      </c>
    </row>
    <row r="2353" ht="15" customHeight="1" s="42">
      <c r="A2353" s="55" t="n"/>
      <c r="B2353" s="56">
        <f>IF(A2353="","",WEEKNUM(A2353,21))</f>
        <v/>
      </c>
      <c r="C2353" s="57" t="n"/>
      <c r="D2353" s="57" t="n"/>
      <c r="E2353" s="58" t="n"/>
      <c r="F2353" s="57" t="n"/>
      <c r="G2353" s="59" t="n"/>
      <c r="H2353" s="59" t="n"/>
      <c r="I2353" s="60">
        <f>IF(OR(G2353="",H2353=""),"",MOD(H2353-G2353,1))</f>
        <v/>
      </c>
      <c r="J2353" s="61">
        <f>IF(OR(G2353="",H2353=""),"",ROUND(MOD(H2353-G2353,1)*24,2))</f>
        <v/>
      </c>
      <c r="K2353" s="62">
        <f>IF(E2353="","",IF(E2353="Werken","JA","NEE"))</f>
        <v/>
      </c>
      <c r="L2353" s="61">
        <f>IF(K2353="JA",N(J2353),IF(E2353="","",0))</f>
        <v/>
      </c>
      <c r="M2353" s="62">
        <f>IF(AND(A2353="",E2353=""),"",IF(E2353="","Segment ontbreekt",IF(OR(G2353="",H2353=""),"Van/tot ontbreekt",IF(N(J2353)=0,"Duur is nul",IF(N(J2353)&gt;12,"Langer dan 12 uur - controleren",IF(AND(E2353="Werken",D2353=""),"Werken zonder klant - koppelen","OK"))))))</f>
        <v/>
      </c>
    </row>
    <row r="2354" ht="15" customHeight="1" s="42">
      <c r="A2354" s="55" t="n"/>
      <c r="B2354" s="56">
        <f>IF(A2354="","",WEEKNUM(A2354,21))</f>
        <v/>
      </c>
      <c r="C2354" s="57" t="n"/>
      <c r="D2354" s="57" t="n"/>
      <c r="E2354" s="58" t="n"/>
      <c r="F2354" s="57" t="n"/>
      <c r="G2354" s="59" t="n"/>
      <c r="H2354" s="59" t="n"/>
      <c r="I2354" s="60">
        <f>IF(OR(G2354="",H2354=""),"",MOD(H2354-G2354,1))</f>
        <v/>
      </c>
      <c r="J2354" s="61">
        <f>IF(OR(G2354="",H2354=""),"",ROUND(MOD(H2354-G2354,1)*24,2))</f>
        <v/>
      </c>
      <c r="K2354" s="62">
        <f>IF(E2354="","",IF(E2354="Werken","JA","NEE"))</f>
        <v/>
      </c>
      <c r="L2354" s="61">
        <f>IF(K2354="JA",N(J2354),IF(E2354="","",0))</f>
        <v/>
      </c>
      <c r="M2354" s="62">
        <f>IF(AND(A2354="",E2354=""),"",IF(E2354="","Segment ontbreekt",IF(OR(G2354="",H2354=""),"Van/tot ontbreekt",IF(N(J2354)=0,"Duur is nul",IF(N(J2354)&gt;12,"Langer dan 12 uur - controleren",IF(AND(E2354="Werken",D2354=""),"Werken zonder klant - koppelen","OK"))))))</f>
        <v/>
      </c>
    </row>
    <row r="2355" ht="15" customHeight="1" s="42">
      <c r="A2355" s="55" t="n"/>
      <c r="B2355" s="56">
        <f>IF(A2355="","",WEEKNUM(A2355,21))</f>
        <v/>
      </c>
      <c r="C2355" s="57" t="n"/>
      <c r="D2355" s="57" t="n"/>
      <c r="E2355" s="58" t="n"/>
      <c r="F2355" s="57" t="n"/>
      <c r="G2355" s="59" t="n"/>
      <c r="H2355" s="59" t="n"/>
      <c r="I2355" s="60">
        <f>IF(OR(G2355="",H2355=""),"",MOD(H2355-G2355,1))</f>
        <v/>
      </c>
      <c r="J2355" s="61">
        <f>IF(OR(G2355="",H2355=""),"",ROUND(MOD(H2355-G2355,1)*24,2))</f>
        <v/>
      </c>
      <c r="K2355" s="62">
        <f>IF(E2355="","",IF(E2355="Werken","JA","NEE"))</f>
        <v/>
      </c>
      <c r="L2355" s="61">
        <f>IF(K2355="JA",N(J2355),IF(E2355="","",0))</f>
        <v/>
      </c>
      <c r="M2355" s="62">
        <f>IF(AND(A2355="",E2355=""),"",IF(E2355="","Segment ontbreekt",IF(OR(G2355="",H2355=""),"Van/tot ontbreekt",IF(N(J2355)=0,"Duur is nul",IF(N(J2355)&gt;12,"Langer dan 12 uur - controleren",IF(AND(E2355="Werken",D2355=""),"Werken zonder klant - koppelen","OK"))))))</f>
        <v/>
      </c>
    </row>
    <row r="2356" ht="15" customHeight="1" s="42">
      <c r="A2356" s="55" t="n"/>
      <c r="B2356" s="56">
        <f>IF(A2356="","",WEEKNUM(A2356,21))</f>
        <v/>
      </c>
      <c r="C2356" s="57" t="n"/>
      <c r="D2356" s="57" t="n"/>
      <c r="E2356" s="58" t="n"/>
      <c r="F2356" s="57" t="n"/>
      <c r="G2356" s="59" t="n"/>
      <c r="H2356" s="59" t="n"/>
      <c r="I2356" s="60">
        <f>IF(OR(G2356="",H2356=""),"",MOD(H2356-G2356,1))</f>
        <v/>
      </c>
      <c r="J2356" s="61">
        <f>IF(OR(G2356="",H2356=""),"",ROUND(MOD(H2356-G2356,1)*24,2))</f>
        <v/>
      </c>
      <c r="K2356" s="62">
        <f>IF(E2356="","",IF(E2356="Werken","JA","NEE"))</f>
        <v/>
      </c>
      <c r="L2356" s="61">
        <f>IF(K2356="JA",N(J2356),IF(E2356="","",0))</f>
        <v/>
      </c>
      <c r="M2356" s="62">
        <f>IF(AND(A2356="",E2356=""),"",IF(E2356="","Segment ontbreekt",IF(OR(G2356="",H2356=""),"Van/tot ontbreekt",IF(N(J2356)=0,"Duur is nul",IF(N(J2356)&gt;12,"Langer dan 12 uur - controleren",IF(AND(E2356="Werken",D2356=""),"Werken zonder klant - koppelen","OK"))))))</f>
        <v/>
      </c>
    </row>
    <row r="2357" ht="15" customHeight="1" s="42">
      <c r="A2357" s="55" t="n"/>
      <c r="B2357" s="56">
        <f>IF(A2357="","",WEEKNUM(A2357,21))</f>
        <v/>
      </c>
      <c r="C2357" s="57" t="n"/>
      <c r="D2357" s="57" t="n"/>
      <c r="E2357" s="58" t="n"/>
      <c r="F2357" s="57" t="n"/>
      <c r="G2357" s="59" t="n"/>
      <c r="H2357" s="59" t="n"/>
      <c r="I2357" s="60">
        <f>IF(OR(G2357="",H2357=""),"",MOD(H2357-G2357,1))</f>
        <v/>
      </c>
      <c r="J2357" s="61">
        <f>IF(OR(G2357="",H2357=""),"",ROUND(MOD(H2357-G2357,1)*24,2))</f>
        <v/>
      </c>
      <c r="K2357" s="62">
        <f>IF(E2357="","",IF(E2357="Werken","JA","NEE"))</f>
        <v/>
      </c>
      <c r="L2357" s="61">
        <f>IF(K2357="JA",N(J2357),IF(E2357="","",0))</f>
        <v/>
      </c>
      <c r="M2357" s="62">
        <f>IF(AND(A2357="",E2357=""),"",IF(E2357="","Segment ontbreekt",IF(OR(G2357="",H2357=""),"Van/tot ontbreekt",IF(N(J2357)=0,"Duur is nul",IF(N(J2357)&gt;12,"Langer dan 12 uur - controleren",IF(AND(E2357="Werken",D2357=""),"Werken zonder klant - koppelen","OK"))))))</f>
        <v/>
      </c>
    </row>
    <row r="2358" ht="15" customHeight="1" s="42">
      <c r="A2358" s="55" t="n"/>
      <c r="B2358" s="56">
        <f>IF(A2358="","",WEEKNUM(A2358,21))</f>
        <v/>
      </c>
      <c r="C2358" s="57" t="n"/>
      <c r="D2358" s="57" t="n"/>
      <c r="E2358" s="58" t="n"/>
      <c r="F2358" s="57" t="n"/>
      <c r="G2358" s="59" t="n"/>
      <c r="H2358" s="59" t="n"/>
      <c r="I2358" s="60">
        <f>IF(OR(G2358="",H2358=""),"",MOD(H2358-G2358,1))</f>
        <v/>
      </c>
      <c r="J2358" s="61">
        <f>IF(OR(G2358="",H2358=""),"",ROUND(MOD(H2358-G2358,1)*24,2))</f>
        <v/>
      </c>
      <c r="K2358" s="62">
        <f>IF(E2358="","",IF(E2358="Werken","JA","NEE"))</f>
        <v/>
      </c>
      <c r="L2358" s="61">
        <f>IF(K2358="JA",N(J2358),IF(E2358="","",0))</f>
        <v/>
      </c>
      <c r="M2358" s="62">
        <f>IF(AND(A2358="",E2358=""),"",IF(E2358="","Segment ontbreekt",IF(OR(G2358="",H2358=""),"Van/tot ontbreekt",IF(N(J2358)=0,"Duur is nul",IF(N(J2358)&gt;12,"Langer dan 12 uur - controleren",IF(AND(E2358="Werken",D2358=""),"Werken zonder klant - koppelen","OK"))))))</f>
        <v/>
      </c>
    </row>
    <row r="2359" ht="15" customHeight="1" s="42">
      <c r="A2359" s="55" t="n"/>
      <c r="B2359" s="56">
        <f>IF(A2359="","",WEEKNUM(A2359,21))</f>
        <v/>
      </c>
      <c r="C2359" s="57" t="n"/>
      <c r="D2359" s="57" t="n"/>
      <c r="E2359" s="58" t="n"/>
      <c r="F2359" s="57" t="n"/>
      <c r="G2359" s="59" t="n"/>
      <c r="H2359" s="59" t="n"/>
      <c r="I2359" s="60">
        <f>IF(OR(G2359="",H2359=""),"",MOD(H2359-G2359,1))</f>
        <v/>
      </c>
      <c r="J2359" s="61">
        <f>IF(OR(G2359="",H2359=""),"",ROUND(MOD(H2359-G2359,1)*24,2))</f>
        <v/>
      </c>
      <c r="K2359" s="62">
        <f>IF(E2359="","",IF(E2359="Werken","JA","NEE"))</f>
        <v/>
      </c>
      <c r="L2359" s="61">
        <f>IF(K2359="JA",N(J2359),IF(E2359="","",0))</f>
        <v/>
      </c>
      <c r="M2359" s="62">
        <f>IF(AND(A2359="",E2359=""),"",IF(E2359="","Segment ontbreekt",IF(OR(G2359="",H2359=""),"Van/tot ontbreekt",IF(N(J2359)=0,"Duur is nul",IF(N(J2359)&gt;12,"Langer dan 12 uur - controleren",IF(AND(E2359="Werken",D2359=""),"Werken zonder klant - koppelen","OK"))))))</f>
        <v/>
      </c>
    </row>
    <row r="2360" ht="15" customHeight="1" s="42">
      <c r="A2360" s="55" t="n"/>
      <c r="B2360" s="56">
        <f>IF(A2360="","",WEEKNUM(A2360,21))</f>
        <v/>
      </c>
      <c r="C2360" s="57" t="n"/>
      <c r="D2360" s="57" t="n"/>
      <c r="E2360" s="58" t="n"/>
      <c r="F2360" s="57" t="n"/>
      <c r="G2360" s="59" t="n"/>
      <c r="H2360" s="59" t="n"/>
      <c r="I2360" s="60">
        <f>IF(OR(G2360="",H2360=""),"",MOD(H2360-G2360,1))</f>
        <v/>
      </c>
      <c r="J2360" s="61">
        <f>IF(OR(G2360="",H2360=""),"",ROUND(MOD(H2360-G2360,1)*24,2))</f>
        <v/>
      </c>
      <c r="K2360" s="62">
        <f>IF(E2360="","",IF(E2360="Werken","JA","NEE"))</f>
        <v/>
      </c>
      <c r="L2360" s="61">
        <f>IF(K2360="JA",N(J2360),IF(E2360="","",0))</f>
        <v/>
      </c>
      <c r="M2360" s="62">
        <f>IF(AND(A2360="",E2360=""),"",IF(E2360="","Segment ontbreekt",IF(OR(G2360="",H2360=""),"Van/tot ontbreekt",IF(N(J2360)=0,"Duur is nul",IF(N(J2360)&gt;12,"Langer dan 12 uur - controleren",IF(AND(E2360="Werken",D2360=""),"Werken zonder klant - koppelen","OK"))))))</f>
        <v/>
      </c>
    </row>
    <row r="2361" ht="15" customHeight="1" s="42">
      <c r="A2361" s="55" t="n"/>
      <c r="B2361" s="56">
        <f>IF(A2361="","",WEEKNUM(A2361,21))</f>
        <v/>
      </c>
      <c r="C2361" s="57" t="n"/>
      <c r="D2361" s="57" t="n"/>
      <c r="E2361" s="58" t="n"/>
      <c r="F2361" s="57" t="n"/>
      <c r="G2361" s="59" t="n"/>
      <c r="H2361" s="59" t="n"/>
      <c r="I2361" s="60">
        <f>IF(OR(G2361="",H2361=""),"",MOD(H2361-G2361,1))</f>
        <v/>
      </c>
      <c r="J2361" s="61">
        <f>IF(OR(G2361="",H2361=""),"",ROUND(MOD(H2361-G2361,1)*24,2))</f>
        <v/>
      </c>
      <c r="K2361" s="62">
        <f>IF(E2361="","",IF(E2361="Werken","JA","NEE"))</f>
        <v/>
      </c>
      <c r="L2361" s="61">
        <f>IF(K2361="JA",N(J2361),IF(E2361="","",0))</f>
        <v/>
      </c>
      <c r="M2361" s="62">
        <f>IF(AND(A2361="",E2361=""),"",IF(E2361="","Segment ontbreekt",IF(OR(G2361="",H2361=""),"Van/tot ontbreekt",IF(N(J2361)=0,"Duur is nul",IF(N(J2361)&gt;12,"Langer dan 12 uur - controleren",IF(AND(E2361="Werken",D2361=""),"Werken zonder klant - koppelen","OK"))))))</f>
        <v/>
      </c>
    </row>
    <row r="2362" ht="15" customHeight="1" s="42">
      <c r="A2362" s="55" t="n"/>
      <c r="B2362" s="56">
        <f>IF(A2362="","",WEEKNUM(A2362,21))</f>
        <v/>
      </c>
      <c r="C2362" s="57" t="n"/>
      <c r="D2362" s="57" t="n"/>
      <c r="E2362" s="58" t="n"/>
      <c r="F2362" s="57" t="n"/>
      <c r="G2362" s="59" t="n"/>
      <c r="H2362" s="59" t="n"/>
      <c r="I2362" s="60">
        <f>IF(OR(G2362="",H2362=""),"",MOD(H2362-G2362,1))</f>
        <v/>
      </c>
      <c r="J2362" s="61">
        <f>IF(OR(G2362="",H2362=""),"",ROUND(MOD(H2362-G2362,1)*24,2))</f>
        <v/>
      </c>
      <c r="K2362" s="62">
        <f>IF(E2362="","",IF(E2362="Werken","JA","NEE"))</f>
        <v/>
      </c>
      <c r="L2362" s="61">
        <f>IF(K2362="JA",N(J2362),IF(E2362="","",0))</f>
        <v/>
      </c>
      <c r="M2362" s="62">
        <f>IF(AND(A2362="",E2362=""),"",IF(E2362="","Segment ontbreekt",IF(OR(G2362="",H2362=""),"Van/tot ontbreekt",IF(N(J2362)=0,"Duur is nul",IF(N(J2362)&gt;12,"Langer dan 12 uur - controleren",IF(AND(E2362="Werken",D2362=""),"Werken zonder klant - koppelen","OK"))))))</f>
        <v/>
      </c>
    </row>
    <row r="2363" ht="15" customHeight="1" s="42">
      <c r="A2363" s="55" t="n"/>
      <c r="B2363" s="56">
        <f>IF(A2363="","",WEEKNUM(A2363,21))</f>
        <v/>
      </c>
      <c r="C2363" s="57" t="n"/>
      <c r="D2363" s="57" t="n"/>
      <c r="E2363" s="58" t="n"/>
      <c r="F2363" s="57" t="n"/>
      <c r="G2363" s="59" t="n"/>
      <c r="H2363" s="59" t="n"/>
      <c r="I2363" s="60">
        <f>IF(OR(G2363="",H2363=""),"",MOD(H2363-G2363,1))</f>
        <v/>
      </c>
      <c r="J2363" s="61">
        <f>IF(OR(G2363="",H2363=""),"",ROUND(MOD(H2363-G2363,1)*24,2))</f>
        <v/>
      </c>
      <c r="K2363" s="62">
        <f>IF(E2363="","",IF(E2363="Werken","JA","NEE"))</f>
        <v/>
      </c>
      <c r="L2363" s="61">
        <f>IF(K2363="JA",N(J2363),IF(E2363="","",0))</f>
        <v/>
      </c>
      <c r="M2363" s="62">
        <f>IF(AND(A2363="",E2363=""),"",IF(E2363="","Segment ontbreekt",IF(OR(G2363="",H2363=""),"Van/tot ontbreekt",IF(N(J2363)=0,"Duur is nul",IF(N(J2363)&gt;12,"Langer dan 12 uur - controleren",IF(AND(E2363="Werken",D2363=""),"Werken zonder klant - koppelen","OK"))))))</f>
        <v/>
      </c>
    </row>
    <row r="2364" ht="15" customHeight="1" s="42">
      <c r="A2364" s="55" t="n"/>
      <c r="B2364" s="56">
        <f>IF(A2364="","",WEEKNUM(A2364,21))</f>
        <v/>
      </c>
      <c r="C2364" s="57" t="n"/>
      <c r="D2364" s="57" t="n"/>
      <c r="E2364" s="58" t="n"/>
      <c r="F2364" s="57" t="n"/>
      <c r="G2364" s="59" t="n"/>
      <c r="H2364" s="59" t="n"/>
      <c r="I2364" s="60">
        <f>IF(OR(G2364="",H2364=""),"",MOD(H2364-G2364,1))</f>
        <v/>
      </c>
      <c r="J2364" s="61">
        <f>IF(OR(G2364="",H2364=""),"",ROUND(MOD(H2364-G2364,1)*24,2))</f>
        <v/>
      </c>
      <c r="K2364" s="62">
        <f>IF(E2364="","",IF(E2364="Werken","JA","NEE"))</f>
        <v/>
      </c>
      <c r="L2364" s="61">
        <f>IF(K2364="JA",N(J2364),IF(E2364="","",0))</f>
        <v/>
      </c>
      <c r="M2364" s="62">
        <f>IF(AND(A2364="",E2364=""),"",IF(E2364="","Segment ontbreekt",IF(OR(G2364="",H2364=""),"Van/tot ontbreekt",IF(N(J2364)=0,"Duur is nul",IF(N(J2364)&gt;12,"Langer dan 12 uur - controleren",IF(AND(E2364="Werken",D2364=""),"Werken zonder klant - koppelen","OK"))))))</f>
        <v/>
      </c>
    </row>
    <row r="2365" ht="15" customHeight="1" s="42">
      <c r="A2365" s="55" t="n"/>
      <c r="B2365" s="56">
        <f>IF(A2365="","",WEEKNUM(A2365,21))</f>
        <v/>
      </c>
      <c r="C2365" s="57" t="n"/>
      <c r="D2365" s="57" t="n"/>
      <c r="E2365" s="58" t="n"/>
      <c r="F2365" s="57" t="n"/>
      <c r="G2365" s="59" t="n"/>
      <c r="H2365" s="59" t="n"/>
      <c r="I2365" s="60">
        <f>IF(OR(G2365="",H2365=""),"",MOD(H2365-G2365,1))</f>
        <v/>
      </c>
      <c r="J2365" s="61">
        <f>IF(OR(G2365="",H2365=""),"",ROUND(MOD(H2365-G2365,1)*24,2))</f>
        <v/>
      </c>
      <c r="K2365" s="62">
        <f>IF(E2365="","",IF(E2365="Werken","JA","NEE"))</f>
        <v/>
      </c>
      <c r="L2365" s="61">
        <f>IF(K2365="JA",N(J2365),IF(E2365="","",0))</f>
        <v/>
      </c>
      <c r="M2365" s="62">
        <f>IF(AND(A2365="",E2365=""),"",IF(E2365="","Segment ontbreekt",IF(OR(G2365="",H2365=""),"Van/tot ontbreekt",IF(N(J2365)=0,"Duur is nul",IF(N(J2365)&gt;12,"Langer dan 12 uur - controleren",IF(AND(E2365="Werken",D2365=""),"Werken zonder klant - koppelen","OK"))))))</f>
        <v/>
      </c>
    </row>
    <row r="2366" ht="15" customHeight="1" s="42">
      <c r="A2366" s="55" t="n"/>
      <c r="B2366" s="56">
        <f>IF(A2366="","",WEEKNUM(A2366,21))</f>
        <v/>
      </c>
      <c r="C2366" s="57" t="n"/>
      <c r="D2366" s="57" t="n"/>
      <c r="E2366" s="58" t="n"/>
      <c r="F2366" s="57" t="n"/>
      <c r="G2366" s="59" t="n"/>
      <c r="H2366" s="59" t="n"/>
      <c r="I2366" s="60">
        <f>IF(OR(G2366="",H2366=""),"",MOD(H2366-G2366,1))</f>
        <v/>
      </c>
      <c r="J2366" s="61">
        <f>IF(OR(G2366="",H2366=""),"",ROUND(MOD(H2366-G2366,1)*24,2))</f>
        <v/>
      </c>
      <c r="K2366" s="62">
        <f>IF(E2366="","",IF(E2366="Werken","JA","NEE"))</f>
        <v/>
      </c>
      <c r="L2366" s="61">
        <f>IF(K2366="JA",N(J2366),IF(E2366="","",0))</f>
        <v/>
      </c>
      <c r="M2366" s="62">
        <f>IF(AND(A2366="",E2366=""),"",IF(E2366="","Segment ontbreekt",IF(OR(G2366="",H2366=""),"Van/tot ontbreekt",IF(N(J2366)=0,"Duur is nul",IF(N(J2366)&gt;12,"Langer dan 12 uur - controleren",IF(AND(E2366="Werken",D2366=""),"Werken zonder klant - koppelen","OK"))))))</f>
        <v/>
      </c>
    </row>
    <row r="2367" ht="15" customHeight="1" s="42">
      <c r="A2367" s="55" t="n"/>
      <c r="B2367" s="56">
        <f>IF(A2367="","",WEEKNUM(A2367,21))</f>
        <v/>
      </c>
      <c r="C2367" s="57" t="n"/>
      <c r="D2367" s="57" t="n"/>
      <c r="E2367" s="58" t="n"/>
      <c r="F2367" s="57" t="n"/>
      <c r="G2367" s="59" t="n"/>
      <c r="H2367" s="59" t="n"/>
      <c r="I2367" s="60">
        <f>IF(OR(G2367="",H2367=""),"",MOD(H2367-G2367,1))</f>
        <v/>
      </c>
      <c r="J2367" s="61">
        <f>IF(OR(G2367="",H2367=""),"",ROUND(MOD(H2367-G2367,1)*24,2))</f>
        <v/>
      </c>
      <c r="K2367" s="62">
        <f>IF(E2367="","",IF(E2367="Werken","JA","NEE"))</f>
        <v/>
      </c>
      <c r="L2367" s="61">
        <f>IF(K2367="JA",N(J2367),IF(E2367="","",0))</f>
        <v/>
      </c>
      <c r="M2367" s="62">
        <f>IF(AND(A2367="",E2367=""),"",IF(E2367="","Segment ontbreekt",IF(OR(G2367="",H2367=""),"Van/tot ontbreekt",IF(N(J2367)=0,"Duur is nul",IF(N(J2367)&gt;12,"Langer dan 12 uur - controleren",IF(AND(E2367="Werken",D2367=""),"Werken zonder klant - koppelen","OK"))))))</f>
        <v/>
      </c>
    </row>
    <row r="2368" ht="15" customHeight="1" s="42">
      <c r="A2368" s="55" t="n"/>
      <c r="B2368" s="56">
        <f>IF(A2368="","",WEEKNUM(A2368,21))</f>
        <v/>
      </c>
      <c r="C2368" s="57" t="n"/>
      <c r="D2368" s="57" t="n"/>
      <c r="E2368" s="58" t="n"/>
      <c r="F2368" s="57" t="n"/>
      <c r="G2368" s="59" t="n"/>
      <c r="H2368" s="59" t="n"/>
      <c r="I2368" s="60">
        <f>IF(OR(G2368="",H2368=""),"",MOD(H2368-G2368,1))</f>
        <v/>
      </c>
      <c r="J2368" s="61">
        <f>IF(OR(G2368="",H2368=""),"",ROUND(MOD(H2368-G2368,1)*24,2))</f>
        <v/>
      </c>
      <c r="K2368" s="62">
        <f>IF(E2368="","",IF(E2368="Werken","JA","NEE"))</f>
        <v/>
      </c>
      <c r="L2368" s="61">
        <f>IF(K2368="JA",N(J2368),IF(E2368="","",0))</f>
        <v/>
      </c>
      <c r="M2368" s="62">
        <f>IF(AND(A2368="",E2368=""),"",IF(E2368="","Segment ontbreekt",IF(OR(G2368="",H2368=""),"Van/tot ontbreekt",IF(N(J2368)=0,"Duur is nul",IF(N(J2368)&gt;12,"Langer dan 12 uur - controleren",IF(AND(E2368="Werken",D2368=""),"Werken zonder klant - koppelen","OK"))))))</f>
        <v/>
      </c>
    </row>
    <row r="2369" ht="15" customHeight="1" s="42">
      <c r="A2369" s="55" t="n"/>
      <c r="B2369" s="56">
        <f>IF(A2369="","",WEEKNUM(A2369,21))</f>
        <v/>
      </c>
      <c r="C2369" s="57" t="n"/>
      <c r="D2369" s="57" t="n"/>
      <c r="E2369" s="58" t="n"/>
      <c r="F2369" s="57" t="n"/>
      <c r="G2369" s="59" t="n"/>
      <c r="H2369" s="59" t="n"/>
      <c r="I2369" s="60">
        <f>IF(OR(G2369="",H2369=""),"",MOD(H2369-G2369,1))</f>
        <v/>
      </c>
      <c r="J2369" s="61">
        <f>IF(OR(G2369="",H2369=""),"",ROUND(MOD(H2369-G2369,1)*24,2))</f>
        <v/>
      </c>
      <c r="K2369" s="62">
        <f>IF(E2369="","",IF(E2369="Werken","JA","NEE"))</f>
        <v/>
      </c>
      <c r="L2369" s="61">
        <f>IF(K2369="JA",N(J2369),IF(E2369="","",0))</f>
        <v/>
      </c>
      <c r="M2369" s="62">
        <f>IF(AND(A2369="",E2369=""),"",IF(E2369="","Segment ontbreekt",IF(OR(G2369="",H2369=""),"Van/tot ontbreekt",IF(N(J2369)=0,"Duur is nul",IF(N(J2369)&gt;12,"Langer dan 12 uur - controleren",IF(AND(E2369="Werken",D2369=""),"Werken zonder klant - koppelen","OK"))))))</f>
        <v/>
      </c>
    </row>
    <row r="2370" ht="15" customHeight="1" s="42">
      <c r="A2370" s="55" t="n"/>
      <c r="B2370" s="56">
        <f>IF(A2370="","",WEEKNUM(A2370,21))</f>
        <v/>
      </c>
      <c r="C2370" s="57" t="n"/>
      <c r="D2370" s="57" t="n"/>
      <c r="E2370" s="58" t="n"/>
      <c r="F2370" s="57" t="n"/>
      <c r="G2370" s="59" t="n"/>
      <c r="H2370" s="59" t="n"/>
      <c r="I2370" s="60">
        <f>IF(OR(G2370="",H2370=""),"",MOD(H2370-G2370,1))</f>
        <v/>
      </c>
      <c r="J2370" s="61">
        <f>IF(OR(G2370="",H2370=""),"",ROUND(MOD(H2370-G2370,1)*24,2))</f>
        <v/>
      </c>
      <c r="K2370" s="62">
        <f>IF(E2370="","",IF(E2370="Werken","JA","NEE"))</f>
        <v/>
      </c>
      <c r="L2370" s="61">
        <f>IF(K2370="JA",N(J2370),IF(E2370="","",0))</f>
        <v/>
      </c>
      <c r="M2370" s="62">
        <f>IF(AND(A2370="",E2370=""),"",IF(E2370="","Segment ontbreekt",IF(OR(G2370="",H2370=""),"Van/tot ontbreekt",IF(N(J2370)=0,"Duur is nul",IF(N(J2370)&gt;12,"Langer dan 12 uur - controleren",IF(AND(E2370="Werken",D2370=""),"Werken zonder klant - koppelen","OK"))))))</f>
        <v/>
      </c>
    </row>
    <row r="2371" ht="15" customHeight="1" s="42">
      <c r="A2371" s="55" t="n"/>
      <c r="B2371" s="56">
        <f>IF(A2371="","",WEEKNUM(A2371,21))</f>
        <v/>
      </c>
      <c r="C2371" s="57" t="n"/>
      <c r="D2371" s="57" t="n"/>
      <c r="E2371" s="58" t="n"/>
      <c r="F2371" s="57" t="n"/>
      <c r="G2371" s="59" t="n"/>
      <c r="H2371" s="59" t="n"/>
      <c r="I2371" s="60">
        <f>IF(OR(G2371="",H2371=""),"",MOD(H2371-G2371,1))</f>
        <v/>
      </c>
      <c r="J2371" s="61">
        <f>IF(OR(G2371="",H2371=""),"",ROUND(MOD(H2371-G2371,1)*24,2))</f>
        <v/>
      </c>
      <c r="K2371" s="62">
        <f>IF(E2371="","",IF(E2371="Werken","JA","NEE"))</f>
        <v/>
      </c>
      <c r="L2371" s="61">
        <f>IF(K2371="JA",N(J2371),IF(E2371="","",0))</f>
        <v/>
      </c>
      <c r="M2371" s="62">
        <f>IF(AND(A2371="",E2371=""),"",IF(E2371="","Segment ontbreekt",IF(OR(G2371="",H2371=""),"Van/tot ontbreekt",IF(N(J2371)=0,"Duur is nul",IF(N(J2371)&gt;12,"Langer dan 12 uur - controleren",IF(AND(E2371="Werken",D2371=""),"Werken zonder klant - koppelen","OK"))))))</f>
        <v/>
      </c>
    </row>
    <row r="2372" ht="15" customHeight="1" s="42">
      <c r="A2372" s="55" t="n"/>
      <c r="B2372" s="56">
        <f>IF(A2372="","",WEEKNUM(A2372,21))</f>
        <v/>
      </c>
      <c r="C2372" s="57" t="n"/>
      <c r="D2372" s="57" t="n"/>
      <c r="E2372" s="58" t="n"/>
      <c r="F2372" s="57" t="n"/>
      <c r="G2372" s="59" t="n"/>
      <c r="H2372" s="59" t="n"/>
      <c r="I2372" s="60">
        <f>IF(OR(G2372="",H2372=""),"",MOD(H2372-G2372,1))</f>
        <v/>
      </c>
      <c r="J2372" s="61">
        <f>IF(OR(G2372="",H2372=""),"",ROUND(MOD(H2372-G2372,1)*24,2))</f>
        <v/>
      </c>
      <c r="K2372" s="62">
        <f>IF(E2372="","",IF(E2372="Werken","JA","NEE"))</f>
        <v/>
      </c>
      <c r="L2372" s="61">
        <f>IF(K2372="JA",N(J2372),IF(E2372="","",0))</f>
        <v/>
      </c>
      <c r="M2372" s="62">
        <f>IF(AND(A2372="",E2372=""),"",IF(E2372="","Segment ontbreekt",IF(OR(G2372="",H2372=""),"Van/tot ontbreekt",IF(N(J2372)=0,"Duur is nul",IF(N(J2372)&gt;12,"Langer dan 12 uur - controleren",IF(AND(E2372="Werken",D2372=""),"Werken zonder klant - koppelen","OK"))))))</f>
        <v/>
      </c>
    </row>
    <row r="2373" ht="15" customHeight="1" s="42">
      <c r="A2373" s="55" t="n"/>
      <c r="B2373" s="56">
        <f>IF(A2373="","",WEEKNUM(A2373,21))</f>
        <v/>
      </c>
      <c r="C2373" s="57" t="n"/>
      <c r="D2373" s="57" t="n"/>
      <c r="E2373" s="58" t="n"/>
      <c r="F2373" s="57" t="n"/>
      <c r="G2373" s="59" t="n"/>
      <c r="H2373" s="59" t="n"/>
      <c r="I2373" s="60">
        <f>IF(OR(G2373="",H2373=""),"",MOD(H2373-G2373,1))</f>
        <v/>
      </c>
      <c r="J2373" s="61">
        <f>IF(OR(G2373="",H2373=""),"",ROUND(MOD(H2373-G2373,1)*24,2))</f>
        <v/>
      </c>
      <c r="K2373" s="62">
        <f>IF(E2373="","",IF(E2373="Werken","JA","NEE"))</f>
        <v/>
      </c>
      <c r="L2373" s="61">
        <f>IF(K2373="JA",N(J2373),IF(E2373="","",0))</f>
        <v/>
      </c>
      <c r="M2373" s="62">
        <f>IF(AND(A2373="",E2373=""),"",IF(E2373="","Segment ontbreekt",IF(OR(G2373="",H2373=""),"Van/tot ontbreekt",IF(N(J2373)=0,"Duur is nul",IF(N(J2373)&gt;12,"Langer dan 12 uur - controleren",IF(AND(E2373="Werken",D2373=""),"Werken zonder klant - koppelen","OK"))))))</f>
        <v/>
      </c>
    </row>
    <row r="2374" ht="15" customHeight="1" s="42">
      <c r="A2374" s="55" t="n"/>
      <c r="B2374" s="56">
        <f>IF(A2374="","",WEEKNUM(A2374,21))</f>
        <v/>
      </c>
      <c r="C2374" s="57" t="n"/>
      <c r="D2374" s="57" t="n"/>
      <c r="E2374" s="58" t="n"/>
      <c r="F2374" s="57" t="n"/>
      <c r="G2374" s="59" t="n"/>
      <c r="H2374" s="59" t="n"/>
      <c r="I2374" s="60">
        <f>IF(OR(G2374="",H2374=""),"",MOD(H2374-G2374,1))</f>
        <v/>
      </c>
      <c r="J2374" s="61">
        <f>IF(OR(G2374="",H2374=""),"",ROUND(MOD(H2374-G2374,1)*24,2))</f>
        <v/>
      </c>
      <c r="K2374" s="62">
        <f>IF(E2374="","",IF(E2374="Werken","JA","NEE"))</f>
        <v/>
      </c>
      <c r="L2374" s="61">
        <f>IF(K2374="JA",N(J2374),IF(E2374="","",0))</f>
        <v/>
      </c>
      <c r="M2374" s="62">
        <f>IF(AND(A2374="",E2374=""),"",IF(E2374="","Segment ontbreekt",IF(OR(G2374="",H2374=""),"Van/tot ontbreekt",IF(N(J2374)=0,"Duur is nul",IF(N(J2374)&gt;12,"Langer dan 12 uur - controleren",IF(AND(E2374="Werken",D2374=""),"Werken zonder klant - koppelen","OK"))))))</f>
        <v/>
      </c>
    </row>
    <row r="2375" ht="15" customHeight="1" s="42">
      <c r="A2375" s="55" t="n"/>
      <c r="B2375" s="56">
        <f>IF(A2375="","",WEEKNUM(A2375,21))</f>
        <v/>
      </c>
      <c r="C2375" s="57" t="n"/>
      <c r="D2375" s="57" t="n"/>
      <c r="E2375" s="58" t="n"/>
      <c r="F2375" s="57" t="n"/>
      <c r="G2375" s="59" t="n"/>
      <c r="H2375" s="59" t="n"/>
      <c r="I2375" s="60">
        <f>IF(OR(G2375="",H2375=""),"",MOD(H2375-G2375,1))</f>
        <v/>
      </c>
      <c r="J2375" s="61">
        <f>IF(OR(G2375="",H2375=""),"",ROUND(MOD(H2375-G2375,1)*24,2))</f>
        <v/>
      </c>
      <c r="K2375" s="62">
        <f>IF(E2375="","",IF(E2375="Werken","JA","NEE"))</f>
        <v/>
      </c>
      <c r="L2375" s="61">
        <f>IF(K2375="JA",N(J2375),IF(E2375="","",0))</f>
        <v/>
      </c>
      <c r="M2375" s="62">
        <f>IF(AND(A2375="",E2375=""),"",IF(E2375="","Segment ontbreekt",IF(OR(G2375="",H2375=""),"Van/tot ontbreekt",IF(N(J2375)=0,"Duur is nul",IF(N(J2375)&gt;12,"Langer dan 12 uur - controleren",IF(AND(E2375="Werken",D2375=""),"Werken zonder klant - koppelen","OK"))))))</f>
        <v/>
      </c>
    </row>
    <row r="2376" ht="15" customHeight="1" s="42">
      <c r="A2376" s="55" t="n"/>
      <c r="B2376" s="56">
        <f>IF(A2376="","",WEEKNUM(A2376,21))</f>
        <v/>
      </c>
      <c r="C2376" s="57" t="n"/>
      <c r="D2376" s="57" t="n"/>
      <c r="E2376" s="58" t="n"/>
      <c r="F2376" s="57" t="n"/>
      <c r="G2376" s="59" t="n"/>
      <c r="H2376" s="59" t="n"/>
      <c r="I2376" s="60">
        <f>IF(OR(G2376="",H2376=""),"",MOD(H2376-G2376,1))</f>
        <v/>
      </c>
      <c r="J2376" s="61">
        <f>IF(OR(G2376="",H2376=""),"",ROUND(MOD(H2376-G2376,1)*24,2))</f>
        <v/>
      </c>
      <c r="K2376" s="62">
        <f>IF(E2376="","",IF(E2376="Werken","JA","NEE"))</f>
        <v/>
      </c>
      <c r="L2376" s="61">
        <f>IF(K2376="JA",N(J2376),IF(E2376="","",0))</f>
        <v/>
      </c>
      <c r="M2376" s="62">
        <f>IF(AND(A2376="",E2376=""),"",IF(E2376="","Segment ontbreekt",IF(OR(G2376="",H2376=""),"Van/tot ontbreekt",IF(N(J2376)=0,"Duur is nul",IF(N(J2376)&gt;12,"Langer dan 12 uur - controleren",IF(AND(E2376="Werken",D2376=""),"Werken zonder klant - koppelen","OK"))))))</f>
        <v/>
      </c>
    </row>
    <row r="2377" ht="15" customHeight="1" s="42">
      <c r="A2377" s="55" t="n"/>
      <c r="B2377" s="56">
        <f>IF(A2377="","",WEEKNUM(A2377,21))</f>
        <v/>
      </c>
      <c r="C2377" s="57" t="n"/>
      <c r="D2377" s="57" t="n"/>
      <c r="E2377" s="58" t="n"/>
      <c r="F2377" s="57" t="n"/>
      <c r="G2377" s="59" t="n"/>
      <c r="H2377" s="59" t="n"/>
      <c r="I2377" s="60">
        <f>IF(OR(G2377="",H2377=""),"",MOD(H2377-G2377,1))</f>
        <v/>
      </c>
      <c r="J2377" s="61">
        <f>IF(OR(G2377="",H2377=""),"",ROUND(MOD(H2377-G2377,1)*24,2))</f>
        <v/>
      </c>
      <c r="K2377" s="62">
        <f>IF(E2377="","",IF(E2377="Werken","JA","NEE"))</f>
        <v/>
      </c>
      <c r="L2377" s="61">
        <f>IF(K2377="JA",N(J2377),IF(E2377="","",0))</f>
        <v/>
      </c>
      <c r="M2377" s="62">
        <f>IF(AND(A2377="",E2377=""),"",IF(E2377="","Segment ontbreekt",IF(OR(G2377="",H2377=""),"Van/tot ontbreekt",IF(N(J2377)=0,"Duur is nul",IF(N(J2377)&gt;12,"Langer dan 12 uur - controleren",IF(AND(E2377="Werken",D2377=""),"Werken zonder klant - koppelen","OK"))))))</f>
        <v/>
      </c>
    </row>
    <row r="2378" ht="15" customHeight="1" s="42">
      <c r="A2378" s="55" t="n"/>
      <c r="B2378" s="56">
        <f>IF(A2378="","",WEEKNUM(A2378,21))</f>
        <v/>
      </c>
      <c r="C2378" s="57" t="n"/>
      <c r="D2378" s="57" t="n"/>
      <c r="E2378" s="58" t="n"/>
      <c r="F2378" s="57" t="n"/>
      <c r="G2378" s="59" t="n"/>
      <c r="H2378" s="59" t="n"/>
      <c r="I2378" s="60">
        <f>IF(OR(G2378="",H2378=""),"",MOD(H2378-G2378,1))</f>
        <v/>
      </c>
      <c r="J2378" s="61">
        <f>IF(OR(G2378="",H2378=""),"",ROUND(MOD(H2378-G2378,1)*24,2))</f>
        <v/>
      </c>
      <c r="K2378" s="62">
        <f>IF(E2378="","",IF(E2378="Werken","JA","NEE"))</f>
        <v/>
      </c>
      <c r="L2378" s="61">
        <f>IF(K2378="JA",N(J2378),IF(E2378="","",0))</f>
        <v/>
      </c>
      <c r="M2378" s="62">
        <f>IF(AND(A2378="",E2378=""),"",IF(E2378="","Segment ontbreekt",IF(OR(G2378="",H2378=""),"Van/tot ontbreekt",IF(N(J2378)=0,"Duur is nul",IF(N(J2378)&gt;12,"Langer dan 12 uur - controleren",IF(AND(E2378="Werken",D2378=""),"Werken zonder klant - koppelen","OK"))))))</f>
        <v/>
      </c>
    </row>
    <row r="2379" ht="15" customHeight="1" s="42">
      <c r="A2379" s="55" t="n"/>
      <c r="B2379" s="56">
        <f>IF(A2379="","",WEEKNUM(A2379,21))</f>
        <v/>
      </c>
      <c r="C2379" s="57" t="n"/>
      <c r="D2379" s="57" t="n"/>
      <c r="E2379" s="58" t="n"/>
      <c r="F2379" s="57" t="n"/>
      <c r="G2379" s="59" t="n"/>
      <c r="H2379" s="59" t="n"/>
      <c r="I2379" s="60">
        <f>IF(OR(G2379="",H2379=""),"",MOD(H2379-G2379,1))</f>
        <v/>
      </c>
      <c r="J2379" s="61">
        <f>IF(OR(G2379="",H2379=""),"",ROUND(MOD(H2379-G2379,1)*24,2))</f>
        <v/>
      </c>
      <c r="K2379" s="62">
        <f>IF(E2379="","",IF(E2379="Werken","JA","NEE"))</f>
        <v/>
      </c>
      <c r="L2379" s="61">
        <f>IF(K2379="JA",N(J2379),IF(E2379="","",0))</f>
        <v/>
      </c>
      <c r="M2379" s="62">
        <f>IF(AND(A2379="",E2379=""),"",IF(E2379="","Segment ontbreekt",IF(OR(G2379="",H2379=""),"Van/tot ontbreekt",IF(N(J2379)=0,"Duur is nul",IF(N(J2379)&gt;12,"Langer dan 12 uur - controleren",IF(AND(E2379="Werken",D2379=""),"Werken zonder klant - koppelen","OK"))))))</f>
        <v/>
      </c>
    </row>
    <row r="2380" ht="15" customHeight="1" s="42">
      <c r="A2380" s="55" t="n"/>
      <c r="B2380" s="56">
        <f>IF(A2380="","",WEEKNUM(A2380,21))</f>
        <v/>
      </c>
      <c r="C2380" s="57" t="n"/>
      <c r="D2380" s="57" t="n"/>
      <c r="E2380" s="58" t="n"/>
      <c r="F2380" s="57" t="n"/>
      <c r="G2380" s="59" t="n"/>
      <c r="H2380" s="59" t="n"/>
      <c r="I2380" s="60">
        <f>IF(OR(G2380="",H2380=""),"",MOD(H2380-G2380,1))</f>
        <v/>
      </c>
      <c r="J2380" s="61">
        <f>IF(OR(G2380="",H2380=""),"",ROUND(MOD(H2380-G2380,1)*24,2))</f>
        <v/>
      </c>
      <c r="K2380" s="62">
        <f>IF(E2380="","",IF(E2380="Werken","JA","NEE"))</f>
        <v/>
      </c>
      <c r="L2380" s="61">
        <f>IF(K2380="JA",N(J2380),IF(E2380="","",0))</f>
        <v/>
      </c>
      <c r="M2380" s="62">
        <f>IF(AND(A2380="",E2380=""),"",IF(E2380="","Segment ontbreekt",IF(OR(G2380="",H2380=""),"Van/tot ontbreekt",IF(N(J2380)=0,"Duur is nul",IF(N(J2380)&gt;12,"Langer dan 12 uur - controleren",IF(AND(E2380="Werken",D2380=""),"Werken zonder klant - koppelen","OK"))))))</f>
        <v/>
      </c>
    </row>
    <row r="2381" ht="15" customHeight="1" s="42">
      <c r="A2381" s="55" t="n"/>
      <c r="B2381" s="56">
        <f>IF(A2381="","",WEEKNUM(A2381,21))</f>
        <v/>
      </c>
      <c r="C2381" s="57" t="n"/>
      <c r="D2381" s="57" t="n"/>
      <c r="E2381" s="58" t="n"/>
      <c r="F2381" s="57" t="n"/>
      <c r="G2381" s="59" t="n"/>
      <c r="H2381" s="59" t="n"/>
      <c r="I2381" s="60">
        <f>IF(OR(G2381="",H2381=""),"",MOD(H2381-G2381,1))</f>
        <v/>
      </c>
      <c r="J2381" s="61">
        <f>IF(OR(G2381="",H2381=""),"",ROUND(MOD(H2381-G2381,1)*24,2))</f>
        <v/>
      </c>
      <c r="K2381" s="62">
        <f>IF(E2381="","",IF(E2381="Werken","JA","NEE"))</f>
        <v/>
      </c>
      <c r="L2381" s="61">
        <f>IF(K2381="JA",N(J2381),IF(E2381="","",0))</f>
        <v/>
      </c>
      <c r="M2381" s="62">
        <f>IF(AND(A2381="",E2381=""),"",IF(E2381="","Segment ontbreekt",IF(OR(G2381="",H2381=""),"Van/tot ontbreekt",IF(N(J2381)=0,"Duur is nul",IF(N(J2381)&gt;12,"Langer dan 12 uur - controleren",IF(AND(E2381="Werken",D2381=""),"Werken zonder klant - koppelen","OK"))))))</f>
        <v/>
      </c>
    </row>
    <row r="2382" ht="15" customHeight="1" s="42">
      <c r="A2382" s="55" t="n"/>
      <c r="B2382" s="56">
        <f>IF(A2382="","",WEEKNUM(A2382,21))</f>
        <v/>
      </c>
      <c r="C2382" s="57" t="n"/>
      <c r="D2382" s="57" t="n"/>
      <c r="E2382" s="58" t="n"/>
      <c r="F2382" s="57" t="n"/>
      <c r="G2382" s="59" t="n"/>
      <c r="H2382" s="59" t="n"/>
      <c r="I2382" s="60">
        <f>IF(OR(G2382="",H2382=""),"",MOD(H2382-G2382,1))</f>
        <v/>
      </c>
      <c r="J2382" s="61">
        <f>IF(OR(G2382="",H2382=""),"",ROUND(MOD(H2382-G2382,1)*24,2))</f>
        <v/>
      </c>
      <c r="K2382" s="62">
        <f>IF(E2382="","",IF(E2382="Werken","JA","NEE"))</f>
        <v/>
      </c>
      <c r="L2382" s="61">
        <f>IF(K2382="JA",N(J2382),IF(E2382="","",0))</f>
        <v/>
      </c>
      <c r="M2382" s="62">
        <f>IF(AND(A2382="",E2382=""),"",IF(E2382="","Segment ontbreekt",IF(OR(G2382="",H2382=""),"Van/tot ontbreekt",IF(N(J2382)=0,"Duur is nul",IF(N(J2382)&gt;12,"Langer dan 12 uur - controleren",IF(AND(E2382="Werken",D2382=""),"Werken zonder klant - koppelen","OK"))))))</f>
        <v/>
      </c>
    </row>
    <row r="2383" ht="15" customHeight="1" s="42">
      <c r="A2383" s="55" t="n"/>
      <c r="B2383" s="56">
        <f>IF(A2383="","",WEEKNUM(A2383,21))</f>
        <v/>
      </c>
      <c r="C2383" s="57" t="n"/>
      <c r="D2383" s="57" t="n"/>
      <c r="E2383" s="58" t="n"/>
      <c r="F2383" s="57" t="n"/>
      <c r="G2383" s="59" t="n"/>
      <c r="H2383" s="59" t="n"/>
      <c r="I2383" s="60">
        <f>IF(OR(G2383="",H2383=""),"",MOD(H2383-G2383,1))</f>
        <v/>
      </c>
      <c r="J2383" s="61">
        <f>IF(OR(G2383="",H2383=""),"",ROUND(MOD(H2383-G2383,1)*24,2))</f>
        <v/>
      </c>
      <c r="K2383" s="62">
        <f>IF(E2383="","",IF(E2383="Werken","JA","NEE"))</f>
        <v/>
      </c>
      <c r="L2383" s="61">
        <f>IF(K2383="JA",N(J2383),IF(E2383="","",0))</f>
        <v/>
      </c>
      <c r="M2383" s="62">
        <f>IF(AND(A2383="",E2383=""),"",IF(E2383="","Segment ontbreekt",IF(OR(G2383="",H2383=""),"Van/tot ontbreekt",IF(N(J2383)=0,"Duur is nul",IF(N(J2383)&gt;12,"Langer dan 12 uur - controleren",IF(AND(E2383="Werken",D2383=""),"Werken zonder klant - koppelen","OK"))))))</f>
        <v/>
      </c>
    </row>
    <row r="2384" ht="15" customHeight="1" s="42">
      <c r="A2384" s="55" t="n"/>
      <c r="B2384" s="56">
        <f>IF(A2384="","",WEEKNUM(A2384,21))</f>
        <v/>
      </c>
      <c r="C2384" s="57" t="n"/>
      <c r="D2384" s="57" t="n"/>
      <c r="E2384" s="58" t="n"/>
      <c r="F2384" s="57" t="n"/>
      <c r="G2384" s="59" t="n"/>
      <c r="H2384" s="59" t="n"/>
      <c r="I2384" s="60">
        <f>IF(OR(G2384="",H2384=""),"",MOD(H2384-G2384,1))</f>
        <v/>
      </c>
      <c r="J2384" s="61">
        <f>IF(OR(G2384="",H2384=""),"",ROUND(MOD(H2384-G2384,1)*24,2))</f>
        <v/>
      </c>
      <c r="K2384" s="62">
        <f>IF(E2384="","",IF(E2384="Werken","JA","NEE"))</f>
        <v/>
      </c>
      <c r="L2384" s="61">
        <f>IF(K2384="JA",N(J2384),IF(E2384="","",0))</f>
        <v/>
      </c>
      <c r="M2384" s="62">
        <f>IF(AND(A2384="",E2384=""),"",IF(E2384="","Segment ontbreekt",IF(OR(G2384="",H2384=""),"Van/tot ontbreekt",IF(N(J2384)=0,"Duur is nul",IF(N(J2384)&gt;12,"Langer dan 12 uur - controleren",IF(AND(E2384="Werken",D2384=""),"Werken zonder klant - koppelen","OK"))))))</f>
        <v/>
      </c>
    </row>
    <row r="2385" ht="15" customHeight="1" s="42">
      <c r="A2385" s="55" t="n"/>
      <c r="B2385" s="56">
        <f>IF(A2385="","",WEEKNUM(A2385,21))</f>
        <v/>
      </c>
      <c r="C2385" s="57" t="n"/>
      <c r="D2385" s="57" t="n"/>
      <c r="E2385" s="58" t="n"/>
      <c r="F2385" s="57" t="n"/>
      <c r="G2385" s="59" t="n"/>
      <c r="H2385" s="59" t="n"/>
      <c r="I2385" s="60">
        <f>IF(OR(G2385="",H2385=""),"",MOD(H2385-G2385,1))</f>
        <v/>
      </c>
      <c r="J2385" s="61">
        <f>IF(OR(G2385="",H2385=""),"",ROUND(MOD(H2385-G2385,1)*24,2))</f>
        <v/>
      </c>
      <c r="K2385" s="62">
        <f>IF(E2385="","",IF(E2385="Werken","JA","NEE"))</f>
        <v/>
      </c>
      <c r="L2385" s="61">
        <f>IF(K2385="JA",N(J2385),IF(E2385="","",0))</f>
        <v/>
      </c>
      <c r="M2385" s="62">
        <f>IF(AND(A2385="",E2385=""),"",IF(E2385="","Segment ontbreekt",IF(OR(G2385="",H2385=""),"Van/tot ontbreekt",IF(N(J2385)=0,"Duur is nul",IF(N(J2385)&gt;12,"Langer dan 12 uur - controleren",IF(AND(E2385="Werken",D2385=""),"Werken zonder klant - koppelen","OK"))))))</f>
        <v/>
      </c>
    </row>
    <row r="2386" ht="15" customHeight="1" s="42">
      <c r="A2386" s="55" t="n"/>
      <c r="B2386" s="56">
        <f>IF(A2386="","",WEEKNUM(A2386,21))</f>
        <v/>
      </c>
      <c r="C2386" s="57" t="n"/>
      <c r="D2386" s="57" t="n"/>
      <c r="E2386" s="58" t="n"/>
      <c r="F2386" s="57" t="n"/>
      <c r="G2386" s="59" t="n"/>
      <c r="H2386" s="59" t="n"/>
      <c r="I2386" s="60">
        <f>IF(OR(G2386="",H2386=""),"",MOD(H2386-G2386,1))</f>
        <v/>
      </c>
      <c r="J2386" s="61">
        <f>IF(OR(G2386="",H2386=""),"",ROUND(MOD(H2386-G2386,1)*24,2))</f>
        <v/>
      </c>
      <c r="K2386" s="62">
        <f>IF(E2386="","",IF(E2386="Werken","JA","NEE"))</f>
        <v/>
      </c>
      <c r="L2386" s="61">
        <f>IF(K2386="JA",N(J2386),IF(E2386="","",0))</f>
        <v/>
      </c>
      <c r="M2386" s="62">
        <f>IF(AND(A2386="",E2386=""),"",IF(E2386="","Segment ontbreekt",IF(OR(G2386="",H2386=""),"Van/tot ontbreekt",IF(N(J2386)=0,"Duur is nul",IF(N(J2386)&gt;12,"Langer dan 12 uur - controleren",IF(AND(E2386="Werken",D2386=""),"Werken zonder klant - koppelen","OK"))))))</f>
        <v/>
      </c>
    </row>
    <row r="2387" ht="15" customHeight="1" s="42">
      <c r="A2387" s="55" t="n"/>
      <c r="B2387" s="56">
        <f>IF(A2387="","",WEEKNUM(A2387,21))</f>
        <v/>
      </c>
      <c r="C2387" s="57" t="n"/>
      <c r="D2387" s="57" t="n"/>
      <c r="E2387" s="58" t="n"/>
      <c r="F2387" s="57" t="n"/>
      <c r="G2387" s="59" t="n"/>
      <c r="H2387" s="59" t="n"/>
      <c r="I2387" s="60">
        <f>IF(OR(G2387="",H2387=""),"",MOD(H2387-G2387,1))</f>
        <v/>
      </c>
      <c r="J2387" s="61">
        <f>IF(OR(G2387="",H2387=""),"",ROUND(MOD(H2387-G2387,1)*24,2))</f>
        <v/>
      </c>
      <c r="K2387" s="62">
        <f>IF(E2387="","",IF(E2387="Werken","JA","NEE"))</f>
        <v/>
      </c>
      <c r="L2387" s="61">
        <f>IF(K2387="JA",N(J2387),IF(E2387="","",0))</f>
        <v/>
      </c>
      <c r="M2387" s="62">
        <f>IF(AND(A2387="",E2387=""),"",IF(E2387="","Segment ontbreekt",IF(OR(G2387="",H2387=""),"Van/tot ontbreekt",IF(N(J2387)=0,"Duur is nul",IF(N(J2387)&gt;12,"Langer dan 12 uur - controleren",IF(AND(E2387="Werken",D2387=""),"Werken zonder klant - koppelen","OK"))))))</f>
        <v/>
      </c>
    </row>
    <row r="2388" ht="15" customHeight="1" s="42">
      <c r="A2388" s="55" t="n"/>
      <c r="B2388" s="56">
        <f>IF(A2388="","",WEEKNUM(A2388,21))</f>
        <v/>
      </c>
      <c r="C2388" s="57" t="n"/>
      <c r="D2388" s="57" t="n"/>
      <c r="E2388" s="58" t="n"/>
      <c r="F2388" s="57" t="n"/>
      <c r="G2388" s="59" t="n"/>
      <c r="H2388" s="59" t="n"/>
      <c r="I2388" s="60">
        <f>IF(OR(G2388="",H2388=""),"",MOD(H2388-G2388,1))</f>
        <v/>
      </c>
      <c r="J2388" s="61">
        <f>IF(OR(G2388="",H2388=""),"",ROUND(MOD(H2388-G2388,1)*24,2))</f>
        <v/>
      </c>
      <c r="K2388" s="62">
        <f>IF(E2388="","",IF(E2388="Werken","JA","NEE"))</f>
        <v/>
      </c>
      <c r="L2388" s="61">
        <f>IF(K2388="JA",N(J2388),IF(E2388="","",0))</f>
        <v/>
      </c>
      <c r="M2388" s="62">
        <f>IF(AND(A2388="",E2388=""),"",IF(E2388="","Segment ontbreekt",IF(OR(G2388="",H2388=""),"Van/tot ontbreekt",IF(N(J2388)=0,"Duur is nul",IF(N(J2388)&gt;12,"Langer dan 12 uur - controleren",IF(AND(E2388="Werken",D2388=""),"Werken zonder klant - koppelen","OK"))))))</f>
        <v/>
      </c>
    </row>
    <row r="2389" ht="15" customHeight="1" s="42">
      <c r="A2389" s="55" t="n"/>
      <c r="B2389" s="56">
        <f>IF(A2389="","",WEEKNUM(A2389,21))</f>
        <v/>
      </c>
      <c r="C2389" s="57" t="n"/>
      <c r="D2389" s="57" t="n"/>
      <c r="E2389" s="58" t="n"/>
      <c r="F2389" s="57" t="n"/>
      <c r="G2389" s="59" t="n"/>
      <c r="H2389" s="59" t="n"/>
      <c r="I2389" s="60">
        <f>IF(OR(G2389="",H2389=""),"",MOD(H2389-G2389,1))</f>
        <v/>
      </c>
      <c r="J2389" s="61">
        <f>IF(OR(G2389="",H2389=""),"",ROUND(MOD(H2389-G2389,1)*24,2))</f>
        <v/>
      </c>
      <c r="K2389" s="62">
        <f>IF(E2389="","",IF(E2389="Werken","JA","NEE"))</f>
        <v/>
      </c>
      <c r="L2389" s="61">
        <f>IF(K2389="JA",N(J2389),IF(E2389="","",0))</f>
        <v/>
      </c>
      <c r="M2389" s="62">
        <f>IF(AND(A2389="",E2389=""),"",IF(E2389="","Segment ontbreekt",IF(OR(G2389="",H2389=""),"Van/tot ontbreekt",IF(N(J2389)=0,"Duur is nul",IF(N(J2389)&gt;12,"Langer dan 12 uur - controleren",IF(AND(E2389="Werken",D2389=""),"Werken zonder klant - koppelen","OK"))))))</f>
        <v/>
      </c>
    </row>
    <row r="2390" ht="15" customHeight="1" s="42">
      <c r="A2390" s="55" t="n"/>
      <c r="B2390" s="56">
        <f>IF(A2390="","",WEEKNUM(A2390,21))</f>
        <v/>
      </c>
      <c r="C2390" s="57" t="n"/>
      <c r="D2390" s="57" t="n"/>
      <c r="E2390" s="58" t="n"/>
      <c r="F2390" s="57" t="n"/>
      <c r="G2390" s="59" t="n"/>
      <c r="H2390" s="59" t="n"/>
      <c r="I2390" s="60">
        <f>IF(OR(G2390="",H2390=""),"",MOD(H2390-G2390,1))</f>
        <v/>
      </c>
      <c r="J2390" s="61">
        <f>IF(OR(G2390="",H2390=""),"",ROUND(MOD(H2390-G2390,1)*24,2))</f>
        <v/>
      </c>
      <c r="K2390" s="62">
        <f>IF(E2390="","",IF(E2390="Werken","JA","NEE"))</f>
        <v/>
      </c>
      <c r="L2390" s="61">
        <f>IF(K2390="JA",N(J2390),IF(E2390="","",0))</f>
        <v/>
      </c>
      <c r="M2390" s="62">
        <f>IF(AND(A2390="",E2390=""),"",IF(E2390="","Segment ontbreekt",IF(OR(G2390="",H2390=""),"Van/tot ontbreekt",IF(N(J2390)=0,"Duur is nul",IF(N(J2390)&gt;12,"Langer dan 12 uur - controleren",IF(AND(E2390="Werken",D2390=""),"Werken zonder klant - koppelen","OK"))))))</f>
        <v/>
      </c>
    </row>
    <row r="2391" ht="15" customHeight="1" s="42">
      <c r="A2391" s="55" t="n"/>
      <c r="B2391" s="56">
        <f>IF(A2391="","",WEEKNUM(A2391,21))</f>
        <v/>
      </c>
      <c r="C2391" s="57" t="n"/>
      <c r="D2391" s="57" t="n"/>
      <c r="E2391" s="58" t="n"/>
      <c r="F2391" s="57" t="n"/>
      <c r="G2391" s="59" t="n"/>
      <c r="H2391" s="59" t="n"/>
      <c r="I2391" s="60">
        <f>IF(OR(G2391="",H2391=""),"",MOD(H2391-G2391,1))</f>
        <v/>
      </c>
      <c r="J2391" s="61">
        <f>IF(OR(G2391="",H2391=""),"",ROUND(MOD(H2391-G2391,1)*24,2))</f>
        <v/>
      </c>
      <c r="K2391" s="62">
        <f>IF(E2391="","",IF(E2391="Werken","JA","NEE"))</f>
        <v/>
      </c>
      <c r="L2391" s="61">
        <f>IF(K2391="JA",N(J2391),IF(E2391="","",0))</f>
        <v/>
      </c>
      <c r="M2391" s="62">
        <f>IF(AND(A2391="",E2391=""),"",IF(E2391="","Segment ontbreekt",IF(OR(G2391="",H2391=""),"Van/tot ontbreekt",IF(N(J2391)=0,"Duur is nul",IF(N(J2391)&gt;12,"Langer dan 12 uur - controleren",IF(AND(E2391="Werken",D2391=""),"Werken zonder klant - koppelen","OK"))))))</f>
        <v/>
      </c>
    </row>
    <row r="2392" ht="15" customHeight="1" s="42">
      <c r="A2392" s="55" t="n"/>
      <c r="B2392" s="56">
        <f>IF(A2392="","",WEEKNUM(A2392,21))</f>
        <v/>
      </c>
      <c r="C2392" s="57" t="n"/>
      <c r="D2392" s="57" t="n"/>
      <c r="E2392" s="58" t="n"/>
      <c r="F2392" s="57" t="n"/>
      <c r="G2392" s="59" t="n"/>
      <c r="H2392" s="59" t="n"/>
      <c r="I2392" s="60">
        <f>IF(OR(G2392="",H2392=""),"",MOD(H2392-G2392,1))</f>
        <v/>
      </c>
      <c r="J2392" s="61">
        <f>IF(OR(G2392="",H2392=""),"",ROUND(MOD(H2392-G2392,1)*24,2))</f>
        <v/>
      </c>
      <c r="K2392" s="62">
        <f>IF(E2392="","",IF(E2392="Werken","JA","NEE"))</f>
        <v/>
      </c>
      <c r="L2392" s="61">
        <f>IF(K2392="JA",N(J2392),IF(E2392="","",0))</f>
        <v/>
      </c>
      <c r="M2392" s="62">
        <f>IF(AND(A2392="",E2392=""),"",IF(E2392="","Segment ontbreekt",IF(OR(G2392="",H2392=""),"Van/tot ontbreekt",IF(N(J2392)=0,"Duur is nul",IF(N(J2392)&gt;12,"Langer dan 12 uur - controleren",IF(AND(E2392="Werken",D2392=""),"Werken zonder klant - koppelen","OK"))))))</f>
        <v/>
      </c>
    </row>
    <row r="2393" ht="15" customHeight="1" s="42">
      <c r="A2393" s="55" t="n"/>
      <c r="B2393" s="56">
        <f>IF(A2393="","",WEEKNUM(A2393,21))</f>
        <v/>
      </c>
      <c r="C2393" s="57" t="n"/>
      <c r="D2393" s="57" t="n"/>
      <c r="E2393" s="58" t="n"/>
      <c r="F2393" s="57" t="n"/>
      <c r="G2393" s="59" t="n"/>
      <c r="H2393" s="59" t="n"/>
      <c r="I2393" s="60">
        <f>IF(OR(G2393="",H2393=""),"",MOD(H2393-G2393,1))</f>
        <v/>
      </c>
      <c r="J2393" s="61">
        <f>IF(OR(G2393="",H2393=""),"",ROUND(MOD(H2393-G2393,1)*24,2))</f>
        <v/>
      </c>
      <c r="K2393" s="62">
        <f>IF(E2393="","",IF(E2393="Werken","JA","NEE"))</f>
        <v/>
      </c>
      <c r="L2393" s="61">
        <f>IF(K2393="JA",N(J2393),IF(E2393="","",0))</f>
        <v/>
      </c>
      <c r="M2393" s="62">
        <f>IF(AND(A2393="",E2393=""),"",IF(E2393="","Segment ontbreekt",IF(OR(G2393="",H2393=""),"Van/tot ontbreekt",IF(N(J2393)=0,"Duur is nul",IF(N(J2393)&gt;12,"Langer dan 12 uur - controleren",IF(AND(E2393="Werken",D2393=""),"Werken zonder klant - koppelen","OK"))))))</f>
        <v/>
      </c>
    </row>
    <row r="2394" ht="15" customHeight="1" s="42">
      <c r="A2394" s="55" t="n"/>
      <c r="B2394" s="56">
        <f>IF(A2394="","",WEEKNUM(A2394,21))</f>
        <v/>
      </c>
      <c r="C2394" s="57" t="n"/>
      <c r="D2394" s="57" t="n"/>
      <c r="E2394" s="58" t="n"/>
      <c r="F2394" s="57" t="n"/>
      <c r="G2394" s="59" t="n"/>
      <c r="H2394" s="59" t="n"/>
      <c r="I2394" s="60">
        <f>IF(OR(G2394="",H2394=""),"",MOD(H2394-G2394,1))</f>
        <v/>
      </c>
      <c r="J2394" s="61">
        <f>IF(OR(G2394="",H2394=""),"",ROUND(MOD(H2394-G2394,1)*24,2))</f>
        <v/>
      </c>
      <c r="K2394" s="62">
        <f>IF(E2394="","",IF(E2394="Werken","JA","NEE"))</f>
        <v/>
      </c>
      <c r="L2394" s="61">
        <f>IF(K2394="JA",N(J2394),IF(E2394="","",0))</f>
        <v/>
      </c>
      <c r="M2394" s="62">
        <f>IF(AND(A2394="",E2394=""),"",IF(E2394="","Segment ontbreekt",IF(OR(G2394="",H2394=""),"Van/tot ontbreekt",IF(N(J2394)=0,"Duur is nul",IF(N(J2394)&gt;12,"Langer dan 12 uur - controleren",IF(AND(E2394="Werken",D2394=""),"Werken zonder klant - koppelen","OK"))))))</f>
        <v/>
      </c>
    </row>
    <row r="2395" ht="15" customHeight="1" s="42">
      <c r="A2395" s="55" t="n"/>
      <c r="B2395" s="56">
        <f>IF(A2395="","",WEEKNUM(A2395,21))</f>
        <v/>
      </c>
      <c r="C2395" s="57" t="n"/>
      <c r="D2395" s="57" t="n"/>
      <c r="E2395" s="58" t="n"/>
      <c r="F2395" s="57" t="n"/>
      <c r="G2395" s="59" t="n"/>
      <c r="H2395" s="59" t="n"/>
      <c r="I2395" s="60">
        <f>IF(OR(G2395="",H2395=""),"",MOD(H2395-G2395,1))</f>
        <v/>
      </c>
      <c r="J2395" s="61">
        <f>IF(OR(G2395="",H2395=""),"",ROUND(MOD(H2395-G2395,1)*24,2))</f>
        <v/>
      </c>
      <c r="K2395" s="62">
        <f>IF(E2395="","",IF(E2395="Werken","JA","NEE"))</f>
        <v/>
      </c>
      <c r="L2395" s="61">
        <f>IF(K2395="JA",N(J2395),IF(E2395="","",0))</f>
        <v/>
      </c>
      <c r="M2395" s="62">
        <f>IF(AND(A2395="",E2395=""),"",IF(E2395="","Segment ontbreekt",IF(OR(G2395="",H2395=""),"Van/tot ontbreekt",IF(N(J2395)=0,"Duur is nul",IF(N(J2395)&gt;12,"Langer dan 12 uur - controleren",IF(AND(E2395="Werken",D2395=""),"Werken zonder klant - koppelen","OK"))))))</f>
        <v/>
      </c>
    </row>
    <row r="2396" ht="15" customHeight="1" s="42">
      <c r="A2396" s="55" t="n"/>
      <c r="B2396" s="56">
        <f>IF(A2396="","",WEEKNUM(A2396,21))</f>
        <v/>
      </c>
      <c r="C2396" s="57" t="n"/>
      <c r="D2396" s="57" t="n"/>
      <c r="E2396" s="58" t="n"/>
      <c r="F2396" s="57" t="n"/>
      <c r="G2396" s="59" t="n"/>
      <c r="H2396" s="59" t="n"/>
      <c r="I2396" s="60">
        <f>IF(OR(G2396="",H2396=""),"",MOD(H2396-G2396,1))</f>
        <v/>
      </c>
      <c r="J2396" s="61">
        <f>IF(OR(G2396="",H2396=""),"",ROUND(MOD(H2396-G2396,1)*24,2))</f>
        <v/>
      </c>
      <c r="K2396" s="62">
        <f>IF(E2396="","",IF(E2396="Werken","JA","NEE"))</f>
        <v/>
      </c>
      <c r="L2396" s="61">
        <f>IF(K2396="JA",N(J2396),IF(E2396="","",0))</f>
        <v/>
      </c>
      <c r="M2396" s="62">
        <f>IF(AND(A2396="",E2396=""),"",IF(E2396="","Segment ontbreekt",IF(OR(G2396="",H2396=""),"Van/tot ontbreekt",IF(N(J2396)=0,"Duur is nul",IF(N(J2396)&gt;12,"Langer dan 12 uur - controleren",IF(AND(E2396="Werken",D2396=""),"Werken zonder klant - koppelen","OK"))))))</f>
        <v/>
      </c>
    </row>
    <row r="2397" ht="15" customHeight="1" s="42">
      <c r="A2397" s="55" t="n"/>
      <c r="B2397" s="56">
        <f>IF(A2397="","",WEEKNUM(A2397,21))</f>
        <v/>
      </c>
      <c r="C2397" s="57" t="n"/>
      <c r="D2397" s="57" t="n"/>
      <c r="E2397" s="58" t="n"/>
      <c r="F2397" s="57" t="n"/>
      <c r="G2397" s="59" t="n"/>
      <c r="H2397" s="59" t="n"/>
      <c r="I2397" s="60">
        <f>IF(OR(G2397="",H2397=""),"",MOD(H2397-G2397,1))</f>
        <v/>
      </c>
      <c r="J2397" s="61">
        <f>IF(OR(G2397="",H2397=""),"",ROUND(MOD(H2397-G2397,1)*24,2))</f>
        <v/>
      </c>
      <c r="K2397" s="62">
        <f>IF(E2397="","",IF(E2397="Werken","JA","NEE"))</f>
        <v/>
      </c>
      <c r="L2397" s="61">
        <f>IF(K2397="JA",N(J2397),IF(E2397="","",0))</f>
        <v/>
      </c>
      <c r="M2397" s="62">
        <f>IF(AND(A2397="",E2397=""),"",IF(E2397="","Segment ontbreekt",IF(OR(G2397="",H2397=""),"Van/tot ontbreekt",IF(N(J2397)=0,"Duur is nul",IF(N(J2397)&gt;12,"Langer dan 12 uur - controleren",IF(AND(E2397="Werken",D2397=""),"Werken zonder klant - koppelen","OK"))))))</f>
        <v/>
      </c>
    </row>
    <row r="2398" ht="15" customHeight="1" s="42">
      <c r="A2398" s="55" t="n"/>
      <c r="B2398" s="56">
        <f>IF(A2398="","",WEEKNUM(A2398,21))</f>
        <v/>
      </c>
      <c r="C2398" s="57" t="n"/>
      <c r="D2398" s="57" t="n"/>
      <c r="E2398" s="58" t="n"/>
      <c r="F2398" s="57" t="n"/>
      <c r="G2398" s="59" t="n"/>
      <c r="H2398" s="59" t="n"/>
      <c r="I2398" s="60">
        <f>IF(OR(G2398="",H2398=""),"",MOD(H2398-G2398,1))</f>
        <v/>
      </c>
      <c r="J2398" s="61">
        <f>IF(OR(G2398="",H2398=""),"",ROUND(MOD(H2398-G2398,1)*24,2))</f>
        <v/>
      </c>
      <c r="K2398" s="62">
        <f>IF(E2398="","",IF(E2398="Werken","JA","NEE"))</f>
        <v/>
      </c>
      <c r="L2398" s="61">
        <f>IF(K2398="JA",N(J2398),IF(E2398="","",0))</f>
        <v/>
      </c>
      <c r="M2398" s="62">
        <f>IF(AND(A2398="",E2398=""),"",IF(E2398="","Segment ontbreekt",IF(OR(G2398="",H2398=""),"Van/tot ontbreekt",IF(N(J2398)=0,"Duur is nul",IF(N(J2398)&gt;12,"Langer dan 12 uur - controleren",IF(AND(E2398="Werken",D2398=""),"Werken zonder klant - koppelen","OK"))))))</f>
        <v/>
      </c>
    </row>
    <row r="2399" ht="15" customHeight="1" s="42">
      <c r="A2399" s="55" t="n"/>
      <c r="B2399" s="56">
        <f>IF(A2399="","",WEEKNUM(A2399,21))</f>
        <v/>
      </c>
      <c r="C2399" s="57" t="n"/>
      <c r="D2399" s="57" t="n"/>
      <c r="E2399" s="58" t="n"/>
      <c r="F2399" s="57" t="n"/>
      <c r="G2399" s="59" t="n"/>
      <c r="H2399" s="59" t="n"/>
      <c r="I2399" s="60">
        <f>IF(OR(G2399="",H2399=""),"",MOD(H2399-G2399,1))</f>
        <v/>
      </c>
      <c r="J2399" s="61">
        <f>IF(OR(G2399="",H2399=""),"",ROUND(MOD(H2399-G2399,1)*24,2))</f>
        <v/>
      </c>
      <c r="K2399" s="62">
        <f>IF(E2399="","",IF(E2399="Werken","JA","NEE"))</f>
        <v/>
      </c>
      <c r="L2399" s="61">
        <f>IF(K2399="JA",N(J2399),IF(E2399="","",0))</f>
        <v/>
      </c>
      <c r="M2399" s="62">
        <f>IF(AND(A2399="",E2399=""),"",IF(E2399="","Segment ontbreekt",IF(OR(G2399="",H2399=""),"Van/tot ontbreekt",IF(N(J2399)=0,"Duur is nul",IF(N(J2399)&gt;12,"Langer dan 12 uur - controleren",IF(AND(E2399="Werken",D2399=""),"Werken zonder klant - koppelen","OK"))))))</f>
        <v/>
      </c>
    </row>
    <row r="2400" ht="15" customHeight="1" s="42">
      <c r="A2400" s="55" t="n"/>
      <c r="B2400" s="56">
        <f>IF(A2400="","",WEEKNUM(A2400,21))</f>
        <v/>
      </c>
      <c r="C2400" s="57" t="n"/>
      <c r="D2400" s="57" t="n"/>
      <c r="E2400" s="58" t="n"/>
      <c r="F2400" s="57" t="n"/>
      <c r="G2400" s="59" t="n"/>
      <c r="H2400" s="59" t="n"/>
      <c r="I2400" s="60">
        <f>IF(OR(G2400="",H2400=""),"",MOD(H2400-G2400,1))</f>
        <v/>
      </c>
      <c r="J2400" s="61">
        <f>IF(OR(G2400="",H2400=""),"",ROUND(MOD(H2400-G2400,1)*24,2))</f>
        <v/>
      </c>
      <c r="K2400" s="62">
        <f>IF(E2400="","",IF(E2400="Werken","JA","NEE"))</f>
        <v/>
      </c>
      <c r="L2400" s="61">
        <f>IF(K2400="JA",N(J2400),IF(E2400="","",0))</f>
        <v/>
      </c>
      <c r="M2400" s="62">
        <f>IF(AND(A2400="",E2400=""),"",IF(E2400="","Segment ontbreekt",IF(OR(G2400="",H2400=""),"Van/tot ontbreekt",IF(N(J2400)=0,"Duur is nul",IF(N(J2400)&gt;12,"Langer dan 12 uur - controleren",IF(AND(E2400="Werken",D2400=""),"Werken zonder klant - koppelen","OK"))))))</f>
        <v/>
      </c>
    </row>
    <row r="2401" ht="15" customHeight="1" s="42">
      <c r="A2401" s="55" t="n"/>
      <c r="B2401" s="56">
        <f>IF(A2401="","",WEEKNUM(A2401,21))</f>
        <v/>
      </c>
      <c r="C2401" s="57" t="n"/>
      <c r="D2401" s="57" t="n"/>
      <c r="E2401" s="58" t="n"/>
      <c r="F2401" s="57" t="n"/>
      <c r="G2401" s="59" t="n"/>
      <c r="H2401" s="59" t="n"/>
      <c r="I2401" s="60">
        <f>IF(OR(G2401="",H2401=""),"",MOD(H2401-G2401,1))</f>
        <v/>
      </c>
      <c r="J2401" s="61">
        <f>IF(OR(G2401="",H2401=""),"",ROUND(MOD(H2401-G2401,1)*24,2))</f>
        <v/>
      </c>
      <c r="K2401" s="62">
        <f>IF(E2401="","",IF(E2401="Werken","JA","NEE"))</f>
        <v/>
      </c>
      <c r="L2401" s="61">
        <f>IF(K2401="JA",N(J2401),IF(E2401="","",0))</f>
        <v/>
      </c>
      <c r="M2401" s="62">
        <f>IF(AND(A2401="",E2401=""),"",IF(E2401="","Segment ontbreekt",IF(OR(G2401="",H2401=""),"Van/tot ontbreekt",IF(N(J2401)=0,"Duur is nul",IF(N(J2401)&gt;12,"Langer dan 12 uur - controleren",IF(AND(E2401="Werken",D2401=""),"Werken zonder klant - koppelen","OK"))))))</f>
        <v/>
      </c>
    </row>
    <row r="2402" ht="15" customHeight="1" s="42">
      <c r="A2402" s="55" t="n"/>
      <c r="B2402" s="56">
        <f>IF(A2402="","",WEEKNUM(A2402,21))</f>
        <v/>
      </c>
      <c r="C2402" s="57" t="n"/>
      <c r="D2402" s="57" t="n"/>
      <c r="E2402" s="58" t="n"/>
      <c r="F2402" s="57" t="n"/>
      <c r="G2402" s="59" t="n"/>
      <c r="H2402" s="59" t="n"/>
      <c r="I2402" s="60">
        <f>IF(OR(G2402="",H2402=""),"",MOD(H2402-G2402,1))</f>
        <v/>
      </c>
      <c r="J2402" s="61">
        <f>IF(OR(G2402="",H2402=""),"",ROUND(MOD(H2402-G2402,1)*24,2))</f>
        <v/>
      </c>
      <c r="K2402" s="62">
        <f>IF(E2402="","",IF(E2402="Werken","JA","NEE"))</f>
        <v/>
      </c>
      <c r="L2402" s="61">
        <f>IF(K2402="JA",N(J2402),IF(E2402="","",0))</f>
        <v/>
      </c>
      <c r="M2402" s="62">
        <f>IF(AND(A2402="",E2402=""),"",IF(E2402="","Segment ontbreekt",IF(OR(G2402="",H2402=""),"Van/tot ontbreekt",IF(N(J2402)=0,"Duur is nul",IF(N(J2402)&gt;12,"Langer dan 12 uur - controleren",IF(AND(E2402="Werken",D2402=""),"Werken zonder klant - koppelen","OK"))))))</f>
        <v/>
      </c>
    </row>
    <row r="2403" ht="15" customHeight="1" s="42">
      <c r="A2403" s="55" t="n"/>
      <c r="B2403" s="56">
        <f>IF(A2403="","",WEEKNUM(A2403,21))</f>
        <v/>
      </c>
      <c r="C2403" s="57" t="n"/>
      <c r="D2403" s="57" t="n"/>
      <c r="E2403" s="58" t="n"/>
      <c r="F2403" s="57" t="n"/>
      <c r="G2403" s="59" t="n"/>
      <c r="H2403" s="59" t="n"/>
      <c r="I2403" s="60">
        <f>IF(OR(G2403="",H2403=""),"",MOD(H2403-G2403,1))</f>
        <v/>
      </c>
      <c r="J2403" s="61">
        <f>IF(OR(G2403="",H2403=""),"",ROUND(MOD(H2403-G2403,1)*24,2))</f>
        <v/>
      </c>
      <c r="K2403" s="62">
        <f>IF(E2403="","",IF(E2403="Werken","JA","NEE"))</f>
        <v/>
      </c>
      <c r="L2403" s="61">
        <f>IF(K2403="JA",N(J2403),IF(E2403="","",0))</f>
        <v/>
      </c>
      <c r="M2403" s="62">
        <f>IF(AND(A2403="",E2403=""),"",IF(E2403="","Segment ontbreekt",IF(OR(G2403="",H2403=""),"Van/tot ontbreekt",IF(N(J2403)=0,"Duur is nul",IF(N(J2403)&gt;12,"Langer dan 12 uur - controleren",IF(AND(E2403="Werken",D2403=""),"Werken zonder klant - koppelen","OK"))))))</f>
        <v/>
      </c>
    </row>
    <row r="2404" ht="15" customHeight="1" s="42">
      <c r="A2404" s="55" t="n"/>
      <c r="B2404" s="56">
        <f>IF(A2404="","",WEEKNUM(A2404,21))</f>
        <v/>
      </c>
      <c r="C2404" s="57" t="n"/>
      <c r="D2404" s="57" t="n"/>
      <c r="E2404" s="58" t="n"/>
      <c r="F2404" s="57" t="n"/>
      <c r="G2404" s="59" t="n"/>
      <c r="H2404" s="59" t="n"/>
      <c r="I2404" s="60">
        <f>IF(OR(G2404="",H2404=""),"",MOD(H2404-G2404,1))</f>
        <v/>
      </c>
      <c r="J2404" s="61">
        <f>IF(OR(G2404="",H2404=""),"",ROUND(MOD(H2404-G2404,1)*24,2))</f>
        <v/>
      </c>
      <c r="K2404" s="62">
        <f>IF(E2404="","",IF(E2404="Werken","JA","NEE"))</f>
        <v/>
      </c>
      <c r="L2404" s="61">
        <f>IF(K2404="JA",N(J2404),IF(E2404="","",0))</f>
        <v/>
      </c>
      <c r="M2404" s="62">
        <f>IF(AND(A2404="",E2404=""),"",IF(E2404="","Segment ontbreekt",IF(OR(G2404="",H2404=""),"Van/tot ontbreekt",IF(N(J2404)=0,"Duur is nul",IF(N(J2404)&gt;12,"Langer dan 12 uur - controleren",IF(AND(E2404="Werken",D2404=""),"Werken zonder klant - koppelen","OK"))))))</f>
        <v/>
      </c>
    </row>
    <row r="2405" ht="15" customHeight="1" s="42">
      <c r="A2405" s="55" t="n"/>
      <c r="B2405" s="56">
        <f>IF(A2405="","",WEEKNUM(A2405,21))</f>
        <v/>
      </c>
      <c r="C2405" s="57" t="n"/>
      <c r="D2405" s="57" t="n"/>
      <c r="E2405" s="58" t="n"/>
      <c r="F2405" s="57" t="n"/>
      <c r="G2405" s="59" t="n"/>
      <c r="H2405" s="59" t="n"/>
      <c r="I2405" s="60">
        <f>IF(OR(G2405="",H2405=""),"",MOD(H2405-G2405,1))</f>
        <v/>
      </c>
      <c r="J2405" s="61">
        <f>IF(OR(G2405="",H2405=""),"",ROUND(MOD(H2405-G2405,1)*24,2))</f>
        <v/>
      </c>
      <c r="K2405" s="62">
        <f>IF(E2405="","",IF(E2405="Werken","JA","NEE"))</f>
        <v/>
      </c>
      <c r="L2405" s="61">
        <f>IF(K2405="JA",N(J2405),IF(E2405="","",0))</f>
        <v/>
      </c>
      <c r="M2405" s="62">
        <f>IF(AND(A2405="",E2405=""),"",IF(E2405="","Segment ontbreekt",IF(OR(G2405="",H2405=""),"Van/tot ontbreekt",IF(N(J2405)=0,"Duur is nul",IF(N(J2405)&gt;12,"Langer dan 12 uur - controleren",IF(AND(E2405="Werken",D2405=""),"Werken zonder klant - koppelen","OK"))))))</f>
        <v/>
      </c>
    </row>
    <row r="2406" ht="15" customHeight="1" s="42">
      <c r="A2406" s="55" t="n"/>
      <c r="B2406" s="56">
        <f>IF(A2406="","",WEEKNUM(A2406,21))</f>
        <v/>
      </c>
      <c r="C2406" s="57" t="n"/>
      <c r="D2406" s="57" t="n"/>
      <c r="E2406" s="58" t="n"/>
      <c r="F2406" s="57" t="n"/>
      <c r="G2406" s="59" t="n"/>
      <c r="H2406" s="59" t="n"/>
      <c r="I2406" s="60">
        <f>IF(OR(G2406="",H2406=""),"",MOD(H2406-G2406,1))</f>
        <v/>
      </c>
      <c r="J2406" s="61">
        <f>IF(OR(G2406="",H2406=""),"",ROUND(MOD(H2406-G2406,1)*24,2))</f>
        <v/>
      </c>
      <c r="K2406" s="62">
        <f>IF(E2406="","",IF(E2406="Werken","JA","NEE"))</f>
        <v/>
      </c>
      <c r="L2406" s="61">
        <f>IF(K2406="JA",N(J2406),IF(E2406="","",0))</f>
        <v/>
      </c>
      <c r="M2406" s="62">
        <f>IF(AND(A2406="",E2406=""),"",IF(E2406="","Segment ontbreekt",IF(OR(G2406="",H2406=""),"Van/tot ontbreekt",IF(N(J2406)=0,"Duur is nul",IF(N(J2406)&gt;12,"Langer dan 12 uur - controleren",IF(AND(E2406="Werken",D2406=""),"Werken zonder klant - koppelen","OK"))))))</f>
        <v/>
      </c>
    </row>
    <row r="2407" ht="15" customHeight="1" s="42">
      <c r="A2407" s="55" t="n"/>
      <c r="B2407" s="56">
        <f>IF(A2407="","",WEEKNUM(A2407,21))</f>
        <v/>
      </c>
      <c r="C2407" s="57" t="n"/>
      <c r="D2407" s="57" t="n"/>
      <c r="E2407" s="58" t="n"/>
      <c r="F2407" s="57" t="n"/>
      <c r="G2407" s="59" t="n"/>
      <c r="H2407" s="59" t="n"/>
      <c r="I2407" s="60">
        <f>IF(OR(G2407="",H2407=""),"",MOD(H2407-G2407,1))</f>
        <v/>
      </c>
      <c r="J2407" s="61">
        <f>IF(OR(G2407="",H2407=""),"",ROUND(MOD(H2407-G2407,1)*24,2))</f>
        <v/>
      </c>
      <c r="K2407" s="62">
        <f>IF(E2407="","",IF(E2407="Werken","JA","NEE"))</f>
        <v/>
      </c>
      <c r="L2407" s="61">
        <f>IF(K2407="JA",N(J2407),IF(E2407="","",0))</f>
        <v/>
      </c>
      <c r="M2407" s="62">
        <f>IF(AND(A2407="",E2407=""),"",IF(E2407="","Segment ontbreekt",IF(OR(G2407="",H2407=""),"Van/tot ontbreekt",IF(N(J2407)=0,"Duur is nul",IF(N(J2407)&gt;12,"Langer dan 12 uur - controleren",IF(AND(E2407="Werken",D2407=""),"Werken zonder klant - koppelen","OK"))))))</f>
        <v/>
      </c>
    </row>
    <row r="2408" ht="15" customHeight="1" s="42">
      <c r="A2408" s="55" t="n"/>
      <c r="B2408" s="56">
        <f>IF(A2408="","",WEEKNUM(A2408,21))</f>
        <v/>
      </c>
      <c r="C2408" s="57" t="n"/>
      <c r="D2408" s="57" t="n"/>
      <c r="E2408" s="58" t="n"/>
      <c r="F2408" s="57" t="n"/>
      <c r="G2408" s="59" t="n"/>
      <c r="H2408" s="59" t="n"/>
      <c r="I2408" s="60">
        <f>IF(OR(G2408="",H2408=""),"",MOD(H2408-G2408,1))</f>
        <v/>
      </c>
      <c r="J2408" s="61">
        <f>IF(OR(G2408="",H2408=""),"",ROUND(MOD(H2408-G2408,1)*24,2))</f>
        <v/>
      </c>
      <c r="K2408" s="62">
        <f>IF(E2408="","",IF(E2408="Werken","JA","NEE"))</f>
        <v/>
      </c>
      <c r="L2408" s="61">
        <f>IF(K2408="JA",N(J2408),IF(E2408="","",0))</f>
        <v/>
      </c>
      <c r="M2408" s="62">
        <f>IF(AND(A2408="",E2408=""),"",IF(E2408="","Segment ontbreekt",IF(OR(G2408="",H2408=""),"Van/tot ontbreekt",IF(N(J2408)=0,"Duur is nul",IF(N(J2408)&gt;12,"Langer dan 12 uur - controleren",IF(AND(E2408="Werken",D2408=""),"Werken zonder klant - koppelen","OK"))))))</f>
        <v/>
      </c>
    </row>
    <row r="2409" ht="15" customHeight="1" s="42">
      <c r="A2409" s="55" t="n"/>
      <c r="B2409" s="56">
        <f>IF(A2409="","",WEEKNUM(A2409,21))</f>
        <v/>
      </c>
      <c r="C2409" s="57" t="n"/>
      <c r="D2409" s="57" t="n"/>
      <c r="E2409" s="58" t="n"/>
      <c r="F2409" s="57" t="n"/>
      <c r="G2409" s="59" t="n"/>
      <c r="H2409" s="59" t="n"/>
      <c r="I2409" s="60">
        <f>IF(OR(G2409="",H2409=""),"",MOD(H2409-G2409,1))</f>
        <v/>
      </c>
      <c r="J2409" s="61">
        <f>IF(OR(G2409="",H2409=""),"",ROUND(MOD(H2409-G2409,1)*24,2))</f>
        <v/>
      </c>
      <c r="K2409" s="62">
        <f>IF(E2409="","",IF(E2409="Werken","JA","NEE"))</f>
        <v/>
      </c>
      <c r="L2409" s="61">
        <f>IF(K2409="JA",N(J2409),IF(E2409="","",0))</f>
        <v/>
      </c>
      <c r="M2409" s="62">
        <f>IF(AND(A2409="",E2409=""),"",IF(E2409="","Segment ontbreekt",IF(OR(G2409="",H2409=""),"Van/tot ontbreekt",IF(N(J2409)=0,"Duur is nul",IF(N(J2409)&gt;12,"Langer dan 12 uur - controleren",IF(AND(E2409="Werken",D2409=""),"Werken zonder klant - koppelen","OK"))))))</f>
        <v/>
      </c>
    </row>
    <row r="2410" ht="15" customHeight="1" s="42">
      <c r="A2410" s="55" t="n"/>
      <c r="B2410" s="56">
        <f>IF(A2410="","",WEEKNUM(A2410,21))</f>
        <v/>
      </c>
      <c r="C2410" s="57" t="n"/>
      <c r="D2410" s="57" t="n"/>
      <c r="E2410" s="58" t="n"/>
      <c r="F2410" s="57" t="n"/>
      <c r="G2410" s="59" t="n"/>
      <c r="H2410" s="59" t="n"/>
      <c r="I2410" s="60">
        <f>IF(OR(G2410="",H2410=""),"",MOD(H2410-G2410,1))</f>
        <v/>
      </c>
      <c r="J2410" s="61">
        <f>IF(OR(G2410="",H2410=""),"",ROUND(MOD(H2410-G2410,1)*24,2))</f>
        <v/>
      </c>
      <c r="K2410" s="62">
        <f>IF(E2410="","",IF(E2410="Werken","JA","NEE"))</f>
        <v/>
      </c>
      <c r="L2410" s="61">
        <f>IF(K2410="JA",N(J2410),IF(E2410="","",0))</f>
        <v/>
      </c>
      <c r="M2410" s="62">
        <f>IF(AND(A2410="",E2410=""),"",IF(E2410="","Segment ontbreekt",IF(OR(G2410="",H2410=""),"Van/tot ontbreekt",IF(N(J2410)=0,"Duur is nul",IF(N(J2410)&gt;12,"Langer dan 12 uur - controleren",IF(AND(E2410="Werken",D2410=""),"Werken zonder klant - koppelen","OK"))))))</f>
        <v/>
      </c>
    </row>
    <row r="2411" ht="15" customHeight="1" s="42">
      <c r="A2411" s="55" t="n"/>
      <c r="B2411" s="56">
        <f>IF(A2411="","",WEEKNUM(A2411,21))</f>
        <v/>
      </c>
      <c r="C2411" s="57" t="n"/>
      <c r="D2411" s="57" t="n"/>
      <c r="E2411" s="58" t="n"/>
      <c r="F2411" s="57" t="n"/>
      <c r="G2411" s="59" t="n"/>
      <c r="H2411" s="59" t="n"/>
      <c r="I2411" s="60">
        <f>IF(OR(G2411="",H2411=""),"",MOD(H2411-G2411,1))</f>
        <v/>
      </c>
      <c r="J2411" s="61">
        <f>IF(OR(G2411="",H2411=""),"",ROUND(MOD(H2411-G2411,1)*24,2))</f>
        <v/>
      </c>
      <c r="K2411" s="62">
        <f>IF(E2411="","",IF(E2411="Werken","JA","NEE"))</f>
        <v/>
      </c>
      <c r="L2411" s="61">
        <f>IF(K2411="JA",N(J2411),IF(E2411="","",0))</f>
        <v/>
      </c>
      <c r="M2411" s="62">
        <f>IF(AND(A2411="",E2411=""),"",IF(E2411="","Segment ontbreekt",IF(OR(G2411="",H2411=""),"Van/tot ontbreekt",IF(N(J2411)=0,"Duur is nul",IF(N(J2411)&gt;12,"Langer dan 12 uur - controleren",IF(AND(E2411="Werken",D2411=""),"Werken zonder klant - koppelen","OK"))))))</f>
        <v/>
      </c>
    </row>
    <row r="2412" ht="15" customHeight="1" s="42">
      <c r="A2412" s="55" t="n"/>
      <c r="B2412" s="56">
        <f>IF(A2412="","",WEEKNUM(A2412,21))</f>
        <v/>
      </c>
      <c r="C2412" s="57" t="n"/>
      <c r="D2412" s="57" t="n"/>
      <c r="E2412" s="58" t="n"/>
      <c r="F2412" s="57" t="n"/>
      <c r="G2412" s="59" t="n"/>
      <c r="H2412" s="59" t="n"/>
      <c r="I2412" s="60">
        <f>IF(OR(G2412="",H2412=""),"",MOD(H2412-G2412,1))</f>
        <v/>
      </c>
      <c r="J2412" s="61">
        <f>IF(OR(G2412="",H2412=""),"",ROUND(MOD(H2412-G2412,1)*24,2))</f>
        <v/>
      </c>
      <c r="K2412" s="62">
        <f>IF(E2412="","",IF(E2412="Werken","JA","NEE"))</f>
        <v/>
      </c>
      <c r="L2412" s="61">
        <f>IF(K2412="JA",N(J2412),IF(E2412="","",0))</f>
        <v/>
      </c>
      <c r="M2412" s="62">
        <f>IF(AND(A2412="",E2412=""),"",IF(E2412="","Segment ontbreekt",IF(OR(G2412="",H2412=""),"Van/tot ontbreekt",IF(N(J2412)=0,"Duur is nul",IF(N(J2412)&gt;12,"Langer dan 12 uur - controleren",IF(AND(E2412="Werken",D2412=""),"Werken zonder klant - koppelen","OK"))))))</f>
        <v/>
      </c>
    </row>
    <row r="2413" ht="15" customHeight="1" s="42">
      <c r="A2413" s="55" t="n"/>
      <c r="B2413" s="56">
        <f>IF(A2413="","",WEEKNUM(A2413,21))</f>
        <v/>
      </c>
      <c r="C2413" s="57" t="n"/>
      <c r="D2413" s="57" t="n"/>
      <c r="E2413" s="58" t="n"/>
      <c r="F2413" s="57" t="n"/>
      <c r="G2413" s="59" t="n"/>
      <c r="H2413" s="59" t="n"/>
      <c r="I2413" s="60">
        <f>IF(OR(G2413="",H2413=""),"",MOD(H2413-G2413,1))</f>
        <v/>
      </c>
      <c r="J2413" s="61">
        <f>IF(OR(G2413="",H2413=""),"",ROUND(MOD(H2413-G2413,1)*24,2))</f>
        <v/>
      </c>
      <c r="K2413" s="62">
        <f>IF(E2413="","",IF(E2413="Werken","JA","NEE"))</f>
        <v/>
      </c>
      <c r="L2413" s="61">
        <f>IF(K2413="JA",N(J2413),IF(E2413="","",0))</f>
        <v/>
      </c>
      <c r="M2413" s="62">
        <f>IF(AND(A2413="",E2413=""),"",IF(E2413="","Segment ontbreekt",IF(OR(G2413="",H2413=""),"Van/tot ontbreekt",IF(N(J2413)=0,"Duur is nul",IF(N(J2413)&gt;12,"Langer dan 12 uur - controleren",IF(AND(E2413="Werken",D2413=""),"Werken zonder klant - koppelen","OK"))))))</f>
        <v/>
      </c>
    </row>
    <row r="2414" ht="15" customHeight="1" s="42">
      <c r="A2414" s="55" t="n"/>
      <c r="B2414" s="56">
        <f>IF(A2414="","",WEEKNUM(A2414,21))</f>
        <v/>
      </c>
      <c r="C2414" s="57" t="n"/>
      <c r="D2414" s="57" t="n"/>
      <c r="E2414" s="58" t="n"/>
      <c r="F2414" s="57" t="n"/>
      <c r="G2414" s="59" t="n"/>
      <c r="H2414" s="59" t="n"/>
      <c r="I2414" s="60">
        <f>IF(OR(G2414="",H2414=""),"",MOD(H2414-G2414,1))</f>
        <v/>
      </c>
      <c r="J2414" s="61">
        <f>IF(OR(G2414="",H2414=""),"",ROUND(MOD(H2414-G2414,1)*24,2))</f>
        <v/>
      </c>
      <c r="K2414" s="62">
        <f>IF(E2414="","",IF(E2414="Werken","JA","NEE"))</f>
        <v/>
      </c>
      <c r="L2414" s="61">
        <f>IF(K2414="JA",N(J2414),IF(E2414="","",0))</f>
        <v/>
      </c>
      <c r="M2414" s="62">
        <f>IF(AND(A2414="",E2414=""),"",IF(E2414="","Segment ontbreekt",IF(OR(G2414="",H2414=""),"Van/tot ontbreekt",IF(N(J2414)=0,"Duur is nul",IF(N(J2414)&gt;12,"Langer dan 12 uur - controleren",IF(AND(E2414="Werken",D2414=""),"Werken zonder klant - koppelen","OK"))))))</f>
        <v/>
      </c>
    </row>
    <row r="2415" ht="15" customHeight="1" s="42">
      <c r="A2415" s="55" t="n"/>
      <c r="B2415" s="56">
        <f>IF(A2415="","",WEEKNUM(A2415,21))</f>
        <v/>
      </c>
      <c r="C2415" s="57" t="n"/>
      <c r="D2415" s="57" t="n"/>
      <c r="E2415" s="58" t="n"/>
      <c r="F2415" s="57" t="n"/>
      <c r="G2415" s="59" t="n"/>
      <c r="H2415" s="59" t="n"/>
      <c r="I2415" s="60">
        <f>IF(OR(G2415="",H2415=""),"",MOD(H2415-G2415,1))</f>
        <v/>
      </c>
      <c r="J2415" s="61">
        <f>IF(OR(G2415="",H2415=""),"",ROUND(MOD(H2415-G2415,1)*24,2))</f>
        <v/>
      </c>
      <c r="K2415" s="62">
        <f>IF(E2415="","",IF(E2415="Werken","JA","NEE"))</f>
        <v/>
      </c>
      <c r="L2415" s="61">
        <f>IF(K2415="JA",N(J2415),IF(E2415="","",0))</f>
        <v/>
      </c>
      <c r="M2415" s="62">
        <f>IF(AND(A2415="",E2415=""),"",IF(E2415="","Segment ontbreekt",IF(OR(G2415="",H2415=""),"Van/tot ontbreekt",IF(N(J2415)=0,"Duur is nul",IF(N(J2415)&gt;12,"Langer dan 12 uur - controleren",IF(AND(E2415="Werken",D2415=""),"Werken zonder klant - koppelen","OK"))))))</f>
        <v/>
      </c>
    </row>
    <row r="2416" ht="15" customHeight="1" s="42">
      <c r="A2416" s="55" t="n"/>
      <c r="B2416" s="56">
        <f>IF(A2416="","",WEEKNUM(A2416,21))</f>
        <v/>
      </c>
      <c r="C2416" s="57" t="n"/>
      <c r="D2416" s="57" t="n"/>
      <c r="E2416" s="58" t="n"/>
      <c r="F2416" s="57" t="n"/>
      <c r="G2416" s="59" t="n"/>
      <c r="H2416" s="59" t="n"/>
      <c r="I2416" s="60">
        <f>IF(OR(G2416="",H2416=""),"",MOD(H2416-G2416,1))</f>
        <v/>
      </c>
      <c r="J2416" s="61">
        <f>IF(OR(G2416="",H2416=""),"",ROUND(MOD(H2416-G2416,1)*24,2))</f>
        <v/>
      </c>
      <c r="K2416" s="62">
        <f>IF(E2416="","",IF(E2416="Werken","JA","NEE"))</f>
        <v/>
      </c>
      <c r="L2416" s="61">
        <f>IF(K2416="JA",N(J2416),IF(E2416="","",0))</f>
        <v/>
      </c>
      <c r="M2416" s="62">
        <f>IF(AND(A2416="",E2416=""),"",IF(E2416="","Segment ontbreekt",IF(OR(G2416="",H2416=""),"Van/tot ontbreekt",IF(N(J2416)=0,"Duur is nul",IF(N(J2416)&gt;12,"Langer dan 12 uur - controleren",IF(AND(E2416="Werken",D2416=""),"Werken zonder klant - koppelen","OK"))))))</f>
        <v/>
      </c>
    </row>
    <row r="2417" ht="15" customHeight="1" s="42">
      <c r="A2417" s="55" t="n"/>
      <c r="B2417" s="56">
        <f>IF(A2417="","",WEEKNUM(A2417,21))</f>
        <v/>
      </c>
      <c r="C2417" s="57" t="n"/>
      <c r="D2417" s="57" t="n"/>
      <c r="E2417" s="58" t="n"/>
      <c r="F2417" s="57" t="n"/>
      <c r="G2417" s="59" t="n"/>
      <c r="H2417" s="59" t="n"/>
      <c r="I2417" s="60">
        <f>IF(OR(G2417="",H2417=""),"",MOD(H2417-G2417,1))</f>
        <v/>
      </c>
      <c r="J2417" s="61">
        <f>IF(OR(G2417="",H2417=""),"",ROUND(MOD(H2417-G2417,1)*24,2))</f>
        <v/>
      </c>
      <c r="K2417" s="62">
        <f>IF(E2417="","",IF(E2417="Werken","JA","NEE"))</f>
        <v/>
      </c>
      <c r="L2417" s="61">
        <f>IF(K2417="JA",N(J2417),IF(E2417="","",0))</f>
        <v/>
      </c>
      <c r="M2417" s="62">
        <f>IF(AND(A2417="",E2417=""),"",IF(E2417="","Segment ontbreekt",IF(OR(G2417="",H2417=""),"Van/tot ontbreekt",IF(N(J2417)=0,"Duur is nul",IF(N(J2417)&gt;12,"Langer dan 12 uur - controleren",IF(AND(E2417="Werken",D2417=""),"Werken zonder klant - koppelen","OK"))))))</f>
        <v/>
      </c>
    </row>
    <row r="2418" ht="15" customHeight="1" s="42">
      <c r="A2418" s="55" t="n"/>
      <c r="B2418" s="56">
        <f>IF(A2418="","",WEEKNUM(A2418,21))</f>
        <v/>
      </c>
      <c r="C2418" s="57" t="n"/>
      <c r="D2418" s="57" t="n"/>
      <c r="E2418" s="58" t="n"/>
      <c r="F2418" s="57" t="n"/>
      <c r="G2418" s="59" t="n"/>
      <c r="H2418" s="59" t="n"/>
      <c r="I2418" s="60">
        <f>IF(OR(G2418="",H2418=""),"",MOD(H2418-G2418,1))</f>
        <v/>
      </c>
      <c r="J2418" s="61">
        <f>IF(OR(G2418="",H2418=""),"",ROUND(MOD(H2418-G2418,1)*24,2))</f>
        <v/>
      </c>
      <c r="K2418" s="62">
        <f>IF(E2418="","",IF(E2418="Werken","JA","NEE"))</f>
        <v/>
      </c>
      <c r="L2418" s="61">
        <f>IF(K2418="JA",N(J2418),IF(E2418="","",0))</f>
        <v/>
      </c>
      <c r="M2418" s="62">
        <f>IF(AND(A2418="",E2418=""),"",IF(E2418="","Segment ontbreekt",IF(OR(G2418="",H2418=""),"Van/tot ontbreekt",IF(N(J2418)=0,"Duur is nul",IF(N(J2418)&gt;12,"Langer dan 12 uur - controleren",IF(AND(E2418="Werken",D2418=""),"Werken zonder klant - koppelen","OK"))))))</f>
        <v/>
      </c>
    </row>
    <row r="2419" ht="15" customHeight="1" s="42">
      <c r="A2419" s="55" t="n"/>
      <c r="B2419" s="56">
        <f>IF(A2419="","",WEEKNUM(A2419,21))</f>
        <v/>
      </c>
      <c r="C2419" s="57" t="n"/>
      <c r="D2419" s="57" t="n"/>
      <c r="E2419" s="58" t="n"/>
      <c r="F2419" s="57" t="n"/>
      <c r="G2419" s="59" t="n"/>
      <c r="H2419" s="59" t="n"/>
      <c r="I2419" s="60">
        <f>IF(OR(G2419="",H2419=""),"",MOD(H2419-G2419,1))</f>
        <v/>
      </c>
      <c r="J2419" s="61">
        <f>IF(OR(G2419="",H2419=""),"",ROUND(MOD(H2419-G2419,1)*24,2))</f>
        <v/>
      </c>
      <c r="K2419" s="62">
        <f>IF(E2419="","",IF(E2419="Werken","JA","NEE"))</f>
        <v/>
      </c>
      <c r="L2419" s="61">
        <f>IF(K2419="JA",N(J2419),IF(E2419="","",0))</f>
        <v/>
      </c>
      <c r="M2419" s="62">
        <f>IF(AND(A2419="",E2419=""),"",IF(E2419="","Segment ontbreekt",IF(OR(G2419="",H2419=""),"Van/tot ontbreekt",IF(N(J2419)=0,"Duur is nul",IF(N(J2419)&gt;12,"Langer dan 12 uur - controleren",IF(AND(E2419="Werken",D2419=""),"Werken zonder klant - koppelen","OK"))))))</f>
        <v/>
      </c>
    </row>
    <row r="2420" ht="15" customHeight="1" s="42">
      <c r="A2420" s="55" t="n"/>
      <c r="B2420" s="56">
        <f>IF(A2420="","",WEEKNUM(A2420,21))</f>
        <v/>
      </c>
      <c r="C2420" s="57" t="n"/>
      <c r="D2420" s="57" t="n"/>
      <c r="E2420" s="58" t="n"/>
      <c r="F2420" s="57" t="n"/>
      <c r="G2420" s="59" t="n"/>
      <c r="H2420" s="59" t="n"/>
      <c r="I2420" s="60">
        <f>IF(OR(G2420="",H2420=""),"",MOD(H2420-G2420,1))</f>
        <v/>
      </c>
      <c r="J2420" s="61">
        <f>IF(OR(G2420="",H2420=""),"",ROUND(MOD(H2420-G2420,1)*24,2))</f>
        <v/>
      </c>
      <c r="K2420" s="62">
        <f>IF(E2420="","",IF(E2420="Werken","JA","NEE"))</f>
        <v/>
      </c>
      <c r="L2420" s="61">
        <f>IF(K2420="JA",N(J2420),IF(E2420="","",0))</f>
        <v/>
      </c>
      <c r="M2420" s="62">
        <f>IF(AND(A2420="",E2420=""),"",IF(E2420="","Segment ontbreekt",IF(OR(G2420="",H2420=""),"Van/tot ontbreekt",IF(N(J2420)=0,"Duur is nul",IF(N(J2420)&gt;12,"Langer dan 12 uur - controleren",IF(AND(E2420="Werken",D2420=""),"Werken zonder klant - koppelen","OK"))))))</f>
        <v/>
      </c>
    </row>
    <row r="2421" ht="15" customHeight="1" s="42">
      <c r="A2421" s="55" t="n"/>
      <c r="B2421" s="56">
        <f>IF(A2421="","",WEEKNUM(A2421,21))</f>
        <v/>
      </c>
      <c r="C2421" s="57" t="n"/>
      <c r="D2421" s="57" t="n"/>
      <c r="E2421" s="58" t="n"/>
      <c r="F2421" s="57" t="n"/>
      <c r="G2421" s="59" t="n"/>
      <c r="H2421" s="59" t="n"/>
      <c r="I2421" s="60">
        <f>IF(OR(G2421="",H2421=""),"",MOD(H2421-G2421,1))</f>
        <v/>
      </c>
      <c r="J2421" s="61">
        <f>IF(OR(G2421="",H2421=""),"",ROUND(MOD(H2421-G2421,1)*24,2))</f>
        <v/>
      </c>
      <c r="K2421" s="62">
        <f>IF(E2421="","",IF(E2421="Werken","JA","NEE"))</f>
        <v/>
      </c>
      <c r="L2421" s="61">
        <f>IF(K2421="JA",N(J2421),IF(E2421="","",0))</f>
        <v/>
      </c>
      <c r="M2421" s="62">
        <f>IF(AND(A2421="",E2421=""),"",IF(E2421="","Segment ontbreekt",IF(OR(G2421="",H2421=""),"Van/tot ontbreekt",IF(N(J2421)=0,"Duur is nul",IF(N(J2421)&gt;12,"Langer dan 12 uur - controleren",IF(AND(E2421="Werken",D2421=""),"Werken zonder klant - koppelen","OK"))))))</f>
        <v/>
      </c>
    </row>
    <row r="2422" ht="15" customHeight="1" s="42">
      <c r="A2422" s="55" t="n"/>
      <c r="B2422" s="56">
        <f>IF(A2422="","",WEEKNUM(A2422,21))</f>
        <v/>
      </c>
      <c r="C2422" s="57" t="n"/>
      <c r="D2422" s="57" t="n"/>
      <c r="E2422" s="58" t="n"/>
      <c r="F2422" s="57" t="n"/>
      <c r="G2422" s="59" t="n"/>
      <c r="H2422" s="59" t="n"/>
      <c r="I2422" s="60">
        <f>IF(OR(G2422="",H2422=""),"",MOD(H2422-G2422,1))</f>
        <v/>
      </c>
      <c r="J2422" s="61">
        <f>IF(OR(G2422="",H2422=""),"",ROUND(MOD(H2422-G2422,1)*24,2))</f>
        <v/>
      </c>
      <c r="K2422" s="62">
        <f>IF(E2422="","",IF(E2422="Werken","JA","NEE"))</f>
        <v/>
      </c>
      <c r="L2422" s="61">
        <f>IF(K2422="JA",N(J2422),IF(E2422="","",0))</f>
        <v/>
      </c>
      <c r="M2422" s="62">
        <f>IF(AND(A2422="",E2422=""),"",IF(E2422="","Segment ontbreekt",IF(OR(G2422="",H2422=""),"Van/tot ontbreekt",IF(N(J2422)=0,"Duur is nul",IF(N(J2422)&gt;12,"Langer dan 12 uur - controleren",IF(AND(E2422="Werken",D2422=""),"Werken zonder klant - koppelen","OK"))))))</f>
        <v/>
      </c>
    </row>
    <row r="2423" ht="15" customHeight="1" s="42">
      <c r="A2423" s="55" t="n"/>
      <c r="B2423" s="56">
        <f>IF(A2423="","",WEEKNUM(A2423,21))</f>
        <v/>
      </c>
      <c r="C2423" s="57" t="n"/>
      <c r="D2423" s="57" t="n"/>
      <c r="E2423" s="58" t="n"/>
      <c r="F2423" s="57" t="n"/>
      <c r="G2423" s="59" t="n"/>
      <c r="H2423" s="59" t="n"/>
      <c r="I2423" s="60">
        <f>IF(OR(G2423="",H2423=""),"",MOD(H2423-G2423,1))</f>
        <v/>
      </c>
      <c r="J2423" s="61">
        <f>IF(OR(G2423="",H2423=""),"",ROUND(MOD(H2423-G2423,1)*24,2))</f>
        <v/>
      </c>
      <c r="K2423" s="62">
        <f>IF(E2423="","",IF(E2423="Werken","JA","NEE"))</f>
        <v/>
      </c>
      <c r="L2423" s="61">
        <f>IF(K2423="JA",N(J2423),IF(E2423="","",0))</f>
        <v/>
      </c>
      <c r="M2423" s="62">
        <f>IF(AND(A2423="",E2423=""),"",IF(E2423="","Segment ontbreekt",IF(OR(G2423="",H2423=""),"Van/tot ontbreekt",IF(N(J2423)=0,"Duur is nul",IF(N(J2423)&gt;12,"Langer dan 12 uur - controleren",IF(AND(E2423="Werken",D2423=""),"Werken zonder klant - koppelen","OK"))))))</f>
        <v/>
      </c>
    </row>
    <row r="2424" ht="15" customHeight="1" s="42">
      <c r="A2424" s="55" t="n"/>
      <c r="B2424" s="56">
        <f>IF(A2424="","",WEEKNUM(A2424,21))</f>
        <v/>
      </c>
      <c r="C2424" s="57" t="n"/>
      <c r="D2424" s="57" t="n"/>
      <c r="E2424" s="58" t="n"/>
      <c r="F2424" s="57" t="n"/>
      <c r="G2424" s="59" t="n"/>
      <c r="H2424" s="59" t="n"/>
      <c r="I2424" s="60">
        <f>IF(OR(G2424="",H2424=""),"",MOD(H2424-G2424,1))</f>
        <v/>
      </c>
      <c r="J2424" s="61">
        <f>IF(OR(G2424="",H2424=""),"",ROUND(MOD(H2424-G2424,1)*24,2))</f>
        <v/>
      </c>
      <c r="K2424" s="62">
        <f>IF(E2424="","",IF(E2424="Werken","JA","NEE"))</f>
        <v/>
      </c>
      <c r="L2424" s="61">
        <f>IF(K2424="JA",N(J2424),IF(E2424="","",0))</f>
        <v/>
      </c>
      <c r="M2424" s="62">
        <f>IF(AND(A2424="",E2424=""),"",IF(E2424="","Segment ontbreekt",IF(OR(G2424="",H2424=""),"Van/tot ontbreekt",IF(N(J2424)=0,"Duur is nul",IF(N(J2424)&gt;12,"Langer dan 12 uur - controleren",IF(AND(E2424="Werken",D2424=""),"Werken zonder klant - koppelen","OK"))))))</f>
        <v/>
      </c>
    </row>
    <row r="2425" ht="15" customHeight="1" s="42">
      <c r="A2425" s="55" t="n"/>
      <c r="B2425" s="56">
        <f>IF(A2425="","",WEEKNUM(A2425,21))</f>
        <v/>
      </c>
      <c r="C2425" s="57" t="n"/>
      <c r="D2425" s="57" t="n"/>
      <c r="E2425" s="58" t="n"/>
      <c r="F2425" s="57" t="n"/>
      <c r="G2425" s="59" t="n"/>
      <c r="H2425" s="59" t="n"/>
      <c r="I2425" s="60">
        <f>IF(OR(G2425="",H2425=""),"",MOD(H2425-G2425,1))</f>
        <v/>
      </c>
      <c r="J2425" s="61">
        <f>IF(OR(G2425="",H2425=""),"",ROUND(MOD(H2425-G2425,1)*24,2))</f>
        <v/>
      </c>
      <c r="K2425" s="62">
        <f>IF(E2425="","",IF(E2425="Werken","JA","NEE"))</f>
        <v/>
      </c>
      <c r="L2425" s="61">
        <f>IF(K2425="JA",N(J2425),IF(E2425="","",0))</f>
        <v/>
      </c>
      <c r="M2425" s="62">
        <f>IF(AND(A2425="",E2425=""),"",IF(E2425="","Segment ontbreekt",IF(OR(G2425="",H2425=""),"Van/tot ontbreekt",IF(N(J2425)=0,"Duur is nul",IF(N(J2425)&gt;12,"Langer dan 12 uur - controleren",IF(AND(E2425="Werken",D2425=""),"Werken zonder klant - koppelen","OK"))))))</f>
        <v/>
      </c>
    </row>
    <row r="2426" ht="15" customHeight="1" s="42">
      <c r="A2426" s="55" t="n"/>
      <c r="B2426" s="56">
        <f>IF(A2426="","",WEEKNUM(A2426,21))</f>
        <v/>
      </c>
      <c r="C2426" s="57" t="n"/>
      <c r="D2426" s="57" t="n"/>
      <c r="E2426" s="58" t="n"/>
      <c r="F2426" s="57" t="n"/>
      <c r="G2426" s="59" t="n"/>
      <c r="H2426" s="59" t="n"/>
      <c r="I2426" s="60">
        <f>IF(OR(G2426="",H2426=""),"",MOD(H2426-G2426,1))</f>
        <v/>
      </c>
      <c r="J2426" s="61">
        <f>IF(OR(G2426="",H2426=""),"",ROUND(MOD(H2426-G2426,1)*24,2))</f>
        <v/>
      </c>
      <c r="K2426" s="62">
        <f>IF(E2426="","",IF(E2426="Werken","JA","NEE"))</f>
        <v/>
      </c>
      <c r="L2426" s="61">
        <f>IF(K2426="JA",N(J2426),IF(E2426="","",0))</f>
        <v/>
      </c>
      <c r="M2426" s="62">
        <f>IF(AND(A2426="",E2426=""),"",IF(E2426="","Segment ontbreekt",IF(OR(G2426="",H2426=""),"Van/tot ontbreekt",IF(N(J2426)=0,"Duur is nul",IF(N(J2426)&gt;12,"Langer dan 12 uur - controleren",IF(AND(E2426="Werken",D2426=""),"Werken zonder klant - koppelen","OK"))))))</f>
        <v/>
      </c>
    </row>
    <row r="2427" ht="15" customHeight="1" s="42">
      <c r="A2427" s="55" t="n"/>
      <c r="B2427" s="56">
        <f>IF(A2427="","",WEEKNUM(A2427,21))</f>
        <v/>
      </c>
      <c r="C2427" s="57" t="n"/>
      <c r="D2427" s="57" t="n"/>
      <c r="E2427" s="58" t="n"/>
      <c r="F2427" s="57" t="n"/>
      <c r="G2427" s="59" t="n"/>
      <c r="H2427" s="59" t="n"/>
      <c r="I2427" s="60">
        <f>IF(OR(G2427="",H2427=""),"",MOD(H2427-G2427,1))</f>
        <v/>
      </c>
      <c r="J2427" s="61">
        <f>IF(OR(G2427="",H2427=""),"",ROUND(MOD(H2427-G2427,1)*24,2))</f>
        <v/>
      </c>
      <c r="K2427" s="62">
        <f>IF(E2427="","",IF(E2427="Werken","JA","NEE"))</f>
        <v/>
      </c>
      <c r="L2427" s="61">
        <f>IF(K2427="JA",N(J2427),IF(E2427="","",0))</f>
        <v/>
      </c>
      <c r="M2427" s="62">
        <f>IF(AND(A2427="",E2427=""),"",IF(E2427="","Segment ontbreekt",IF(OR(G2427="",H2427=""),"Van/tot ontbreekt",IF(N(J2427)=0,"Duur is nul",IF(N(J2427)&gt;12,"Langer dan 12 uur - controleren",IF(AND(E2427="Werken",D2427=""),"Werken zonder klant - koppelen","OK"))))))</f>
        <v/>
      </c>
    </row>
    <row r="2428" ht="15" customHeight="1" s="42">
      <c r="A2428" s="55" t="n"/>
      <c r="B2428" s="56">
        <f>IF(A2428="","",WEEKNUM(A2428,21))</f>
        <v/>
      </c>
      <c r="C2428" s="57" t="n"/>
      <c r="D2428" s="57" t="n"/>
      <c r="E2428" s="58" t="n"/>
      <c r="F2428" s="57" t="n"/>
      <c r="G2428" s="59" t="n"/>
      <c r="H2428" s="59" t="n"/>
      <c r="I2428" s="60">
        <f>IF(OR(G2428="",H2428=""),"",MOD(H2428-G2428,1))</f>
        <v/>
      </c>
      <c r="J2428" s="61">
        <f>IF(OR(G2428="",H2428=""),"",ROUND(MOD(H2428-G2428,1)*24,2))</f>
        <v/>
      </c>
      <c r="K2428" s="62">
        <f>IF(E2428="","",IF(E2428="Werken","JA","NEE"))</f>
        <v/>
      </c>
      <c r="L2428" s="61">
        <f>IF(K2428="JA",N(J2428),IF(E2428="","",0))</f>
        <v/>
      </c>
      <c r="M2428" s="62">
        <f>IF(AND(A2428="",E2428=""),"",IF(E2428="","Segment ontbreekt",IF(OR(G2428="",H2428=""),"Van/tot ontbreekt",IF(N(J2428)=0,"Duur is nul",IF(N(J2428)&gt;12,"Langer dan 12 uur - controleren",IF(AND(E2428="Werken",D2428=""),"Werken zonder klant - koppelen","OK"))))))</f>
        <v/>
      </c>
    </row>
    <row r="2429" ht="15" customHeight="1" s="42">
      <c r="A2429" s="55" t="n"/>
      <c r="B2429" s="56">
        <f>IF(A2429="","",WEEKNUM(A2429,21))</f>
        <v/>
      </c>
      <c r="C2429" s="57" t="n"/>
      <c r="D2429" s="57" t="n"/>
      <c r="E2429" s="58" t="n"/>
      <c r="F2429" s="57" t="n"/>
      <c r="G2429" s="59" t="n"/>
      <c r="H2429" s="59" t="n"/>
      <c r="I2429" s="60">
        <f>IF(OR(G2429="",H2429=""),"",MOD(H2429-G2429,1))</f>
        <v/>
      </c>
      <c r="J2429" s="61">
        <f>IF(OR(G2429="",H2429=""),"",ROUND(MOD(H2429-G2429,1)*24,2))</f>
        <v/>
      </c>
      <c r="K2429" s="62">
        <f>IF(E2429="","",IF(E2429="Werken","JA","NEE"))</f>
        <v/>
      </c>
      <c r="L2429" s="61">
        <f>IF(K2429="JA",N(J2429),IF(E2429="","",0))</f>
        <v/>
      </c>
      <c r="M2429" s="62">
        <f>IF(AND(A2429="",E2429=""),"",IF(E2429="","Segment ontbreekt",IF(OR(G2429="",H2429=""),"Van/tot ontbreekt",IF(N(J2429)=0,"Duur is nul",IF(N(J2429)&gt;12,"Langer dan 12 uur - controleren",IF(AND(E2429="Werken",D2429=""),"Werken zonder klant - koppelen","OK"))))))</f>
        <v/>
      </c>
    </row>
    <row r="2430" ht="15" customHeight="1" s="42">
      <c r="A2430" s="55" t="n"/>
      <c r="B2430" s="56">
        <f>IF(A2430="","",WEEKNUM(A2430,21))</f>
        <v/>
      </c>
      <c r="C2430" s="57" t="n"/>
      <c r="D2430" s="57" t="n"/>
      <c r="E2430" s="58" t="n"/>
      <c r="F2430" s="57" t="n"/>
      <c r="G2430" s="59" t="n"/>
      <c r="H2430" s="59" t="n"/>
      <c r="I2430" s="60">
        <f>IF(OR(G2430="",H2430=""),"",MOD(H2430-G2430,1))</f>
        <v/>
      </c>
      <c r="J2430" s="61">
        <f>IF(OR(G2430="",H2430=""),"",ROUND(MOD(H2430-G2430,1)*24,2))</f>
        <v/>
      </c>
      <c r="K2430" s="62">
        <f>IF(E2430="","",IF(E2430="Werken","JA","NEE"))</f>
        <v/>
      </c>
      <c r="L2430" s="61">
        <f>IF(K2430="JA",N(J2430),IF(E2430="","",0))</f>
        <v/>
      </c>
      <c r="M2430" s="62">
        <f>IF(AND(A2430="",E2430=""),"",IF(E2430="","Segment ontbreekt",IF(OR(G2430="",H2430=""),"Van/tot ontbreekt",IF(N(J2430)=0,"Duur is nul",IF(N(J2430)&gt;12,"Langer dan 12 uur - controleren",IF(AND(E2430="Werken",D2430=""),"Werken zonder klant - koppelen","OK"))))))</f>
        <v/>
      </c>
    </row>
    <row r="2431" ht="15" customHeight="1" s="42">
      <c r="A2431" s="55" t="n"/>
      <c r="B2431" s="56">
        <f>IF(A2431="","",WEEKNUM(A2431,21))</f>
        <v/>
      </c>
      <c r="C2431" s="57" t="n"/>
      <c r="D2431" s="57" t="n"/>
      <c r="E2431" s="58" t="n"/>
      <c r="F2431" s="57" t="n"/>
      <c r="G2431" s="59" t="n"/>
      <c r="H2431" s="59" t="n"/>
      <c r="I2431" s="60">
        <f>IF(OR(G2431="",H2431=""),"",MOD(H2431-G2431,1))</f>
        <v/>
      </c>
      <c r="J2431" s="61">
        <f>IF(OR(G2431="",H2431=""),"",ROUND(MOD(H2431-G2431,1)*24,2))</f>
        <v/>
      </c>
      <c r="K2431" s="62">
        <f>IF(E2431="","",IF(E2431="Werken","JA","NEE"))</f>
        <v/>
      </c>
      <c r="L2431" s="61">
        <f>IF(K2431="JA",N(J2431),IF(E2431="","",0))</f>
        <v/>
      </c>
      <c r="M2431" s="62">
        <f>IF(AND(A2431="",E2431=""),"",IF(E2431="","Segment ontbreekt",IF(OR(G2431="",H2431=""),"Van/tot ontbreekt",IF(N(J2431)=0,"Duur is nul",IF(N(J2431)&gt;12,"Langer dan 12 uur - controleren",IF(AND(E2431="Werken",D2431=""),"Werken zonder klant - koppelen","OK"))))))</f>
        <v/>
      </c>
    </row>
    <row r="2432" ht="15" customHeight="1" s="42">
      <c r="A2432" s="55" t="n"/>
      <c r="B2432" s="56">
        <f>IF(A2432="","",WEEKNUM(A2432,21))</f>
        <v/>
      </c>
      <c r="C2432" s="57" t="n"/>
      <c r="D2432" s="57" t="n"/>
      <c r="E2432" s="58" t="n"/>
      <c r="F2432" s="57" t="n"/>
      <c r="G2432" s="59" t="n"/>
      <c r="H2432" s="59" t="n"/>
      <c r="I2432" s="60">
        <f>IF(OR(G2432="",H2432=""),"",MOD(H2432-G2432,1))</f>
        <v/>
      </c>
      <c r="J2432" s="61">
        <f>IF(OR(G2432="",H2432=""),"",ROUND(MOD(H2432-G2432,1)*24,2))</f>
        <v/>
      </c>
      <c r="K2432" s="62">
        <f>IF(E2432="","",IF(E2432="Werken","JA","NEE"))</f>
        <v/>
      </c>
      <c r="L2432" s="61">
        <f>IF(K2432="JA",N(J2432),IF(E2432="","",0))</f>
        <v/>
      </c>
      <c r="M2432" s="62">
        <f>IF(AND(A2432="",E2432=""),"",IF(E2432="","Segment ontbreekt",IF(OR(G2432="",H2432=""),"Van/tot ontbreekt",IF(N(J2432)=0,"Duur is nul",IF(N(J2432)&gt;12,"Langer dan 12 uur - controleren",IF(AND(E2432="Werken",D2432=""),"Werken zonder klant - koppelen","OK"))))))</f>
        <v/>
      </c>
    </row>
    <row r="2433" ht="15" customHeight="1" s="42">
      <c r="A2433" s="55" t="n"/>
      <c r="B2433" s="56">
        <f>IF(A2433="","",WEEKNUM(A2433,21))</f>
        <v/>
      </c>
      <c r="C2433" s="57" t="n"/>
      <c r="D2433" s="57" t="n"/>
      <c r="E2433" s="58" t="n"/>
      <c r="F2433" s="57" t="n"/>
      <c r="G2433" s="59" t="n"/>
      <c r="H2433" s="59" t="n"/>
      <c r="I2433" s="60">
        <f>IF(OR(G2433="",H2433=""),"",MOD(H2433-G2433,1))</f>
        <v/>
      </c>
      <c r="J2433" s="61">
        <f>IF(OR(G2433="",H2433=""),"",ROUND(MOD(H2433-G2433,1)*24,2))</f>
        <v/>
      </c>
      <c r="K2433" s="62">
        <f>IF(E2433="","",IF(E2433="Werken","JA","NEE"))</f>
        <v/>
      </c>
      <c r="L2433" s="61">
        <f>IF(K2433="JA",N(J2433),IF(E2433="","",0))</f>
        <v/>
      </c>
      <c r="M2433" s="62">
        <f>IF(AND(A2433="",E2433=""),"",IF(E2433="","Segment ontbreekt",IF(OR(G2433="",H2433=""),"Van/tot ontbreekt",IF(N(J2433)=0,"Duur is nul",IF(N(J2433)&gt;12,"Langer dan 12 uur - controleren",IF(AND(E2433="Werken",D2433=""),"Werken zonder klant - koppelen","OK"))))))</f>
        <v/>
      </c>
    </row>
    <row r="2434" ht="15" customHeight="1" s="42">
      <c r="A2434" s="55" t="n"/>
      <c r="B2434" s="56">
        <f>IF(A2434="","",WEEKNUM(A2434,21))</f>
        <v/>
      </c>
      <c r="C2434" s="57" t="n"/>
      <c r="D2434" s="57" t="n"/>
      <c r="E2434" s="58" t="n"/>
      <c r="F2434" s="57" t="n"/>
      <c r="G2434" s="59" t="n"/>
      <c r="H2434" s="59" t="n"/>
      <c r="I2434" s="60">
        <f>IF(OR(G2434="",H2434=""),"",MOD(H2434-G2434,1))</f>
        <v/>
      </c>
      <c r="J2434" s="61">
        <f>IF(OR(G2434="",H2434=""),"",ROUND(MOD(H2434-G2434,1)*24,2))</f>
        <v/>
      </c>
      <c r="K2434" s="62">
        <f>IF(E2434="","",IF(E2434="Werken","JA","NEE"))</f>
        <v/>
      </c>
      <c r="L2434" s="61">
        <f>IF(K2434="JA",N(J2434),IF(E2434="","",0))</f>
        <v/>
      </c>
      <c r="M2434" s="62">
        <f>IF(AND(A2434="",E2434=""),"",IF(E2434="","Segment ontbreekt",IF(OR(G2434="",H2434=""),"Van/tot ontbreekt",IF(N(J2434)=0,"Duur is nul",IF(N(J2434)&gt;12,"Langer dan 12 uur - controleren",IF(AND(E2434="Werken",D2434=""),"Werken zonder klant - koppelen","OK"))))))</f>
        <v/>
      </c>
    </row>
    <row r="2435" ht="15" customHeight="1" s="42">
      <c r="A2435" s="55" t="n"/>
      <c r="B2435" s="56">
        <f>IF(A2435="","",WEEKNUM(A2435,21))</f>
        <v/>
      </c>
      <c r="C2435" s="57" t="n"/>
      <c r="D2435" s="57" t="n"/>
      <c r="E2435" s="58" t="n"/>
      <c r="F2435" s="57" t="n"/>
      <c r="G2435" s="59" t="n"/>
      <c r="H2435" s="59" t="n"/>
      <c r="I2435" s="60">
        <f>IF(OR(G2435="",H2435=""),"",MOD(H2435-G2435,1))</f>
        <v/>
      </c>
      <c r="J2435" s="61">
        <f>IF(OR(G2435="",H2435=""),"",ROUND(MOD(H2435-G2435,1)*24,2))</f>
        <v/>
      </c>
      <c r="K2435" s="62">
        <f>IF(E2435="","",IF(E2435="Werken","JA","NEE"))</f>
        <v/>
      </c>
      <c r="L2435" s="61">
        <f>IF(K2435="JA",N(J2435),IF(E2435="","",0))</f>
        <v/>
      </c>
      <c r="M2435" s="62">
        <f>IF(AND(A2435="",E2435=""),"",IF(E2435="","Segment ontbreekt",IF(OR(G2435="",H2435=""),"Van/tot ontbreekt",IF(N(J2435)=0,"Duur is nul",IF(N(J2435)&gt;12,"Langer dan 12 uur - controleren",IF(AND(E2435="Werken",D2435=""),"Werken zonder klant - koppelen","OK"))))))</f>
        <v/>
      </c>
    </row>
    <row r="2436" ht="15" customHeight="1" s="42">
      <c r="A2436" s="55" t="n"/>
      <c r="B2436" s="56">
        <f>IF(A2436="","",WEEKNUM(A2436,21))</f>
        <v/>
      </c>
      <c r="C2436" s="57" t="n"/>
      <c r="D2436" s="57" t="n"/>
      <c r="E2436" s="58" t="n"/>
      <c r="F2436" s="57" t="n"/>
      <c r="G2436" s="59" t="n"/>
      <c r="H2436" s="59" t="n"/>
      <c r="I2436" s="60">
        <f>IF(OR(G2436="",H2436=""),"",MOD(H2436-G2436,1))</f>
        <v/>
      </c>
      <c r="J2436" s="61">
        <f>IF(OR(G2436="",H2436=""),"",ROUND(MOD(H2436-G2436,1)*24,2))</f>
        <v/>
      </c>
      <c r="K2436" s="62">
        <f>IF(E2436="","",IF(E2436="Werken","JA","NEE"))</f>
        <v/>
      </c>
      <c r="L2436" s="61">
        <f>IF(K2436="JA",N(J2436),IF(E2436="","",0))</f>
        <v/>
      </c>
      <c r="M2436" s="62">
        <f>IF(AND(A2436="",E2436=""),"",IF(E2436="","Segment ontbreekt",IF(OR(G2436="",H2436=""),"Van/tot ontbreekt",IF(N(J2436)=0,"Duur is nul",IF(N(J2436)&gt;12,"Langer dan 12 uur - controleren",IF(AND(E2436="Werken",D2436=""),"Werken zonder klant - koppelen","OK"))))))</f>
        <v/>
      </c>
    </row>
    <row r="2437" ht="15" customHeight="1" s="42">
      <c r="A2437" s="55" t="n"/>
      <c r="B2437" s="56">
        <f>IF(A2437="","",WEEKNUM(A2437,21))</f>
        <v/>
      </c>
      <c r="C2437" s="57" t="n"/>
      <c r="D2437" s="57" t="n"/>
      <c r="E2437" s="58" t="n"/>
      <c r="F2437" s="57" t="n"/>
      <c r="G2437" s="59" t="n"/>
      <c r="H2437" s="59" t="n"/>
      <c r="I2437" s="60">
        <f>IF(OR(G2437="",H2437=""),"",MOD(H2437-G2437,1))</f>
        <v/>
      </c>
      <c r="J2437" s="61">
        <f>IF(OR(G2437="",H2437=""),"",ROUND(MOD(H2437-G2437,1)*24,2))</f>
        <v/>
      </c>
      <c r="K2437" s="62">
        <f>IF(E2437="","",IF(E2437="Werken","JA","NEE"))</f>
        <v/>
      </c>
      <c r="L2437" s="61">
        <f>IF(K2437="JA",N(J2437),IF(E2437="","",0))</f>
        <v/>
      </c>
      <c r="M2437" s="62">
        <f>IF(AND(A2437="",E2437=""),"",IF(E2437="","Segment ontbreekt",IF(OR(G2437="",H2437=""),"Van/tot ontbreekt",IF(N(J2437)=0,"Duur is nul",IF(N(J2437)&gt;12,"Langer dan 12 uur - controleren",IF(AND(E2437="Werken",D2437=""),"Werken zonder klant - koppelen","OK"))))))</f>
        <v/>
      </c>
    </row>
    <row r="2438" ht="15" customHeight="1" s="42">
      <c r="A2438" s="55" t="n"/>
      <c r="B2438" s="56">
        <f>IF(A2438="","",WEEKNUM(A2438,21))</f>
        <v/>
      </c>
      <c r="C2438" s="57" t="n"/>
      <c r="D2438" s="57" t="n"/>
      <c r="E2438" s="58" t="n"/>
      <c r="F2438" s="57" t="n"/>
      <c r="G2438" s="59" t="n"/>
      <c r="H2438" s="59" t="n"/>
      <c r="I2438" s="60">
        <f>IF(OR(G2438="",H2438=""),"",MOD(H2438-G2438,1))</f>
        <v/>
      </c>
      <c r="J2438" s="61">
        <f>IF(OR(G2438="",H2438=""),"",ROUND(MOD(H2438-G2438,1)*24,2))</f>
        <v/>
      </c>
      <c r="K2438" s="62">
        <f>IF(E2438="","",IF(E2438="Werken","JA","NEE"))</f>
        <v/>
      </c>
      <c r="L2438" s="61">
        <f>IF(K2438="JA",N(J2438),IF(E2438="","",0))</f>
        <v/>
      </c>
      <c r="M2438" s="62">
        <f>IF(AND(A2438="",E2438=""),"",IF(E2438="","Segment ontbreekt",IF(OR(G2438="",H2438=""),"Van/tot ontbreekt",IF(N(J2438)=0,"Duur is nul",IF(N(J2438)&gt;12,"Langer dan 12 uur - controleren",IF(AND(E2438="Werken",D2438=""),"Werken zonder klant - koppelen","OK"))))))</f>
        <v/>
      </c>
    </row>
    <row r="2439" ht="15" customHeight="1" s="42">
      <c r="A2439" s="55" t="n"/>
      <c r="B2439" s="56">
        <f>IF(A2439="","",WEEKNUM(A2439,21))</f>
        <v/>
      </c>
      <c r="C2439" s="57" t="n"/>
      <c r="D2439" s="57" t="n"/>
      <c r="E2439" s="58" t="n"/>
      <c r="F2439" s="57" t="n"/>
      <c r="G2439" s="59" t="n"/>
      <c r="H2439" s="59" t="n"/>
      <c r="I2439" s="60">
        <f>IF(OR(G2439="",H2439=""),"",MOD(H2439-G2439,1))</f>
        <v/>
      </c>
      <c r="J2439" s="61">
        <f>IF(OR(G2439="",H2439=""),"",ROUND(MOD(H2439-G2439,1)*24,2))</f>
        <v/>
      </c>
      <c r="K2439" s="62">
        <f>IF(E2439="","",IF(E2439="Werken","JA","NEE"))</f>
        <v/>
      </c>
      <c r="L2439" s="61">
        <f>IF(K2439="JA",N(J2439),IF(E2439="","",0))</f>
        <v/>
      </c>
      <c r="M2439" s="62">
        <f>IF(AND(A2439="",E2439=""),"",IF(E2439="","Segment ontbreekt",IF(OR(G2439="",H2439=""),"Van/tot ontbreekt",IF(N(J2439)=0,"Duur is nul",IF(N(J2439)&gt;12,"Langer dan 12 uur - controleren",IF(AND(E2439="Werken",D2439=""),"Werken zonder klant - koppelen","OK"))))))</f>
        <v/>
      </c>
    </row>
    <row r="2440" ht="15" customHeight="1" s="42">
      <c r="A2440" s="55" t="n"/>
      <c r="B2440" s="56">
        <f>IF(A2440="","",WEEKNUM(A2440,21))</f>
        <v/>
      </c>
      <c r="C2440" s="57" t="n"/>
      <c r="D2440" s="57" t="n"/>
      <c r="E2440" s="58" t="n"/>
      <c r="F2440" s="57" t="n"/>
      <c r="G2440" s="59" t="n"/>
      <c r="H2440" s="59" t="n"/>
      <c r="I2440" s="60">
        <f>IF(OR(G2440="",H2440=""),"",MOD(H2440-G2440,1))</f>
        <v/>
      </c>
      <c r="J2440" s="61">
        <f>IF(OR(G2440="",H2440=""),"",ROUND(MOD(H2440-G2440,1)*24,2))</f>
        <v/>
      </c>
      <c r="K2440" s="62">
        <f>IF(E2440="","",IF(E2440="Werken","JA","NEE"))</f>
        <v/>
      </c>
      <c r="L2440" s="61">
        <f>IF(K2440="JA",N(J2440),IF(E2440="","",0))</f>
        <v/>
      </c>
      <c r="M2440" s="62">
        <f>IF(AND(A2440="",E2440=""),"",IF(E2440="","Segment ontbreekt",IF(OR(G2440="",H2440=""),"Van/tot ontbreekt",IF(N(J2440)=0,"Duur is nul",IF(N(J2440)&gt;12,"Langer dan 12 uur - controleren",IF(AND(E2440="Werken",D2440=""),"Werken zonder klant - koppelen","OK"))))))</f>
        <v/>
      </c>
    </row>
    <row r="2441" ht="15" customHeight="1" s="42">
      <c r="A2441" s="55" t="n"/>
      <c r="B2441" s="56">
        <f>IF(A2441="","",WEEKNUM(A2441,21))</f>
        <v/>
      </c>
      <c r="C2441" s="57" t="n"/>
      <c r="D2441" s="57" t="n"/>
      <c r="E2441" s="58" t="n"/>
      <c r="F2441" s="57" t="n"/>
      <c r="G2441" s="59" t="n"/>
      <c r="H2441" s="59" t="n"/>
      <c r="I2441" s="60">
        <f>IF(OR(G2441="",H2441=""),"",MOD(H2441-G2441,1))</f>
        <v/>
      </c>
      <c r="J2441" s="61">
        <f>IF(OR(G2441="",H2441=""),"",ROUND(MOD(H2441-G2441,1)*24,2))</f>
        <v/>
      </c>
      <c r="K2441" s="62">
        <f>IF(E2441="","",IF(E2441="Werken","JA","NEE"))</f>
        <v/>
      </c>
      <c r="L2441" s="61">
        <f>IF(K2441="JA",N(J2441),IF(E2441="","",0))</f>
        <v/>
      </c>
      <c r="M2441" s="62">
        <f>IF(AND(A2441="",E2441=""),"",IF(E2441="","Segment ontbreekt",IF(OR(G2441="",H2441=""),"Van/tot ontbreekt",IF(N(J2441)=0,"Duur is nul",IF(N(J2441)&gt;12,"Langer dan 12 uur - controleren",IF(AND(E2441="Werken",D2441=""),"Werken zonder klant - koppelen","OK"))))))</f>
        <v/>
      </c>
    </row>
    <row r="2442" ht="15" customHeight="1" s="42">
      <c r="A2442" s="55" t="n"/>
      <c r="B2442" s="56">
        <f>IF(A2442="","",WEEKNUM(A2442,21))</f>
        <v/>
      </c>
      <c r="C2442" s="57" t="n"/>
      <c r="D2442" s="57" t="n"/>
      <c r="E2442" s="58" t="n"/>
      <c r="F2442" s="57" t="n"/>
      <c r="G2442" s="59" t="n"/>
      <c r="H2442" s="59" t="n"/>
      <c r="I2442" s="60">
        <f>IF(OR(G2442="",H2442=""),"",MOD(H2442-G2442,1))</f>
        <v/>
      </c>
      <c r="J2442" s="61">
        <f>IF(OR(G2442="",H2442=""),"",ROUND(MOD(H2442-G2442,1)*24,2))</f>
        <v/>
      </c>
      <c r="K2442" s="62">
        <f>IF(E2442="","",IF(E2442="Werken","JA","NEE"))</f>
        <v/>
      </c>
      <c r="L2442" s="61">
        <f>IF(K2442="JA",N(J2442),IF(E2442="","",0))</f>
        <v/>
      </c>
      <c r="M2442" s="62">
        <f>IF(AND(A2442="",E2442=""),"",IF(E2442="","Segment ontbreekt",IF(OR(G2442="",H2442=""),"Van/tot ontbreekt",IF(N(J2442)=0,"Duur is nul",IF(N(J2442)&gt;12,"Langer dan 12 uur - controleren",IF(AND(E2442="Werken",D2442=""),"Werken zonder klant - koppelen","OK"))))))</f>
        <v/>
      </c>
    </row>
    <row r="2443" ht="15" customHeight="1" s="42">
      <c r="A2443" s="55" t="n"/>
      <c r="B2443" s="56">
        <f>IF(A2443="","",WEEKNUM(A2443,21))</f>
        <v/>
      </c>
      <c r="C2443" s="57" t="n"/>
      <c r="D2443" s="57" t="n"/>
      <c r="E2443" s="58" t="n"/>
      <c r="F2443" s="57" t="n"/>
      <c r="G2443" s="59" t="n"/>
      <c r="H2443" s="59" t="n"/>
      <c r="I2443" s="60">
        <f>IF(OR(G2443="",H2443=""),"",MOD(H2443-G2443,1))</f>
        <v/>
      </c>
      <c r="J2443" s="61">
        <f>IF(OR(G2443="",H2443=""),"",ROUND(MOD(H2443-G2443,1)*24,2))</f>
        <v/>
      </c>
      <c r="K2443" s="62">
        <f>IF(E2443="","",IF(E2443="Werken","JA","NEE"))</f>
        <v/>
      </c>
      <c r="L2443" s="61">
        <f>IF(K2443="JA",N(J2443),IF(E2443="","",0))</f>
        <v/>
      </c>
      <c r="M2443" s="62">
        <f>IF(AND(A2443="",E2443=""),"",IF(E2443="","Segment ontbreekt",IF(OR(G2443="",H2443=""),"Van/tot ontbreekt",IF(N(J2443)=0,"Duur is nul",IF(N(J2443)&gt;12,"Langer dan 12 uur - controleren",IF(AND(E2443="Werken",D2443=""),"Werken zonder klant - koppelen","OK"))))))</f>
        <v/>
      </c>
    </row>
    <row r="2444" ht="15" customHeight="1" s="42">
      <c r="A2444" s="55" t="n"/>
      <c r="B2444" s="56">
        <f>IF(A2444="","",WEEKNUM(A2444,21))</f>
        <v/>
      </c>
      <c r="C2444" s="57" t="n"/>
      <c r="D2444" s="57" t="n"/>
      <c r="E2444" s="58" t="n"/>
      <c r="F2444" s="57" t="n"/>
      <c r="G2444" s="59" t="n"/>
      <c r="H2444" s="59" t="n"/>
      <c r="I2444" s="60">
        <f>IF(OR(G2444="",H2444=""),"",MOD(H2444-G2444,1))</f>
        <v/>
      </c>
      <c r="J2444" s="61">
        <f>IF(OR(G2444="",H2444=""),"",ROUND(MOD(H2444-G2444,1)*24,2))</f>
        <v/>
      </c>
      <c r="K2444" s="62">
        <f>IF(E2444="","",IF(E2444="Werken","JA","NEE"))</f>
        <v/>
      </c>
      <c r="L2444" s="61">
        <f>IF(K2444="JA",N(J2444),IF(E2444="","",0))</f>
        <v/>
      </c>
      <c r="M2444" s="62">
        <f>IF(AND(A2444="",E2444=""),"",IF(E2444="","Segment ontbreekt",IF(OR(G2444="",H2444=""),"Van/tot ontbreekt",IF(N(J2444)=0,"Duur is nul",IF(N(J2444)&gt;12,"Langer dan 12 uur - controleren",IF(AND(E2444="Werken",D2444=""),"Werken zonder klant - koppelen","OK"))))))</f>
        <v/>
      </c>
    </row>
    <row r="2445" ht="15" customHeight="1" s="42">
      <c r="A2445" s="55" t="n"/>
      <c r="B2445" s="56">
        <f>IF(A2445="","",WEEKNUM(A2445,21))</f>
        <v/>
      </c>
      <c r="C2445" s="57" t="n"/>
      <c r="D2445" s="57" t="n"/>
      <c r="E2445" s="58" t="n"/>
      <c r="F2445" s="57" t="n"/>
      <c r="G2445" s="59" t="n"/>
      <c r="H2445" s="59" t="n"/>
      <c r="I2445" s="60">
        <f>IF(OR(G2445="",H2445=""),"",MOD(H2445-G2445,1))</f>
        <v/>
      </c>
      <c r="J2445" s="61">
        <f>IF(OR(G2445="",H2445=""),"",ROUND(MOD(H2445-G2445,1)*24,2))</f>
        <v/>
      </c>
      <c r="K2445" s="62">
        <f>IF(E2445="","",IF(E2445="Werken","JA","NEE"))</f>
        <v/>
      </c>
      <c r="L2445" s="61">
        <f>IF(K2445="JA",N(J2445),IF(E2445="","",0))</f>
        <v/>
      </c>
      <c r="M2445" s="62">
        <f>IF(AND(A2445="",E2445=""),"",IF(E2445="","Segment ontbreekt",IF(OR(G2445="",H2445=""),"Van/tot ontbreekt",IF(N(J2445)=0,"Duur is nul",IF(N(J2445)&gt;12,"Langer dan 12 uur - controleren",IF(AND(E2445="Werken",D2445=""),"Werken zonder klant - koppelen","OK"))))))</f>
        <v/>
      </c>
    </row>
    <row r="2446" ht="15" customHeight="1" s="42">
      <c r="A2446" s="55" t="n"/>
      <c r="B2446" s="56">
        <f>IF(A2446="","",WEEKNUM(A2446,21))</f>
        <v/>
      </c>
      <c r="C2446" s="57" t="n"/>
      <c r="D2446" s="57" t="n"/>
      <c r="E2446" s="58" t="n"/>
      <c r="F2446" s="57" t="n"/>
      <c r="G2446" s="59" t="n"/>
      <c r="H2446" s="59" t="n"/>
      <c r="I2446" s="60">
        <f>IF(OR(G2446="",H2446=""),"",MOD(H2446-G2446,1))</f>
        <v/>
      </c>
      <c r="J2446" s="61">
        <f>IF(OR(G2446="",H2446=""),"",ROUND(MOD(H2446-G2446,1)*24,2))</f>
        <v/>
      </c>
      <c r="K2446" s="62">
        <f>IF(E2446="","",IF(E2446="Werken","JA","NEE"))</f>
        <v/>
      </c>
      <c r="L2446" s="61">
        <f>IF(K2446="JA",N(J2446),IF(E2446="","",0))</f>
        <v/>
      </c>
      <c r="M2446" s="62">
        <f>IF(AND(A2446="",E2446=""),"",IF(E2446="","Segment ontbreekt",IF(OR(G2446="",H2446=""),"Van/tot ontbreekt",IF(N(J2446)=0,"Duur is nul",IF(N(J2446)&gt;12,"Langer dan 12 uur - controleren",IF(AND(E2446="Werken",D2446=""),"Werken zonder klant - koppelen","OK"))))))</f>
        <v/>
      </c>
    </row>
    <row r="2447" ht="15" customHeight="1" s="42">
      <c r="A2447" s="55" t="n"/>
      <c r="B2447" s="56">
        <f>IF(A2447="","",WEEKNUM(A2447,21))</f>
        <v/>
      </c>
      <c r="C2447" s="57" t="n"/>
      <c r="D2447" s="57" t="n"/>
      <c r="E2447" s="58" t="n"/>
      <c r="F2447" s="57" t="n"/>
      <c r="G2447" s="59" t="n"/>
      <c r="H2447" s="59" t="n"/>
      <c r="I2447" s="60">
        <f>IF(OR(G2447="",H2447=""),"",MOD(H2447-G2447,1))</f>
        <v/>
      </c>
      <c r="J2447" s="61">
        <f>IF(OR(G2447="",H2447=""),"",ROUND(MOD(H2447-G2447,1)*24,2))</f>
        <v/>
      </c>
      <c r="K2447" s="62">
        <f>IF(E2447="","",IF(E2447="Werken","JA","NEE"))</f>
        <v/>
      </c>
      <c r="L2447" s="61">
        <f>IF(K2447="JA",N(J2447),IF(E2447="","",0))</f>
        <v/>
      </c>
      <c r="M2447" s="62">
        <f>IF(AND(A2447="",E2447=""),"",IF(E2447="","Segment ontbreekt",IF(OR(G2447="",H2447=""),"Van/tot ontbreekt",IF(N(J2447)=0,"Duur is nul",IF(N(J2447)&gt;12,"Langer dan 12 uur - controleren",IF(AND(E2447="Werken",D2447=""),"Werken zonder klant - koppelen","OK"))))))</f>
        <v/>
      </c>
    </row>
    <row r="2448" ht="15" customHeight="1" s="42">
      <c r="A2448" s="55" t="n"/>
      <c r="B2448" s="56">
        <f>IF(A2448="","",WEEKNUM(A2448,21))</f>
        <v/>
      </c>
      <c r="C2448" s="57" t="n"/>
      <c r="D2448" s="57" t="n"/>
      <c r="E2448" s="58" t="n"/>
      <c r="F2448" s="57" t="n"/>
      <c r="G2448" s="59" t="n"/>
      <c r="H2448" s="59" t="n"/>
      <c r="I2448" s="60">
        <f>IF(OR(G2448="",H2448=""),"",MOD(H2448-G2448,1))</f>
        <v/>
      </c>
      <c r="J2448" s="61">
        <f>IF(OR(G2448="",H2448=""),"",ROUND(MOD(H2448-G2448,1)*24,2))</f>
        <v/>
      </c>
      <c r="K2448" s="62">
        <f>IF(E2448="","",IF(E2448="Werken","JA","NEE"))</f>
        <v/>
      </c>
      <c r="L2448" s="61">
        <f>IF(K2448="JA",N(J2448),IF(E2448="","",0))</f>
        <v/>
      </c>
      <c r="M2448" s="62">
        <f>IF(AND(A2448="",E2448=""),"",IF(E2448="","Segment ontbreekt",IF(OR(G2448="",H2448=""),"Van/tot ontbreekt",IF(N(J2448)=0,"Duur is nul",IF(N(J2448)&gt;12,"Langer dan 12 uur - controleren",IF(AND(E2448="Werken",D2448=""),"Werken zonder klant - koppelen","OK"))))))</f>
        <v/>
      </c>
    </row>
    <row r="2449" ht="15" customHeight="1" s="42">
      <c r="A2449" s="55" t="n"/>
      <c r="B2449" s="56">
        <f>IF(A2449="","",WEEKNUM(A2449,21))</f>
        <v/>
      </c>
      <c r="C2449" s="57" t="n"/>
      <c r="D2449" s="57" t="n"/>
      <c r="E2449" s="58" t="n"/>
      <c r="F2449" s="57" t="n"/>
      <c r="G2449" s="59" t="n"/>
      <c r="H2449" s="59" t="n"/>
      <c r="I2449" s="60">
        <f>IF(OR(G2449="",H2449=""),"",MOD(H2449-G2449,1))</f>
        <v/>
      </c>
      <c r="J2449" s="61">
        <f>IF(OR(G2449="",H2449=""),"",ROUND(MOD(H2449-G2449,1)*24,2))</f>
        <v/>
      </c>
      <c r="K2449" s="62">
        <f>IF(E2449="","",IF(E2449="Werken","JA","NEE"))</f>
        <v/>
      </c>
      <c r="L2449" s="61">
        <f>IF(K2449="JA",N(J2449),IF(E2449="","",0))</f>
        <v/>
      </c>
      <c r="M2449" s="62">
        <f>IF(AND(A2449="",E2449=""),"",IF(E2449="","Segment ontbreekt",IF(OR(G2449="",H2449=""),"Van/tot ontbreekt",IF(N(J2449)=0,"Duur is nul",IF(N(J2449)&gt;12,"Langer dan 12 uur - controleren",IF(AND(E2449="Werken",D2449=""),"Werken zonder klant - koppelen","OK"))))))</f>
        <v/>
      </c>
    </row>
    <row r="2450" ht="15" customHeight="1" s="42">
      <c r="A2450" s="55" t="n"/>
      <c r="B2450" s="56">
        <f>IF(A2450="","",WEEKNUM(A2450,21))</f>
        <v/>
      </c>
      <c r="C2450" s="57" t="n"/>
      <c r="D2450" s="57" t="n"/>
      <c r="E2450" s="58" t="n"/>
      <c r="F2450" s="57" t="n"/>
      <c r="G2450" s="59" t="n"/>
      <c r="H2450" s="59" t="n"/>
      <c r="I2450" s="60">
        <f>IF(OR(G2450="",H2450=""),"",MOD(H2450-G2450,1))</f>
        <v/>
      </c>
      <c r="J2450" s="61">
        <f>IF(OR(G2450="",H2450=""),"",ROUND(MOD(H2450-G2450,1)*24,2))</f>
        <v/>
      </c>
      <c r="K2450" s="62">
        <f>IF(E2450="","",IF(E2450="Werken","JA","NEE"))</f>
        <v/>
      </c>
      <c r="L2450" s="61">
        <f>IF(K2450="JA",N(J2450),IF(E2450="","",0))</f>
        <v/>
      </c>
      <c r="M2450" s="62">
        <f>IF(AND(A2450="",E2450=""),"",IF(E2450="","Segment ontbreekt",IF(OR(G2450="",H2450=""),"Van/tot ontbreekt",IF(N(J2450)=0,"Duur is nul",IF(N(J2450)&gt;12,"Langer dan 12 uur - controleren",IF(AND(E2450="Werken",D2450=""),"Werken zonder klant - koppelen","OK"))))))</f>
        <v/>
      </c>
    </row>
    <row r="2451" ht="15" customHeight="1" s="42">
      <c r="A2451" s="55" t="n"/>
      <c r="B2451" s="56">
        <f>IF(A2451="","",WEEKNUM(A2451,21))</f>
        <v/>
      </c>
      <c r="C2451" s="57" t="n"/>
      <c r="D2451" s="57" t="n"/>
      <c r="E2451" s="58" t="n"/>
      <c r="F2451" s="57" t="n"/>
      <c r="G2451" s="59" t="n"/>
      <c r="H2451" s="59" t="n"/>
      <c r="I2451" s="60">
        <f>IF(OR(G2451="",H2451=""),"",MOD(H2451-G2451,1))</f>
        <v/>
      </c>
      <c r="J2451" s="61">
        <f>IF(OR(G2451="",H2451=""),"",ROUND(MOD(H2451-G2451,1)*24,2))</f>
        <v/>
      </c>
      <c r="K2451" s="62">
        <f>IF(E2451="","",IF(E2451="Werken","JA","NEE"))</f>
        <v/>
      </c>
      <c r="L2451" s="61">
        <f>IF(K2451="JA",N(J2451),IF(E2451="","",0))</f>
        <v/>
      </c>
      <c r="M2451" s="62">
        <f>IF(AND(A2451="",E2451=""),"",IF(E2451="","Segment ontbreekt",IF(OR(G2451="",H2451=""),"Van/tot ontbreekt",IF(N(J2451)=0,"Duur is nul",IF(N(J2451)&gt;12,"Langer dan 12 uur - controleren",IF(AND(E2451="Werken",D2451=""),"Werken zonder klant - koppelen","OK"))))))</f>
        <v/>
      </c>
    </row>
    <row r="2452" ht="15" customHeight="1" s="42">
      <c r="A2452" s="55" t="n"/>
      <c r="B2452" s="56">
        <f>IF(A2452="","",WEEKNUM(A2452,21))</f>
        <v/>
      </c>
      <c r="C2452" s="57" t="n"/>
      <c r="D2452" s="57" t="n"/>
      <c r="E2452" s="58" t="n"/>
      <c r="F2452" s="57" t="n"/>
      <c r="G2452" s="59" t="n"/>
      <c r="H2452" s="59" t="n"/>
      <c r="I2452" s="60">
        <f>IF(OR(G2452="",H2452=""),"",MOD(H2452-G2452,1))</f>
        <v/>
      </c>
      <c r="J2452" s="61">
        <f>IF(OR(G2452="",H2452=""),"",ROUND(MOD(H2452-G2452,1)*24,2))</f>
        <v/>
      </c>
      <c r="K2452" s="62">
        <f>IF(E2452="","",IF(E2452="Werken","JA","NEE"))</f>
        <v/>
      </c>
      <c r="L2452" s="61">
        <f>IF(K2452="JA",N(J2452),IF(E2452="","",0))</f>
        <v/>
      </c>
      <c r="M2452" s="62">
        <f>IF(AND(A2452="",E2452=""),"",IF(E2452="","Segment ontbreekt",IF(OR(G2452="",H2452=""),"Van/tot ontbreekt",IF(N(J2452)=0,"Duur is nul",IF(N(J2452)&gt;12,"Langer dan 12 uur - controleren",IF(AND(E2452="Werken",D2452=""),"Werken zonder klant - koppelen","OK"))))))</f>
        <v/>
      </c>
    </row>
    <row r="2453" ht="15" customHeight="1" s="42">
      <c r="A2453" s="55" t="n"/>
      <c r="B2453" s="56">
        <f>IF(A2453="","",WEEKNUM(A2453,21))</f>
        <v/>
      </c>
      <c r="C2453" s="57" t="n"/>
      <c r="D2453" s="57" t="n"/>
      <c r="E2453" s="58" t="n"/>
      <c r="F2453" s="57" t="n"/>
      <c r="G2453" s="59" t="n"/>
      <c r="H2453" s="59" t="n"/>
      <c r="I2453" s="60">
        <f>IF(OR(G2453="",H2453=""),"",MOD(H2453-G2453,1))</f>
        <v/>
      </c>
      <c r="J2453" s="61">
        <f>IF(OR(G2453="",H2453=""),"",ROUND(MOD(H2453-G2453,1)*24,2))</f>
        <v/>
      </c>
      <c r="K2453" s="62">
        <f>IF(E2453="","",IF(E2453="Werken","JA","NEE"))</f>
        <v/>
      </c>
      <c r="L2453" s="61">
        <f>IF(K2453="JA",N(J2453),IF(E2453="","",0))</f>
        <v/>
      </c>
      <c r="M2453" s="62">
        <f>IF(AND(A2453="",E2453=""),"",IF(E2453="","Segment ontbreekt",IF(OR(G2453="",H2453=""),"Van/tot ontbreekt",IF(N(J2453)=0,"Duur is nul",IF(N(J2453)&gt;12,"Langer dan 12 uur - controleren",IF(AND(E2453="Werken",D2453=""),"Werken zonder klant - koppelen","OK"))))))</f>
        <v/>
      </c>
    </row>
    <row r="2454" ht="15" customHeight="1" s="42">
      <c r="A2454" s="55" t="n"/>
      <c r="B2454" s="56">
        <f>IF(A2454="","",WEEKNUM(A2454,21))</f>
        <v/>
      </c>
      <c r="C2454" s="57" t="n"/>
      <c r="D2454" s="57" t="n"/>
      <c r="E2454" s="58" t="n"/>
      <c r="F2454" s="57" t="n"/>
      <c r="G2454" s="59" t="n"/>
      <c r="H2454" s="59" t="n"/>
      <c r="I2454" s="60">
        <f>IF(OR(G2454="",H2454=""),"",MOD(H2454-G2454,1))</f>
        <v/>
      </c>
      <c r="J2454" s="61">
        <f>IF(OR(G2454="",H2454=""),"",ROUND(MOD(H2454-G2454,1)*24,2))</f>
        <v/>
      </c>
      <c r="K2454" s="62">
        <f>IF(E2454="","",IF(E2454="Werken","JA","NEE"))</f>
        <v/>
      </c>
      <c r="L2454" s="61">
        <f>IF(K2454="JA",N(J2454),IF(E2454="","",0))</f>
        <v/>
      </c>
      <c r="M2454" s="62">
        <f>IF(AND(A2454="",E2454=""),"",IF(E2454="","Segment ontbreekt",IF(OR(G2454="",H2454=""),"Van/tot ontbreekt",IF(N(J2454)=0,"Duur is nul",IF(N(J2454)&gt;12,"Langer dan 12 uur - controleren",IF(AND(E2454="Werken",D2454=""),"Werken zonder klant - koppelen","OK"))))))</f>
        <v/>
      </c>
    </row>
    <row r="2455" ht="15" customHeight="1" s="42">
      <c r="A2455" s="55" t="n"/>
      <c r="B2455" s="56">
        <f>IF(A2455="","",WEEKNUM(A2455,21))</f>
        <v/>
      </c>
      <c r="C2455" s="57" t="n"/>
      <c r="D2455" s="57" t="n"/>
      <c r="E2455" s="58" t="n"/>
      <c r="F2455" s="57" t="n"/>
      <c r="G2455" s="59" t="n"/>
      <c r="H2455" s="59" t="n"/>
      <c r="I2455" s="60">
        <f>IF(OR(G2455="",H2455=""),"",MOD(H2455-G2455,1))</f>
        <v/>
      </c>
      <c r="J2455" s="61">
        <f>IF(OR(G2455="",H2455=""),"",ROUND(MOD(H2455-G2455,1)*24,2))</f>
        <v/>
      </c>
      <c r="K2455" s="62">
        <f>IF(E2455="","",IF(E2455="Werken","JA","NEE"))</f>
        <v/>
      </c>
      <c r="L2455" s="61">
        <f>IF(K2455="JA",N(J2455),IF(E2455="","",0))</f>
        <v/>
      </c>
      <c r="M2455" s="62">
        <f>IF(AND(A2455="",E2455=""),"",IF(E2455="","Segment ontbreekt",IF(OR(G2455="",H2455=""),"Van/tot ontbreekt",IF(N(J2455)=0,"Duur is nul",IF(N(J2455)&gt;12,"Langer dan 12 uur - controleren",IF(AND(E2455="Werken",D2455=""),"Werken zonder klant - koppelen","OK"))))))</f>
        <v/>
      </c>
    </row>
    <row r="2456" ht="15" customHeight="1" s="42">
      <c r="A2456" s="55" t="n"/>
      <c r="B2456" s="56">
        <f>IF(A2456="","",WEEKNUM(A2456,21))</f>
        <v/>
      </c>
      <c r="C2456" s="57" t="n"/>
      <c r="D2456" s="57" t="n"/>
      <c r="E2456" s="58" t="n"/>
      <c r="F2456" s="57" t="n"/>
      <c r="G2456" s="59" t="n"/>
      <c r="H2456" s="59" t="n"/>
      <c r="I2456" s="60">
        <f>IF(OR(G2456="",H2456=""),"",MOD(H2456-G2456,1))</f>
        <v/>
      </c>
      <c r="J2456" s="61">
        <f>IF(OR(G2456="",H2456=""),"",ROUND(MOD(H2456-G2456,1)*24,2))</f>
        <v/>
      </c>
      <c r="K2456" s="62">
        <f>IF(E2456="","",IF(E2456="Werken","JA","NEE"))</f>
        <v/>
      </c>
      <c r="L2456" s="61">
        <f>IF(K2456="JA",N(J2456),IF(E2456="","",0))</f>
        <v/>
      </c>
      <c r="M2456" s="62">
        <f>IF(AND(A2456="",E2456=""),"",IF(E2456="","Segment ontbreekt",IF(OR(G2456="",H2456=""),"Van/tot ontbreekt",IF(N(J2456)=0,"Duur is nul",IF(N(J2456)&gt;12,"Langer dan 12 uur - controleren",IF(AND(E2456="Werken",D2456=""),"Werken zonder klant - koppelen","OK"))))))</f>
        <v/>
      </c>
    </row>
    <row r="2457" ht="15" customHeight="1" s="42">
      <c r="A2457" s="55" t="n"/>
      <c r="B2457" s="56">
        <f>IF(A2457="","",WEEKNUM(A2457,21))</f>
        <v/>
      </c>
      <c r="C2457" s="57" t="n"/>
      <c r="D2457" s="57" t="n"/>
      <c r="E2457" s="58" t="n"/>
      <c r="F2457" s="57" t="n"/>
      <c r="G2457" s="59" t="n"/>
      <c r="H2457" s="59" t="n"/>
      <c r="I2457" s="60">
        <f>IF(OR(G2457="",H2457=""),"",MOD(H2457-G2457,1))</f>
        <v/>
      </c>
      <c r="J2457" s="61">
        <f>IF(OR(G2457="",H2457=""),"",ROUND(MOD(H2457-G2457,1)*24,2))</f>
        <v/>
      </c>
      <c r="K2457" s="62">
        <f>IF(E2457="","",IF(E2457="Werken","JA","NEE"))</f>
        <v/>
      </c>
      <c r="L2457" s="61">
        <f>IF(K2457="JA",N(J2457),IF(E2457="","",0))</f>
        <v/>
      </c>
      <c r="M2457" s="62">
        <f>IF(AND(A2457="",E2457=""),"",IF(E2457="","Segment ontbreekt",IF(OR(G2457="",H2457=""),"Van/tot ontbreekt",IF(N(J2457)=0,"Duur is nul",IF(N(J2457)&gt;12,"Langer dan 12 uur - controleren",IF(AND(E2457="Werken",D2457=""),"Werken zonder klant - koppelen","OK"))))))</f>
        <v/>
      </c>
    </row>
    <row r="2458" ht="15" customHeight="1" s="42">
      <c r="A2458" s="55" t="n"/>
      <c r="B2458" s="56">
        <f>IF(A2458="","",WEEKNUM(A2458,21))</f>
        <v/>
      </c>
      <c r="C2458" s="57" t="n"/>
      <c r="D2458" s="57" t="n"/>
      <c r="E2458" s="58" t="n"/>
      <c r="F2458" s="57" t="n"/>
      <c r="G2458" s="59" t="n"/>
      <c r="H2458" s="59" t="n"/>
      <c r="I2458" s="60">
        <f>IF(OR(G2458="",H2458=""),"",MOD(H2458-G2458,1))</f>
        <v/>
      </c>
      <c r="J2458" s="61">
        <f>IF(OR(G2458="",H2458=""),"",ROUND(MOD(H2458-G2458,1)*24,2))</f>
        <v/>
      </c>
      <c r="K2458" s="62">
        <f>IF(E2458="","",IF(E2458="Werken","JA","NEE"))</f>
        <v/>
      </c>
      <c r="L2458" s="61">
        <f>IF(K2458="JA",N(J2458),IF(E2458="","",0))</f>
        <v/>
      </c>
      <c r="M2458" s="62">
        <f>IF(AND(A2458="",E2458=""),"",IF(E2458="","Segment ontbreekt",IF(OR(G2458="",H2458=""),"Van/tot ontbreekt",IF(N(J2458)=0,"Duur is nul",IF(N(J2458)&gt;12,"Langer dan 12 uur - controleren",IF(AND(E2458="Werken",D2458=""),"Werken zonder klant - koppelen","OK"))))))</f>
        <v/>
      </c>
    </row>
    <row r="2459" ht="15" customHeight="1" s="42">
      <c r="A2459" s="55" t="n"/>
      <c r="B2459" s="56">
        <f>IF(A2459="","",WEEKNUM(A2459,21))</f>
        <v/>
      </c>
      <c r="C2459" s="57" t="n"/>
      <c r="D2459" s="57" t="n"/>
      <c r="E2459" s="58" t="n"/>
      <c r="F2459" s="57" t="n"/>
      <c r="G2459" s="59" t="n"/>
      <c r="H2459" s="59" t="n"/>
      <c r="I2459" s="60">
        <f>IF(OR(G2459="",H2459=""),"",MOD(H2459-G2459,1))</f>
        <v/>
      </c>
      <c r="J2459" s="61">
        <f>IF(OR(G2459="",H2459=""),"",ROUND(MOD(H2459-G2459,1)*24,2))</f>
        <v/>
      </c>
      <c r="K2459" s="62">
        <f>IF(E2459="","",IF(E2459="Werken","JA","NEE"))</f>
        <v/>
      </c>
      <c r="L2459" s="61">
        <f>IF(K2459="JA",N(J2459),IF(E2459="","",0))</f>
        <v/>
      </c>
      <c r="M2459" s="62">
        <f>IF(AND(A2459="",E2459=""),"",IF(E2459="","Segment ontbreekt",IF(OR(G2459="",H2459=""),"Van/tot ontbreekt",IF(N(J2459)=0,"Duur is nul",IF(N(J2459)&gt;12,"Langer dan 12 uur - controleren",IF(AND(E2459="Werken",D2459=""),"Werken zonder klant - koppelen","OK"))))))</f>
        <v/>
      </c>
    </row>
    <row r="2460" ht="15" customHeight="1" s="42">
      <c r="A2460" s="55" t="n"/>
      <c r="B2460" s="56">
        <f>IF(A2460="","",WEEKNUM(A2460,21))</f>
        <v/>
      </c>
      <c r="C2460" s="57" t="n"/>
      <c r="D2460" s="57" t="n"/>
      <c r="E2460" s="58" t="n"/>
      <c r="F2460" s="57" t="n"/>
      <c r="G2460" s="59" t="n"/>
      <c r="H2460" s="59" t="n"/>
      <c r="I2460" s="60">
        <f>IF(OR(G2460="",H2460=""),"",MOD(H2460-G2460,1))</f>
        <v/>
      </c>
      <c r="J2460" s="61">
        <f>IF(OR(G2460="",H2460=""),"",ROUND(MOD(H2460-G2460,1)*24,2))</f>
        <v/>
      </c>
      <c r="K2460" s="62">
        <f>IF(E2460="","",IF(E2460="Werken","JA","NEE"))</f>
        <v/>
      </c>
      <c r="L2460" s="61">
        <f>IF(K2460="JA",N(J2460),IF(E2460="","",0))</f>
        <v/>
      </c>
      <c r="M2460" s="62">
        <f>IF(AND(A2460="",E2460=""),"",IF(E2460="","Segment ontbreekt",IF(OR(G2460="",H2460=""),"Van/tot ontbreekt",IF(N(J2460)=0,"Duur is nul",IF(N(J2460)&gt;12,"Langer dan 12 uur - controleren",IF(AND(E2460="Werken",D2460=""),"Werken zonder klant - koppelen","OK"))))))</f>
        <v/>
      </c>
    </row>
    <row r="2461" ht="15" customHeight="1" s="42">
      <c r="A2461" s="55" t="n"/>
      <c r="B2461" s="56">
        <f>IF(A2461="","",WEEKNUM(A2461,21))</f>
        <v/>
      </c>
      <c r="C2461" s="57" t="n"/>
      <c r="D2461" s="57" t="n"/>
      <c r="E2461" s="58" t="n"/>
      <c r="F2461" s="57" t="n"/>
      <c r="G2461" s="59" t="n"/>
      <c r="H2461" s="59" t="n"/>
      <c r="I2461" s="60">
        <f>IF(OR(G2461="",H2461=""),"",MOD(H2461-G2461,1))</f>
        <v/>
      </c>
      <c r="J2461" s="61">
        <f>IF(OR(G2461="",H2461=""),"",ROUND(MOD(H2461-G2461,1)*24,2))</f>
        <v/>
      </c>
      <c r="K2461" s="62">
        <f>IF(E2461="","",IF(E2461="Werken","JA","NEE"))</f>
        <v/>
      </c>
      <c r="L2461" s="61">
        <f>IF(K2461="JA",N(J2461),IF(E2461="","",0))</f>
        <v/>
      </c>
      <c r="M2461" s="62">
        <f>IF(AND(A2461="",E2461=""),"",IF(E2461="","Segment ontbreekt",IF(OR(G2461="",H2461=""),"Van/tot ontbreekt",IF(N(J2461)=0,"Duur is nul",IF(N(J2461)&gt;12,"Langer dan 12 uur - controleren",IF(AND(E2461="Werken",D2461=""),"Werken zonder klant - koppelen","OK"))))))</f>
        <v/>
      </c>
    </row>
    <row r="2462" ht="15" customHeight="1" s="42">
      <c r="A2462" s="55" t="n"/>
      <c r="B2462" s="56">
        <f>IF(A2462="","",WEEKNUM(A2462,21))</f>
        <v/>
      </c>
      <c r="C2462" s="57" t="n"/>
      <c r="D2462" s="57" t="n"/>
      <c r="E2462" s="58" t="n"/>
      <c r="F2462" s="57" t="n"/>
      <c r="G2462" s="59" t="n"/>
      <c r="H2462" s="59" t="n"/>
      <c r="I2462" s="60">
        <f>IF(OR(G2462="",H2462=""),"",MOD(H2462-G2462,1))</f>
        <v/>
      </c>
      <c r="J2462" s="61">
        <f>IF(OR(G2462="",H2462=""),"",ROUND(MOD(H2462-G2462,1)*24,2))</f>
        <v/>
      </c>
      <c r="K2462" s="62">
        <f>IF(E2462="","",IF(E2462="Werken","JA","NEE"))</f>
        <v/>
      </c>
      <c r="L2462" s="61">
        <f>IF(K2462="JA",N(J2462),IF(E2462="","",0))</f>
        <v/>
      </c>
      <c r="M2462" s="62">
        <f>IF(AND(A2462="",E2462=""),"",IF(E2462="","Segment ontbreekt",IF(OR(G2462="",H2462=""),"Van/tot ontbreekt",IF(N(J2462)=0,"Duur is nul",IF(N(J2462)&gt;12,"Langer dan 12 uur - controleren",IF(AND(E2462="Werken",D2462=""),"Werken zonder klant - koppelen","OK"))))))</f>
        <v/>
      </c>
    </row>
    <row r="2463" ht="15" customHeight="1" s="42">
      <c r="A2463" s="55" t="n"/>
      <c r="B2463" s="56">
        <f>IF(A2463="","",WEEKNUM(A2463,21))</f>
        <v/>
      </c>
      <c r="C2463" s="57" t="n"/>
      <c r="D2463" s="57" t="n"/>
      <c r="E2463" s="58" t="n"/>
      <c r="F2463" s="57" t="n"/>
      <c r="G2463" s="59" t="n"/>
      <c r="H2463" s="59" t="n"/>
      <c r="I2463" s="60">
        <f>IF(OR(G2463="",H2463=""),"",MOD(H2463-G2463,1))</f>
        <v/>
      </c>
      <c r="J2463" s="61">
        <f>IF(OR(G2463="",H2463=""),"",ROUND(MOD(H2463-G2463,1)*24,2))</f>
        <v/>
      </c>
      <c r="K2463" s="62">
        <f>IF(E2463="","",IF(E2463="Werken","JA","NEE"))</f>
        <v/>
      </c>
      <c r="L2463" s="61">
        <f>IF(K2463="JA",N(J2463),IF(E2463="","",0))</f>
        <v/>
      </c>
      <c r="M2463" s="62">
        <f>IF(AND(A2463="",E2463=""),"",IF(E2463="","Segment ontbreekt",IF(OR(G2463="",H2463=""),"Van/tot ontbreekt",IF(N(J2463)=0,"Duur is nul",IF(N(J2463)&gt;12,"Langer dan 12 uur - controleren",IF(AND(E2463="Werken",D2463=""),"Werken zonder klant - koppelen","OK"))))))</f>
        <v/>
      </c>
    </row>
    <row r="2464" ht="15" customHeight="1" s="42">
      <c r="A2464" s="55" t="n"/>
      <c r="B2464" s="56">
        <f>IF(A2464="","",WEEKNUM(A2464,21))</f>
        <v/>
      </c>
      <c r="C2464" s="57" t="n"/>
      <c r="D2464" s="57" t="n"/>
      <c r="E2464" s="58" t="n"/>
      <c r="F2464" s="57" t="n"/>
      <c r="G2464" s="59" t="n"/>
      <c r="H2464" s="59" t="n"/>
      <c r="I2464" s="60">
        <f>IF(OR(G2464="",H2464=""),"",MOD(H2464-G2464,1))</f>
        <v/>
      </c>
      <c r="J2464" s="61">
        <f>IF(OR(G2464="",H2464=""),"",ROUND(MOD(H2464-G2464,1)*24,2))</f>
        <v/>
      </c>
      <c r="K2464" s="62">
        <f>IF(E2464="","",IF(E2464="Werken","JA","NEE"))</f>
        <v/>
      </c>
      <c r="L2464" s="61">
        <f>IF(K2464="JA",N(J2464),IF(E2464="","",0))</f>
        <v/>
      </c>
      <c r="M2464" s="62">
        <f>IF(AND(A2464="",E2464=""),"",IF(E2464="","Segment ontbreekt",IF(OR(G2464="",H2464=""),"Van/tot ontbreekt",IF(N(J2464)=0,"Duur is nul",IF(N(J2464)&gt;12,"Langer dan 12 uur - controleren",IF(AND(E2464="Werken",D2464=""),"Werken zonder klant - koppelen","OK"))))))</f>
        <v/>
      </c>
    </row>
    <row r="2465" ht="15" customHeight="1" s="42">
      <c r="A2465" s="55" t="n"/>
      <c r="B2465" s="56">
        <f>IF(A2465="","",WEEKNUM(A2465,21))</f>
        <v/>
      </c>
      <c r="C2465" s="57" t="n"/>
      <c r="D2465" s="57" t="n"/>
      <c r="E2465" s="58" t="n"/>
      <c r="F2465" s="57" t="n"/>
      <c r="G2465" s="59" t="n"/>
      <c r="H2465" s="59" t="n"/>
      <c r="I2465" s="60">
        <f>IF(OR(G2465="",H2465=""),"",MOD(H2465-G2465,1))</f>
        <v/>
      </c>
      <c r="J2465" s="61">
        <f>IF(OR(G2465="",H2465=""),"",ROUND(MOD(H2465-G2465,1)*24,2))</f>
        <v/>
      </c>
      <c r="K2465" s="62">
        <f>IF(E2465="","",IF(E2465="Werken","JA","NEE"))</f>
        <v/>
      </c>
      <c r="L2465" s="61">
        <f>IF(K2465="JA",N(J2465),IF(E2465="","",0))</f>
        <v/>
      </c>
      <c r="M2465" s="62">
        <f>IF(AND(A2465="",E2465=""),"",IF(E2465="","Segment ontbreekt",IF(OR(G2465="",H2465=""),"Van/tot ontbreekt",IF(N(J2465)=0,"Duur is nul",IF(N(J2465)&gt;12,"Langer dan 12 uur - controleren",IF(AND(E2465="Werken",D2465=""),"Werken zonder klant - koppelen","OK"))))))</f>
        <v/>
      </c>
    </row>
    <row r="2466" ht="15" customHeight="1" s="42">
      <c r="A2466" s="55" t="n"/>
      <c r="B2466" s="56">
        <f>IF(A2466="","",WEEKNUM(A2466,21))</f>
        <v/>
      </c>
      <c r="C2466" s="57" t="n"/>
      <c r="D2466" s="57" t="n"/>
      <c r="E2466" s="58" t="n"/>
      <c r="F2466" s="57" t="n"/>
      <c r="G2466" s="59" t="n"/>
      <c r="H2466" s="59" t="n"/>
      <c r="I2466" s="60">
        <f>IF(OR(G2466="",H2466=""),"",MOD(H2466-G2466,1))</f>
        <v/>
      </c>
      <c r="J2466" s="61">
        <f>IF(OR(G2466="",H2466=""),"",ROUND(MOD(H2466-G2466,1)*24,2))</f>
        <v/>
      </c>
      <c r="K2466" s="62">
        <f>IF(E2466="","",IF(E2466="Werken","JA","NEE"))</f>
        <v/>
      </c>
      <c r="L2466" s="61">
        <f>IF(K2466="JA",N(J2466),IF(E2466="","",0))</f>
        <v/>
      </c>
      <c r="M2466" s="62">
        <f>IF(AND(A2466="",E2466=""),"",IF(E2466="","Segment ontbreekt",IF(OR(G2466="",H2466=""),"Van/tot ontbreekt",IF(N(J2466)=0,"Duur is nul",IF(N(J2466)&gt;12,"Langer dan 12 uur - controleren",IF(AND(E2466="Werken",D2466=""),"Werken zonder klant - koppelen","OK"))))))</f>
        <v/>
      </c>
    </row>
    <row r="2467" ht="15" customHeight="1" s="42">
      <c r="A2467" s="55" t="n"/>
      <c r="B2467" s="56">
        <f>IF(A2467="","",WEEKNUM(A2467,21))</f>
        <v/>
      </c>
      <c r="C2467" s="57" t="n"/>
      <c r="D2467" s="57" t="n"/>
      <c r="E2467" s="58" t="n"/>
      <c r="F2467" s="57" t="n"/>
      <c r="G2467" s="59" t="n"/>
      <c r="H2467" s="59" t="n"/>
      <c r="I2467" s="60">
        <f>IF(OR(G2467="",H2467=""),"",MOD(H2467-G2467,1))</f>
        <v/>
      </c>
      <c r="J2467" s="61">
        <f>IF(OR(G2467="",H2467=""),"",ROUND(MOD(H2467-G2467,1)*24,2))</f>
        <v/>
      </c>
      <c r="K2467" s="62">
        <f>IF(E2467="","",IF(E2467="Werken","JA","NEE"))</f>
        <v/>
      </c>
      <c r="L2467" s="61">
        <f>IF(K2467="JA",N(J2467),IF(E2467="","",0))</f>
        <v/>
      </c>
      <c r="M2467" s="62">
        <f>IF(AND(A2467="",E2467=""),"",IF(E2467="","Segment ontbreekt",IF(OR(G2467="",H2467=""),"Van/tot ontbreekt",IF(N(J2467)=0,"Duur is nul",IF(N(J2467)&gt;12,"Langer dan 12 uur - controleren",IF(AND(E2467="Werken",D2467=""),"Werken zonder klant - koppelen","OK"))))))</f>
        <v/>
      </c>
    </row>
    <row r="2468" ht="15" customHeight="1" s="42">
      <c r="A2468" s="55" t="n"/>
      <c r="B2468" s="56">
        <f>IF(A2468="","",WEEKNUM(A2468,21))</f>
        <v/>
      </c>
      <c r="C2468" s="57" t="n"/>
      <c r="D2468" s="57" t="n"/>
      <c r="E2468" s="58" t="n"/>
      <c r="F2468" s="57" t="n"/>
      <c r="G2468" s="59" t="n"/>
      <c r="H2468" s="59" t="n"/>
      <c r="I2468" s="60">
        <f>IF(OR(G2468="",H2468=""),"",MOD(H2468-G2468,1))</f>
        <v/>
      </c>
      <c r="J2468" s="61">
        <f>IF(OR(G2468="",H2468=""),"",ROUND(MOD(H2468-G2468,1)*24,2))</f>
        <v/>
      </c>
      <c r="K2468" s="62">
        <f>IF(E2468="","",IF(E2468="Werken","JA","NEE"))</f>
        <v/>
      </c>
      <c r="L2468" s="61">
        <f>IF(K2468="JA",N(J2468),IF(E2468="","",0))</f>
        <v/>
      </c>
      <c r="M2468" s="62">
        <f>IF(AND(A2468="",E2468=""),"",IF(E2468="","Segment ontbreekt",IF(OR(G2468="",H2468=""),"Van/tot ontbreekt",IF(N(J2468)=0,"Duur is nul",IF(N(J2468)&gt;12,"Langer dan 12 uur - controleren",IF(AND(E2468="Werken",D2468=""),"Werken zonder klant - koppelen","OK"))))))</f>
        <v/>
      </c>
    </row>
    <row r="2469" ht="15" customHeight="1" s="42">
      <c r="A2469" s="55" t="n"/>
      <c r="B2469" s="56">
        <f>IF(A2469="","",WEEKNUM(A2469,21))</f>
        <v/>
      </c>
      <c r="C2469" s="57" t="n"/>
      <c r="D2469" s="57" t="n"/>
      <c r="E2469" s="58" t="n"/>
      <c r="F2469" s="57" t="n"/>
      <c r="G2469" s="59" t="n"/>
      <c r="H2469" s="59" t="n"/>
      <c r="I2469" s="60">
        <f>IF(OR(G2469="",H2469=""),"",MOD(H2469-G2469,1))</f>
        <v/>
      </c>
      <c r="J2469" s="61">
        <f>IF(OR(G2469="",H2469=""),"",ROUND(MOD(H2469-G2469,1)*24,2))</f>
        <v/>
      </c>
      <c r="K2469" s="62">
        <f>IF(E2469="","",IF(E2469="Werken","JA","NEE"))</f>
        <v/>
      </c>
      <c r="L2469" s="61">
        <f>IF(K2469="JA",N(J2469),IF(E2469="","",0))</f>
        <v/>
      </c>
      <c r="M2469" s="62">
        <f>IF(AND(A2469="",E2469=""),"",IF(E2469="","Segment ontbreekt",IF(OR(G2469="",H2469=""),"Van/tot ontbreekt",IF(N(J2469)=0,"Duur is nul",IF(N(J2469)&gt;12,"Langer dan 12 uur - controleren",IF(AND(E2469="Werken",D2469=""),"Werken zonder klant - koppelen","OK"))))))</f>
        <v/>
      </c>
    </row>
    <row r="2470" ht="15" customHeight="1" s="42">
      <c r="A2470" s="55" t="n"/>
      <c r="B2470" s="56">
        <f>IF(A2470="","",WEEKNUM(A2470,21))</f>
        <v/>
      </c>
      <c r="C2470" s="57" t="n"/>
      <c r="D2470" s="57" t="n"/>
      <c r="E2470" s="58" t="n"/>
      <c r="F2470" s="57" t="n"/>
      <c r="G2470" s="59" t="n"/>
      <c r="H2470" s="59" t="n"/>
      <c r="I2470" s="60">
        <f>IF(OR(G2470="",H2470=""),"",MOD(H2470-G2470,1))</f>
        <v/>
      </c>
      <c r="J2470" s="61">
        <f>IF(OR(G2470="",H2470=""),"",ROUND(MOD(H2470-G2470,1)*24,2))</f>
        <v/>
      </c>
      <c r="K2470" s="62">
        <f>IF(E2470="","",IF(E2470="Werken","JA","NEE"))</f>
        <v/>
      </c>
      <c r="L2470" s="61">
        <f>IF(K2470="JA",N(J2470),IF(E2470="","",0))</f>
        <v/>
      </c>
      <c r="M2470" s="62">
        <f>IF(AND(A2470="",E2470=""),"",IF(E2470="","Segment ontbreekt",IF(OR(G2470="",H2470=""),"Van/tot ontbreekt",IF(N(J2470)=0,"Duur is nul",IF(N(J2470)&gt;12,"Langer dan 12 uur - controleren",IF(AND(E2470="Werken",D2470=""),"Werken zonder klant - koppelen","OK"))))))</f>
        <v/>
      </c>
    </row>
    <row r="2471" ht="15" customHeight="1" s="42">
      <c r="A2471" s="55" t="n"/>
      <c r="B2471" s="56">
        <f>IF(A2471="","",WEEKNUM(A2471,21))</f>
        <v/>
      </c>
      <c r="C2471" s="57" t="n"/>
      <c r="D2471" s="57" t="n"/>
      <c r="E2471" s="58" t="n"/>
      <c r="F2471" s="57" t="n"/>
      <c r="G2471" s="59" t="n"/>
      <c r="H2471" s="59" t="n"/>
      <c r="I2471" s="60">
        <f>IF(OR(G2471="",H2471=""),"",MOD(H2471-G2471,1))</f>
        <v/>
      </c>
      <c r="J2471" s="61">
        <f>IF(OR(G2471="",H2471=""),"",ROUND(MOD(H2471-G2471,1)*24,2))</f>
        <v/>
      </c>
      <c r="K2471" s="62">
        <f>IF(E2471="","",IF(E2471="Werken","JA","NEE"))</f>
        <v/>
      </c>
      <c r="L2471" s="61">
        <f>IF(K2471="JA",N(J2471),IF(E2471="","",0))</f>
        <v/>
      </c>
      <c r="M2471" s="62">
        <f>IF(AND(A2471="",E2471=""),"",IF(E2471="","Segment ontbreekt",IF(OR(G2471="",H2471=""),"Van/tot ontbreekt",IF(N(J2471)=0,"Duur is nul",IF(N(J2471)&gt;12,"Langer dan 12 uur - controleren",IF(AND(E2471="Werken",D2471=""),"Werken zonder klant - koppelen","OK"))))))</f>
        <v/>
      </c>
    </row>
    <row r="2472" ht="15" customHeight="1" s="42">
      <c r="A2472" s="55" t="n"/>
      <c r="B2472" s="56">
        <f>IF(A2472="","",WEEKNUM(A2472,21))</f>
        <v/>
      </c>
      <c r="C2472" s="57" t="n"/>
      <c r="D2472" s="57" t="n"/>
      <c r="E2472" s="58" t="n"/>
      <c r="F2472" s="57" t="n"/>
      <c r="G2472" s="59" t="n"/>
      <c r="H2472" s="59" t="n"/>
      <c r="I2472" s="60">
        <f>IF(OR(G2472="",H2472=""),"",MOD(H2472-G2472,1))</f>
        <v/>
      </c>
      <c r="J2472" s="61">
        <f>IF(OR(G2472="",H2472=""),"",ROUND(MOD(H2472-G2472,1)*24,2))</f>
        <v/>
      </c>
      <c r="K2472" s="62">
        <f>IF(E2472="","",IF(E2472="Werken","JA","NEE"))</f>
        <v/>
      </c>
      <c r="L2472" s="61">
        <f>IF(K2472="JA",N(J2472),IF(E2472="","",0))</f>
        <v/>
      </c>
      <c r="M2472" s="62">
        <f>IF(AND(A2472="",E2472=""),"",IF(E2472="","Segment ontbreekt",IF(OR(G2472="",H2472=""),"Van/tot ontbreekt",IF(N(J2472)=0,"Duur is nul",IF(N(J2472)&gt;12,"Langer dan 12 uur - controleren",IF(AND(E2472="Werken",D2472=""),"Werken zonder klant - koppelen","OK"))))))</f>
        <v/>
      </c>
    </row>
    <row r="2473" ht="15" customHeight="1" s="42">
      <c r="A2473" s="55" t="n"/>
      <c r="B2473" s="56">
        <f>IF(A2473="","",WEEKNUM(A2473,21))</f>
        <v/>
      </c>
      <c r="C2473" s="57" t="n"/>
      <c r="D2473" s="57" t="n"/>
      <c r="E2473" s="58" t="n"/>
      <c r="F2473" s="57" t="n"/>
      <c r="G2473" s="59" t="n"/>
      <c r="H2473" s="59" t="n"/>
      <c r="I2473" s="60">
        <f>IF(OR(G2473="",H2473=""),"",MOD(H2473-G2473,1))</f>
        <v/>
      </c>
      <c r="J2473" s="61">
        <f>IF(OR(G2473="",H2473=""),"",ROUND(MOD(H2473-G2473,1)*24,2))</f>
        <v/>
      </c>
      <c r="K2473" s="62">
        <f>IF(E2473="","",IF(E2473="Werken","JA","NEE"))</f>
        <v/>
      </c>
      <c r="L2473" s="61">
        <f>IF(K2473="JA",N(J2473),IF(E2473="","",0))</f>
        <v/>
      </c>
      <c r="M2473" s="62">
        <f>IF(AND(A2473="",E2473=""),"",IF(E2473="","Segment ontbreekt",IF(OR(G2473="",H2473=""),"Van/tot ontbreekt",IF(N(J2473)=0,"Duur is nul",IF(N(J2473)&gt;12,"Langer dan 12 uur - controleren",IF(AND(E2473="Werken",D2473=""),"Werken zonder klant - koppelen","OK"))))))</f>
        <v/>
      </c>
    </row>
    <row r="2474" ht="15" customHeight="1" s="42">
      <c r="A2474" s="55" t="n"/>
      <c r="B2474" s="56">
        <f>IF(A2474="","",WEEKNUM(A2474,21))</f>
        <v/>
      </c>
      <c r="C2474" s="57" t="n"/>
      <c r="D2474" s="57" t="n"/>
      <c r="E2474" s="58" t="n"/>
      <c r="F2474" s="57" t="n"/>
      <c r="G2474" s="59" t="n"/>
      <c r="H2474" s="59" t="n"/>
      <c r="I2474" s="60">
        <f>IF(OR(G2474="",H2474=""),"",MOD(H2474-G2474,1))</f>
        <v/>
      </c>
      <c r="J2474" s="61">
        <f>IF(OR(G2474="",H2474=""),"",ROUND(MOD(H2474-G2474,1)*24,2))</f>
        <v/>
      </c>
      <c r="K2474" s="62">
        <f>IF(E2474="","",IF(E2474="Werken","JA","NEE"))</f>
        <v/>
      </c>
      <c r="L2474" s="61">
        <f>IF(K2474="JA",N(J2474),IF(E2474="","",0))</f>
        <v/>
      </c>
      <c r="M2474" s="62">
        <f>IF(AND(A2474="",E2474=""),"",IF(E2474="","Segment ontbreekt",IF(OR(G2474="",H2474=""),"Van/tot ontbreekt",IF(N(J2474)=0,"Duur is nul",IF(N(J2474)&gt;12,"Langer dan 12 uur - controleren",IF(AND(E2474="Werken",D2474=""),"Werken zonder klant - koppelen","OK"))))))</f>
        <v/>
      </c>
    </row>
    <row r="2475" ht="15" customHeight="1" s="42">
      <c r="A2475" s="55" t="n"/>
      <c r="B2475" s="56">
        <f>IF(A2475="","",WEEKNUM(A2475,21))</f>
        <v/>
      </c>
      <c r="C2475" s="57" t="n"/>
      <c r="D2475" s="57" t="n"/>
      <c r="E2475" s="58" t="n"/>
      <c r="F2475" s="57" t="n"/>
      <c r="G2475" s="59" t="n"/>
      <c r="H2475" s="59" t="n"/>
      <c r="I2475" s="60">
        <f>IF(OR(G2475="",H2475=""),"",MOD(H2475-G2475,1))</f>
        <v/>
      </c>
      <c r="J2475" s="61">
        <f>IF(OR(G2475="",H2475=""),"",ROUND(MOD(H2475-G2475,1)*24,2))</f>
        <v/>
      </c>
      <c r="K2475" s="62">
        <f>IF(E2475="","",IF(E2475="Werken","JA","NEE"))</f>
        <v/>
      </c>
      <c r="L2475" s="61">
        <f>IF(K2475="JA",N(J2475),IF(E2475="","",0))</f>
        <v/>
      </c>
      <c r="M2475" s="62">
        <f>IF(AND(A2475="",E2475=""),"",IF(E2475="","Segment ontbreekt",IF(OR(G2475="",H2475=""),"Van/tot ontbreekt",IF(N(J2475)=0,"Duur is nul",IF(N(J2475)&gt;12,"Langer dan 12 uur - controleren",IF(AND(E2475="Werken",D2475=""),"Werken zonder klant - koppelen","OK"))))))</f>
        <v/>
      </c>
    </row>
    <row r="2476" ht="15" customHeight="1" s="42">
      <c r="A2476" s="55" t="n"/>
      <c r="B2476" s="56">
        <f>IF(A2476="","",WEEKNUM(A2476,21))</f>
        <v/>
      </c>
      <c r="C2476" s="57" t="n"/>
      <c r="D2476" s="57" t="n"/>
      <c r="E2476" s="58" t="n"/>
      <c r="F2476" s="57" t="n"/>
      <c r="G2476" s="59" t="n"/>
      <c r="H2476" s="59" t="n"/>
      <c r="I2476" s="60">
        <f>IF(OR(G2476="",H2476=""),"",MOD(H2476-G2476,1))</f>
        <v/>
      </c>
      <c r="J2476" s="61">
        <f>IF(OR(G2476="",H2476=""),"",ROUND(MOD(H2476-G2476,1)*24,2))</f>
        <v/>
      </c>
      <c r="K2476" s="62">
        <f>IF(E2476="","",IF(E2476="Werken","JA","NEE"))</f>
        <v/>
      </c>
      <c r="L2476" s="61">
        <f>IF(K2476="JA",N(J2476),IF(E2476="","",0))</f>
        <v/>
      </c>
      <c r="M2476" s="62">
        <f>IF(AND(A2476="",E2476=""),"",IF(E2476="","Segment ontbreekt",IF(OR(G2476="",H2476=""),"Van/tot ontbreekt",IF(N(J2476)=0,"Duur is nul",IF(N(J2476)&gt;12,"Langer dan 12 uur - controleren",IF(AND(E2476="Werken",D2476=""),"Werken zonder klant - koppelen","OK"))))))</f>
        <v/>
      </c>
    </row>
    <row r="2477" ht="15" customHeight="1" s="42">
      <c r="A2477" s="55" t="n"/>
      <c r="B2477" s="56">
        <f>IF(A2477="","",WEEKNUM(A2477,21))</f>
        <v/>
      </c>
      <c r="C2477" s="57" t="n"/>
      <c r="D2477" s="57" t="n"/>
      <c r="E2477" s="58" t="n"/>
      <c r="F2477" s="57" t="n"/>
      <c r="G2477" s="59" t="n"/>
      <c r="H2477" s="59" t="n"/>
      <c r="I2477" s="60">
        <f>IF(OR(G2477="",H2477=""),"",MOD(H2477-G2477,1))</f>
        <v/>
      </c>
      <c r="J2477" s="61">
        <f>IF(OR(G2477="",H2477=""),"",ROUND(MOD(H2477-G2477,1)*24,2))</f>
        <v/>
      </c>
      <c r="K2477" s="62">
        <f>IF(E2477="","",IF(E2477="Werken","JA","NEE"))</f>
        <v/>
      </c>
      <c r="L2477" s="61">
        <f>IF(K2477="JA",N(J2477),IF(E2477="","",0))</f>
        <v/>
      </c>
      <c r="M2477" s="62">
        <f>IF(AND(A2477="",E2477=""),"",IF(E2477="","Segment ontbreekt",IF(OR(G2477="",H2477=""),"Van/tot ontbreekt",IF(N(J2477)=0,"Duur is nul",IF(N(J2477)&gt;12,"Langer dan 12 uur - controleren",IF(AND(E2477="Werken",D2477=""),"Werken zonder klant - koppelen","OK"))))))</f>
        <v/>
      </c>
    </row>
    <row r="2478" ht="15" customHeight="1" s="42">
      <c r="A2478" s="55" t="n"/>
      <c r="B2478" s="56">
        <f>IF(A2478="","",WEEKNUM(A2478,21))</f>
        <v/>
      </c>
      <c r="C2478" s="57" t="n"/>
      <c r="D2478" s="57" t="n"/>
      <c r="E2478" s="58" t="n"/>
      <c r="F2478" s="57" t="n"/>
      <c r="G2478" s="59" t="n"/>
      <c r="H2478" s="59" t="n"/>
      <c r="I2478" s="60">
        <f>IF(OR(G2478="",H2478=""),"",MOD(H2478-G2478,1))</f>
        <v/>
      </c>
      <c r="J2478" s="61">
        <f>IF(OR(G2478="",H2478=""),"",ROUND(MOD(H2478-G2478,1)*24,2))</f>
        <v/>
      </c>
      <c r="K2478" s="62">
        <f>IF(E2478="","",IF(E2478="Werken","JA","NEE"))</f>
        <v/>
      </c>
      <c r="L2478" s="61">
        <f>IF(K2478="JA",N(J2478),IF(E2478="","",0))</f>
        <v/>
      </c>
      <c r="M2478" s="62">
        <f>IF(AND(A2478="",E2478=""),"",IF(E2478="","Segment ontbreekt",IF(OR(G2478="",H2478=""),"Van/tot ontbreekt",IF(N(J2478)=0,"Duur is nul",IF(N(J2478)&gt;12,"Langer dan 12 uur - controleren",IF(AND(E2478="Werken",D2478=""),"Werken zonder klant - koppelen","OK"))))))</f>
        <v/>
      </c>
    </row>
    <row r="2479" ht="15" customHeight="1" s="42">
      <c r="A2479" s="55" t="n"/>
      <c r="B2479" s="56">
        <f>IF(A2479="","",WEEKNUM(A2479,21))</f>
        <v/>
      </c>
      <c r="C2479" s="57" t="n"/>
      <c r="D2479" s="57" t="n"/>
      <c r="E2479" s="58" t="n"/>
      <c r="F2479" s="57" t="n"/>
      <c r="G2479" s="59" t="n"/>
      <c r="H2479" s="59" t="n"/>
      <c r="I2479" s="60">
        <f>IF(OR(G2479="",H2479=""),"",MOD(H2479-G2479,1))</f>
        <v/>
      </c>
      <c r="J2479" s="61">
        <f>IF(OR(G2479="",H2479=""),"",ROUND(MOD(H2479-G2479,1)*24,2))</f>
        <v/>
      </c>
      <c r="K2479" s="62">
        <f>IF(E2479="","",IF(E2479="Werken","JA","NEE"))</f>
        <v/>
      </c>
      <c r="L2479" s="61">
        <f>IF(K2479="JA",N(J2479),IF(E2479="","",0))</f>
        <v/>
      </c>
      <c r="M2479" s="62">
        <f>IF(AND(A2479="",E2479=""),"",IF(E2479="","Segment ontbreekt",IF(OR(G2479="",H2479=""),"Van/tot ontbreekt",IF(N(J2479)=0,"Duur is nul",IF(N(J2479)&gt;12,"Langer dan 12 uur - controleren",IF(AND(E2479="Werken",D2479=""),"Werken zonder klant - koppelen","OK"))))))</f>
        <v/>
      </c>
    </row>
    <row r="2480" ht="15" customHeight="1" s="42">
      <c r="A2480" s="55" t="n"/>
      <c r="B2480" s="56">
        <f>IF(A2480="","",WEEKNUM(A2480,21))</f>
        <v/>
      </c>
      <c r="C2480" s="57" t="n"/>
      <c r="D2480" s="57" t="n"/>
      <c r="E2480" s="58" t="n"/>
      <c r="F2480" s="57" t="n"/>
      <c r="G2480" s="59" t="n"/>
      <c r="H2480" s="59" t="n"/>
      <c r="I2480" s="60">
        <f>IF(OR(G2480="",H2480=""),"",MOD(H2480-G2480,1))</f>
        <v/>
      </c>
      <c r="J2480" s="61">
        <f>IF(OR(G2480="",H2480=""),"",ROUND(MOD(H2480-G2480,1)*24,2))</f>
        <v/>
      </c>
      <c r="K2480" s="62">
        <f>IF(E2480="","",IF(E2480="Werken","JA","NEE"))</f>
        <v/>
      </c>
      <c r="L2480" s="61">
        <f>IF(K2480="JA",N(J2480),IF(E2480="","",0))</f>
        <v/>
      </c>
      <c r="M2480" s="62">
        <f>IF(AND(A2480="",E2480=""),"",IF(E2480="","Segment ontbreekt",IF(OR(G2480="",H2480=""),"Van/tot ontbreekt",IF(N(J2480)=0,"Duur is nul",IF(N(J2480)&gt;12,"Langer dan 12 uur - controleren",IF(AND(E2480="Werken",D2480=""),"Werken zonder klant - koppelen","OK"))))))</f>
        <v/>
      </c>
    </row>
    <row r="2481" ht="15" customHeight="1" s="42">
      <c r="A2481" s="55" t="n"/>
      <c r="B2481" s="56">
        <f>IF(A2481="","",WEEKNUM(A2481,21))</f>
        <v/>
      </c>
      <c r="C2481" s="57" t="n"/>
      <c r="D2481" s="57" t="n"/>
      <c r="E2481" s="58" t="n"/>
      <c r="F2481" s="57" t="n"/>
      <c r="G2481" s="59" t="n"/>
      <c r="H2481" s="59" t="n"/>
      <c r="I2481" s="60">
        <f>IF(OR(G2481="",H2481=""),"",MOD(H2481-G2481,1))</f>
        <v/>
      </c>
      <c r="J2481" s="61">
        <f>IF(OR(G2481="",H2481=""),"",ROUND(MOD(H2481-G2481,1)*24,2))</f>
        <v/>
      </c>
      <c r="K2481" s="62">
        <f>IF(E2481="","",IF(E2481="Werken","JA","NEE"))</f>
        <v/>
      </c>
      <c r="L2481" s="61">
        <f>IF(K2481="JA",N(J2481),IF(E2481="","",0))</f>
        <v/>
      </c>
      <c r="M2481" s="62">
        <f>IF(AND(A2481="",E2481=""),"",IF(E2481="","Segment ontbreekt",IF(OR(G2481="",H2481=""),"Van/tot ontbreekt",IF(N(J2481)=0,"Duur is nul",IF(N(J2481)&gt;12,"Langer dan 12 uur - controleren",IF(AND(E2481="Werken",D2481=""),"Werken zonder klant - koppelen","OK"))))))</f>
        <v/>
      </c>
    </row>
    <row r="2482" ht="15" customHeight="1" s="42">
      <c r="A2482" s="55" t="n"/>
      <c r="B2482" s="56">
        <f>IF(A2482="","",WEEKNUM(A2482,21))</f>
        <v/>
      </c>
      <c r="C2482" s="57" t="n"/>
      <c r="D2482" s="57" t="n"/>
      <c r="E2482" s="58" t="n"/>
      <c r="F2482" s="57" t="n"/>
      <c r="G2482" s="59" t="n"/>
      <c r="H2482" s="59" t="n"/>
      <c r="I2482" s="60">
        <f>IF(OR(G2482="",H2482=""),"",MOD(H2482-G2482,1))</f>
        <v/>
      </c>
      <c r="J2482" s="61">
        <f>IF(OR(G2482="",H2482=""),"",ROUND(MOD(H2482-G2482,1)*24,2))</f>
        <v/>
      </c>
      <c r="K2482" s="62">
        <f>IF(E2482="","",IF(E2482="Werken","JA","NEE"))</f>
        <v/>
      </c>
      <c r="L2482" s="61">
        <f>IF(K2482="JA",N(J2482),IF(E2482="","",0))</f>
        <v/>
      </c>
      <c r="M2482" s="62">
        <f>IF(AND(A2482="",E2482=""),"",IF(E2482="","Segment ontbreekt",IF(OR(G2482="",H2482=""),"Van/tot ontbreekt",IF(N(J2482)=0,"Duur is nul",IF(N(J2482)&gt;12,"Langer dan 12 uur - controleren",IF(AND(E2482="Werken",D2482=""),"Werken zonder klant - koppelen","OK"))))))</f>
        <v/>
      </c>
    </row>
    <row r="2483" ht="15" customHeight="1" s="42">
      <c r="A2483" s="55" t="n"/>
      <c r="B2483" s="56">
        <f>IF(A2483="","",WEEKNUM(A2483,21))</f>
        <v/>
      </c>
      <c r="C2483" s="57" t="n"/>
      <c r="D2483" s="57" t="n"/>
      <c r="E2483" s="58" t="n"/>
      <c r="F2483" s="57" t="n"/>
      <c r="G2483" s="59" t="n"/>
      <c r="H2483" s="59" t="n"/>
      <c r="I2483" s="60">
        <f>IF(OR(G2483="",H2483=""),"",MOD(H2483-G2483,1))</f>
        <v/>
      </c>
      <c r="J2483" s="61">
        <f>IF(OR(G2483="",H2483=""),"",ROUND(MOD(H2483-G2483,1)*24,2))</f>
        <v/>
      </c>
      <c r="K2483" s="62">
        <f>IF(E2483="","",IF(E2483="Werken","JA","NEE"))</f>
        <v/>
      </c>
      <c r="L2483" s="61">
        <f>IF(K2483="JA",N(J2483),IF(E2483="","",0))</f>
        <v/>
      </c>
      <c r="M2483" s="62">
        <f>IF(AND(A2483="",E2483=""),"",IF(E2483="","Segment ontbreekt",IF(OR(G2483="",H2483=""),"Van/tot ontbreekt",IF(N(J2483)=0,"Duur is nul",IF(N(J2483)&gt;12,"Langer dan 12 uur - controleren",IF(AND(E2483="Werken",D2483=""),"Werken zonder klant - koppelen","OK"))))))</f>
        <v/>
      </c>
    </row>
    <row r="2484" ht="15" customHeight="1" s="42">
      <c r="A2484" s="55" t="n"/>
      <c r="B2484" s="56">
        <f>IF(A2484="","",WEEKNUM(A2484,21))</f>
        <v/>
      </c>
      <c r="C2484" s="57" t="n"/>
      <c r="D2484" s="57" t="n"/>
      <c r="E2484" s="58" t="n"/>
      <c r="F2484" s="57" t="n"/>
      <c r="G2484" s="59" t="n"/>
      <c r="H2484" s="59" t="n"/>
      <c r="I2484" s="60">
        <f>IF(OR(G2484="",H2484=""),"",MOD(H2484-G2484,1))</f>
        <v/>
      </c>
      <c r="J2484" s="61">
        <f>IF(OR(G2484="",H2484=""),"",ROUND(MOD(H2484-G2484,1)*24,2))</f>
        <v/>
      </c>
      <c r="K2484" s="62">
        <f>IF(E2484="","",IF(E2484="Werken","JA","NEE"))</f>
        <v/>
      </c>
      <c r="L2484" s="61">
        <f>IF(K2484="JA",N(J2484),IF(E2484="","",0))</f>
        <v/>
      </c>
      <c r="M2484" s="62">
        <f>IF(AND(A2484="",E2484=""),"",IF(E2484="","Segment ontbreekt",IF(OR(G2484="",H2484=""),"Van/tot ontbreekt",IF(N(J2484)=0,"Duur is nul",IF(N(J2484)&gt;12,"Langer dan 12 uur - controleren",IF(AND(E2484="Werken",D2484=""),"Werken zonder klant - koppelen","OK"))))))</f>
        <v/>
      </c>
    </row>
    <row r="2485" ht="15" customHeight="1" s="42">
      <c r="A2485" s="55" t="n"/>
      <c r="B2485" s="56">
        <f>IF(A2485="","",WEEKNUM(A2485,21))</f>
        <v/>
      </c>
      <c r="C2485" s="57" t="n"/>
      <c r="D2485" s="57" t="n"/>
      <c r="E2485" s="58" t="n"/>
      <c r="F2485" s="57" t="n"/>
      <c r="G2485" s="59" t="n"/>
      <c r="H2485" s="59" t="n"/>
      <c r="I2485" s="60">
        <f>IF(OR(G2485="",H2485=""),"",MOD(H2485-G2485,1))</f>
        <v/>
      </c>
      <c r="J2485" s="61">
        <f>IF(OR(G2485="",H2485=""),"",ROUND(MOD(H2485-G2485,1)*24,2))</f>
        <v/>
      </c>
      <c r="K2485" s="62">
        <f>IF(E2485="","",IF(E2485="Werken","JA","NEE"))</f>
        <v/>
      </c>
      <c r="L2485" s="61">
        <f>IF(K2485="JA",N(J2485),IF(E2485="","",0))</f>
        <v/>
      </c>
      <c r="M2485" s="62">
        <f>IF(AND(A2485="",E2485=""),"",IF(E2485="","Segment ontbreekt",IF(OR(G2485="",H2485=""),"Van/tot ontbreekt",IF(N(J2485)=0,"Duur is nul",IF(N(J2485)&gt;12,"Langer dan 12 uur - controleren",IF(AND(E2485="Werken",D2485=""),"Werken zonder klant - koppelen","OK"))))))</f>
        <v/>
      </c>
    </row>
    <row r="2486" ht="15" customHeight="1" s="42">
      <c r="A2486" s="55" t="n"/>
      <c r="B2486" s="56">
        <f>IF(A2486="","",WEEKNUM(A2486,21))</f>
        <v/>
      </c>
      <c r="C2486" s="57" t="n"/>
      <c r="D2486" s="57" t="n"/>
      <c r="E2486" s="58" t="n"/>
      <c r="F2486" s="57" t="n"/>
      <c r="G2486" s="59" t="n"/>
      <c r="H2486" s="59" t="n"/>
      <c r="I2486" s="60">
        <f>IF(OR(G2486="",H2486=""),"",MOD(H2486-G2486,1))</f>
        <v/>
      </c>
      <c r="J2486" s="61">
        <f>IF(OR(G2486="",H2486=""),"",ROUND(MOD(H2486-G2486,1)*24,2))</f>
        <v/>
      </c>
      <c r="K2486" s="62">
        <f>IF(E2486="","",IF(E2486="Werken","JA","NEE"))</f>
        <v/>
      </c>
      <c r="L2486" s="61">
        <f>IF(K2486="JA",N(J2486),IF(E2486="","",0))</f>
        <v/>
      </c>
      <c r="M2486" s="62">
        <f>IF(AND(A2486="",E2486=""),"",IF(E2486="","Segment ontbreekt",IF(OR(G2486="",H2486=""),"Van/tot ontbreekt",IF(N(J2486)=0,"Duur is nul",IF(N(J2486)&gt;12,"Langer dan 12 uur - controleren",IF(AND(E2486="Werken",D2486=""),"Werken zonder klant - koppelen","OK"))))))</f>
        <v/>
      </c>
    </row>
    <row r="2487" ht="15" customHeight="1" s="42">
      <c r="A2487" s="55" t="n"/>
      <c r="B2487" s="56">
        <f>IF(A2487="","",WEEKNUM(A2487,21))</f>
        <v/>
      </c>
      <c r="C2487" s="57" t="n"/>
      <c r="D2487" s="57" t="n"/>
      <c r="E2487" s="58" t="n"/>
      <c r="F2487" s="57" t="n"/>
      <c r="G2487" s="59" t="n"/>
      <c r="H2487" s="59" t="n"/>
      <c r="I2487" s="60">
        <f>IF(OR(G2487="",H2487=""),"",MOD(H2487-G2487,1))</f>
        <v/>
      </c>
      <c r="J2487" s="61">
        <f>IF(OR(G2487="",H2487=""),"",ROUND(MOD(H2487-G2487,1)*24,2))</f>
        <v/>
      </c>
      <c r="K2487" s="62">
        <f>IF(E2487="","",IF(E2487="Werken","JA","NEE"))</f>
        <v/>
      </c>
      <c r="L2487" s="61">
        <f>IF(K2487="JA",N(J2487),IF(E2487="","",0))</f>
        <v/>
      </c>
      <c r="M2487" s="62">
        <f>IF(AND(A2487="",E2487=""),"",IF(E2487="","Segment ontbreekt",IF(OR(G2487="",H2487=""),"Van/tot ontbreekt",IF(N(J2487)=0,"Duur is nul",IF(N(J2487)&gt;12,"Langer dan 12 uur - controleren",IF(AND(E2487="Werken",D2487=""),"Werken zonder klant - koppelen","OK"))))))</f>
        <v/>
      </c>
    </row>
    <row r="2488" ht="15" customHeight="1" s="42">
      <c r="A2488" s="55" t="n"/>
      <c r="B2488" s="56">
        <f>IF(A2488="","",WEEKNUM(A2488,21))</f>
        <v/>
      </c>
      <c r="C2488" s="57" t="n"/>
      <c r="D2488" s="57" t="n"/>
      <c r="E2488" s="58" t="n"/>
      <c r="F2488" s="57" t="n"/>
      <c r="G2488" s="59" t="n"/>
      <c r="H2488" s="59" t="n"/>
      <c r="I2488" s="60">
        <f>IF(OR(G2488="",H2488=""),"",MOD(H2488-G2488,1))</f>
        <v/>
      </c>
      <c r="J2488" s="61">
        <f>IF(OR(G2488="",H2488=""),"",ROUND(MOD(H2488-G2488,1)*24,2))</f>
        <v/>
      </c>
      <c r="K2488" s="62">
        <f>IF(E2488="","",IF(E2488="Werken","JA","NEE"))</f>
        <v/>
      </c>
      <c r="L2488" s="61">
        <f>IF(K2488="JA",N(J2488),IF(E2488="","",0))</f>
        <v/>
      </c>
      <c r="M2488" s="62">
        <f>IF(AND(A2488="",E2488=""),"",IF(E2488="","Segment ontbreekt",IF(OR(G2488="",H2488=""),"Van/tot ontbreekt",IF(N(J2488)=0,"Duur is nul",IF(N(J2488)&gt;12,"Langer dan 12 uur - controleren",IF(AND(E2488="Werken",D2488=""),"Werken zonder klant - koppelen","OK"))))))</f>
        <v/>
      </c>
    </row>
    <row r="2489" ht="15" customHeight="1" s="42">
      <c r="A2489" s="55" t="n"/>
      <c r="B2489" s="56">
        <f>IF(A2489="","",WEEKNUM(A2489,21))</f>
        <v/>
      </c>
      <c r="C2489" s="57" t="n"/>
      <c r="D2489" s="57" t="n"/>
      <c r="E2489" s="58" t="n"/>
      <c r="F2489" s="57" t="n"/>
      <c r="G2489" s="59" t="n"/>
      <c r="H2489" s="59" t="n"/>
      <c r="I2489" s="60">
        <f>IF(OR(G2489="",H2489=""),"",MOD(H2489-G2489,1))</f>
        <v/>
      </c>
      <c r="J2489" s="61">
        <f>IF(OR(G2489="",H2489=""),"",ROUND(MOD(H2489-G2489,1)*24,2))</f>
        <v/>
      </c>
      <c r="K2489" s="62">
        <f>IF(E2489="","",IF(E2489="Werken","JA","NEE"))</f>
        <v/>
      </c>
      <c r="L2489" s="61">
        <f>IF(K2489="JA",N(J2489),IF(E2489="","",0))</f>
        <v/>
      </c>
      <c r="M2489" s="62">
        <f>IF(AND(A2489="",E2489=""),"",IF(E2489="","Segment ontbreekt",IF(OR(G2489="",H2489=""),"Van/tot ontbreekt",IF(N(J2489)=0,"Duur is nul",IF(N(J2489)&gt;12,"Langer dan 12 uur - controleren",IF(AND(E2489="Werken",D2489=""),"Werken zonder klant - koppelen","OK"))))))</f>
        <v/>
      </c>
    </row>
    <row r="2490" ht="15" customHeight="1" s="42">
      <c r="A2490" s="55" t="n"/>
      <c r="B2490" s="56">
        <f>IF(A2490="","",WEEKNUM(A2490,21))</f>
        <v/>
      </c>
      <c r="C2490" s="57" t="n"/>
      <c r="D2490" s="57" t="n"/>
      <c r="E2490" s="58" t="n"/>
      <c r="F2490" s="57" t="n"/>
      <c r="G2490" s="59" t="n"/>
      <c r="H2490" s="59" t="n"/>
      <c r="I2490" s="60">
        <f>IF(OR(G2490="",H2490=""),"",MOD(H2490-G2490,1))</f>
        <v/>
      </c>
      <c r="J2490" s="61">
        <f>IF(OR(G2490="",H2490=""),"",ROUND(MOD(H2490-G2490,1)*24,2))</f>
        <v/>
      </c>
      <c r="K2490" s="62">
        <f>IF(E2490="","",IF(E2490="Werken","JA","NEE"))</f>
        <v/>
      </c>
      <c r="L2490" s="61">
        <f>IF(K2490="JA",N(J2490),IF(E2490="","",0))</f>
        <v/>
      </c>
      <c r="M2490" s="62">
        <f>IF(AND(A2490="",E2490=""),"",IF(E2490="","Segment ontbreekt",IF(OR(G2490="",H2490=""),"Van/tot ontbreekt",IF(N(J2490)=0,"Duur is nul",IF(N(J2490)&gt;12,"Langer dan 12 uur - controleren",IF(AND(E2490="Werken",D2490=""),"Werken zonder klant - koppelen","OK"))))))</f>
        <v/>
      </c>
    </row>
    <row r="2491" ht="15" customHeight="1" s="42">
      <c r="A2491" s="55" t="n"/>
      <c r="B2491" s="56">
        <f>IF(A2491="","",WEEKNUM(A2491,21))</f>
        <v/>
      </c>
      <c r="C2491" s="57" t="n"/>
      <c r="D2491" s="57" t="n"/>
      <c r="E2491" s="58" t="n"/>
      <c r="F2491" s="57" t="n"/>
      <c r="G2491" s="59" t="n"/>
      <c r="H2491" s="59" t="n"/>
      <c r="I2491" s="60">
        <f>IF(OR(G2491="",H2491=""),"",MOD(H2491-G2491,1))</f>
        <v/>
      </c>
      <c r="J2491" s="61">
        <f>IF(OR(G2491="",H2491=""),"",ROUND(MOD(H2491-G2491,1)*24,2))</f>
        <v/>
      </c>
      <c r="K2491" s="62">
        <f>IF(E2491="","",IF(E2491="Werken","JA","NEE"))</f>
        <v/>
      </c>
      <c r="L2491" s="61">
        <f>IF(K2491="JA",N(J2491),IF(E2491="","",0))</f>
        <v/>
      </c>
      <c r="M2491" s="62">
        <f>IF(AND(A2491="",E2491=""),"",IF(E2491="","Segment ontbreekt",IF(OR(G2491="",H2491=""),"Van/tot ontbreekt",IF(N(J2491)=0,"Duur is nul",IF(N(J2491)&gt;12,"Langer dan 12 uur - controleren",IF(AND(E2491="Werken",D2491=""),"Werken zonder klant - koppelen","OK"))))))</f>
        <v/>
      </c>
    </row>
    <row r="2492" ht="15" customHeight="1" s="42">
      <c r="A2492" s="55" t="n"/>
      <c r="B2492" s="56">
        <f>IF(A2492="","",WEEKNUM(A2492,21))</f>
        <v/>
      </c>
      <c r="C2492" s="57" t="n"/>
      <c r="D2492" s="57" t="n"/>
      <c r="E2492" s="58" t="n"/>
      <c r="F2492" s="57" t="n"/>
      <c r="G2492" s="59" t="n"/>
      <c r="H2492" s="59" t="n"/>
      <c r="I2492" s="60">
        <f>IF(OR(G2492="",H2492=""),"",MOD(H2492-G2492,1))</f>
        <v/>
      </c>
      <c r="J2492" s="61">
        <f>IF(OR(G2492="",H2492=""),"",ROUND(MOD(H2492-G2492,1)*24,2))</f>
        <v/>
      </c>
      <c r="K2492" s="62">
        <f>IF(E2492="","",IF(E2492="Werken","JA","NEE"))</f>
        <v/>
      </c>
      <c r="L2492" s="61">
        <f>IF(K2492="JA",N(J2492),IF(E2492="","",0))</f>
        <v/>
      </c>
      <c r="M2492" s="62">
        <f>IF(AND(A2492="",E2492=""),"",IF(E2492="","Segment ontbreekt",IF(OR(G2492="",H2492=""),"Van/tot ontbreekt",IF(N(J2492)=0,"Duur is nul",IF(N(J2492)&gt;12,"Langer dan 12 uur - controleren",IF(AND(E2492="Werken",D2492=""),"Werken zonder klant - koppelen","OK"))))))</f>
        <v/>
      </c>
    </row>
    <row r="2493" ht="15" customHeight="1" s="42">
      <c r="A2493" s="55" t="n"/>
      <c r="B2493" s="56">
        <f>IF(A2493="","",WEEKNUM(A2493,21))</f>
        <v/>
      </c>
      <c r="C2493" s="57" t="n"/>
      <c r="D2493" s="57" t="n"/>
      <c r="E2493" s="58" t="n"/>
      <c r="F2493" s="57" t="n"/>
      <c r="G2493" s="59" t="n"/>
      <c r="H2493" s="59" t="n"/>
      <c r="I2493" s="60">
        <f>IF(OR(G2493="",H2493=""),"",MOD(H2493-G2493,1))</f>
        <v/>
      </c>
      <c r="J2493" s="61">
        <f>IF(OR(G2493="",H2493=""),"",ROUND(MOD(H2493-G2493,1)*24,2))</f>
        <v/>
      </c>
      <c r="K2493" s="62">
        <f>IF(E2493="","",IF(E2493="Werken","JA","NEE"))</f>
        <v/>
      </c>
      <c r="L2493" s="61">
        <f>IF(K2493="JA",N(J2493),IF(E2493="","",0))</f>
        <v/>
      </c>
      <c r="M2493" s="62">
        <f>IF(AND(A2493="",E2493=""),"",IF(E2493="","Segment ontbreekt",IF(OR(G2493="",H2493=""),"Van/tot ontbreekt",IF(N(J2493)=0,"Duur is nul",IF(N(J2493)&gt;12,"Langer dan 12 uur - controleren",IF(AND(E2493="Werken",D2493=""),"Werken zonder klant - koppelen","OK"))))))</f>
        <v/>
      </c>
    </row>
    <row r="2494" ht="15" customHeight="1" s="42">
      <c r="A2494" s="55" t="n"/>
      <c r="B2494" s="56">
        <f>IF(A2494="","",WEEKNUM(A2494,21))</f>
        <v/>
      </c>
      <c r="C2494" s="57" t="n"/>
      <c r="D2494" s="57" t="n"/>
      <c r="E2494" s="58" t="n"/>
      <c r="F2494" s="57" t="n"/>
      <c r="G2494" s="59" t="n"/>
      <c r="H2494" s="59" t="n"/>
      <c r="I2494" s="60">
        <f>IF(OR(G2494="",H2494=""),"",MOD(H2494-G2494,1))</f>
        <v/>
      </c>
      <c r="J2494" s="61">
        <f>IF(OR(G2494="",H2494=""),"",ROUND(MOD(H2494-G2494,1)*24,2))</f>
        <v/>
      </c>
      <c r="K2494" s="62">
        <f>IF(E2494="","",IF(E2494="Werken","JA","NEE"))</f>
        <v/>
      </c>
      <c r="L2494" s="61">
        <f>IF(K2494="JA",N(J2494),IF(E2494="","",0))</f>
        <v/>
      </c>
      <c r="M2494" s="62">
        <f>IF(AND(A2494="",E2494=""),"",IF(E2494="","Segment ontbreekt",IF(OR(G2494="",H2494=""),"Van/tot ontbreekt",IF(N(J2494)=0,"Duur is nul",IF(N(J2494)&gt;12,"Langer dan 12 uur - controleren",IF(AND(E2494="Werken",D2494=""),"Werken zonder klant - koppelen","OK"))))))</f>
        <v/>
      </c>
    </row>
    <row r="2495" ht="15" customHeight="1" s="42">
      <c r="A2495" s="55" t="n"/>
      <c r="B2495" s="56">
        <f>IF(A2495="","",WEEKNUM(A2495,21))</f>
        <v/>
      </c>
      <c r="C2495" s="57" t="n"/>
      <c r="D2495" s="57" t="n"/>
      <c r="E2495" s="58" t="n"/>
      <c r="F2495" s="57" t="n"/>
      <c r="G2495" s="59" t="n"/>
      <c r="H2495" s="59" t="n"/>
      <c r="I2495" s="60">
        <f>IF(OR(G2495="",H2495=""),"",MOD(H2495-G2495,1))</f>
        <v/>
      </c>
      <c r="J2495" s="61">
        <f>IF(OR(G2495="",H2495=""),"",ROUND(MOD(H2495-G2495,1)*24,2))</f>
        <v/>
      </c>
      <c r="K2495" s="62">
        <f>IF(E2495="","",IF(E2495="Werken","JA","NEE"))</f>
        <v/>
      </c>
      <c r="L2495" s="61">
        <f>IF(K2495="JA",N(J2495),IF(E2495="","",0))</f>
        <v/>
      </c>
      <c r="M2495" s="62">
        <f>IF(AND(A2495="",E2495=""),"",IF(E2495="","Segment ontbreekt",IF(OR(G2495="",H2495=""),"Van/tot ontbreekt",IF(N(J2495)=0,"Duur is nul",IF(N(J2495)&gt;12,"Langer dan 12 uur - controleren",IF(AND(E2495="Werken",D2495=""),"Werken zonder klant - koppelen","OK"))))))</f>
        <v/>
      </c>
    </row>
    <row r="2496" ht="15" customHeight="1" s="42">
      <c r="A2496" s="55" t="n"/>
      <c r="B2496" s="56">
        <f>IF(A2496="","",WEEKNUM(A2496,21))</f>
        <v/>
      </c>
      <c r="C2496" s="57" t="n"/>
      <c r="D2496" s="57" t="n"/>
      <c r="E2496" s="58" t="n"/>
      <c r="F2496" s="57" t="n"/>
      <c r="G2496" s="59" t="n"/>
      <c r="H2496" s="59" t="n"/>
      <c r="I2496" s="60">
        <f>IF(OR(G2496="",H2496=""),"",MOD(H2496-G2496,1))</f>
        <v/>
      </c>
      <c r="J2496" s="61">
        <f>IF(OR(G2496="",H2496=""),"",ROUND(MOD(H2496-G2496,1)*24,2))</f>
        <v/>
      </c>
      <c r="K2496" s="62">
        <f>IF(E2496="","",IF(E2496="Werken","JA","NEE"))</f>
        <v/>
      </c>
      <c r="L2496" s="61">
        <f>IF(K2496="JA",N(J2496),IF(E2496="","",0))</f>
        <v/>
      </c>
      <c r="M2496" s="62">
        <f>IF(AND(A2496="",E2496=""),"",IF(E2496="","Segment ontbreekt",IF(OR(G2496="",H2496=""),"Van/tot ontbreekt",IF(N(J2496)=0,"Duur is nul",IF(N(J2496)&gt;12,"Langer dan 12 uur - controleren",IF(AND(E2496="Werken",D2496=""),"Werken zonder klant - koppelen","OK"))))))</f>
        <v/>
      </c>
    </row>
    <row r="2497" ht="15" customHeight="1" s="42">
      <c r="A2497" s="55" t="n"/>
      <c r="B2497" s="56">
        <f>IF(A2497="","",WEEKNUM(A2497,21))</f>
        <v/>
      </c>
      <c r="C2497" s="57" t="n"/>
      <c r="D2497" s="57" t="n"/>
      <c r="E2497" s="58" t="n"/>
      <c r="F2497" s="57" t="n"/>
      <c r="G2497" s="59" t="n"/>
      <c r="H2497" s="59" t="n"/>
      <c r="I2497" s="60">
        <f>IF(OR(G2497="",H2497=""),"",MOD(H2497-G2497,1))</f>
        <v/>
      </c>
      <c r="J2497" s="61">
        <f>IF(OR(G2497="",H2497=""),"",ROUND(MOD(H2497-G2497,1)*24,2))</f>
        <v/>
      </c>
      <c r="K2497" s="62">
        <f>IF(E2497="","",IF(E2497="Werken","JA","NEE"))</f>
        <v/>
      </c>
      <c r="L2497" s="61">
        <f>IF(K2497="JA",N(J2497),IF(E2497="","",0))</f>
        <v/>
      </c>
      <c r="M2497" s="62">
        <f>IF(AND(A2497="",E2497=""),"",IF(E2497="","Segment ontbreekt",IF(OR(G2497="",H2497=""),"Van/tot ontbreekt",IF(N(J2497)=0,"Duur is nul",IF(N(J2497)&gt;12,"Langer dan 12 uur - controleren",IF(AND(E2497="Werken",D2497=""),"Werken zonder klant - koppelen","OK"))))))</f>
        <v/>
      </c>
    </row>
    <row r="2498" ht="15" customHeight="1" s="42">
      <c r="A2498" s="55" t="n"/>
      <c r="B2498" s="56">
        <f>IF(A2498="","",WEEKNUM(A2498,21))</f>
        <v/>
      </c>
      <c r="C2498" s="57" t="n"/>
      <c r="D2498" s="57" t="n"/>
      <c r="E2498" s="58" t="n"/>
      <c r="F2498" s="57" t="n"/>
      <c r="G2498" s="59" t="n"/>
      <c r="H2498" s="59" t="n"/>
      <c r="I2498" s="60">
        <f>IF(OR(G2498="",H2498=""),"",MOD(H2498-G2498,1))</f>
        <v/>
      </c>
      <c r="J2498" s="61">
        <f>IF(OR(G2498="",H2498=""),"",ROUND(MOD(H2498-G2498,1)*24,2))</f>
        <v/>
      </c>
      <c r="K2498" s="62">
        <f>IF(E2498="","",IF(E2498="Werken","JA","NEE"))</f>
        <v/>
      </c>
      <c r="L2498" s="61">
        <f>IF(K2498="JA",N(J2498),IF(E2498="","",0))</f>
        <v/>
      </c>
      <c r="M2498" s="62">
        <f>IF(AND(A2498="",E2498=""),"",IF(E2498="","Segment ontbreekt",IF(OR(G2498="",H2498=""),"Van/tot ontbreekt",IF(N(J2498)=0,"Duur is nul",IF(N(J2498)&gt;12,"Langer dan 12 uur - controleren",IF(AND(E2498="Werken",D2498=""),"Werken zonder klant - koppelen","OK"))))))</f>
        <v/>
      </c>
    </row>
    <row r="2499" ht="15" customHeight="1" s="42">
      <c r="A2499" s="55" t="n"/>
      <c r="B2499" s="56">
        <f>IF(A2499="","",WEEKNUM(A2499,21))</f>
        <v/>
      </c>
      <c r="C2499" s="57" t="n"/>
      <c r="D2499" s="57" t="n"/>
      <c r="E2499" s="58" t="n"/>
      <c r="F2499" s="57" t="n"/>
      <c r="G2499" s="59" t="n"/>
      <c r="H2499" s="59" t="n"/>
      <c r="I2499" s="60">
        <f>IF(OR(G2499="",H2499=""),"",MOD(H2499-G2499,1))</f>
        <v/>
      </c>
      <c r="J2499" s="61">
        <f>IF(OR(G2499="",H2499=""),"",ROUND(MOD(H2499-G2499,1)*24,2))</f>
        <v/>
      </c>
      <c r="K2499" s="62">
        <f>IF(E2499="","",IF(E2499="Werken","JA","NEE"))</f>
        <v/>
      </c>
      <c r="L2499" s="61">
        <f>IF(K2499="JA",N(J2499),IF(E2499="","",0))</f>
        <v/>
      </c>
      <c r="M2499" s="62">
        <f>IF(AND(A2499="",E2499=""),"",IF(E2499="","Segment ontbreekt",IF(OR(G2499="",H2499=""),"Van/tot ontbreekt",IF(N(J2499)=0,"Duur is nul",IF(N(J2499)&gt;12,"Langer dan 12 uur - controleren",IF(AND(E2499="Werken",D2499=""),"Werken zonder klant - koppelen","OK"))))))</f>
        <v/>
      </c>
    </row>
    <row r="2500" ht="15" customHeight="1" s="42">
      <c r="A2500" s="55" t="n"/>
      <c r="B2500" s="56">
        <f>IF(A2500="","",WEEKNUM(A2500,21))</f>
        <v/>
      </c>
      <c r="C2500" s="57" t="n"/>
      <c r="D2500" s="57" t="n"/>
      <c r="E2500" s="58" t="n"/>
      <c r="F2500" s="57" t="n"/>
      <c r="G2500" s="59" t="n"/>
      <c r="H2500" s="59" t="n"/>
      <c r="I2500" s="60">
        <f>IF(OR(G2500="",H2500=""),"",MOD(H2500-G2500,1))</f>
        <v/>
      </c>
      <c r="J2500" s="61">
        <f>IF(OR(G2500="",H2500=""),"",ROUND(MOD(H2500-G2500,1)*24,2))</f>
        <v/>
      </c>
      <c r="K2500" s="62">
        <f>IF(E2500="","",IF(E2500="Werken","JA","NEE"))</f>
        <v/>
      </c>
      <c r="L2500" s="61">
        <f>IF(K2500="JA",N(J2500),IF(E2500="","",0))</f>
        <v/>
      </c>
      <c r="M2500" s="62">
        <f>IF(AND(A2500="",E2500=""),"",IF(E2500="","Segment ontbreekt",IF(OR(G2500="",H2500=""),"Van/tot ontbreekt",IF(N(J2500)=0,"Duur is nul",IF(N(J2500)&gt;12,"Langer dan 12 uur - controleren",IF(AND(E2500="Werken",D2500=""),"Werken zonder klant - koppelen","OK"))))))</f>
        <v/>
      </c>
    </row>
    <row r="2501" ht="15" customHeight="1" s="42">
      <c r="A2501" s="55" t="n"/>
      <c r="B2501" s="56">
        <f>IF(A2501="","",WEEKNUM(A2501,21))</f>
        <v/>
      </c>
      <c r="C2501" s="57" t="n"/>
      <c r="D2501" s="57" t="n"/>
      <c r="E2501" s="58" t="n"/>
      <c r="F2501" s="57" t="n"/>
      <c r="G2501" s="59" t="n"/>
      <c r="H2501" s="59" t="n"/>
      <c r="I2501" s="60">
        <f>IF(OR(G2501="",H2501=""),"",MOD(H2501-G2501,1))</f>
        <v/>
      </c>
      <c r="J2501" s="61">
        <f>IF(OR(G2501="",H2501=""),"",ROUND(MOD(H2501-G2501,1)*24,2))</f>
        <v/>
      </c>
      <c r="K2501" s="62">
        <f>IF(E2501="","",IF(E2501="Werken","JA","NEE"))</f>
        <v/>
      </c>
      <c r="L2501" s="61">
        <f>IF(K2501="JA",N(J2501),IF(E2501="","",0))</f>
        <v/>
      </c>
      <c r="M2501" s="62">
        <f>IF(AND(A2501="",E2501=""),"",IF(E2501="","Segment ontbreekt",IF(OR(G2501="",H2501=""),"Van/tot ontbreekt",IF(N(J2501)=0,"Duur is nul",IF(N(J2501)&gt;12,"Langer dan 12 uur - controleren",IF(AND(E2501="Werken",D2501=""),"Werken zonder klant - koppelen","OK"))))))</f>
        <v/>
      </c>
    </row>
    <row r="2502" ht="15" customHeight="1" s="42">
      <c r="A2502" s="55" t="n"/>
      <c r="B2502" s="56">
        <f>IF(A2502="","",WEEKNUM(A2502,21))</f>
        <v/>
      </c>
      <c r="C2502" s="57" t="n"/>
      <c r="D2502" s="57" t="n"/>
      <c r="E2502" s="58" t="n"/>
      <c r="F2502" s="57" t="n"/>
      <c r="G2502" s="59" t="n"/>
      <c r="H2502" s="59" t="n"/>
      <c r="I2502" s="60">
        <f>IF(OR(G2502="",H2502=""),"",MOD(H2502-G2502,1))</f>
        <v/>
      </c>
      <c r="J2502" s="61">
        <f>IF(OR(G2502="",H2502=""),"",ROUND(MOD(H2502-G2502,1)*24,2))</f>
        <v/>
      </c>
      <c r="K2502" s="62">
        <f>IF(E2502="","",IF(E2502="Werken","JA","NEE"))</f>
        <v/>
      </c>
      <c r="L2502" s="61">
        <f>IF(K2502="JA",N(J2502),IF(E2502="","",0))</f>
        <v/>
      </c>
      <c r="M2502" s="62">
        <f>IF(AND(A2502="",E2502=""),"",IF(E2502="","Segment ontbreekt",IF(OR(G2502="",H2502=""),"Van/tot ontbreekt",IF(N(J2502)=0,"Duur is nul",IF(N(J2502)&gt;12,"Langer dan 12 uur - controleren",IF(AND(E2502="Werken",D2502=""),"Werken zonder klant - koppelen","OK"))))))</f>
        <v/>
      </c>
    </row>
    <row r="2503" ht="15" customHeight="1" s="42">
      <c r="A2503" s="55" t="n"/>
      <c r="B2503" s="56">
        <f>IF(A2503="","",WEEKNUM(A2503,21))</f>
        <v/>
      </c>
      <c r="C2503" s="57" t="n"/>
      <c r="D2503" s="57" t="n"/>
      <c r="E2503" s="58" t="n"/>
      <c r="F2503" s="57" t="n"/>
      <c r="G2503" s="59" t="n"/>
      <c r="H2503" s="59" t="n"/>
      <c r="I2503" s="60">
        <f>IF(OR(G2503="",H2503=""),"",MOD(H2503-G2503,1))</f>
        <v/>
      </c>
      <c r="J2503" s="61">
        <f>IF(OR(G2503="",H2503=""),"",ROUND(MOD(H2503-G2503,1)*24,2))</f>
        <v/>
      </c>
      <c r="K2503" s="62">
        <f>IF(E2503="","",IF(E2503="Werken","JA","NEE"))</f>
        <v/>
      </c>
      <c r="L2503" s="61">
        <f>IF(K2503="JA",N(J2503),IF(E2503="","",0))</f>
        <v/>
      </c>
      <c r="M2503" s="62">
        <f>IF(AND(A2503="",E2503=""),"",IF(E2503="","Segment ontbreekt",IF(OR(G2503="",H2503=""),"Van/tot ontbreekt",IF(N(J2503)=0,"Duur is nul",IF(N(J2503)&gt;12,"Langer dan 12 uur - controleren",IF(AND(E2503="Werken",D2503=""),"Werken zonder klant - koppelen","OK"))))))</f>
        <v/>
      </c>
    </row>
    <row r="2504" ht="15" customHeight="1" s="42">
      <c r="A2504" s="55" t="n"/>
      <c r="B2504" s="56">
        <f>IF(A2504="","",WEEKNUM(A2504,21))</f>
        <v/>
      </c>
      <c r="C2504" s="57" t="n"/>
      <c r="D2504" s="57" t="n"/>
      <c r="E2504" s="58" t="n"/>
      <c r="F2504" s="57" t="n"/>
      <c r="G2504" s="59" t="n"/>
      <c r="H2504" s="59" t="n"/>
      <c r="I2504" s="60">
        <f>IF(OR(G2504="",H2504=""),"",MOD(H2504-G2504,1))</f>
        <v/>
      </c>
      <c r="J2504" s="61">
        <f>IF(OR(G2504="",H2504=""),"",ROUND(MOD(H2504-G2504,1)*24,2))</f>
        <v/>
      </c>
      <c r="K2504" s="62">
        <f>IF(E2504="","",IF(E2504="Werken","JA","NEE"))</f>
        <v/>
      </c>
      <c r="L2504" s="61">
        <f>IF(K2504="JA",N(J2504),IF(E2504="","",0))</f>
        <v/>
      </c>
      <c r="M2504" s="62">
        <f>IF(AND(A2504="",E2504=""),"",IF(E2504="","Segment ontbreekt",IF(OR(G2504="",H2504=""),"Van/tot ontbreekt",IF(N(J2504)=0,"Duur is nul",IF(N(J2504)&gt;12,"Langer dan 12 uur - controleren",IF(AND(E2504="Werken",D2504=""),"Werken zonder klant - koppelen","OK"))))))</f>
        <v/>
      </c>
    </row>
    <row r="2505" ht="15" customHeight="1" s="42">
      <c r="A2505" s="55" t="n"/>
      <c r="B2505" s="56">
        <f>IF(A2505="","",WEEKNUM(A2505,21))</f>
        <v/>
      </c>
      <c r="C2505" s="57" t="n"/>
      <c r="D2505" s="57" t="n"/>
      <c r="E2505" s="58" t="n"/>
      <c r="F2505" s="57" t="n"/>
      <c r="G2505" s="59" t="n"/>
      <c r="H2505" s="59" t="n"/>
      <c r="I2505" s="60">
        <f>IF(OR(G2505="",H2505=""),"",MOD(H2505-G2505,1))</f>
        <v/>
      </c>
      <c r="J2505" s="61">
        <f>IF(OR(G2505="",H2505=""),"",ROUND(MOD(H2505-G2505,1)*24,2))</f>
        <v/>
      </c>
      <c r="K2505" s="62">
        <f>IF(E2505="","",IF(E2505="Werken","JA","NEE"))</f>
        <v/>
      </c>
      <c r="L2505" s="61">
        <f>IF(K2505="JA",N(J2505),IF(E2505="","",0))</f>
        <v/>
      </c>
      <c r="M2505" s="62">
        <f>IF(AND(A2505="",E2505=""),"",IF(E2505="","Segment ontbreekt",IF(OR(G2505="",H2505=""),"Van/tot ontbreekt",IF(N(J2505)=0,"Duur is nul",IF(N(J2505)&gt;12,"Langer dan 12 uur - controleren",IF(AND(E2505="Werken",D2505=""),"Werken zonder klant - koppelen","OK"))))))</f>
        <v/>
      </c>
    </row>
    <row r="2506" ht="15" customHeight="1" s="42">
      <c r="A2506" s="55" t="n"/>
      <c r="B2506" s="56">
        <f>IF(A2506="","",WEEKNUM(A2506,21))</f>
        <v/>
      </c>
      <c r="C2506" s="57" t="n"/>
      <c r="D2506" s="57" t="n"/>
      <c r="E2506" s="58" t="n"/>
      <c r="F2506" s="57" t="n"/>
      <c r="G2506" s="59" t="n"/>
      <c r="H2506" s="59" t="n"/>
      <c r="I2506" s="60">
        <f>IF(OR(G2506="",H2506=""),"",MOD(H2506-G2506,1))</f>
        <v/>
      </c>
      <c r="J2506" s="61">
        <f>IF(OR(G2506="",H2506=""),"",ROUND(MOD(H2506-G2506,1)*24,2))</f>
        <v/>
      </c>
      <c r="K2506" s="62">
        <f>IF(E2506="","",IF(E2506="Werken","JA","NEE"))</f>
        <v/>
      </c>
      <c r="L2506" s="61">
        <f>IF(K2506="JA",N(J2506),IF(E2506="","",0))</f>
        <v/>
      </c>
      <c r="M2506" s="62">
        <f>IF(AND(A2506="",E2506=""),"",IF(E2506="","Segment ontbreekt",IF(OR(G2506="",H2506=""),"Van/tot ontbreekt",IF(N(J2506)=0,"Duur is nul",IF(N(J2506)&gt;12,"Langer dan 12 uur - controleren",IF(AND(E2506="Werken",D2506=""),"Werken zonder klant - koppelen","OK"))))))</f>
        <v/>
      </c>
    </row>
    <row r="2507" ht="15" customHeight="1" s="42">
      <c r="A2507" s="55" t="n"/>
      <c r="B2507" s="56">
        <f>IF(A2507="","",WEEKNUM(A2507,21))</f>
        <v/>
      </c>
      <c r="C2507" s="57" t="n"/>
      <c r="D2507" s="57" t="n"/>
      <c r="E2507" s="58" t="n"/>
      <c r="F2507" s="57" t="n"/>
      <c r="G2507" s="59" t="n"/>
      <c r="H2507" s="59" t="n"/>
      <c r="I2507" s="60">
        <f>IF(OR(G2507="",H2507=""),"",MOD(H2507-G2507,1))</f>
        <v/>
      </c>
      <c r="J2507" s="61">
        <f>IF(OR(G2507="",H2507=""),"",ROUND(MOD(H2507-G2507,1)*24,2))</f>
        <v/>
      </c>
      <c r="K2507" s="62">
        <f>IF(E2507="","",IF(E2507="Werken","JA","NEE"))</f>
        <v/>
      </c>
      <c r="L2507" s="61">
        <f>IF(K2507="JA",N(J2507),IF(E2507="","",0))</f>
        <v/>
      </c>
      <c r="M2507" s="62">
        <f>IF(AND(A2507="",E2507=""),"",IF(E2507="","Segment ontbreekt",IF(OR(G2507="",H2507=""),"Van/tot ontbreekt",IF(N(J2507)=0,"Duur is nul",IF(N(J2507)&gt;12,"Langer dan 12 uur - controleren",IF(AND(E2507="Werken",D2507=""),"Werken zonder klant - koppelen","OK"))))))</f>
        <v/>
      </c>
    </row>
    <row r="2508" ht="15" customHeight="1" s="42">
      <c r="A2508" s="55" t="n"/>
      <c r="B2508" s="56">
        <f>IF(A2508="","",WEEKNUM(A2508,21))</f>
        <v/>
      </c>
      <c r="C2508" s="57" t="n"/>
      <c r="D2508" s="57" t="n"/>
      <c r="E2508" s="58" t="n"/>
      <c r="F2508" s="57" t="n"/>
      <c r="G2508" s="59" t="n"/>
      <c r="H2508" s="59" t="n"/>
      <c r="I2508" s="60">
        <f>IF(OR(G2508="",H2508=""),"",MOD(H2508-G2508,1))</f>
        <v/>
      </c>
      <c r="J2508" s="61">
        <f>IF(OR(G2508="",H2508=""),"",ROUND(MOD(H2508-G2508,1)*24,2))</f>
        <v/>
      </c>
      <c r="K2508" s="62">
        <f>IF(E2508="","",IF(E2508="Werken","JA","NEE"))</f>
        <v/>
      </c>
      <c r="L2508" s="61">
        <f>IF(K2508="JA",N(J2508),IF(E2508="","",0))</f>
        <v/>
      </c>
      <c r="M2508" s="62">
        <f>IF(AND(A2508="",E2508=""),"",IF(E2508="","Segment ontbreekt",IF(OR(G2508="",H2508=""),"Van/tot ontbreekt",IF(N(J2508)=0,"Duur is nul",IF(N(J2508)&gt;12,"Langer dan 12 uur - controleren",IF(AND(E2508="Werken",D2508=""),"Werken zonder klant - koppelen","OK"))))))</f>
        <v/>
      </c>
    </row>
    <row r="2509" ht="15" customHeight="1" s="42">
      <c r="A2509" s="55" t="n"/>
      <c r="B2509" s="56">
        <f>IF(A2509="","",WEEKNUM(A2509,21))</f>
        <v/>
      </c>
      <c r="C2509" s="57" t="n"/>
      <c r="D2509" s="57" t="n"/>
      <c r="E2509" s="58" t="n"/>
      <c r="F2509" s="57" t="n"/>
      <c r="G2509" s="59" t="n"/>
      <c r="H2509" s="59" t="n"/>
      <c r="I2509" s="60">
        <f>IF(OR(G2509="",H2509=""),"",MOD(H2509-G2509,1))</f>
        <v/>
      </c>
      <c r="J2509" s="61">
        <f>IF(OR(G2509="",H2509=""),"",ROUND(MOD(H2509-G2509,1)*24,2))</f>
        <v/>
      </c>
      <c r="K2509" s="62">
        <f>IF(E2509="","",IF(E2509="Werken","JA","NEE"))</f>
        <v/>
      </c>
      <c r="L2509" s="61">
        <f>IF(K2509="JA",N(J2509),IF(E2509="","",0))</f>
        <v/>
      </c>
      <c r="M2509" s="62">
        <f>IF(AND(A2509="",E2509=""),"",IF(E2509="","Segment ontbreekt",IF(OR(G2509="",H2509=""),"Van/tot ontbreekt",IF(N(J2509)=0,"Duur is nul",IF(N(J2509)&gt;12,"Langer dan 12 uur - controleren",IF(AND(E2509="Werken",D2509=""),"Werken zonder klant - koppelen","OK"))))))</f>
        <v/>
      </c>
    </row>
    <row r="2510" ht="15" customHeight="1" s="42">
      <c r="A2510" s="55" t="n"/>
      <c r="B2510" s="56">
        <f>IF(A2510="","",WEEKNUM(A2510,21))</f>
        <v/>
      </c>
      <c r="C2510" s="57" t="n"/>
      <c r="D2510" s="57" t="n"/>
      <c r="E2510" s="58" t="n"/>
      <c r="F2510" s="57" t="n"/>
      <c r="G2510" s="59" t="n"/>
      <c r="H2510" s="59" t="n"/>
      <c r="I2510" s="60">
        <f>IF(OR(G2510="",H2510=""),"",MOD(H2510-G2510,1))</f>
        <v/>
      </c>
      <c r="J2510" s="61">
        <f>IF(OR(G2510="",H2510=""),"",ROUND(MOD(H2510-G2510,1)*24,2))</f>
        <v/>
      </c>
      <c r="K2510" s="62">
        <f>IF(E2510="","",IF(E2510="Werken","JA","NEE"))</f>
        <v/>
      </c>
      <c r="L2510" s="61">
        <f>IF(K2510="JA",N(J2510),IF(E2510="","",0))</f>
        <v/>
      </c>
      <c r="M2510" s="62">
        <f>IF(AND(A2510="",E2510=""),"",IF(E2510="","Segment ontbreekt",IF(OR(G2510="",H2510=""),"Van/tot ontbreekt",IF(N(J2510)=0,"Duur is nul",IF(N(J2510)&gt;12,"Langer dan 12 uur - controleren",IF(AND(E2510="Werken",D2510=""),"Werken zonder klant - koppelen","OK"))))))</f>
        <v/>
      </c>
    </row>
    <row r="2511" ht="15" customHeight="1" s="42">
      <c r="A2511" s="55" t="n"/>
      <c r="B2511" s="56">
        <f>IF(A2511="","",WEEKNUM(A2511,21))</f>
        <v/>
      </c>
      <c r="C2511" s="57" t="n"/>
      <c r="D2511" s="57" t="n"/>
      <c r="E2511" s="58" t="n"/>
      <c r="F2511" s="57" t="n"/>
      <c r="G2511" s="59" t="n"/>
      <c r="H2511" s="59" t="n"/>
      <c r="I2511" s="60">
        <f>IF(OR(G2511="",H2511=""),"",MOD(H2511-G2511,1))</f>
        <v/>
      </c>
      <c r="J2511" s="61">
        <f>IF(OR(G2511="",H2511=""),"",ROUND(MOD(H2511-G2511,1)*24,2))</f>
        <v/>
      </c>
      <c r="K2511" s="62">
        <f>IF(E2511="","",IF(E2511="Werken","JA","NEE"))</f>
        <v/>
      </c>
      <c r="L2511" s="61">
        <f>IF(K2511="JA",N(J2511),IF(E2511="","",0))</f>
        <v/>
      </c>
      <c r="M2511" s="62">
        <f>IF(AND(A2511="",E2511=""),"",IF(E2511="","Segment ontbreekt",IF(OR(G2511="",H2511=""),"Van/tot ontbreekt",IF(N(J2511)=0,"Duur is nul",IF(N(J2511)&gt;12,"Langer dan 12 uur - controleren",IF(AND(E2511="Werken",D2511=""),"Werken zonder klant - koppelen","OK"))))))</f>
        <v/>
      </c>
    </row>
    <row r="2512" ht="15" customHeight="1" s="42">
      <c r="A2512" s="55" t="n"/>
      <c r="B2512" s="56">
        <f>IF(A2512="","",WEEKNUM(A2512,21))</f>
        <v/>
      </c>
      <c r="C2512" s="57" t="n"/>
      <c r="D2512" s="57" t="n"/>
      <c r="E2512" s="58" t="n"/>
      <c r="F2512" s="57" t="n"/>
      <c r="G2512" s="59" t="n"/>
      <c r="H2512" s="59" t="n"/>
      <c r="I2512" s="60">
        <f>IF(OR(G2512="",H2512=""),"",MOD(H2512-G2512,1))</f>
        <v/>
      </c>
      <c r="J2512" s="61">
        <f>IF(OR(G2512="",H2512=""),"",ROUND(MOD(H2512-G2512,1)*24,2))</f>
        <v/>
      </c>
      <c r="K2512" s="62">
        <f>IF(E2512="","",IF(E2512="Werken","JA","NEE"))</f>
        <v/>
      </c>
      <c r="L2512" s="61">
        <f>IF(K2512="JA",N(J2512),IF(E2512="","",0))</f>
        <v/>
      </c>
      <c r="M2512" s="62">
        <f>IF(AND(A2512="",E2512=""),"",IF(E2512="","Segment ontbreekt",IF(OR(G2512="",H2512=""),"Van/tot ontbreekt",IF(N(J2512)=0,"Duur is nul",IF(N(J2512)&gt;12,"Langer dan 12 uur - controleren",IF(AND(E2512="Werken",D2512=""),"Werken zonder klant - koppelen","OK"))))))</f>
        <v/>
      </c>
    </row>
    <row r="2513" ht="15" customHeight="1" s="42">
      <c r="A2513" s="55" t="n"/>
      <c r="B2513" s="56">
        <f>IF(A2513="","",WEEKNUM(A2513,21))</f>
        <v/>
      </c>
      <c r="C2513" s="57" t="n"/>
      <c r="D2513" s="57" t="n"/>
      <c r="E2513" s="58" t="n"/>
      <c r="F2513" s="57" t="n"/>
      <c r="G2513" s="59" t="n"/>
      <c r="H2513" s="59" t="n"/>
      <c r="I2513" s="60">
        <f>IF(OR(G2513="",H2513=""),"",MOD(H2513-G2513,1))</f>
        <v/>
      </c>
      <c r="J2513" s="61">
        <f>IF(OR(G2513="",H2513=""),"",ROUND(MOD(H2513-G2513,1)*24,2))</f>
        <v/>
      </c>
      <c r="K2513" s="62">
        <f>IF(E2513="","",IF(E2513="Werken","JA","NEE"))</f>
        <v/>
      </c>
      <c r="L2513" s="61">
        <f>IF(K2513="JA",N(J2513),IF(E2513="","",0))</f>
        <v/>
      </c>
      <c r="M2513" s="62">
        <f>IF(AND(A2513="",E2513=""),"",IF(E2513="","Segment ontbreekt",IF(OR(G2513="",H2513=""),"Van/tot ontbreekt",IF(N(J2513)=0,"Duur is nul",IF(N(J2513)&gt;12,"Langer dan 12 uur - controleren",IF(AND(E2513="Werken",D2513=""),"Werken zonder klant - koppelen","OK"))))))</f>
        <v/>
      </c>
    </row>
    <row r="2514" ht="15" customHeight="1" s="42">
      <c r="A2514" s="55" t="n"/>
      <c r="B2514" s="56">
        <f>IF(A2514="","",WEEKNUM(A2514,21))</f>
        <v/>
      </c>
      <c r="C2514" s="57" t="n"/>
      <c r="D2514" s="57" t="n"/>
      <c r="E2514" s="58" t="n"/>
      <c r="F2514" s="57" t="n"/>
      <c r="G2514" s="59" t="n"/>
      <c r="H2514" s="59" t="n"/>
      <c r="I2514" s="60">
        <f>IF(OR(G2514="",H2514=""),"",MOD(H2514-G2514,1))</f>
        <v/>
      </c>
      <c r="J2514" s="61">
        <f>IF(OR(G2514="",H2514=""),"",ROUND(MOD(H2514-G2514,1)*24,2))</f>
        <v/>
      </c>
      <c r="K2514" s="62">
        <f>IF(E2514="","",IF(E2514="Werken","JA","NEE"))</f>
        <v/>
      </c>
      <c r="L2514" s="61">
        <f>IF(K2514="JA",N(J2514),IF(E2514="","",0))</f>
        <v/>
      </c>
      <c r="M2514" s="62">
        <f>IF(AND(A2514="",E2514=""),"",IF(E2514="","Segment ontbreekt",IF(OR(G2514="",H2514=""),"Van/tot ontbreekt",IF(N(J2514)=0,"Duur is nul",IF(N(J2514)&gt;12,"Langer dan 12 uur - controleren",IF(AND(E2514="Werken",D2514=""),"Werken zonder klant - koppelen","OK"))))))</f>
        <v/>
      </c>
    </row>
    <row r="2515" ht="15" customHeight="1" s="42">
      <c r="A2515" s="55" t="n"/>
      <c r="B2515" s="56">
        <f>IF(A2515="","",WEEKNUM(A2515,21))</f>
        <v/>
      </c>
      <c r="C2515" s="57" t="n"/>
      <c r="D2515" s="57" t="n"/>
      <c r="E2515" s="58" t="n"/>
      <c r="F2515" s="57" t="n"/>
      <c r="G2515" s="59" t="n"/>
      <c r="H2515" s="59" t="n"/>
      <c r="I2515" s="60">
        <f>IF(OR(G2515="",H2515=""),"",MOD(H2515-G2515,1))</f>
        <v/>
      </c>
      <c r="J2515" s="61">
        <f>IF(OR(G2515="",H2515=""),"",ROUND(MOD(H2515-G2515,1)*24,2))</f>
        <v/>
      </c>
      <c r="K2515" s="62">
        <f>IF(E2515="","",IF(E2515="Werken","JA","NEE"))</f>
        <v/>
      </c>
      <c r="L2515" s="61">
        <f>IF(K2515="JA",N(J2515),IF(E2515="","",0))</f>
        <v/>
      </c>
      <c r="M2515" s="62">
        <f>IF(AND(A2515="",E2515=""),"",IF(E2515="","Segment ontbreekt",IF(OR(G2515="",H2515=""),"Van/tot ontbreekt",IF(N(J2515)=0,"Duur is nul",IF(N(J2515)&gt;12,"Langer dan 12 uur - controleren",IF(AND(E2515="Werken",D2515=""),"Werken zonder klant - koppelen","OK"))))))</f>
        <v/>
      </c>
    </row>
    <row r="2516" ht="15" customHeight="1" s="42">
      <c r="A2516" s="55" t="n"/>
      <c r="B2516" s="56">
        <f>IF(A2516="","",WEEKNUM(A2516,21))</f>
        <v/>
      </c>
      <c r="C2516" s="57" t="n"/>
      <c r="D2516" s="57" t="n"/>
      <c r="E2516" s="58" t="n"/>
      <c r="F2516" s="57" t="n"/>
      <c r="G2516" s="59" t="n"/>
      <c r="H2516" s="59" t="n"/>
      <c r="I2516" s="60">
        <f>IF(OR(G2516="",H2516=""),"",MOD(H2516-G2516,1))</f>
        <v/>
      </c>
      <c r="J2516" s="61">
        <f>IF(OR(G2516="",H2516=""),"",ROUND(MOD(H2516-G2516,1)*24,2))</f>
        <v/>
      </c>
      <c r="K2516" s="62">
        <f>IF(E2516="","",IF(E2516="Werken","JA","NEE"))</f>
        <v/>
      </c>
      <c r="L2516" s="61">
        <f>IF(K2516="JA",N(J2516),IF(E2516="","",0))</f>
        <v/>
      </c>
      <c r="M2516" s="62">
        <f>IF(AND(A2516="",E2516=""),"",IF(E2516="","Segment ontbreekt",IF(OR(G2516="",H2516=""),"Van/tot ontbreekt",IF(N(J2516)=0,"Duur is nul",IF(N(J2516)&gt;12,"Langer dan 12 uur - controleren",IF(AND(E2516="Werken",D2516=""),"Werken zonder klant - koppelen","OK"))))))</f>
        <v/>
      </c>
    </row>
    <row r="2517" ht="15" customHeight="1" s="42">
      <c r="A2517" s="55" t="n"/>
      <c r="B2517" s="56">
        <f>IF(A2517="","",WEEKNUM(A2517,21))</f>
        <v/>
      </c>
      <c r="C2517" s="57" t="n"/>
      <c r="D2517" s="57" t="n"/>
      <c r="E2517" s="58" t="n"/>
      <c r="F2517" s="57" t="n"/>
      <c r="G2517" s="59" t="n"/>
      <c r="H2517" s="59" t="n"/>
      <c r="I2517" s="60">
        <f>IF(OR(G2517="",H2517=""),"",MOD(H2517-G2517,1))</f>
        <v/>
      </c>
      <c r="J2517" s="61">
        <f>IF(OR(G2517="",H2517=""),"",ROUND(MOD(H2517-G2517,1)*24,2))</f>
        <v/>
      </c>
      <c r="K2517" s="62">
        <f>IF(E2517="","",IF(E2517="Werken","JA","NEE"))</f>
        <v/>
      </c>
      <c r="L2517" s="61">
        <f>IF(K2517="JA",N(J2517),IF(E2517="","",0))</f>
        <v/>
      </c>
      <c r="M2517" s="62">
        <f>IF(AND(A2517="",E2517=""),"",IF(E2517="","Segment ontbreekt",IF(OR(G2517="",H2517=""),"Van/tot ontbreekt",IF(N(J2517)=0,"Duur is nul",IF(N(J2517)&gt;12,"Langer dan 12 uur - controleren",IF(AND(E2517="Werken",D2517=""),"Werken zonder klant - koppelen","OK"))))))</f>
        <v/>
      </c>
    </row>
    <row r="2518" ht="15" customHeight="1" s="42">
      <c r="A2518" s="55" t="n"/>
      <c r="B2518" s="56">
        <f>IF(A2518="","",WEEKNUM(A2518,21))</f>
        <v/>
      </c>
      <c r="C2518" s="57" t="n"/>
      <c r="D2518" s="57" t="n"/>
      <c r="E2518" s="58" t="n"/>
      <c r="F2518" s="57" t="n"/>
      <c r="G2518" s="59" t="n"/>
      <c r="H2518" s="59" t="n"/>
      <c r="I2518" s="60">
        <f>IF(OR(G2518="",H2518=""),"",MOD(H2518-G2518,1))</f>
        <v/>
      </c>
      <c r="J2518" s="61">
        <f>IF(OR(G2518="",H2518=""),"",ROUND(MOD(H2518-G2518,1)*24,2))</f>
        <v/>
      </c>
      <c r="K2518" s="62">
        <f>IF(E2518="","",IF(E2518="Werken","JA","NEE"))</f>
        <v/>
      </c>
      <c r="L2518" s="61">
        <f>IF(K2518="JA",N(J2518),IF(E2518="","",0))</f>
        <v/>
      </c>
      <c r="M2518" s="62">
        <f>IF(AND(A2518="",E2518=""),"",IF(E2518="","Segment ontbreekt",IF(OR(G2518="",H2518=""),"Van/tot ontbreekt",IF(N(J2518)=0,"Duur is nul",IF(N(J2518)&gt;12,"Langer dan 12 uur - controleren",IF(AND(E2518="Werken",D2518=""),"Werken zonder klant - koppelen","OK"))))))</f>
        <v/>
      </c>
    </row>
    <row r="2519" ht="15" customHeight="1" s="42">
      <c r="A2519" s="55" t="n"/>
      <c r="B2519" s="56">
        <f>IF(A2519="","",WEEKNUM(A2519,21))</f>
        <v/>
      </c>
      <c r="C2519" s="57" t="n"/>
      <c r="D2519" s="57" t="n"/>
      <c r="E2519" s="58" t="n"/>
      <c r="F2519" s="57" t="n"/>
      <c r="G2519" s="59" t="n"/>
      <c r="H2519" s="59" t="n"/>
      <c r="I2519" s="60">
        <f>IF(OR(G2519="",H2519=""),"",MOD(H2519-G2519,1))</f>
        <v/>
      </c>
      <c r="J2519" s="61">
        <f>IF(OR(G2519="",H2519=""),"",ROUND(MOD(H2519-G2519,1)*24,2))</f>
        <v/>
      </c>
      <c r="K2519" s="62">
        <f>IF(E2519="","",IF(E2519="Werken","JA","NEE"))</f>
        <v/>
      </c>
      <c r="L2519" s="61">
        <f>IF(K2519="JA",N(J2519),IF(E2519="","",0))</f>
        <v/>
      </c>
      <c r="M2519" s="62">
        <f>IF(AND(A2519="",E2519=""),"",IF(E2519="","Segment ontbreekt",IF(OR(G2519="",H2519=""),"Van/tot ontbreekt",IF(N(J2519)=0,"Duur is nul",IF(N(J2519)&gt;12,"Langer dan 12 uur - controleren",IF(AND(E2519="Werken",D2519=""),"Werken zonder klant - koppelen","OK"))))))</f>
        <v/>
      </c>
    </row>
    <row r="2520" ht="15" customHeight="1" s="42">
      <c r="A2520" s="55" t="n"/>
      <c r="B2520" s="56">
        <f>IF(A2520="","",WEEKNUM(A2520,21))</f>
        <v/>
      </c>
      <c r="C2520" s="57" t="n"/>
      <c r="D2520" s="57" t="n"/>
      <c r="E2520" s="58" t="n"/>
      <c r="F2520" s="57" t="n"/>
      <c r="G2520" s="59" t="n"/>
      <c r="H2520" s="59" t="n"/>
      <c r="I2520" s="60">
        <f>IF(OR(G2520="",H2520=""),"",MOD(H2520-G2520,1))</f>
        <v/>
      </c>
      <c r="J2520" s="61">
        <f>IF(OR(G2520="",H2520=""),"",ROUND(MOD(H2520-G2520,1)*24,2))</f>
        <v/>
      </c>
      <c r="K2520" s="62">
        <f>IF(E2520="","",IF(E2520="Werken","JA","NEE"))</f>
        <v/>
      </c>
      <c r="L2520" s="61">
        <f>IF(K2520="JA",N(J2520),IF(E2520="","",0))</f>
        <v/>
      </c>
      <c r="M2520" s="62">
        <f>IF(AND(A2520="",E2520=""),"",IF(E2520="","Segment ontbreekt",IF(OR(G2520="",H2520=""),"Van/tot ontbreekt",IF(N(J2520)=0,"Duur is nul",IF(N(J2520)&gt;12,"Langer dan 12 uur - controleren",IF(AND(E2520="Werken",D2520=""),"Werken zonder klant - koppelen","OK"))))))</f>
        <v/>
      </c>
    </row>
    <row r="2521" ht="15" customHeight="1" s="42">
      <c r="A2521" s="55" t="n"/>
      <c r="B2521" s="56">
        <f>IF(A2521="","",WEEKNUM(A2521,21))</f>
        <v/>
      </c>
      <c r="C2521" s="57" t="n"/>
      <c r="D2521" s="57" t="n"/>
      <c r="E2521" s="58" t="n"/>
      <c r="F2521" s="57" t="n"/>
      <c r="G2521" s="59" t="n"/>
      <c r="H2521" s="59" t="n"/>
      <c r="I2521" s="60">
        <f>IF(OR(G2521="",H2521=""),"",MOD(H2521-G2521,1))</f>
        <v/>
      </c>
      <c r="J2521" s="61">
        <f>IF(OR(G2521="",H2521=""),"",ROUND(MOD(H2521-G2521,1)*24,2))</f>
        <v/>
      </c>
      <c r="K2521" s="62">
        <f>IF(E2521="","",IF(E2521="Werken","JA","NEE"))</f>
        <v/>
      </c>
      <c r="L2521" s="61">
        <f>IF(K2521="JA",N(J2521),IF(E2521="","",0))</f>
        <v/>
      </c>
      <c r="M2521" s="62">
        <f>IF(AND(A2521="",E2521=""),"",IF(E2521="","Segment ontbreekt",IF(OR(G2521="",H2521=""),"Van/tot ontbreekt",IF(N(J2521)=0,"Duur is nul",IF(N(J2521)&gt;12,"Langer dan 12 uur - controleren",IF(AND(E2521="Werken",D2521=""),"Werken zonder klant - koppelen","OK"))))))</f>
        <v/>
      </c>
    </row>
    <row r="2522" ht="15" customHeight="1" s="42">
      <c r="A2522" s="55" t="n"/>
      <c r="B2522" s="56">
        <f>IF(A2522="","",WEEKNUM(A2522,21))</f>
        <v/>
      </c>
      <c r="C2522" s="57" t="n"/>
      <c r="D2522" s="57" t="n"/>
      <c r="E2522" s="58" t="n"/>
      <c r="F2522" s="57" t="n"/>
      <c r="G2522" s="59" t="n"/>
      <c r="H2522" s="59" t="n"/>
      <c r="I2522" s="60">
        <f>IF(OR(G2522="",H2522=""),"",MOD(H2522-G2522,1))</f>
        <v/>
      </c>
      <c r="J2522" s="61">
        <f>IF(OR(G2522="",H2522=""),"",ROUND(MOD(H2522-G2522,1)*24,2))</f>
        <v/>
      </c>
      <c r="K2522" s="62">
        <f>IF(E2522="","",IF(E2522="Werken","JA","NEE"))</f>
        <v/>
      </c>
      <c r="L2522" s="61">
        <f>IF(K2522="JA",N(J2522),IF(E2522="","",0))</f>
        <v/>
      </c>
      <c r="M2522" s="62">
        <f>IF(AND(A2522="",E2522=""),"",IF(E2522="","Segment ontbreekt",IF(OR(G2522="",H2522=""),"Van/tot ontbreekt",IF(N(J2522)=0,"Duur is nul",IF(N(J2522)&gt;12,"Langer dan 12 uur - controleren",IF(AND(E2522="Werken",D2522=""),"Werken zonder klant - koppelen","OK"))))))</f>
        <v/>
      </c>
    </row>
    <row r="2523" ht="15" customHeight="1" s="42">
      <c r="A2523" s="55" t="n"/>
      <c r="B2523" s="56">
        <f>IF(A2523="","",WEEKNUM(A2523,21))</f>
        <v/>
      </c>
      <c r="C2523" s="57" t="n"/>
      <c r="D2523" s="57" t="n"/>
      <c r="E2523" s="58" t="n"/>
      <c r="F2523" s="57" t="n"/>
      <c r="G2523" s="59" t="n"/>
      <c r="H2523" s="59" t="n"/>
      <c r="I2523" s="60">
        <f>IF(OR(G2523="",H2523=""),"",MOD(H2523-G2523,1))</f>
        <v/>
      </c>
      <c r="J2523" s="61">
        <f>IF(OR(G2523="",H2523=""),"",ROUND(MOD(H2523-G2523,1)*24,2))</f>
        <v/>
      </c>
      <c r="K2523" s="62">
        <f>IF(E2523="","",IF(E2523="Werken","JA","NEE"))</f>
        <v/>
      </c>
      <c r="L2523" s="61">
        <f>IF(K2523="JA",N(J2523),IF(E2523="","",0))</f>
        <v/>
      </c>
      <c r="M2523" s="62">
        <f>IF(AND(A2523="",E2523=""),"",IF(E2523="","Segment ontbreekt",IF(OR(G2523="",H2523=""),"Van/tot ontbreekt",IF(N(J2523)=0,"Duur is nul",IF(N(J2523)&gt;12,"Langer dan 12 uur - controleren",IF(AND(E2523="Werken",D2523=""),"Werken zonder klant - koppelen","OK"))))))</f>
        <v/>
      </c>
    </row>
    <row r="2524" ht="15" customHeight="1" s="42">
      <c r="A2524" s="55" t="n"/>
      <c r="B2524" s="56">
        <f>IF(A2524="","",WEEKNUM(A2524,21))</f>
        <v/>
      </c>
      <c r="C2524" s="57" t="n"/>
      <c r="D2524" s="57" t="n"/>
      <c r="E2524" s="58" t="n"/>
      <c r="F2524" s="57" t="n"/>
      <c r="G2524" s="59" t="n"/>
      <c r="H2524" s="59" t="n"/>
      <c r="I2524" s="60">
        <f>IF(OR(G2524="",H2524=""),"",MOD(H2524-G2524,1))</f>
        <v/>
      </c>
      <c r="J2524" s="61">
        <f>IF(OR(G2524="",H2524=""),"",ROUND(MOD(H2524-G2524,1)*24,2))</f>
        <v/>
      </c>
      <c r="K2524" s="62">
        <f>IF(E2524="","",IF(E2524="Werken","JA","NEE"))</f>
        <v/>
      </c>
      <c r="L2524" s="61">
        <f>IF(K2524="JA",N(J2524),IF(E2524="","",0))</f>
        <v/>
      </c>
      <c r="M2524" s="62">
        <f>IF(AND(A2524="",E2524=""),"",IF(E2524="","Segment ontbreekt",IF(OR(G2524="",H2524=""),"Van/tot ontbreekt",IF(N(J2524)=0,"Duur is nul",IF(N(J2524)&gt;12,"Langer dan 12 uur - controleren",IF(AND(E2524="Werken",D2524=""),"Werken zonder klant - koppelen","OK"))))))</f>
        <v/>
      </c>
    </row>
    <row r="2525" ht="15" customHeight="1" s="42">
      <c r="A2525" s="55" t="n"/>
      <c r="B2525" s="56">
        <f>IF(A2525="","",WEEKNUM(A2525,21))</f>
        <v/>
      </c>
      <c r="C2525" s="57" t="n"/>
      <c r="D2525" s="57" t="n"/>
      <c r="E2525" s="58" t="n"/>
      <c r="F2525" s="57" t="n"/>
      <c r="G2525" s="59" t="n"/>
      <c r="H2525" s="59" t="n"/>
      <c r="I2525" s="60">
        <f>IF(OR(G2525="",H2525=""),"",MOD(H2525-G2525,1))</f>
        <v/>
      </c>
      <c r="J2525" s="61">
        <f>IF(OR(G2525="",H2525=""),"",ROUND(MOD(H2525-G2525,1)*24,2))</f>
        <v/>
      </c>
      <c r="K2525" s="62">
        <f>IF(E2525="","",IF(E2525="Werken","JA","NEE"))</f>
        <v/>
      </c>
      <c r="L2525" s="61">
        <f>IF(K2525="JA",N(J2525),IF(E2525="","",0))</f>
        <v/>
      </c>
      <c r="M2525" s="62">
        <f>IF(AND(A2525="",E2525=""),"",IF(E2525="","Segment ontbreekt",IF(OR(G2525="",H2525=""),"Van/tot ontbreekt",IF(N(J2525)=0,"Duur is nul",IF(N(J2525)&gt;12,"Langer dan 12 uur - controleren",IF(AND(E2525="Werken",D2525=""),"Werken zonder klant - koppelen","OK"))))))</f>
        <v/>
      </c>
    </row>
    <row r="2526" ht="15" customHeight="1" s="42">
      <c r="A2526" s="55" t="n"/>
      <c r="B2526" s="56">
        <f>IF(A2526="","",WEEKNUM(A2526,21))</f>
        <v/>
      </c>
      <c r="C2526" s="57" t="n"/>
      <c r="D2526" s="57" t="n"/>
      <c r="E2526" s="58" t="n"/>
      <c r="F2526" s="57" t="n"/>
      <c r="G2526" s="59" t="n"/>
      <c r="H2526" s="59" t="n"/>
      <c r="I2526" s="60">
        <f>IF(OR(G2526="",H2526=""),"",MOD(H2526-G2526,1))</f>
        <v/>
      </c>
      <c r="J2526" s="61">
        <f>IF(OR(G2526="",H2526=""),"",ROUND(MOD(H2526-G2526,1)*24,2))</f>
        <v/>
      </c>
      <c r="K2526" s="62">
        <f>IF(E2526="","",IF(E2526="Werken","JA","NEE"))</f>
        <v/>
      </c>
      <c r="L2526" s="61">
        <f>IF(K2526="JA",N(J2526),IF(E2526="","",0))</f>
        <v/>
      </c>
      <c r="M2526" s="62">
        <f>IF(AND(A2526="",E2526=""),"",IF(E2526="","Segment ontbreekt",IF(OR(G2526="",H2526=""),"Van/tot ontbreekt",IF(N(J2526)=0,"Duur is nul",IF(N(J2526)&gt;12,"Langer dan 12 uur - controleren",IF(AND(E2526="Werken",D2526=""),"Werken zonder klant - koppelen","OK"))))))</f>
        <v/>
      </c>
    </row>
    <row r="2527" ht="15" customHeight="1" s="42">
      <c r="A2527" s="55" t="n"/>
      <c r="B2527" s="56">
        <f>IF(A2527="","",WEEKNUM(A2527,21))</f>
        <v/>
      </c>
      <c r="C2527" s="57" t="n"/>
      <c r="D2527" s="57" t="n"/>
      <c r="E2527" s="58" t="n"/>
      <c r="F2527" s="57" t="n"/>
      <c r="G2527" s="59" t="n"/>
      <c r="H2527" s="59" t="n"/>
      <c r="I2527" s="60">
        <f>IF(OR(G2527="",H2527=""),"",MOD(H2527-G2527,1))</f>
        <v/>
      </c>
      <c r="J2527" s="61">
        <f>IF(OR(G2527="",H2527=""),"",ROUND(MOD(H2527-G2527,1)*24,2))</f>
        <v/>
      </c>
      <c r="K2527" s="62">
        <f>IF(E2527="","",IF(E2527="Werken","JA","NEE"))</f>
        <v/>
      </c>
      <c r="L2527" s="61">
        <f>IF(K2527="JA",N(J2527),IF(E2527="","",0))</f>
        <v/>
      </c>
      <c r="M2527" s="62">
        <f>IF(AND(A2527="",E2527=""),"",IF(E2527="","Segment ontbreekt",IF(OR(G2527="",H2527=""),"Van/tot ontbreekt",IF(N(J2527)=0,"Duur is nul",IF(N(J2527)&gt;12,"Langer dan 12 uur - controleren",IF(AND(E2527="Werken",D2527=""),"Werken zonder klant - koppelen","OK"))))))</f>
        <v/>
      </c>
    </row>
    <row r="2528" ht="15" customHeight="1" s="42">
      <c r="A2528" s="55" t="n"/>
      <c r="B2528" s="56">
        <f>IF(A2528="","",WEEKNUM(A2528,21))</f>
        <v/>
      </c>
      <c r="C2528" s="57" t="n"/>
      <c r="D2528" s="57" t="n"/>
      <c r="E2528" s="58" t="n"/>
      <c r="F2528" s="57" t="n"/>
      <c r="G2528" s="59" t="n"/>
      <c r="H2528" s="59" t="n"/>
      <c r="I2528" s="60">
        <f>IF(OR(G2528="",H2528=""),"",MOD(H2528-G2528,1))</f>
        <v/>
      </c>
      <c r="J2528" s="61">
        <f>IF(OR(G2528="",H2528=""),"",ROUND(MOD(H2528-G2528,1)*24,2))</f>
        <v/>
      </c>
      <c r="K2528" s="62">
        <f>IF(E2528="","",IF(E2528="Werken","JA","NEE"))</f>
        <v/>
      </c>
      <c r="L2528" s="61">
        <f>IF(K2528="JA",N(J2528),IF(E2528="","",0))</f>
        <v/>
      </c>
      <c r="M2528" s="62">
        <f>IF(AND(A2528="",E2528=""),"",IF(E2528="","Segment ontbreekt",IF(OR(G2528="",H2528=""),"Van/tot ontbreekt",IF(N(J2528)=0,"Duur is nul",IF(N(J2528)&gt;12,"Langer dan 12 uur - controleren",IF(AND(E2528="Werken",D2528=""),"Werken zonder klant - koppelen","OK"))))))</f>
        <v/>
      </c>
    </row>
    <row r="2529" ht="15" customHeight="1" s="42">
      <c r="A2529" s="55" t="n"/>
      <c r="B2529" s="56">
        <f>IF(A2529="","",WEEKNUM(A2529,21))</f>
        <v/>
      </c>
      <c r="C2529" s="57" t="n"/>
      <c r="D2529" s="57" t="n"/>
      <c r="E2529" s="58" t="n"/>
      <c r="F2529" s="57" t="n"/>
      <c r="G2529" s="59" t="n"/>
      <c r="H2529" s="59" t="n"/>
      <c r="I2529" s="60">
        <f>IF(OR(G2529="",H2529=""),"",MOD(H2529-G2529,1))</f>
        <v/>
      </c>
      <c r="J2529" s="61">
        <f>IF(OR(G2529="",H2529=""),"",ROUND(MOD(H2529-G2529,1)*24,2))</f>
        <v/>
      </c>
      <c r="K2529" s="62">
        <f>IF(E2529="","",IF(E2529="Werken","JA","NEE"))</f>
        <v/>
      </c>
      <c r="L2529" s="61">
        <f>IF(K2529="JA",N(J2529),IF(E2529="","",0))</f>
        <v/>
      </c>
      <c r="M2529" s="62">
        <f>IF(AND(A2529="",E2529=""),"",IF(E2529="","Segment ontbreekt",IF(OR(G2529="",H2529=""),"Van/tot ontbreekt",IF(N(J2529)=0,"Duur is nul",IF(N(J2529)&gt;12,"Langer dan 12 uur - controleren",IF(AND(E2529="Werken",D2529=""),"Werken zonder klant - koppelen","OK"))))))</f>
        <v/>
      </c>
    </row>
    <row r="2530" ht="15" customHeight="1" s="42">
      <c r="A2530" s="55" t="n"/>
      <c r="B2530" s="56">
        <f>IF(A2530="","",WEEKNUM(A2530,21))</f>
        <v/>
      </c>
      <c r="C2530" s="57" t="n"/>
      <c r="D2530" s="57" t="n"/>
      <c r="E2530" s="58" t="n"/>
      <c r="F2530" s="57" t="n"/>
      <c r="G2530" s="59" t="n"/>
      <c r="H2530" s="59" t="n"/>
      <c r="I2530" s="60">
        <f>IF(OR(G2530="",H2530=""),"",MOD(H2530-G2530,1))</f>
        <v/>
      </c>
      <c r="J2530" s="61">
        <f>IF(OR(G2530="",H2530=""),"",ROUND(MOD(H2530-G2530,1)*24,2))</f>
        <v/>
      </c>
      <c r="K2530" s="62">
        <f>IF(E2530="","",IF(E2530="Werken","JA","NEE"))</f>
        <v/>
      </c>
      <c r="L2530" s="61">
        <f>IF(K2530="JA",N(J2530),IF(E2530="","",0))</f>
        <v/>
      </c>
      <c r="M2530" s="62">
        <f>IF(AND(A2530="",E2530=""),"",IF(E2530="","Segment ontbreekt",IF(OR(G2530="",H2530=""),"Van/tot ontbreekt",IF(N(J2530)=0,"Duur is nul",IF(N(J2530)&gt;12,"Langer dan 12 uur - controleren",IF(AND(E2530="Werken",D2530=""),"Werken zonder klant - koppelen","OK"))))))</f>
        <v/>
      </c>
    </row>
    <row r="2531" ht="15" customHeight="1" s="42">
      <c r="A2531" s="55" t="n"/>
      <c r="B2531" s="56">
        <f>IF(A2531="","",WEEKNUM(A2531,21))</f>
        <v/>
      </c>
      <c r="C2531" s="57" t="n"/>
      <c r="D2531" s="57" t="n"/>
      <c r="E2531" s="58" t="n"/>
      <c r="F2531" s="57" t="n"/>
      <c r="G2531" s="59" t="n"/>
      <c r="H2531" s="59" t="n"/>
      <c r="I2531" s="60">
        <f>IF(OR(G2531="",H2531=""),"",MOD(H2531-G2531,1))</f>
        <v/>
      </c>
      <c r="J2531" s="61">
        <f>IF(OR(G2531="",H2531=""),"",ROUND(MOD(H2531-G2531,1)*24,2))</f>
        <v/>
      </c>
      <c r="K2531" s="62">
        <f>IF(E2531="","",IF(E2531="Werken","JA","NEE"))</f>
        <v/>
      </c>
      <c r="L2531" s="61">
        <f>IF(K2531="JA",N(J2531),IF(E2531="","",0))</f>
        <v/>
      </c>
      <c r="M2531" s="62">
        <f>IF(AND(A2531="",E2531=""),"",IF(E2531="","Segment ontbreekt",IF(OR(G2531="",H2531=""),"Van/tot ontbreekt",IF(N(J2531)=0,"Duur is nul",IF(N(J2531)&gt;12,"Langer dan 12 uur - controleren",IF(AND(E2531="Werken",D2531=""),"Werken zonder klant - koppelen","OK"))))))</f>
        <v/>
      </c>
    </row>
    <row r="2532" ht="15" customHeight="1" s="42">
      <c r="A2532" s="55" t="n"/>
      <c r="B2532" s="56">
        <f>IF(A2532="","",WEEKNUM(A2532,21))</f>
        <v/>
      </c>
      <c r="C2532" s="57" t="n"/>
      <c r="D2532" s="57" t="n"/>
      <c r="E2532" s="58" t="n"/>
      <c r="F2532" s="57" t="n"/>
      <c r="G2532" s="59" t="n"/>
      <c r="H2532" s="59" t="n"/>
      <c r="I2532" s="60">
        <f>IF(OR(G2532="",H2532=""),"",MOD(H2532-G2532,1))</f>
        <v/>
      </c>
      <c r="J2532" s="61">
        <f>IF(OR(G2532="",H2532=""),"",ROUND(MOD(H2532-G2532,1)*24,2))</f>
        <v/>
      </c>
      <c r="K2532" s="62">
        <f>IF(E2532="","",IF(E2532="Werken","JA","NEE"))</f>
        <v/>
      </c>
      <c r="L2532" s="61">
        <f>IF(K2532="JA",N(J2532),IF(E2532="","",0))</f>
        <v/>
      </c>
      <c r="M2532" s="62">
        <f>IF(AND(A2532="",E2532=""),"",IF(E2532="","Segment ontbreekt",IF(OR(G2532="",H2532=""),"Van/tot ontbreekt",IF(N(J2532)=0,"Duur is nul",IF(N(J2532)&gt;12,"Langer dan 12 uur - controleren",IF(AND(E2532="Werken",D2532=""),"Werken zonder klant - koppelen","OK"))))))</f>
        <v/>
      </c>
    </row>
    <row r="2533" ht="15" customHeight="1" s="42">
      <c r="A2533" s="55" t="n"/>
      <c r="B2533" s="56">
        <f>IF(A2533="","",WEEKNUM(A2533,21))</f>
        <v/>
      </c>
      <c r="C2533" s="57" t="n"/>
      <c r="D2533" s="57" t="n"/>
      <c r="E2533" s="58" t="n"/>
      <c r="F2533" s="57" t="n"/>
      <c r="G2533" s="59" t="n"/>
      <c r="H2533" s="59" t="n"/>
      <c r="I2533" s="60">
        <f>IF(OR(G2533="",H2533=""),"",MOD(H2533-G2533,1))</f>
        <v/>
      </c>
      <c r="J2533" s="61">
        <f>IF(OR(G2533="",H2533=""),"",ROUND(MOD(H2533-G2533,1)*24,2))</f>
        <v/>
      </c>
      <c r="K2533" s="62">
        <f>IF(E2533="","",IF(E2533="Werken","JA","NEE"))</f>
        <v/>
      </c>
      <c r="L2533" s="61">
        <f>IF(K2533="JA",N(J2533),IF(E2533="","",0))</f>
        <v/>
      </c>
      <c r="M2533" s="62">
        <f>IF(AND(A2533="",E2533=""),"",IF(E2533="","Segment ontbreekt",IF(OR(G2533="",H2533=""),"Van/tot ontbreekt",IF(N(J2533)=0,"Duur is nul",IF(N(J2533)&gt;12,"Langer dan 12 uur - controleren",IF(AND(E2533="Werken",D2533=""),"Werken zonder klant - koppelen","OK"))))))</f>
        <v/>
      </c>
    </row>
    <row r="2534" ht="15" customHeight="1" s="42">
      <c r="A2534" s="55" t="n"/>
      <c r="B2534" s="56">
        <f>IF(A2534="","",WEEKNUM(A2534,21))</f>
        <v/>
      </c>
      <c r="C2534" s="57" t="n"/>
      <c r="D2534" s="57" t="n"/>
      <c r="E2534" s="58" t="n"/>
      <c r="F2534" s="57" t="n"/>
      <c r="G2534" s="59" t="n"/>
      <c r="H2534" s="59" t="n"/>
      <c r="I2534" s="60">
        <f>IF(OR(G2534="",H2534=""),"",MOD(H2534-G2534,1))</f>
        <v/>
      </c>
      <c r="J2534" s="61">
        <f>IF(OR(G2534="",H2534=""),"",ROUND(MOD(H2534-G2534,1)*24,2))</f>
        <v/>
      </c>
      <c r="K2534" s="62">
        <f>IF(E2534="","",IF(E2534="Werken","JA","NEE"))</f>
        <v/>
      </c>
      <c r="L2534" s="61">
        <f>IF(K2534="JA",N(J2534),IF(E2534="","",0))</f>
        <v/>
      </c>
      <c r="M2534" s="62">
        <f>IF(AND(A2534="",E2534=""),"",IF(E2534="","Segment ontbreekt",IF(OR(G2534="",H2534=""),"Van/tot ontbreekt",IF(N(J2534)=0,"Duur is nul",IF(N(J2534)&gt;12,"Langer dan 12 uur - controleren",IF(AND(E2534="Werken",D2534=""),"Werken zonder klant - koppelen","OK"))))))</f>
        <v/>
      </c>
    </row>
    <row r="2535" ht="15" customHeight="1" s="42">
      <c r="A2535" s="55" t="n"/>
      <c r="B2535" s="56">
        <f>IF(A2535="","",WEEKNUM(A2535,21))</f>
        <v/>
      </c>
      <c r="C2535" s="57" t="n"/>
      <c r="D2535" s="57" t="n"/>
      <c r="E2535" s="58" t="n"/>
      <c r="F2535" s="57" t="n"/>
      <c r="G2535" s="59" t="n"/>
      <c r="H2535" s="59" t="n"/>
      <c r="I2535" s="60">
        <f>IF(OR(G2535="",H2535=""),"",MOD(H2535-G2535,1))</f>
        <v/>
      </c>
      <c r="J2535" s="61">
        <f>IF(OR(G2535="",H2535=""),"",ROUND(MOD(H2535-G2535,1)*24,2))</f>
        <v/>
      </c>
      <c r="K2535" s="62">
        <f>IF(E2535="","",IF(E2535="Werken","JA","NEE"))</f>
        <v/>
      </c>
      <c r="L2535" s="61">
        <f>IF(K2535="JA",N(J2535),IF(E2535="","",0))</f>
        <v/>
      </c>
      <c r="M2535" s="62">
        <f>IF(AND(A2535="",E2535=""),"",IF(E2535="","Segment ontbreekt",IF(OR(G2535="",H2535=""),"Van/tot ontbreekt",IF(N(J2535)=0,"Duur is nul",IF(N(J2535)&gt;12,"Langer dan 12 uur - controleren",IF(AND(E2535="Werken",D2535=""),"Werken zonder klant - koppelen","OK"))))))</f>
        <v/>
      </c>
    </row>
    <row r="2536" ht="15" customHeight="1" s="42">
      <c r="A2536" s="55" t="n"/>
      <c r="B2536" s="56">
        <f>IF(A2536="","",WEEKNUM(A2536,21))</f>
        <v/>
      </c>
      <c r="C2536" s="57" t="n"/>
      <c r="D2536" s="57" t="n"/>
      <c r="E2536" s="58" t="n"/>
      <c r="F2536" s="57" t="n"/>
      <c r="G2536" s="59" t="n"/>
      <c r="H2536" s="59" t="n"/>
      <c r="I2536" s="60">
        <f>IF(OR(G2536="",H2536=""),"",MOD(H2536-G2536,1))</f>
        <v/>
      </c>
      <c r="J2536" s="61">
        <f>IF(OR(G2536="",H2536=""),"",ROUND(MOD(H2536-G2536,1)*24,2))</f>
        <v/>
      </c>
      <c r="K2536" s="62">
        <f>IF(E2536="","",IF(E2536="Werken","JA","NEE"))</f>
        <v/>
      </c>
      <c r="L2536" s="61">
        <f>IF(K2536="JA",N(J2536),IF(E2536="","",0))</f>
        <v/>
      </c>
      <c r="M2536" s="62">
        <f>IF(AND(A2536="",E2536=""),"",IF(E2536="","Segment ontbreekt",IF(OR(G2536="",H2536=""),"Van/tot ontbreekt",IF(N(J2536)=0,"Duur is nul",IF(N(J2536)&gt;12,"Langer dan 12 uur - controleren",IF(AND(E2536="Werken",D2536=""),"Werken zonder klant - koppelen","OK"))))))</f>
        <v/>
      </c>
    </row>
    <row r="2537" ht="15" customHeight="1" s="42">
      <c r="A2537" s="55" t="n"/>
      <c r="B2537" s="56">
        <f>IF(A2537="","",WEEKNUM(A2537,21))</f>
        <v/>
      </c>
      <c r="C2537" s="57" t="n"/>
      <c r="D2537" s="57" t="n"/>
      <c r="E2537" s="58" t="n"/>
      <c r="F2537" s="57" t="n"/>
      <c r="G2537" s="59" t="n"/>
      <c r="H2537" s="59" t="n"/>
      <c r="I2537" s="60">
        <f>IF(OR(G2537="",H2537=""),"",MOD(H2537-G2537,1))</f>
        <v/>
      </c>
      <c r="J2537" s="61">
        <f>IF(OR(G2537="",H2537=""),"",ROUND(MOD(H2537-G2537,1)*24,2))</f>
        <v/>
      </c>
      <c r="K2537" s="62">
        <f>IF(E2537="","",IF(E2537="Werken","JA","NEE"))</f>
        <v/>
      </c>
      <c r="L2537" s="61">
        <f>IF(K2537="JA",N(J2537),IF(E2537="","",0))</f>
        <v/>
      </c>
      <c r="M2537" s="62">
        <f>IF(AND(A2537="",E2537=""),"",IF(E2537="","Segment ontbreekt",IF(OR(G2537="",H2537=""),"Van/tot ontbreekt",IF(N(J2537)=0,"Duur is nul",IF(N(J2537)&gt;12,"Langer dan 12 uur - controleren",IF(AND(E2537="Werken",D2537=""),"Werken zonder klant - koppelen","OK"))))))</f>
        <v/>
      </c>
    </row>
    <row r="2538" ht="15" customHeight="1" s="42">
      <c r="A2538" s="55" t="n"/>
      <c r="B2538" s="56">
        <f>IF(A2538="","",WEEKNUM(A2538,21))</f>
        <v/>
      </c>
      <c r="C2538" s="57" t="n"/>
      <c r="D2538" s="57" t="n"/>
      <c r="E2538" s="58" t="n"/>
      <c r="F2538" s="57" t="n"/>
      <c r="G2538" s="59" t="n"/>
      <c r="H2538" s="59" t="n"/>
      <c r="I2538" s="60">
        <f>IF(OR(G2538="",H2538=""),"",MOD(H2538-G2538,1))</f>
        <v/>
      </c>
      <c r="J2538" s="61">
        <f>IF(OR(G2538="",H2538=""),"",ROUND(MOD(H2538-G2538,1)*24,2))</f>
        <v/>
      </c>
      <c r="K2538" s="62">
        <f>IF(E2538="","",IF(E2538="Werken","JA","NEE"))</f>
        <v/>
      </c>
      <c r="L2538" s="61">
        <f>IF(K2538="JA",N(J2538),IF(E2538="","",0))</f>
        <v/>
      </c>
      <c r="M2538" s="62">
        <f>IF(AND(A2538="",E2538=""),"",IF(E2538="","Segment ontbreekt",IF(OR(G2538="",H2538=""),"Van/tot ontbreekt",IF(N(J2538)=0,"Duur is nul",IF(N(J2538)&gt;12,"Langer dan 12 uur - controleren",IF(AND(E2538="Werken",D2538=""),"Werken zonder klant - koppelen","OK"))))))</f>
        <v/>
      </c>
    </row>
    <row r="2539" ht="15" customHeight="1" s="42">
      <c r="A2539" s="55" t="n"/>
      <c r="B2539" s="56">
        <f>IF(A2539="","",WEEKNUM(A2539,21))</f>
        <v/>
      </c>
      <c r="C2539" s="57" t="n"/>
      <c r="D2539" s="57" t="n"/>
      <c r="E2539" s="58" t="n"/>
      <c r="F2539" s="57" t="n"/>
      <c r="G2539" s="59" t="n"/>
      <c r="H2539" s="59" t="n"/>
      <c r="I2539" s="60">
        <f>IF(OR(G2539="",H2539=""),"",MOD(H2539-G2539,1))</f>
        <v/>
      </c>
      <c r="J2539" s="61">
        <f>IF(OR(G2539="",H2539=""),"",ROUND(MOD(H2539-G2539,1)*24,2))</f>
        <v/>
      </c>
      <c r="K2539" s="62">
        <f>IF(E2539="","",IF(E2539="Werken","JA","NEE"))</f>
        <v/>
      </c>
      <c r="L2539" s="61">
        <f>IF(K2539="JA",N(J2539),IF(E2539="","",0))</f>
        <v/>
      </c>
      <c r="M2539" s="62">
        <f>IF(AND(A2539="",E2539=""),"",IF(E2539="","Segment ontbreekt",IF(OR(G2539="",H2539=""),"Van/tot ontbreekt",IF(N(J2539)=0,"Duur is nul",IF(N(J2539)&gt;12,"Langer dan 12 uur - controleren",IF(AND(E2539="Werken",D2539=""),"Werken zonder klant - koppelen","OK"))))))</f>
        <v/>
      </c>
    </row>
    <row r="2540" ht="15" customHeight="1" s="42">
      <c r="A2540" s="55" t="n"/>
      <c r="B2540" s="56">
        <f>IF(A2540="","",WEEKNUM(A2540,21))</f>
        <v/>
      </c>
      <c r="C2540" s="57" t="n"/>
      <c r="D2540" s="57" t="n"/>
      <c r="E2540" s="58" t="n"/>
      <c r="F2540" s="57" t="n"/>
      <c r="G2540" s="59" t="n"/>
      <c r="H2540" s="59" t="n"/>
      <c r="I2540" s="60">
        <f>IF(OR(G2540="",H2540=""),"",MOD(H2540-G2540,1))</f>
        <v/>
      </c>
      <c r="J2540" s="61">
        <f>IF(OR(G2540="",H2540=""),"",ROUND(MOD(H2540-G2540,1)*24,2))</f>
        <v/>
      </c>
      <c r="K2540" s="62">
        <f>IF(E2540="","",IF(E2540="Werken","JA","NEE"))</f>
        <v/>
      </c>
      <c r="L2540" s="61">
        <f>IF(K2540="JA",N(J2540),IF(E2540="","",0))</f>
        <v/>
      </c>
      <c r="M2540" s="62">
        <f>IF(AND(A2540="",E2540=""),"",IF(E2540="","Segment ontbreekt",IF(OR(G2540="",H2540=""),"Van/tot ontbreekt",IF(N(J2540)=0,"Duur is nul",IF(N(J2540)&gt;12,"Langer dan 12 uur - controleren",IF(AND(E2540="Werken",D2540=""),"Werken zonder klant - koppelen","OK"))))))</f>
        <v/>
      </c>
    </row>
    <row r="2541" ht="15" customHeight="1" s="42">
      <c r="A2541" s="55" t="n"/>
      <c r="B2541" s="56">
        <f>IF(A2541="","",WEEKNUM(A2541,21))</f>
        <v/>
      </c>
      <c r="C2541" s="57" t="n"/>
      <c r="D2541" s="57" t="n"/>
      <c r="E2541" s="58" t="n"/>
      <c r="F2541" s="57" t="n"/>
      <c r="G2541" s="59" t="n"/>
      <c r="H2541" s="59" t="n"/>
      <c r="I2541" s="60">
        <f>IF(OR(G2541="",H2541=""),"",MOD(H2541-G2541,1))</f>
        <v/>
      </c>
      <c r="J2541" s="61">
        <f>IF(OR(G2541="",H2541=""),"",ROUND(MOD(H2541-G2541,1)*24,2))</f>
        <v/>
      </c>
      <c r="K2541" s="62">
        <f>IF(E2541="","",IF(E2541="Werken","JA","NEE"))</f>
        <v/>
      </c>
      <c r="L2541" s="61">
        <f>IF(K2541="JA",N(J2541),IF(E2541="","",0))</f>
        <v/>
      </c>
      <c r="M2541" s="62">
        <f>IF(AND(A2541="",E2541=""),"",IF(E2541="","Segment ontbreekt",IF(OR(G2541="",H2541=""),"Van/tot ontbreekt",IF(N(J2541)=0,"Duur is nul",IF(N(J2541)&gt;12,"Langer dan 12 uur - controleren",IF(AND(E2541="Werken",D2541=""),"Werken zonder klant - koppelen","OK"))))))</f>
        <v/>
      </c>
    </row>
    <row r="2542" ht="15" customHeight="1" s="42">
      <c r="A2542" s="55" t="n"/>
      <c r="B2542" s="56">
        <f>IF(A2542="","",WEEKNUM(A2542,21))</f>
        <v/>
      </c>
      <c r="C2542" s="57" t="n"/>
      <c r="D2542" s="57" t="n"/>
      <c r="E2542" s="58" t="n"/>
      <c r="F2542" s="57" t="n"/>
      <c r="G2542" s="59" t="n"/>
      <c r="H2542" s="59" t="n"/>
      <c r="I2542" s="60">
        <f>IF(OR(G2542="",H2542=""),"",MOD(H2542-G2542,1))</f>
        <v/>
      </c>
      <c r="J2542" s="61">
        <f>IF(OR(G2542="",H2542=""),"",ROUND(MOD(H2542-G2542,1)*24,2))</f>
        <v/>
      </c>
      <c r="K2542" s="62">
        <f>IF(E2542="","",IF(E2542="Werken","JA","NEE"))</f>
        <v/>
      </c>
      <c r="L2542" s="61">
        <f>IF(K2542="JA",N(J2542),IF(E2542="","",0))</f>
        <v/>
      </c>
      <c r="M2542" s="62">
        <f>IF(AND(A2542="",E2542=""),"",IF(E2542="","Segment ontbreekt",IF(OR(G2542="",H2542=""),"Van/tot ontbreekt",IF(N(J2542)=0,"Duur is nul",IF(N(J2542)&gt;12,"Langer dan 12 uur - controleren",IF(AND(E2542="Werken",D2542=""),"Werken zonder klant - koppelen","OK"))))))</f>
        <v/>
      </c>
    </row>
    <row r="2543" ht="15" customHeight="1" s="42">
      <c r="A2543" s="55" t="n"/>
      <c r="B2543" s="56">
        <f>IF(A2543="","",WEEKNUM(A2543,21))</f>
        <v/>
      </c>
      <c r="C2543" s="57" t="n"/>
      <c r="D2543" s="57" t="n"/>
      <c r="E2543" s="58" t="n"/>
      <c r="F2543" s="57" t="n"/>
      <c r="G2543" s="59" t="n"/>
      <c r="H2543" s="59" t="n"/>
      <c r="I2543" s="60">
        <f>IF(OR(G2543="",H2543=""),"",MOD(H2543-G2543,1))</f>
        <v/>
      </c>
      <c r="J2543" s="61">
        <f>IF(OR(G2543="",H2543=""),"",ROUND(MOD(H2543-G2543,1)*24,2))</f>
        <v/>
      </c>
      <c r="K2543" s="62">
        <f>IF(E2543="","",IF(E2543="Werken","JA","NEE"))</f>
        <v/>
      </c>
      <c r="L2543" s="61">
        <f>IF(K2543="JA",N(J2543),IF(E2543="","",0))</f>
        <v/>
      </c>
      <c r="M2543" s="62">
        <f>IF(AND(A2543="",E2543=""),"",IF(E2543="","Segment ontbreekt",IF(OR(G2543="",H2543=""),"Van/tot ontbreekt",IF(N(J2543)=0,"Duur is nul",IF(N(J2543)&gt;12,"Langer dan 12 uur - controleren",IF(AND(E2543="Werken",D2543=""),"Werken zonder klant - koppelen","OK"))))))</f>
        <v/>
      </c>
    </row>
    <row r="2544" ht="15" customHeight="1" s="42">
      <c r="A2544" s="55" t="n"/>
      <c r="B2544" s="56">
        <f>IF(A2544="","",WEEKNUM(A2544,21))</f>
        <v/>
      </c>
      <c r="C2544" s="57" t="n"/>
      <c r="D2544" s="57" t="n"/>
      <c r="E2544" s="58" t="n"/>
      <c r="F2544" s="57" t="n"/>
      <c r="G2544" s="59" t="n"/>
      <c r="H2544" s="59" t="n"/>
      <c r="I2544" s="60">
        <f>IF(OR(G2544="",H2544=""),"",MOD(H2544-G2544,1))</f>
        <v/>
      </c>
      <c r="J2544" s="61">
        <f>IF(OR(G2544="",H2544=""),"",ROUND(MOD(H2544-G2544,1)*24,2))</f>
        <v/>
      </c>
      <c r="K2544" s="62">
        <f>IF(E2544="","",IF(E2544="Werken","JA","NEE"))</f>
        <v/>
      </c>
      <c r="L2544" s="61">
        <f>IF(K2544="JA",N(J2544),IF(E2544="","",0))</f>
        <v/>
      </c>
      <c r="M2544" s="62">
        <f>IF(AND(A2544="",E2544=""),"",IF(E2544="","Segment ontbreekt",IF(OR(G2544="",H2544=""),"Van/tot ontbreekt",IF(N(J2544)=0,"Duur is nul",IF(N(J2544)&gt;12,"Langer dan 12 uur - controleren",IF(AND(E2544="Werken",D2544=""),"Werken zonder klant - koppelen","OK"))))))</f>
        <v/>
      </c>
    </row>
    <row r="2545" ht="15" customHeight="1" s="42">
      <c r="A2545" s="55" t="n"/>
      <c r="B2545" s="56">
        <f>IF(A2545="","",WEEKNUM(A2545,21))</f>
        <v/>
      </c>
      <c r="C2545" s="57" t="n"/>
      <c r="D2545" s="57" t="n"/>
      <c r="E2545" s="58" t="n"/>
      <c r="F2545" s="57" t="n"/>
      <c r="G2545" s="59" t="n"/>
      <c r="H2545" s="59" t="n"/>
      <c r="I2545" s="60">
        <f>IF(OR(G2545="",H2545=""),"",MOD(H2545-G2545,1))</f>
        <v/>
      </c>
      <c r="J2545" s="61">
        <f>IF(OR(G2545="",H2545=""),"",ROUND(MOD(H2545-G2545,1)*24,2))</f>
        <v/>
      </c>
      <c r="K2545" s="62">
        <f>IF(E2545="","",IF(E2545="Werken","JA","NEE"))</f>
        <v/>
      </c>
      <c r="L2545" s="61">
        <f>IF(K2545="JA",N(J2545),IF(E2545="","",0))</f>
        <v/>
      </c>
      <c r="M2545" s="62">
        <f>IF(AND(A2545="",E2545=""),"",IF(E2545="","Segment ontbreekt",IF(OR(G2545="",H2545=""),"Van/tot ontbreekt",IF(N(J2545)=0,"Duur is nul",IF(N(J2545)&gt;12,"Langer dan 12 uur - controleren",IF(AND(E2545="Werken",D2545=""),"Werken zonder klant - koppelen","OK"))))))</f>
        <v/>
      </c>
    </row>
    <row r="2546" ht="15" customHeight="1" s="42">
      <c r="A2546" s="55" t="n"/>
      <c r="B2546" s="56">
        <f>IF(A2546="","",WEEKNUM(A2546,21))</f>
        <v/>
      </c>
      <c r="C2546" s="57" t="n"/>
      <c r="D2546" s="57" t="n"/>
      <c r="E2546" s="58" t="n"/>
      <c r="F2546" s="57" t="n"/>
      <c r="G2546" s="59" t="n"/>
      <c r="H2546" s="59" t="n"/>
      <c r="I2546" s="60">
        <f>IF(OR(G2546="",H2546=""),"",MOD(H2546-G2546,1))</f>
        <v/>
      </c>
      <c r="J2546" s="61">
        <f>IF(OR(G2546="",H2546=""),"",ROUND(MOD(H2546-G2546,1)*24,2))</f>
        <v/>
      </c>
      <c r="K2546" s="62">
        <f>IF(E2546="","",IF(E2546="Werken","JA","NEE"))</f>
        <v/>
      </c>
      <c r="L2546" s="61">
        <f>IF(K2546="JA",N(J2546),IF(E2546="","",0))</f>
        <v/>
      </c>
      <c r="M2546" s="62">
        <f>IF(AND(A2546="",E2546=""),"",IF(E2546="","Segment ontbreekt",IF(OR(G2546="",H2546=""),"Van/tot ontbreekt",IF(N(J2546)=0,"Duur is nul",IF(N(J2546)&gt;12,"Langer dan 12 uur - controleren",IF(AND(E2546="Werken",D2546=""),"Werken zonder klant - koppelen","OK"))))))</f>
        <v/>
      </c>
    </row>
    <row r="2547" ht="15" customHeight="1" s="42">
      <c r="A2547" s="55" t="n"/>
      <c r="B2547" s="56">
        <f>IF(A2547="","",WEEKNUM(A2547,21))</f>
        <v/>
      </c>
      <c r="C2547" s="57" t="n"/>
      <c r="D2547" s="57" t="n"/>
      <c r="E2547" s="58" t="n"/>
      <c r="F2547" s="57" t="n"/>
      <c r="G2547" s="59" t="n"/>
      <c r="H2547" s="59" t="n"/>
      <c r="I2547" s="60">
        <f>IF(OR(G2547="",H2547=""),"",MOD(H2547-G2547,1))</f>
        <v/>
      </c>
      <c r="J2547" s="61">
        <f>IF(OR(G2547="",H2547=""),"",ROUND(MOD(H2547-G2547,1)*24,2))</f>
        <v/>
      </c>
      <c r="K2547" s="62">
        <f>IF(E2547="","",IF(E2547="Werken","JA","NEE"))</f>
        <v/>
      </c>
      <c r="L2547" s="61">
        <f>IF(K2547="JA",N(J2547),IF(E2547="","",0))</f>
        <v/>
      </c>
      <c r="M2547" s="62">
        <f>IF(AND(A2547="",E2547=""),"",IF(E2547="","Segment ontbreekt",IF(OR(G2547="",H2547=""),"Van/tot ontbreekt",IF(N(J2547)=0,"Duur is nul",IF(N(J2547)&gt;12,"Langer dan 12 uur - controleren",IF(AND(E2547="Werken",D2547=""),"Werken zonder klant - koppelen","OK"))))))</f>
        <v/>
      </c>
    </row>
    <row r="2548" ht="15" customHeight="1" s="42">
      <c r="A2548" s="55" t="n"/>
      <c r="B2548" s="56">
        <f>IF(A2548="","",WEEKNUM(A2548,21))</f>
        <v/>
      </c>
      <c r="C2548" s="57" t="n"/>
      <c r="D2548" s="57" t="n"/>
      <c r="E2548" s="58" t="n"/>
      <c r="F2548" s="57" t="n"/>
      <c r="G2548" s="59" t="n"/>
      <c r="H2548" s="59" t="n"/>
      <c r="I2548" s="60">
        <f>IF(OR(G2548="",H2548=""),"",MOD(H2548-G2548,1))</f>
        <v/>
      </c>
      <c r="J2548" s="61">
        <f>IF(OR(G2548="",H2548=""),"",ROUND(MOD(H2548-G2548,1)*24,2))</f>
        <v/>
      </c>
      <c r="K2548" s="62">
        <f>IF(E2548="","",IF(E2548="Werken","JA","NEE"))</f>
        <v/>
      </c>
      <c r="L2548" s="61">
        <f>IF(K2548="JA",N(J2548),IF(E2548="","",0))</f>
        <v/>
      </c>
      <c r="M2548" s="62">
        <f>IF(AND(A2548="",E2548=""),"",IF(E2548="","Segment ontbreekt",IF(OR(G2548="",H2548=""),"Van/tot ontbreekt",IF(N(J2548)=0,"Duur is nul",IF(N(J2548)&gt;12,"Langer dan 12 uur - controleren",IF(AND(E2548="Werken",D2548=""),"Werken zonder klant - koppelen","OK"))))))</f>
        <v/>
      </c>
    </row>
    <row r="2549" ht="15" customHeight="1" s="42">
      <c r="A2549" s="55" t="n"/>
      <c r="B2549" s="56">
        <f>IF(A2549="","",WEEKNUM(A2549,21))</f>
        <v/>
      </c>
      <c r="C2549" s="57" t="n"/>
      <c r="D2549" s="57" t="n"/>
      <c r="E2549" s="58" t="n"/>
      <c r="F2549" s="57" t="n"/>
      <c r="G2549" s="59" t="n"/>
      <c r="H2549" s="59" t="n"/>
      <c r="I2549" s="60">
        <f>IF(OR(G2549="",H2549=""),"",MOD(H2549-G2549,1))</f>
        <v/>
      </c>
      <c r="J2549" s="61">
        <f>IF(OR(G2549="",H2549=""),"",ROUND(MOD(H2549-G2549,1)*24,2))</f>
        <v/>
      </c>
      <c r="K2549" s="62">
        <f>IF(E2549="","",IF(E2549="Werken","JA","NEE"))</f>
        <v/>
      </c>
      <c r="L2549" s="61">
        <f>IF(K2549="JA",N(J2549),IF(E2549="","",0))</f>
        <v/>
      </c>
      <c r="M2549" s="62">
        <f>IF(AND(A2549="",E2549=""),"",IF(E2549="","Segment ontbreekt",IF(OR(G2549="",H2549=""),"Van/tot ontbreekt",IF(N(J2549)=0,"Duur is nul",IF(N(J2549)&gt;12,"Langer dan 12 uur - controleren",IF(AND(E2549="Werken",D2549=""),"Werken zonder klant - koppelen","OK"))))))</f>
        <v/>
      </c>
    </row>
    <row r="2550" ht="15" customHeight="1" s="42">
      <c r="A2550" s="55" t="n"/>
      <c r="B2550" s="56">
        <f>IF(A2550="","",WEEKNUM(A2550,21))</f>
        <v/>
      </c>
      <c r="C2550" s="57" t="n"/>
      <c r="D2550" s="57" t="n"/>
      <c r="E2550" s="58" t="n"/>
      <c r="F2550" s="57" t="n"/>
      <c r="G2550" s="59" t="n"/>
      <c r="H2550" s="59" t="n"/>
      <c r="I2550" s="60">
        <f>IF(OR(G2550="",H2550=""),"",MOD(H2550-G2550,1))</f>
        <v/>
      </c>
      <c r="J2550" s="61">
        <f>IF(OR(G2550="",H2550=""),"",ROUND(MOD(H2550-G2550,1)*24,2))</f>
        <v/>
      </c>
      <c r="K2550" s="62">
        <f>IF(E2550="","",IF(E2550="Werken","JA","NEE"))</f>
        <v/>
      </c>
      <c r="L2550" s="61">
        <f>IF(K2550="JA",N(J2550),IF(E2550="","",0))</f>
        <v/>
      </c>
      <c r="M2550" s="62">
        <f>IF(AND(A2550="",E2550=""),"",IF(E2550="","Segment ontbreekt",IF(OR(G2550="",H2550=""),"Van/tot ontbreekt",IF(N(J2550)=0,"Duur is nul",IF(N(J2550)&gt;12,"Langer dan 12 uur - controleren",IF(AND(E2550="Werken",D2550=""),"Werken zonder klant - koppelen","OK"))))))</f>
        <v/>
      </c>
    </row>
    <row r="2551" ht="15" customHeight="1" s="42">
      <c r="A2551" s="55" t="n"/>
      <c r="B2551" s="56">
        <f>IF(A2551="","",WEEKNUM(A2551,21))</f>
        <v/>
      </c>
      <c r="C2551" s="57" t="n"/>
      <c r="D2551" s="57" t="n"/>
      <c r="E2551" s="58" t="n"/>
      <c r="F2551" s="57" t="n"/>
      <c r="G2551" s="59" t="n"/>
      <c r="H2551" s="59" t="n"/>
      <c r="I2551" s="60">
        <f>IF(OR(G2551="",H2551=""),"",MOD(H2551-G2551,1))</f>
        <v/>
      </c>
      <c r="J2551" s="61">
        <f>IF(OR(G2551="",H2551=""),"",ROUND(MOD(H2551-G2551,1)*24,2))</f>
        <v/>
      </c>
      <c r="K2551" s="62">
        <f>IF(E2551="","",IF(E2551="Werken","JA","NEE"))</f>
        <v/>
      </c>
      <c r="L2551" s="61">
        <f>IF(K2551="JA",N(J2551),IF(E2551="","",0))</f>
        <v/>
      </c>
      <c r="M2551" s="62">
        <f>IF(AND(A2551="",E2551=""),"",IF(E2551="","Segment ontbreekt",IF(OR(G2551="",H2551=""),"Van/tot ontbreekt",IF(N(J2551)=0,"Duur is nul",IF(N(J2551)&gt;12,"Langer dan 12 uur - controleren",IF(AND(E2551="Werken",D2551=""),"Werken zonder klant - koppelen","OK"))))))</f>
        <v/>
      </c>
    </row>
    <row r="2552" ht="15" customHeight="1" s="42">
      <c r="A2552" s="55" t="n"/>
      <c r="B2552" s="56">
        <f>IF(A2552="","",WEEKNUM(A2552,21))</f>
        <v/>
      </c>
      <c r="C2552" s="57" t="n"/>
      <c r="D2552" s="57" t="n"/>
      <c r="E2552" s="58" t="n"/>
      <c r="F2552" s="57" t="n"/>
      <c r="G2552" s="59" t="n"/>
      <c r="H2552" s="59" t="n"/>
      <c r="I2552" s="60">
        <f>IF(OR(G2552="",H2552=""),"",MOD(H2552-G2552,1))</f>
        <v/>
      </c>
      <c r="J2552" s="61">
        <f>IF(OR(G2552="",H2552=""),"",ROUND(MOD(H2552-G2552,1)*24,2))</f>
        <v/>
      </c>
      <c r="K2552" s="62">
        <f>IF(E2552="","",IF(E2552="Werken","JA","NEE"))</f>
        <v/>
      </c>
      <c r="L2552" s="61">
        <f>IF(K2552="JA",N(J2552),IF(E2552="","",0))</f>
        <v/>
      </c>
      <c r="M2552" s="62">
        <f>IF(AND(A2552="",E2552=""),"",IF(E2552="","Segment ontbreekt",IF(OR(G2552="",H2552=""),"Van/tot ontbreekt",IF(N(J2552)=0,"Duur is nul",IF(N(J2552)&gt;12,"Langer dan 12 uur - controleren",IF(AND(E2552="Werken",D2552=""),"Werken zonder klant - koppelen","OK"))))))</f>
        <v/>
      </c>
    </row>
    <row r="2553" ht="15" customHeight="1" s="42">
      <c r="A2553" s="55" t="n"/>
      <c r="B2553" s="56">
        <f>IF(A2553="","",WEEKNUM(A2553,21))</f>
        <v/>
      </c>
      <c r="C2553" s="57" t="n"/>
      <c r="D2553" s="57" t="n"/>
      <c r="E2553" s="58" t="n"/>
      <c r="F2553" s="57" t="n"/>
      <c r="G2553" s="59" t="n"/>
      <c r="H2553" s="59" t="n"/>
      <c r="I2553" s="60">
        <f>IF(OR(G2553="",H2553=""),"",MOD(H2553-G2553,1))</f>
        <v/>
      </c>
      <c r="J2553" s="61">
        <f>IF(OR(G2553="",H2553=""),"",ROUND(MOD(H2553-G2553,1)*24,2))</f>
        <v/>
      </c>
      <c r="K2553" s="62">
        <f>IF(E2553="","",IF(E2553="Werken","JA","NEE"))</f>
        <v/>
      </c>
      <c r="L2553" s="61">
        <f>IF(K2553="JA",N(J2553),IF(E2553="","",0))</f>
        <v/>
      </c>
      <c r="M2553" s="62">
        <f>IF(AND(A2553="",E2553=""),"",IF(E2553="","Segment ontbreekt",IF(OR(G2553="",H2553=""),"Van/tot ontbreekt",IF(N(J2553)=0,"Duur is nul",IF(N(J2553)&gt;12,"Langer dan 12 uur - controleren",IF(AND(E2553="Werken",D2553=""),"Werken zonder klant - koppelen","OK"))))))</f>
        <v/>
      </c>
    </row>
    <row r="2554" ht="15" customHeight="1" s="42">
      <c r="A2554" s="55" t="n"/>
      <c r="B2554" s="56">
        <f>IF(A2554="","",WEEKNUM(A2554,21))</f>
        <v/>
      </c>
      <c r="C2554" s="57" t="n"/>
      <c r="D2554" s="57" t="n"/>
      <c r="E2554" s="58" t="n"/>
      <c r="F2554" s="57" t="n"/>
      <c r="G2554" s="59" t="n"/>
      <c r="H2554" s="59" t="n"/>
      <c r="I2554" s="60">
        <f>IF(OR(G2554="",H2554=""),"",MOD(H2554-G2554,1))</f>
        <v/>
      </c>
      <c r="J2554" s="61">
        <f>IF(OR(G2554="",H2554=""),"",ROUND(MOD(H2554-G2554,1)*24,2))</f>
        <v/>
      </c>
      <c r="K2554" s="62">
        <f>IF(E2554="","",IF(E2554="Werken","JA","NEE"))</f>
        <v/>
      </c>
      <c r="L2554" s="61">
        <f>IF(K2554="JA",N(J2554),IF(E2554="","",0))</f>
        <v/>
      </c>
      <c r="M2554" s="62">
        <f>IF(AND(A2554="",E2554=""),"",IF(E2554="","Segment ontbreekt",IF(OR(G2554="",H2554=""),"Van/tot ontbreekt",IF(N(J2554)=0,"Duur is nul",IF(N(J2554)&gt;12,"Langer dan 12 uur - controleren",IF(AND(E2554="Werken",D2554=""),"Werken zonder klant - koppelen","OK"))))))</f>
        <v/>
      </c>
    </row>
    <row r="2555" ht="15" customHeight="1" s="42">
      <c r="A2555" s="55" t="n"/>
      <c r="B2555" s="56">
        <f>IF(A2555="","",WEEKNUM(A2555,21))</f>
        <v/>
      </c>
      <c r="C2555" s="57" t="n"/>
      <c r="D2555" s="57" t="n"/>
      <c r="E2555" s="58" t="n"/>
      <c r="F2555" s="57" t="n"/>
      <c r="G2555" s="59" t="n"/>
      <c r="H2555" s="59" t="n"/>
      <c r="I2555" s="60">
        <f>IF(OR(G2555="",H2555=""),"",MOD(H2555-G2555,1))</f>
        <v/>
      </c>
      <c r="J2555" s="61">
        <f>IF(OR(G2555="",H2555=""),"",ROUND(MOD(H2555-G2555,1)*24,2))</f>
        <v/>
      </c>
      <c r="K2555" s="62">
        <f>IF(E2555="","",IF(E2555="Werken","JA","NEE"))</f>
        <v/>
      </c>
      <c r="L2555" s="61">
        <f>IF(K2555="JA",N(J2555),IF(E2555="","",0))</f>
        <v/>
      </c>
      <c r="M2555" s="62">
        <f>IF(AND(A2555="",E2555=""),"",IF(E2555="","Segment ontbreekt",IF(OR(G2555="",H2555=""),"Van/tot ontbreekt",IF(N(J2555)=0,"Duur is nul",IF(N(J2555)&gt;12,"Langer dan 12 uur - controleren",IF(AND(E2555="Werken",D2555=""),"Werken zonder klant - koppelen","OK"))))))</f>
        <v/>
      </c>
    </row>
    <row r="2556" ht="15" customHeight="1" s="42">
      <c r="A2556" s="55" t="n"/>
      <c r="B2556" s="56">
        <f>IF(A2556="","",WEEKNUM(A2556,21))</f>
        <v/>
      </c>
      <c r="C2556" s="57" t="n"/>
      <c r="D2556" s="57" t="n"/>
      <c r="E2556" s="58" t="n"/>
      <c r="F2556" s="57" t="n"/>
      <c r="G2556" s="59" t="n"/>
      <c r="H2556" s="59" t="n"/>
      <c r="I2556" s="60">
        <f>IF(OR(G2556="",H2556=""),"",MOD(H2556-G2556,1))</f>
        <v/>
      </c>
      <c r="J2556" s="61">
        <f>IF(OR(G2556="",H2556=""),"",ROUND(MOD(H2556-G2556,1)*24,2))</f>
        <v/>
      </c>
      <c r="K2556" s="62">
        <f>IF(E2556="","",IF(E2556="Werken","JA","NEE"))</f>
        <v/>
      </c>
      <c r="L2556" s="61">
        <f>IF(K2556="JA",N(J2556),IF(E2556="","",0))</f>
        <v/>
      </c>
      <c r="M2556" s="62">
        <f>IF(AND(A2556="",E2556=""),"",IF(E2556="","Segment ontbreekt",IF(OR(G2556="",H2556=""),"Van/tot ontbreekt",IF(N(J2556)=0,"Duur is nul",IF(N(J2556)&gt;12,"Langer dan 12 uur - controleren",IF(AND(E2556="Werken",D2556=""),"Werken zonder klant - koppelen","OK"))))))</f>
        <v/>
      </c>
    </row>
    <row r="2557" ht="15" customHeight="1" s="42">
      <c r="A2557" s="55" t="n"/>
      <c r="B2557" s="56">
        <f>IF(A2557="","",WEEKNUM(A2557,21))</f>
        <v/>
      </c>
      <c r="C2557" s="57" t="n"/>
      <c r="D2557" s="57" t="n"/>
      <c r="E2557" s="58" t="n"/>
      <c r="F2557" s="57" t="n"/>
      <c r="G2557" s="59" t="n"/>
      <c r="H2557" s="59" t="n"/>
      <c r="I2557" s="60">
        <f>IF(OR(G2557="",H2557=""),"",MOD(H2557-G2557,1))</f>
        <v/>
      </c>
      <c r="J2557" s="61">
        <f>IF(OR(G2557="",H2557=""),"",ROUND(MOD(H2557-G2557,1)*24,2))</f>
        <v/>
      </c>
      <c r="K2557" s="62">
        <f>IF(E2557="","",IF(E2557="Werken","JA","NEE"))</f>
        <v/>
      </c>
      <c r="L2557" s="61">
        <f>IF(K2557="JA",N(J2557),IF(E2557="","",0))</f>
        <v/>
      </c>
      <c r="M2557" s="62">
        <f>IF(AND(A2557="",E2557=""),"",IF(E2557="","Segment ontbreekt",IF(OR(G2557="",H2557=""),"Van/tot ontbreekt",IF(N(J2557)=0,"Duur is nul",IF(N(J2557)&gt;12,"Langer dan 12 uur - controleren",IF(AND(E2557="Werken",D2557=""),"Werken zonder klant - koppelen","OK"))))))</f>
        <v/>
      </c>
    </row>
    <row r="2558" ht="15" customHeight="1" s="42">
      <c r="A2558" s="55" t="n"/>
      <c r="B2558" s="56">
        <f>IF(A2558="","",WEEKNUM(A2558,21))</f>
        <v/>
      </c>
      <c r="C2558" s="57" t="n"/>
      <c r="D2558" s="57" t="n"/>
      <c r="E2558" s="58" t="n"/>
      <c r="F2558" s="57" t="n"/>
      <c r="G2558" s="59" t="n"/>
      <c r="H2558" s="59" t="n"/>
      <c r="I2558" s="60">
        <f>IF(OR(G2558="",H2558=""),"",MOD(H2558-G2558,1))</f>
        <v/>
      </c>
      <c r="J2558" s="61">
        <f>IF(OR(G2558="",H2558=""),"",ROUND(MOD(H2558-G2558,1)*24,2))</f>
        <v/>
      </c>
      <c r="K2558" s="62">
        <f>IF(E2558="","",IF(E2558="Werken","JA","NEE"))</f>
        <v/>
      </c>
      <c r="L2558" s="61">
        <f>IF(K2558="JA",N(J2558),IF(E2558="","",0))</f>
        <v/>
      </c>
      <c r="M2558" s="62">
        <f>IF(AND(A2558="",E2558=""),"",IF(E2558="","Segment ontbreekt",IF(OR(G2558="",H2558=""),"Van/tot ontbreekt",IF(N(J2558)=0,"Duur is nul",IF(N(J2558)&gt;12,"Langer dan 12 uur - controleren",IF(AND(E2558="Werken",D2558=""),"Werken zonder klant - koppelen","OK"))))))</f>
        <v/>
      </c>
    </row>
    <row r="2559" ht="15" customHeight="1" s="42">
      <c r="A2559" s="55" t="n"/>
      <c r="B2559" s="56">
        <f>IF(A2559="","",WEEKNUM(A2559,21))</f>
        <v/>
      </c>
      <c r="C2559" s="57" t="n"/>
      <c r="D2559" s="57" t="n"/>
      <c r="E2559" s="58" t="n"/>
      <c r="F2559" s="57" t="n"/>
      <c r="G2559" s="59" t="n"/>
      <c r="H2559" s="59" t="n"/>
      <c r="I2559" s="60">
        <f>IF(OR(G2559="",H2559=""),"",MOD(H2559-G2559,1))</f>
        <v/>
      </c>
      <c r="J2559" s="61">
        <f>IF(OR(G2559="",H2559=""),"",ROUND(MOD(H2559-G2559,1)*24,2))</f>
        <v/>
      </c>
      <c r="K2559" s="62">
        <f>IF(E2559="","",IF(E2559="Werken","JA","NEE"))</f>
        <v/>
      </c>
      <c r="L2559" s="61">
        <f>IF(K2559="JA",N(J2559),IF(E2559="","",0))</f>
        <v/>
      </c>
      <c r="M2559" s="62">
        <f>IF(AND(A2559="",E2559=""),"",IF(E2559="","Segment ontbreekt",IF(OR(G2559="",H2559=""),"Van/tot ontbreekt",IF(N(J2559)=0,"Duur is nul",IF(N(J2559)&gt;12,"Langer dan 12 uur - controleren",IF(AND(E2559="Werken",D2559=""),"Werken zonder klant - koppelen","OK"))))))</f>
        <v/>
      </c>
    </row>
    <row r="2560" ht="15" customHeight="1" s="42">
      <c r="A2560" s="55" t="n"/>
      <c r="B2560" s="56">
        <f>IF(A2560="","",WEEKNUM(A2560,21))</f>
        <v/>
      </c>
      <c r="C2560" s="57" t="n"/>
      <c r="D2560" s="57" t="n"/>
      <c r="E2560" s="58" t="n"/>
      <c r="F2560" s="57" t="n"/>
      <c r="G2560" s="59" t="n"/>
      <c r="H2560" s="59" t="n"/>
      <c r="I2560" s="60">
        <f>IF(OR(G2560="",H2560=""),"",MOD(H2560-G2560,1))</f>
        <v/>
      </c>
      <c r="J2560" s="61">
        <f>IF(OR(G2560="",H2560=""),"",ROUND(MOD(H2560-G2560,1)*24,2))</f>
        <v/>
      </c>
      <c r="K2560" s="62">
        <f>IF(E2560="","",IF(E2560="Werken","JA","NEE"))</f>
        <v/>
      </c>
      <c r="L2560" s="61">
        <f>IF(K2560="JA",N(J2560),IF(E2560="","",0))</f>
        <v/>
      </c>
      <c r="M2560" s="62">
        <f>IF(AND(A2560="",E2560=""),"",IF(E2560="","Segment ontbreekt",IF(OR(G2560="",H2560=""),"Van/tot ontbreekt",IF(N(J2560)=0,"Duur is nul",IF(N(J2560)&gt;12,"Langer dan 12 uur - controleren",IF(AND(E2560="Werken",D2560=""),"Werken zonder klant - koppelen","OK"))))))</f>
        <v/>
      </c>
    </row>
    <row r="2561" ht="15" customHeight="1" s="42">
      <c r="A2561" s="55" t="n"/>
      <c r="B2561" s="56">
        <f>IF(A2561="","",WEEKNUM(A2561,21))</f>
        <v/>
      </c>
      <c r="C2561" s="57" t="n"/>
      <c r="D2561" s="57" t="n"/>
      <c r="E2561" s="58" t="n"/>
      <c r="F2561" s="57" t="n"/>
      <c r="G2561" s="59" t="n"/>
      <c r="H2561" s="59" t="n"/>
      <c r="I2561" s="60">
        <f>IF(OR(G2561="",H2561=""),"",MOD(H2561-G2561,1))</f>
        <v/>
      </c>
      <c r="J2561" s="61">
        <f>IF(OR(G2561="",H2561=""),"",ROUND(MOD(H2561-G2561,1)*24,2))</f>
        <v/>
      </c>
      <c r="K2561" s="62">
        <f>IF(E2561="","",IF(E2561="Werken","JA","NEE"))</f>
        <v/>
      </c>
      <c r="L2561" s="61">
        <f>IF(K2561="JA",N(J2561),IF(E2561="","",0))</f>
        <v/>
      </c>
      <c r="M2561" s="62">
        <f>IF(AND(A2561="",E2561=""),"",IF(E2561="","Segment ontbreekt",IF(OR(G2561="",H2561=""),"Van/tot ontbreekt",IF(N(J2561)=0,"Duur is nul",IF(N(J2561)&gt;12,"Langer dan 12 uur - controleren",IF(AND(E2561="Werken",D2561=""),"Werken zonder klant - koppelen","OK"))))))</f>
        <v/>
      </c>
    </row>
    <row r="2562" ht="15" customHeight="1" s="42">
      <c r="A2562" s="55" t="n"/>
      <c r="B2562" s="56">
        <f>IF(A2562="","",WEEKNUM(A2562,21))</f>
        <v/>
      </c>
      <c r="C2562" s="57" t="n"/>
      <c r="D2562" s="57" t="n"/>
      <c r="E2562" s="58" t="n"/>
      <c r="F2562" s="57" t="n"/>
      <c r="G2562" s="59" t="n"/>
      <c r="H2562" s="59" t="n"/>
      <c r="I2562" s="60">
        <f>IF(OR(G2562="",H2562=""),"",MOD(H2562-G2562,1))</f>
        <v/>
      </c>
      <c r="J2562" s="61">
        <f>IF(OR(G2562="",H2562=""),"",ROUND(MOD(H2562-G2562,1)*24,2))</f>
        <v/>
      </c>
      <c r="K2562" s="62">
        <f>IF(E2562="","",IF(E2562="Werken","JA","NEE"))</f>
        <v/>
      </c>
      <c r="L2562" s="61">
        <f>IF(K2562="JA",N(J2562),IF(E2562="","",0))</f>
        <v/>
      </c>
      <c r="M2562" s="62">
        <f>IF(AND(A2562="",E2562=""),"",IF(E2562="","Segment ontbreekt",IF(OR(G2562="",H2562=""),"Van/tot ontbreekt",IF(N(J2562)=0,"Duur is nul",IF(N(J2562)&gt;12,"Langer dan 12 uur - controleren",IF(AND(E2562="Werken",D2562=""),"Werken zonder klant - koppelen","OK"))))))</f>
        <v/>
      </c>
    </row>
    <row r="2563" ht="15" customHeight="1" s="42">
      <c r="A2563" s="55" t="n"/>
      <c r="B2563" s="56">
        <f>IF(A2563="","",WEEKNUM(A2563,21))</f>
        <v/>
      </c>
      <c r="C2563" s="57" t="n"/>
      <c r="D2563" s="57" t="n"/>
      <c r="E2563" s="58" t="n"/>
      <c r="F2563" s="57" t="n"/>
      <c r="G2563" s="59" t="n"/>
      <c r="H2563" s="59" t="n"/>
      <c r="I2563" s="60">
        <f>IF(OR(G2563="",H2563=""),"",MOD(H2563-G2563,1))</f>
        <v/>
      </c>
      <c r="J2563" s="61">
        <f>IF(OR(G2563="",H2563=""),"",ROUND(MOD(H2563-G2563,1)*24,2))</f>
        <v/>
      </c>
      <c r="K2563" s="62">
        <f>IF(E2563="","",IF(E2563="Werken","JA","NEE"))</f>
        <v/>
      </c>
      <c r="L2563" s="61">
        <f>IF(K2563="JA",N(J2563),IF(E2563="","",0))</f>
        <v/>
      </c>
      <c r="M2563" s="62">
        <f>IF(AND(A2563="",E2563=""),"",IF(E2563="","Segment ontbreekt",IF(OR(G2563="",H2563=""),"Van/tot ontbreekt",IF(N(J2563)=0,"Duur is nul",IF(N(J2563)&gt;12,"Langer dan 12 uur - controleren",IF(AND(E2563="Werken",D2563=""),"Werken zonder klant - koppelen","OK"))))))</f>
        <v/>
      </c>
    </row>
    <row r="2564" ht="15" customHeight="1" s="42">
      <c r="A2564" s="55" t="n"/>
      <c r="B2564" s="56">
        <f>IF(A2564="","",WEEKNUM(A2564,21))</f>
        <v/>
      </c>
      <c r="C2564" s="57" t="n"/>
      <c r="D2564" s="57" t="n"/>
      <c r="E2564" s="58" t="n"/>
      <c r="F2564" s="57" t="n"/>
      <c r="G2564" s="59" t="n"/>
      <c r="H2564" s="59" t="n"/>
      <c r="I2564" s="60">
        <f>IF(OR(G2564="",H2564=""),"",MOD(H2564-G2564,1))</f>
        <v/>
      </c>
      <c r="J2564" s="61">
        <f>IF(OR(G2564="",H2564=""),"",ROUND(MOD(H2564-G2564,1)*24,2))</f>
        <v/>
      </c>
      <c r="K2564" s="62">
        <f>IF(E2564="","",IF(E2564="Werken","JA","NEE"))</f>
        <v/>
      </c>
      <c r="L2564" s="61">
        <f>IF(K2564="JA",N(J2564),IF(E2564="","",0))</f>
        <v/>
      </c>
      <c r="M2564" s="62">
        <f>IF(AND(A2564="",E2564=""),"",IF(E2564="","Segment ontbreekt",IF(OR(G2564="",H2564=""),"Van/tot ontbreekt",IF(N(J2564)=0,"Duur is nul",IF(N(J2564)&gt;12,"Langer dan 12 uur - controleren",IF(AND(E2564="Werken",D2564=""),"Werken zonder klant - koppelen","OK"))))))</f>
        <v/>
      </c>
    </row>
    <row r="2565" ht="15" customHeight="1" s="42">
      <c r="A2565" s="55" t="n"/>
      <c r="B2565" s="56">
        <f>IF(A2565="","",WEEKNUM(A2565,21))</f>
        <v/>
      </c>
      <c r="C2565" s="57" t="n"/>
      <c r="D2565" s="57" t="n"/>
      <c r="E2565" s="58" t="n"/>
      <c r="F2565" s="57" t="n"/>
      <c r="G2565" s="59" t="n"/>
      <c r="H2565" s="59" t="n"/>
      <c r="I2565" s="60">
        <f>IF(OR(G2565="",H2565=""),"",MOD(H2565-G2565,1))</f>
        <v/>
      </c>
      <c r="J2565" s="61">
        <f>IF(OR(G2565="",H2565=""),"",ROUND(MOD(H2565-G2565,1)*24,2))</f>
        <v/>
      </c>
      <c r="K2565" s="62">
        <f>IF(E2565="","",IF(E2565="Werken","JA","NEE"))</f>
        <v/>
      </c>
      <c r="L2565" s="61">
        <f>IF(K2565="JA",N(J2565),IF(E2565="","",0))</f>
        <v/>
      </c>
      <c r="M2565" s="62">
        <f>IF(AND(A2565="",E2565=""),"",IF(E2565="","Segment ontbreekt",IF(OR(G2565="",H2565=""),"Van/tot ontbreekt",IF(N(J2565)=0,"Duur is nul",IF(N(J2565)&gt;12,"Langer dan 12 uur - controleren",IF(AND(E2565="Werken",D2565=""),"Werken zonder klant - koppelen","OK"))))))</f>
        <v/>
      </c>
    </row>
    <row r="2566" ht="15" customHeight="1" s="42">
      <c r="A2566" s="55" t="n"/>
      <c r="B2566" s="56">
        <f>IF(A2566="","",WEEKNUM(A2566,21))</f>
        <v/>
      </c>
      <c r="C2566" s="57" t="n"/>
      <c r="D2566" s="57" t="n"/>
      <c r="E2566" s="58" t="n"/>
      <c r="F2566" s="57" t="n"/>
      <c r="G2566" s="59" t="n"/>
      <c r="H2566" s="59" t="n"/>
      <c r="I2566" s="60">
        <f>IF(OR(G2566="",H2566=""),"",MOD(H2566-G2566,1))</f>
        <v/>
      </c>
      <c r="J2566" s="61">
        <f>IF(OR(G2566="",H2566=""),"",ROUND(MOD(H2566-G2566,1)*24,2))</f>
        <v/>
      </c>
      <c r="K2566" s="62">
        <f>IF(E2566="","",IF(E2566="Werken","JA","NEE"))</f>
        <v/>
      </c>
      <c r="L2566" s="61">
        <f>IF(K2566="JA",N(J2566),IF(E2566="","",0))</f>
        <v/>
      </c>
      <c r="M2566" s="62">
        <f>IF(AND(A2566="",E2566=""),"",IF(E2566="","Segment ontbreekt",IF(OR(G2566="",H2566=""),"Van/tot ontbreekt",IF(N(J2566)=0,"Duur is nul",IF(N(J2566)&gt;12,"Langer dan 12 uur - controleren",IF(AND(E2566="Werken",D2566=""),"Werken zonder klant - koppelen","OK"))))))</f>
        <v/>
      </c>
    </row>
    <row r="2567" ht="15" customHeight="1" s="42">
      <c r="A2567" s="55" t="n"/>
      <c r="B2567" s="56">
        <f>IF(A2567="","",WEEKNUM(A2567,21))</f>
        <v/>
      </c>
      <c r="C2567" s="57" t="n"/>
      <c r="D2567" s="57" t="n"/>
      <c r="E2567" s="58" t="n"/>
      <c r="F2567" s="57" t="n"/>
      <c r="G2567" s="59" t="n"/>
      <c r="H2567" s="59" t="n"/>
      <c r="I2567" s="60">
        <f>IF(OR(G2567="",H2567=""),"",MOD(H2567-G2567,1))</f>
        <v/>
      </c>
      <c r="J2567" s="61">
        <f>IF(OR(G2567="",H2567=""),"",ROUND(MOD(H2567-G2567,1)*24,2))</f>
        <v/>
      </c>
      <c r="K2567" s="62">
        <f>IF(E2567="","",IF(E2567="Werken","JA","NEE"))</f>
        <v/>
      </c>
      <c r="L2567" s="61">
        <f>IF(K2567="JA",N(J2567),IF(E2567="","",0))</f>
        <v/>
      </c>
      <c r="M2567" s="62">
        <f>IF(AND(A2567="",E2567=""),"",IF(E2567="","Segment ontbreekt",IF(OR(G2567="",H2567=""),"Van/tot ontbreekt",IF(N(J2567)=0,"Duur is nul",IF(N(J2567)&gt;12,"Langer dan 12 uur - controleren",IF(AND(E2567="Werken",D2567=""),"Werken zonder klant - koppelen","OK"))))))</f>
        <v/>
      </c>
    </row>
    <row r="2568" ht="15" customHeight="1" s="42">
      <c r="A2568" s="55" t="n"/>
      <c r="B2568" s="56">
        <f>IF(A2568="","",WEEKNUM(A2568,21))</f>
        <v/>
      </c>
      <c r="C2568" s="57" t="n"/>
      <c r="D2568" s="57" t="n"/>
      <c r="E2568" s="58" t="n"/>
      <c r="F2568" s="57" t="n"/>
      <c r="G2568" s="59" t="n"/>
      <c r="H2568" s="59" t="n"/>
      <c r="I2568" s="60">
        <f>IF(OR(G2568="",H2568=""),"",MOD(H2568-G2568,1))</f>
        <v/>
      </c>
      <c r="J2568" s="61">
        <f>IF(OR(G2568="",H2568=""),"",ROUND(MOD(H2568-G2568,1)*24,2))</f>
        <v/>
      </c>
      <c r="K2568" s="62">
        <f>IF(E2568="","",IF(E2568="Werken","JA","NEE"))</f>
        <v/>
      </c>
      <c r="L2568" s="61">
        <f>IF(K2568="JA",N(J2568),IF(E2568="","",0))</f>
        <v/>
      </c>
      <c r="M2568" s="62">
        <f>IF(AND(A2568="",E2568=""),"",IF(E2568="","Segment ontbreekt",IF(OR(G2568="",H2568=""),"Van/tot ontbreekt",IF(N(J2568)=0,"Duur is nul",IF(N(J2568)&gt;12,"Langer dan 12 uur - controleren",IF(AND(E2568="Werken",D2568=""),"Werken zonder klant - koppelen","OK"))))))</f>
        <v/>
      </c>
    </row>
    <row r="2569" ht="15" customHeight="1" s="42">
      <c r="A2569" s="55" t="n"/>
      <c r="B2569" s="56">
        <f>IF(A2569="","",WEEKNUM(A2569,21))</f>
        <v/>
      </c>
      <c r="C2569" s="57" t="n"/>
      <c r="D2569" s="57" t="n"/>
      <c r="E2569" s="58" t="n"/>
      <c r="F2569" s="57" t="n"/>
      <c r="G2569" s="59" t="n"/>
      <c r="H2569" s="59" t="n"/>
      <c r="I2569" s="60">
        <f>IF(OR(G2569="",H2569=""),"",MOD(H2569-G2569,1))</f>
        <v/>
      </c>
      <c r="J2569" s="61">
        <f>IF(OR(G2569="",H2569=""),"",ROUND(MOD(H2569-G2569,1)*24,2))</f>
        <v/>
      </c>
      <c r="K2569" s="62">
        <f>IF(E2569="","",IF(E2569="Werken","JA","NEE"))</f>
        <v/>
      </c>
      <c r="L2569" s="61">
        <f>IF(K2569="JA",N(J2569),IF(E2569="","",0))</f>
        <v/>
      </c>
      <c r="M2569" s="62">
        <f>IF(AND(A2569="",E2569=""),"",IF(E2569="","Segment ontbreekt",IF(OR(G2569="",H2569=""),"Van/tot ontbreekt",IF(N(J2569)=0,"Duur is nul",IF(N(J2569)&gt;12,"Langer dan 12 uur - controleren",IF(AND(E2569="Werken",D2569=""),"Werken zonder klant - koppelen","OK"))))))</f>
        <v/>
      </c>
    </row>
    <row r="2570" ht="15" customHeight="1" s="42">
      <c r="A2570" s="55" t="n"/>
      <c r="B2570" s="56">
        <f>IF(A2570="","",WEEKNUM(A2570,21))</f>
        <v/>
      </c>
      <c r="C2570" s="57" t="n"/>
      <c r="D2570" s="57" t="n"/>
      <c r="E2570" s="58" t="n"/>
      <c r="F2570" s="57" t="n"/>
      <c r="G2570" s="59" t="n"/>
      <c r="H2570" s="59" t="n"/>
      <c r="I2570" s="60">
        <f>IF(OR(G2570="",H2570=""),"",MOD(H2570-G2570,1))</f>
        <v/>
      </c>
      <c r="J2570" s="61">
        <f>IF(OR(G2570="",H2570=""),"",ROUND(MOD(H2570-G2570,1)*24,2))</f>
        <v/>
      </c>
      <c r="K2570" s="62">
        <f>IF(E2570="","",IF(E2570="Werken","JA","NEE"))</f>
        <v/>
      </c>
      <c r="L2570" s="61">
        <f>IF(K2570="JA",N(J2570),IF(E2570="","",0))</f>
        <v/>
      </c>
      <c r="M2570" s="62">
        <f>IF(AND(A2570="",E2570=""),"",IF(E2570="","Segment ontbreekt",IF(OR(G2570="",H2570=""),"Van/tot ontbreekt",IF(N(J2570)=0,"Duur is nul",IF(N(J2570)&gt;12,"Langer dan 12 uur - controleren",IF(AND(E2570="Werken",D2570=""),"Werken zonder klant - koppelen","OK"))))))</f>
        <v/>
      </c>
    </row>
    <row r="2571" ht="15" customHeight="1" s="42">
      <c r="A2571" s="55" t="n"/>
      <c r="B2571" s="56">
        <f>IF(A2571="","",WEEKNUM(A2571,21))</f>
        <v/>
      </c>
      <c r="C2571" s="57" t="n"/>
      <c r="D2571" s="57" t="n"/>
      <c r="E2571" s="58" t="n"/>
      <c r="F2571" s="57" t="n"/>
      <c r="G2571" s="59" t="n"/>
      <c r="H2571" s="59" t="n"/>
      <c r="I2571" s="60">
        <f>IF(OR(G2571="",H2571=""),"",MOD(H2571-G2571,1))</f>
        <v/>
      </c>
      <c r="J2571" s="61">
        <f>IF(OR(G2571="",H2571=""),"",ROUND(MOD(H2571-G2571,1)*24,2))</f>
        <v/>
      </c>
      <c r="K2571" s="62">
        <f>IF(E2571="","",IF(E2571="Werken","JA","NEE"))</f>
        <v/>
      </c>
      <c r="L2571" s="61">
        <f>IF(K2571="JA",N(J2571),IF(E2571="","",0))</f>
        <v/>
      </c>
      <c r="M2571" s="62">
        <f>IF(AND(A2571="",E2571=""),"",IF(E2571="","Segment ontbreekt",IF(OR(G2571="",H2571=""),"Van/tot ontbreekt",IF(N(J2571)=0,"Duur is nul",IF(N(J2571)&gt;12,"Langer dan 12 uur - controleren",IF(AND(E2571="Werken",D2571=""),"Werken zonder klant - koppelen","OK"))))))</f>
        <v/>
      </c>
    </row>
    <row r="2572" ht="15" customHeight="1" s="42">
      <c r="A2572" s="55" t="n"/>
      <c r="B2572" s="56">
        <f>IF(A2572="","",WEEKNUM(A2572,21))</f>
        <v/>
      </c>
      <c r="C2572" s="57" t="n"/>
      <c r="D2572" s="57" t="n"/>
      <c r="E2572" s="58" t="n"/>
      <c r="F2572" s="57" t="n"/>
      <c r="G2572" s="59" t="n"/>
      <c r="H2572" s="59" t="n"/>
      <c r="I2572" s="60">
        <f>IF(OR(G2572="",H2572=""),"",MOD(H2572-G2572,1))</f>
        <v/>
      </c>
      <c r="J2572" s="61">
        <f>IF(OR(G2572="",H2572=""),"",ROUND(MOD(H2572-G2572,1)*24,2))</f>
        <v/>
      </c>
      <c r="K2572" s="62">
        <f>IF(E2572="","",IF(E2572="Werken","JA","NEE"))</f>
        <v/>
      </c>
      <c r="L2572" s="61">
        <f>IF(K2572="JA",N(J2572),IF(E2572="","",0))</f>
        <v/>
      </c>
      <c r="M2572" s="62">
        <f>IF(AND(A2572="",E2572=""),"",IF(E2572="","Segment ontbreekt",IF(OR(G2572="",H2572=""),"Van/tot ontbreekt",IF(N(J2572)=0,"Duur is nul",IF(N(J2572)&gt;12,"Langer dan 12 uur - controleren",IF(AND(E2572="Werken",D2572=""),"Werken zonder klant - koppelen","OK"))))))</f>
        <v/>
      </c>
    </row>
    <row r="2573" ht="15" customHeight="1" s="42">
      <c r="A2573" s="55" t="n"/>
      <c r="B2573" s="56">
        <f>IF(A2573="","",WEEKNUM(A2573,21))</f>
        <v/>
      </c>
      <c r="C2573" s="57" t="n"/>
      <c r="D2573" s="57" t="n"/>
      <c r="E2573" s="58" t="n"/>
      <c r="F2573" s="57" t="n"/>
      <c r="G2573" s="59" t="n"/>
      <c r="H2573" s="59" t="n"/>
      <c r="I2573" s="60">
        <f>IF(OR(G2573="",H2573=""),"",MOD(H2573-G2573,1))</f>
        <v/>
      </c>
      <c r="J2573" s="61">
        <f>IF(OR(G2573="",H2573=""),"",ROUND(MOD(H2573-G2573,1)*24,2))</f>
        <v/>
      </c>
      <c r="K2573" s="62">
        <f>IF(E2573="","",IF(E2573="Werken","JA","NEE"))</f>
        <v/>
      </c>
      <c r="L2573" s="61">
        <f>IF(K2573="JA",N(J2573),IF(E2573="","",0))</f>
        <v/>
      </c>
      <c r="M2573" s="62">
        <f>IF(AND(A2573="",E2573=""),"",IF(E2573="","Segment ontbreekt",IF(OR(G2573="",H2573=""),"Van/tot ontbreekt",IF(N(J2573)=0,"Duur is nul",IF(N(J2573)&gt;12,"Langer dan 12 uur - controleren",IF(AND(E2573="Werken",D2573=""),"Werken zonder klant - koppelen","OK"))))))</f>
        <v/>
      </c>
    </row>
    <row r="2574" ht="15" customHeight="1" s="42">
      <c r="A2574" s="55" t="n"/>
      <c r="B2574" s="56">
        <f>IF(A2574="","",WEEKNUM(A2574,21))</f>
        <v/>
      </c>
      <c r="C2574" s="57" t="n"/>
      <c r="D2574" s="57" t="n"/>
      <c r="E2574" s="58" t="n"/>
      <c r="F2574" s="57" t="n"/>
      <c r="G2574" s="59" t="n"/>
      <c r="H2574" s="59" t="n"/>
      <c r="I2574" s="60">
        <f>IF(OR(G2574="",H2574=""),"",MOD(H2574-G2574,1))</f>
        <v/>
      </c>
      <c r="J2574" s="61">
        <f>IF(OR(G2574="",H2574=""),"",ROUND(MOD(H2574-G2574,1)*24,2))</f>
        <v/>
      </c>
      <c r="K2574" s="62">
        <f>IF(E2574="","",IF(E2574="Werken","JA","NEE"))</f>
        <v/>
      </c>
      <c r="L2574" s="61">
        <f>IF(K2574="JA",N(J2574),IF(E2574="","",0))</f>
        <v/>
      </c>
      <c r="M2574" s="62">
        <f>IF(AND(A2574="",E2574=""),"",IF(E2574="","Segment ontbreekt",IF(OR(G2574="",H2574=""),"Van/tot ontbreekt",IF(N(J2574)=0,"Duur is nul",IF(N(J2574)&gt;12,"Langer dan 12 uur - controleren",IF(AND(E2574="Werken",D2574=""),"Werken zonder klant - koppelen","OK"))))))</f>
        <v/>
      </c>
    </row>
    <row r="2575" ht="15" customHeight="1" s="42">
      <c r="A2575" s="55" t="n"/>
      <c r="B2575" s="56">
        <f>IF(A2575="","",WEEKNUM(A2575,21))</f>
        <v/>
      </c>
      <c r="C2575" s="57" t="n"/>
      <c r="D2575" s="57" t="n"/>
      <c r="E2575" s="58" t="n"/>
      <c r="F2575" s="57" t="n"/>
      <c r="G2575" s="59" t="n"/>
      <c r="H2575" s="59" t="n"/>
      <c r="I2575" s="60">
        <f>IF(OR(G2575="",H2575=""),"",MOD(H2575-G2575,1))</f>
        <v/>
      </c>
      <c r="J2575" s="61">
        <f>IF(OR(G2575="",H2575=""),"",ROUND(MOD(H2575-G2575,1)*24,2))</f>
        <v/>
      </c>
      <c r="K2575" s="62">
        <f>IF(E2575="","",IF(E2575="Werken","JA","NEE"))</f>
        <v/>
      </c>
      <c r="L2575" s="61">
        <f>IF(K2575="JA",N(J2575),IF(E2575="","",0))</f>
        <v/>
      </c>
      <c r="M2575" s="62">
        <f>IF(AND(A2575="",E2575=""),"",IF(E2575="","Segment ontbreekt",IF(OR(G2575="",H2575=""),"Van/tot ontbreekt",IF(N(J2575)=0,"Duur is nul",IF(N(J2575)&gt;12,"Langer dan 12 uur - controleren",IF(AND(E2575="Werken",D2575=""),"Werken zonder klant - koppelen","OK"))))))</f>
        <v/>
      </c>
    </row>
    <row r="2576" ht="15" customHeight="1" s="42">
      <c r="A2576" s="55" t="n"/>
      <c r="B2576" s="56">
        <f>IF(A2576="","",WEEKNUM(A2576,21))</f>
        <v/>
      </c>
      <c r="C2576" s="57" t="n"/>
      <c r="D2576" s="57" t="n"/>
      <c r="E2576" s="58" t="n"/>
      <c r="F2576" s="57" t="n"/>
      <c r="G2576" s="59" t="n"/>
      <c r="H2576" s="59" t="n"/>
      <c r="I2576" s="60">
        <f>IF(OR(G2576="",H2576=""),"",MOD(H2576-G2576,1))</f>
        <v/>
      </c>
      <c r="J2576" s="61">
        <f>IF(OR(G2576="",H2576=""),"",ROUND(MOD(H2576-G2576,1)*24,2))</f>
        <v/>
      </c>
      <c r="K2576" s="62">
        <f>IF(E2576="","",IF(E2576="Werken","JA","NEE"))</f>
        <v/>
      </c>
      <c r="L2576" s="61">
        <f>IF(K2576="JA",N(J2576),IF(E2576="","",0))</f>
        <v/>
      </c>
      <c r="M2576" s="62">
        <f>IF(AND(A2576="",E2576=""),"",IF(E2576="","Segment ontbreekt",IF(OR(G2576="",H2576=""),"Van/tot ontbreekt",IF(N(J2576)=0,"Duur is nul",IF(N(J2576)&gt;12,"Langer dan 12 uur - controleren",IF(AND(E2576="Werken",D2576=""),"Werken zonder klant - koppelen","OK"))))))</f>
        <v/>
      </c>
    </row>
    <row r="2577" ht="15" customHeight="1" s="42">
      <c r="A2577" s="55" t="n"/>
      <c r="B2577" s="56">
        <f>IF(A2577="","",WEEKNUM(A2577,21))</f>
        <v/>
      </c>
      <c r="C2577" s="57" t="n"/>
      <c r="D2577" s="57" t="n"/>
      <c r="E2577" s="58" t="n"/>
      <c r="F2577" s="57" t="n"/>
      <c r="G2577" s="59" t="n"/>
      <c r="H2577" s="59" t="n"/>
      <c r="I2577" s="60">
        <f>IF(OR(G2577="",H2577=""),"",MOD(H2577-G2577,1))</f>
        <v/>
      </c>
      <c r="J2577" s="61">
        <f>IF(OR(G2577="",H2577=""),"",ROUND(MOD(H2577-G2577,1)*24,2))</f>
        <v/>
      </c>
      <c r="K2577" s="62">
        <f>IF(E2577="","",IF(E2577="Werken","JA","NEE"))</f>
        <v/>
      </c>
      <c r="L2577" s="61">
        <f>IF(K2577="JA",N(J2577),IF(E2577="","",0))</f>
        <v/>
      </c>
      <c r="M2577" s="62">
        <f>IF(AND(A2577="",E2577=""),"",IF(E2577="","Segment ontbreekt",IF(OR(G2577="",H2577=""),"Van/tot ontbreekt",IF(N(J2577)=0,"Duur is nul",IF(N(J2577)&gt;12,"Langer dan 12 uur - controleren",IF(AND(E2577="Werken",D2577=""),"Werken zonder klant - koppelen","OK"))))))</f>
        <v/>
      </c>
    </row>
    <row r="2578" ht="15" customHeight="1" s="42">
      <c r="A2578" s="55" t="n"/>
      <c r="B2578" s="56">
        <f>IF(A2578="","",WEEKNUM(A2578,21))</f>
        <v/>
      </c>
      <c r="C2578" s="57" t="n"/>
      <c r="D2578" s="57" t="n"/>
      <c r="E2578" s="58" t="n"/>
      <c r="F2578" s="57" t="n"/>
      <c r="G2578" s="59" t="n"/>
      <c r="H2578" s="59" t="n"/>
      <c r="I2578" s="60">
        <f>IF(OR(G2578="",H2578=""),"",MOD(H2578-G2578,1))</f>
        <v/>
      </c>
      <c r="J2578" s="61">
        <f>IF(OR(G2578="",H2578=""),"",ROUND(MOD(H2578-G2578,1)*24,2))</f>
        <v/>
      </c>
      <c r="K2578" s="62">
        <f>IF(E2578="","",IF(E2578="Werken","JA","NEE"))</f>
        <v/>
      </c>
      <c r="L2578" s="61">
        <f>IF(K2578="JA",N(J2578),IF(E2578="","",0))</f>
        <v/>
      </c>
      <c r="M2578" s="62">
        <f>IF(AND(A2578="",E2578=""),"",IF(E2578="","Segment ontbreekt",IF(OR(G2578="",H2578=""),"Van/tot ontbreekt",IF(N(J2578)=0,"Duur is nul",IF(N(J2578)&gt;12,"Langer dan 12 uur - controleren",IF(AND(E2578="Werken",D2578=""),"Werken zonder klant - koppelen","OK"))))))</f>
        <v/>
      </c>
    </row>
    <row r="2579" ht="15" customHeight="1" s="42">
      <c r="A2579" s="55" t="n"/>
      <c r="B2579" s="56">
        <f>IF(A2579="","",WEEKNUM(A2579,21))</f>
        <v/>
      </c>
      <c r="C2579" s="57" t="n"/>
      <c r="D2579" s="57" t="n"/>
      <c r="E2579" s="58" t="n"/>
      <c r="F2579" s="57" t="n"/>
      <c r="G2579" s="59" t="n"/>
      <c r="H2579" s="59" t="n"/>
      <c r="I2579" s="60">
        <f>IF(OR(G2579="",H2579=""),"",MOD(H2579-G2579,1))</f>
        <v/>
      </c>
      <c r="J2579" s="61">
        <f>IF(OR(G2579="",H2579=""),"",ROUND(MOD(H2579-G2579,1)*24,2))</f>
        <v/>
      </c>
      <c r="K2579" s="62">
        <f>IF(E2579="","",IF(E2579="Werken","JA","NEE"))</f>
        <v/>
      </c>
      <c r="L2579" s="61">
        <f>IF(K2579="JA",N(J2579),IF(E2579="","",0))</f>
        <v/>
      </c>
      <c r="M2579" s="62">
        <f>IF(AND(A2579="",E2579=""),"",IF(E2579="","Segment ontbreekt",IF(OR(G2579="",H2579=""),"Van/tot ontbreekt",IF(N(J2579)=0,"Duur is nul",IF(N(J2579)&gt;12,"Langer dan 12 uur - controleren",IF(AND(E2579="Werken",D2579=""),"Werken zonder klant - koppelen","OK"))))))</f>
        <v/>
      </c>
    </row>
    <row r="2580" ht="15" customHeight="1" s="42">
      <c r="A2580" s="55" t="n"/>
      <c r="B2580" s="56">
        <f>IF(A2580="","",WEEKNUM(A2580,21))</f>
        <v/>
      </c>
      <c r="C2580" s="57" t="n"/>
      <c r="D2580" s="57" t="n"/>
      <c r="E2580" s="58" t="n"/>
      <c r="F2580" s="57" t="n"/>
      <c r="G2580" s="59" t="n"/>
      <c r="H2580" s="59" t="n"/>
      <c r="I2580" s="60">
        <f>IF(OR(G2580="",H2580=""),"",MOD(H2580-G2580,1))</f>
        <v/>
      </c>
      <c r="J2580" s="61">
        <f>IF(OR(G2580="",H2580=""),"",ROUND(MOD(H2580-G2580,1)*24,2))</f>
        <v/>
      </c>
      <c r="K2580" s="62">
        <f>IF(E2580="","",IF(E2580="Werken","JA","NEE"))</f>
        <v/>
      </c>
      <c r="L2580" s="61">
        <f>IF(K2580="JA",N(J2580),IF(E2580="","",0))</f>
        <v/>
      </c>
      <c r="M2580" s="62">
        <f>IF(AND(A2580="",E2580=""),"",IF(E2580="","Segment ontbreekt",IF(OR(G2580="",H2580=""),"Van/tot ontbreekt",IF(N(J2580)=0,"Duur is nul",IF(N(J2580)&gt;12,"Langer dan 12 uur - controleren",IF(AND(E2580="Werken",D2580=""),"Werken zonder klant - koppelen","OK"))))))</f>
        <v/>
      </c>
    </row>
    <row r="2581" ht="15" customHeight="1" s="42">
      <c r="A2581" s="55" t="n"/>
      <c r="B2581" s="56">
        <f>IF(A2581="","",WEEKNUM(A2581,21))</f>
        <v/>
      </c>
      <c r="C2581" s="57" t="n"/>
      <c r="D2581" s="57" t="n"/>
      <c r="E2581" s="58" t="n"/>
      <c r="F2581" s="57" t="n"/>
      <c r="G2581" s="59" t="n"/>
      <c r="H2581" s="59" t="n"/>
      <c r="I2581" s="60">
        <f>IF(OR(G2581="",H2581=""),"",MOD(H2581-G2581,1))</f>
        <v/>
      </c>
      <c r="J2581" s="61">
        <f>IF(OR(G2581="",H2581=""),"",ROUND(MOD(H2581-G2581,1)*24,2))</f>
        <v/>
      </c>
      <c r="K2581" s="62">
        <f>IF(E2581="","",IF(E2581="Werken","JA","NEE"))</f>
        <v/>
      </c>
      <c r="L2581" s="61">
        <f>IF(K2581="JA",N(J2581),IF(E2581="","",0))</f>
        <v/>
      </c>
      <c r="M2581" s="62">
        <f>IF(AND(A2581="",E2581=""),"",IF(E2581="","Segment ontbreekt",IF(OR(G2581="",H2581=""),"Van/tot ontbreekt",IF(N(J2581)=0,"Duur is nul",IF(N(J2581)&gt;12,"Langer dan 12 uur - controleren",IF(AND(E2581="Werken",D2581=""),"Werken zonder klant - koppelen","OK"))))))</f>
        <v/>
      </c>
    </row>
    <row r="2582" ht="15" customHeight="1" s="42">
      <c r="A2582" s="55" t="n"/>
      <c r="B2582" s="56">
        <f>IF(A2582="","",WEEKNUM(A2582,21))</f>
        <v/>
      </c>
      <c r="C2582" s="57" t="n"/>
      <c r="D2582" s="57" t="n"/>
      <c r="E2582" s="58" t="n"/>
      <c r="F2582" s="57" t="n"/>
      <c r="G2582" s="59" t="n"/>
      <c r="H2582" s="59" t="n"/>
      <c r="I2582" s="60">
        <f>IF(OR(G2582="",H2582=""),"",MOD(H2582-G2582,1))</f>
        <v/>
      </c>
      <c r="J2582" s="61">
        <f>IF(OR(G2582="",H2582=""),"",ROUND(MOD(H2582-G2582,1)*24,2))</f>
        <v/>
      </c>
      <c r="K2582" s="62">
        <f>IF(E2582="","",IF(E2582="Werken","JA","NEE"))</f>
        <v/>
      </c>
      <c r="L2582" s="61">
        <f>IF(K2582="JA",N(J2582),IF(E2582="","",0))</f>
        <v/>
      </c>
      <c r="M2582" s="62">
        <f>IF(AND(A2582="",E2582=""),"",IF(E2582="","Segment ontbreekt",IF(OR(G2582="",H2582=""),"Van/tot ontbreekt",IF(N(J2582)=0,"Duur is nul",IF(N(J2582)&gt;12,"Langer dan 12 uur - controleren",IF(AND(E2582="Werken",D2582=""),"Werken zonder klant - koppelen","OK"))))))</f>
        <v/>
      </c>
    </row>
    <row r="2583" ht="15" customHeight="1" s="42">
      <c r="A2583" s="55" t="n"/>
      <c r="B2583" s="56">
        <f>IF(A2583="","",WEEKNUM(A2583,21))</f>
        <v/>
      </c>
      <c r="C2583" s="57" t="n"/>
      <c r="D2583" s="57" t="n"/>
      <c r="E2583" s="58" t="n"/>
      <c r="F2583" s="57" t="n"/>
      <c r="G2583" s="59" t="n"/>
      <c r="H2583" s="59" t="n"/>
      <c r="I2583" s="60">
        <f>IF(OR(G2583="",H2583=""),"",MOD(H2583-G2583,1))</f>
        <v/>
      </c>
      <c r="J2583" s="61">
        <f>IF(OR(G2583="",H2583=""),"",ROUND(MOD(H2583-G2583,1)*24,2))</f>
        <v/>
      </c>
      <c r="K2583" s="62">
        <f>IF(E2583="","",IF(E2583="Werken","JA","NEE"))</f>
        <v/>
      </c>
      <c r="L2583" s="61">
        <f>IF(K2583="JA",N(J2583),IF(E2583="","",0))</f>
        <v/>
      </c>
      <c r="M2583" s="62">
        <f>IF(AND(A2583="",E2583=""),"",IF(E2583="","Segment ontbreekt",IF(OR(G2583="",H2583=""),"Van/tot ontbreekt",IF(N(J2583)=0,"Duur is nul",IF(N(J2583)&gt;12,"Langer dan 12 uur - controleren",IF(AND(E2583="Werken",D2583=""),"Werken zonder klant - koppelen","OK"))))))</f>
        <v/>
      </c>
    </row>
    <row r="2584" ht="15" customHeight="1" s="42">
      <c r="A2584" s="55" t="n"/>
      <c r="B2584" s="56">
        <f>IF(A2584="","",WEEKNUM(A2584,21))</f>
        <v/>
      </c>
      <c r="C2584" s="57" t="n"/>
      <c r="D2584" s="57" t="n"/>
      <c r="E2584" s="58" t="n"/>
      <c r="F2584" s="57" t="n"/>
      <c r="G2584" s="59" t="n"/>
      <c r="H2584" s="59" t="n"/>
      <c r="I2584" s="60">
        <f>IF(OR(G2584="",H2584=""),"",MOD(H2584-G2584,1))</f>
        <v/>
      </c>
      <c r="J2584" s="61">
        <f>IF(OR(G2584="",H2584=""),"",ROUND(MOD(H2584-G2584,1)*24,2))</f>
        <v/>
      </c>
      <c r="K2584" s="62">
        <f>IF(E2584="","",IF(E2584="Werken","JA","NEE"))</f>
        <v/>
      </c>
      <c r="L2584" s="61">
        <f>IF(K2584="JA",N(J2584),IF(E2584="","",0))</f>
        <v/>
      </c>
      <c r="M2584" s="62">
        <f>IF(AND(A2584="",E2584=""),"",IF(E2584="","Segment ontbreekt",IF(OR(G2584="",H2584=""),"Van/tot ontbreekt",IF(N(J2584)=0,"Duur is nul",IF(N(J2584)&gt;12,"Langer dan 12 uur - controleren",IF(AND(E2584="Werken",D2584=""),"Werken zonder klant - koppelen","OK"))))))</f>
        <v/>
      </c>
    </row>
    <row r="2585" ht="15" customHeight="1" s="42">
      <c r="A2585" s="55" t="n"/>
      <c r="B2585" s="56">
        <f>IF(A2585="","",WEEKNUM(A2585,21))</f>
        <v/>
      </c>
      <c r="C2585" s="57" t="n"/>
      <c r="D2585" s="57" t="n"/>
      <c r="E2585" s="58" t="n"/>
      <c r="F2585" s="57" t="n"/>
      <c r="G2585" s="59" t="n"/>
      <c r="H2585" s="59" t="n"/>
      <c r="I2585" s="60">
        <f>IF(OR(G2585="",H2585=""),"",MOD(H2585-G2585,1))</f>
        <v/>
      </c>
      <c r="J2585" s="61">
        <f>IF(OR(G2585="",H2585=""),"",ROUND(MOD(H2585-G2585,1)*24,2))</f>
        <v/>
      </c>
      <c r="K2585" s="62">
        <f>IF(E2585="","",IF(E2585="Werken","JA","NEE"))</f>
        <v/>
      </c>
      <c r="L2585" s="61">
        <f>IF(K2585="JA",N(J2585),IF(E2585="","",0))</f>
        <v/>
      </c>
      <c r="M2585" s="62">
        <f>IF(AND(A2585="",E2585=""),"",IF(E2585="","Segment ontbreekt",IF(OR(G2585="",H2585=""),"Van/tot ontbreekt",IF(N(J2585)=0,"Duur is nul",IF(N(J2585)&gt;12,"Langer dan 12 uur - controleren",IF(AND(E2585="Werken",D2585=""),"Werken zonder klant - koppelen","OK"))))))</f>
        <v/>
      </c>
    </row>
    <row r="2586" ht="15" customHeight="1" s="42">
      <c r="A2586" s="55" t="n"/>
      <c r="B2586" s="56">
        <f>IF(A2586="","",WEEKNUM(A2586,21))</f>
        <v/>
      </c>
      <c r="C2586" s="57" t="n"/>
      <c r="D2586" s="57" t="n"/>
      <c r="E2586" s="58" t="n"/>
      <c r="F2586" s="57" t="n"/>
      <c r="G2586" s="59" t="n"/>
      <c r="H2586" s="59" t="n"/>
      <c r="I2586" s="60">
        <f>IF(OR(G2586="",H2586=""),"",MOD(H2586-G2586,1))</f>
        <v/>
      </c>
      <c r="J2586" s="61">
        <f>IF(OR(G2586="",H2586=""),"",ROUND(MOD(H2586-G2586,1)*24,2))</f>
        <v/>
      </c>
      <c r="K2586" s="62">
        <f>IF(E2586="","",IF(E2586="Werken","JA","NEE"))</f>
        <v/>
      </c>
      <c r="L2586" s="61">
        <f>IF(K2586="JA",N(J2586),IF(E2586="","",0))</f>
        <v/>
      </c>
      <c r="M2586" s="62">
        <f>IF(AND(A2586="",E2586=""),"",IF(E2586="","Segment ontbreekt",IF(OR(G2586="",H2586=""),"Van/tot ontbreekt",IF(N(J2586)=0,"Duur is nul",IF(N(J2586)&gt;12,"Langer dan 12 uur - controleren",IF(AND(E2586="Werken",D2586=""),"Werken zonder klant - koppelen","OK"))))))</f>
        <v/>
      </c>
    </row>
    <row r="2587" ht="15" customHeight="1" s="42">
      <c r="A2587" s="55" t="n"/>
      <c r="B2587" s="56">
        <f>IF(A2587="","",WEEKNUM(A2587,21))</f>
        <v/>
      </c>
      <c r="C2587" s="57" t="n"/>
      <c r="D2587" s="57" t="n"/>
      <c r="E2587" s="58" t="n"/>
      <c r="F2587" s="57" t="n"/>
      <c r="G2587" s="59" t="n"/>
      <c r="H2587" s="59" t="n"/>
      <c r="I2587" s="60">
        <f>IF(OR(G2587="",H2587=""),"",MOD(H2587-G2587,1))</f>
        <v/>
      </c>
      <c r="J2587" s="61">
        <f>IF(OR(G2587="",H2587=""),"",ROUND(MOD(H2587-G2587,1)*24,2))</f>
        <v/>
      </c>
      <c r="K2587" s="62">
        <f>IF(E2587="","",IF(E2587="Werken","JA","NEE"))</f>
        <v/>
      </c>
      <c r="L2587" s="61">
        <f>IF(K2587="JA",N(J2587),IF(E2587="","",0))</f>
        <v/>
      </c>
      <c r="M2587" s="62">
        <f>IF(AND(A2587="",E2587=""),"",IF(E2587="","Segment ontbreekt",IF(OR(G2587="",H2587=""),"Van/tot ontbreekt",IF(N(J2587)=0,"Duur is nul",IF(N(J2587)&gt;12,"Langer dan 12 uur - controleren",IF(AND(E2587="Werken",D2587=""),"Werken zonder klant - koppelen","OK"))))))</f>
        <v/>
      </c>
    </row>
    <row r="2588" ht="15" customHeight="1" s="42">
      <c r="A2588" s="55" t="n"/>
      <c r="B2588" s="56">
        <f>IF(A2588="","",WEEKNUM(A2588,21))</f>
        <v/>
      </c>
      <c r="C2588" s="57" t="n"/>
      <c r="D2588" s="57" t="n"/>
      <c r="E2588" s="58" t="n"/>
      <c r="F2588" s="57" t="n"/>
      <c r="G2588" s="59" t="n"/>
      <c r="H2588" s="59" t="n"/>
      <c r="I2588" s="60">
        <f>IF(OR(G2588="",H2588=""),"",MOD(H2588-G2588,1))</f>
        <v/>
      </c>
      <c r="J2588" s="61">
        <f>IF(OR(G2588="",H2588=""),"",ROUND(MOD(H2588-G2588,1)*24,2))</f>
        <v/>
      </c>
      <c r="K2588" s="62">
        <f>IF(E2588="","",IF(E2588="Werken","JA","NEE"))</f>
        <v/>
      </c>
      <c r="L2588" s="61">
        <f>IF(K2588="JA",N(J2588),IF(E2588="","",0))</f>
        <v/>
      </c>
      <c r="M2588" s="62">
        <f>IF(AND(A2588="",E2588=""),"",IF(E2588="","Segment ontbreekt",IF(OR(G2588="",H2588=""),"Van/tot ontbreekt",IF(N(J2588)=0,"Duur is nul",IF(N(J2588)&gt;12,"Langer dan 12 uur - controleren",IF(AND(E2588="Werken",D2588=""),"Werken zonder klant - koppelen","OK"))))))</f>
        <v/>
      </c>
    </row>
    <row r="2589" ht="15" customHeight="1" s="42">
      <c r="A2589" s="55" t="n"/>
      <c r="B2589" s="56">
        <f>IF(A2589="","",WEEKNUM(A2589,21))</f>
        <v/>
      </c>
      <c r="C2589" s="57" t="n"/>
      <c r="D2589" s="57" t="n"/>
      <c r="E2589" s="58" t="n"/>
      <c r="F2589" s="57" t="n"/>
      <c r="G2589" s="59" t="n"/>
      <c r="H2589" s="59" t="n"/>
      <c r="I2589" s="60">
        <f>IF(OR(G2589="",H2589=""),"",MOD(H2589-G2589,1))</f>
        <v/>
      </c>
      <c r="J2589" s="61">
        <f>IF(OR(G2589="",H2589=""),"",ROUND(MOD(H2589-G2589,1)*24,2))</f>
        <v/>
      </c>
      <c r="K2589" s="62">
        <f>IF(E2589="","",IF(E2589="Werken","JA","NEE"))</f>
        <v/>
      </c>
      <c r="L2589" s="61">
        <f>IF(K2589="JA",N(J2589),IF(E2589="","",0))</f>
        <v/>
      </c>
      <c r="M2589" s="62">
        <f>IF(AND(A2589="",E2589=""),"",IF(E2589="","Segment ontbreekt",IF(OR(G2589="",H2589=""),"Van/tot ontbreekt",IF(N(J2589)=0,"Duur is nul",IF(N(J2589)&gt;12,"Langer dan 12 uur - controleren",IF(AND(E2589="Werken",D2589=""),"Werken zonder klant - koppelen","OK"))))))</f>
        <v/>
      </c>
    </row>
    <row r="2590" ht="15" customHeight="1" s="42">
      <c r="A2590" s="55" t="n"/>
      <c r="B2590" s="56">
        <f>IF(A2590="","",WEEKNUM(A2590,21))</f>
        <v/>
      </c>
      <c r="C2590" s="57" t="n"/>
      <c r="D2590" s="57" t="n"/>
      <c r="E2590" s="58" t="n"/>
      <c r="F2590" s="57" t="n"/>
      <c r="G2590" s="59" t="n"/>
      <c r="H2590" s="59" t="n"/>
      <c r="I2590" s="60">
        <f>IF(OR(G2590="",H2590=""),"",MOD(H2590-G2590,1))</f>
        <v/>
      </c>
      <c r="J2590" s="61">
        <f>IF(OR(G2590="",H2590=""),"",ROUND(MOD(H2590-G2590,1)*24,2))</f>
        <v/>
      </c>
      <c r="K2590" s="62">
        <f>IF(E2590="","",IF(E2590="Werken","JA","NEE"))</f>
        <v/>
      </c>
      <c r="L2590" s="61">
        <f>IF(K2590="JA",N(J2590),IF(E2590="","",0))</f>
        <v/>
      </c>
      <c r="M2590" s="62">
        <f>IF(AND(A2590="",E2590=""),"",IF(E2590="","Segment ontbreekt",IF(OR(G2590="",H2590=""),"Van/tot ontbreekt",IF(N(J2590)=0,"Duur is nul",IF(N(J2590)&gt;12,"Langer dan 12 uur - controleren",IF(AND(E2590="Werken",D2590=""),"Werken zonder klant - koppelen","OK"))))))</f>
        <v/>
      </c>
    </row>
    <row r="2591" ht="15" customHeight="1" s="42">
      <c r="A2591" s="55" t="n"/>
      <c r="B2591" s="56">
        <f>IF(A2591="","",WEEKNUM(A2591,21))</f>
        <v/>
      </c>
      <c r="C2591" s="57" t="n"/>
      <c r="D2591" s="57" t="n"/>
      <c r="E2591" s="58" t="n"/>
      <c r="F2591" s="57" t="n"/>
      <c r="G2591" s="59" t="n"/>
      <c r="H2591" s="59" t="n"/>
      <c r="I2591" s="60">
        <f>IF(OR(G2591="",H2591=""),"",MOD(H2591-G2591,1))</f>
        <v/>
      </c>
      <c r="J2591" s="61">
        <f>IF(OR(G2591="",H2591=""),"",ROUND(MOD(H2591-G2591,1)*24,2))</f>
        <v/>
      </c>
      <c r="K2591" s="62">
        <f>IF(E2591="","",IF(E2591="Werken","JA","NEE"))</f>
        <v/>
      </c>
      <c r="L2591" s="61">
        <f>IF(K2591="JA",N(J2591),IF(E2591="","",0))</f>
        <v/>
      </c>
      <c r="M2591" s="62">
        <f>IF(AND(A2591="",E2591=""),"",IF(E2591="","Segment ontbreekt",IF(OR(G2591="",H2591=""),"Van/tot ontbreekt",IF(N(J2591)=0,"Duur is nul",IF(N(J2591)&gt;12,"Langer dan 12 uur - controleren",IF(AND(E2591="Werken",D2591=""),"Werken zonder klant - koppelen","OK"))))))</f>
        <v/>
      </c>
    </row>
    <row r="2592" ht="15" customHeight="1" s="42">
      <c r="A2592" s="55" t="n"/>
      <c r="B2592" s="56">
        <f>IF(A2592="","",WEEKNUM(A2592,21))</f>
        <v/>
      </c>
      <c r="C2592" s="57" t="n"/>
      <c r="D2592" s="57" t="n"/>
      <c r="E2592" s="58" t="n"/>
      <c r="F2592" s="57" t="n"/>
      <c r="G2592" s="59" t="n"/>
      <c r="H2592" s="59" t="n"/>
      <c r="I2592" s="60">
        <f>IF(OR(G2592="",H2592=""),"",MOD(H2592-G2592,1))</f>
        <v/>
      </c>
      <c r="J2592" s="61">
        <f>IF(OR(G2592="",H2592=""),"",ROUND(MOD(H2592-G2592,1)*24,2))</f>
        <v/>
      </c>
      <c r="K2592" s="62">
        <f>IF(E2592="","",IF(E2592="Werken","JA","NEE"))</f>
        <v/>
      </c>
      <c r="L2592" s="61">
        <f>IF(K2592="JA",N(J2592),IF(E2592="","",0))</f>
        <v/>
      </c>
      <c r="M2592" s="62">
        <f>IF(AND(A2592="",E2592=""),"",IF(E2592="","Segment ontbreekt",IF(OR(G2592="",H2592=""),"Van/tot ontbreekt",IF(N(J2592)=0,"Duur is nul",IF(N(J2592)&gt;12,"Langer dan 12 uur - controleren",IF(AND(E2592="Werken",D2592=""),"Werken zonder klant - koppelen","OK"))))))</f>
        <v/>
      </c>
    </row>
    <row r="2593" ht="15" customHeight="1" s="42">
      <c r="A2593" s="55" t="n"/>
      <c r="B2593" s="56">
        <f>IF(A2593="","",WEEKNUM(A2593,21))</f>
        <v/>
      </c>
      <c r="C2593" s="57" t="n"/>
      <c r="D2593" s="57" t="n"/>
      <c r="E2593" s="58" t="n"/>
      <c r="F2593" s="57" t="n"/>
      <c r="G2593" s="59" t="n"/>
      <c r="H2593" s="59" t="n"/>
      <c r="I2593" s="60">
        <f>IF(OR(G2593="",H2593=""),"",MOD(H2593-G2593,1))</f>
        <v/>
      </c>
      <c r="J2593" s="61">
        <f>IF(OR(G2593="",H2593=""),"",ROUND(MOD(H2593-G2593,1)*24,2))</f>
        <v/>
      </c>
      <c r="K2593" s="62">
        <f>IF(E2593="","",IF(E2593="Werken","JA","NEE"))</f>
        <v/>
      </c>
      <c r="L2593" s="61">
        <f>IF(K2593="JA",N(J2593),IF(E2593="","",0))</f>
        <v/>
      </c>
      <c r="M2593" s="62">
        <f>IF(AND(A2593="",E2593=""),"",IF(E2593="","Segment ontbreekt",IF(OR(G2593="",H2593=""),"Van/tot ontbreekt",IF(N(J2593)=0,"Duur is nul",IF(N(J2593)&gt;12,"Langer dan 12 uur - controleren",IF(AND(E2593="Werken",D2593=""),"Werken zonder klant - koppelen","OK"))))))</f>
        <v/>
      </c>
    </row>
    <row r="2594" ht="15" customHeight="1" s="42">
      <c r="A2594" s="55" t="n"/>
      <c r="B2594" s="56">
        <f>IF(A2594="","",WEEKNUM(A2594,21))</f>
        <v/>
      </c>
      <c r="C2594" s="57" t="n"/>
      <c r="D2594" s="57" t="n"/>
      <c r="E2594" s="58" t="n"/>
      <c r="F2594" s="57" t="n"/>
      <c r="G2594" s="59" t="n"/>
      <c r="H2594" s="59" t="n"/>
      <c r="I2594" s="60">
        <f>IF(OR(G2594="",H2594=""),"",MOD(H2594-G2594,1))</f>
        <v/>
      </c>
      <c r="J2594" s="61">
        <f>IF(OR(G2594="",H2594=""),"",ROUND(MOD(H2594-G2594,1)*24,2))</f>
        <v/>
      </c>
      <c r="K2594" s="62">
        <f>IF(E2594="","",IF(E2594="Werken","JA","NEE"))</f>
        <v/>
      </c>
      <c r="L2594" s="61">
        <f>IF(K2594="JA",N(J2594),IF(E2594="","",0))</f>
        <v/>
      </c>
      <c r="M2594" s="62">
        <f>IF(AND(A2594="",E2594=""),"",IF(E2594="","Segment ontbreekt",IF(OR(G2594="",H2594=""),"Van/tot ontbreekt",IF(N(J2594)=0,"Duur is nul",IF(N(J2594)&gt;12,"Langer dan 12 uur - controleren",IF(AND(E2594="Werken",D2594=""),"Werken zonder klant - koppelen","OK"))))))</f>
        <v/>
      </c>
    </row>
    <row r="2595" ht="15" customHeight="1" s="42">
      <c r="A2595" s="55" t="n"/>
      <c r="B2595" s="56">
        <f>IF(A2595="","",WEEKNUM(A2595,21))</f>
        <v/>
      </c>
      <c r="C2595" s="57" t="n"/>
      <c r="D2595" s="57" t="n"/>
      <c r="E2595" s="58" t="n"/>
      <c r="F2595" s="57" t="n"/>
      <c r="G2595" s="59" t="n"/>
      <c r="H2595" s="59" t="n"/>
      <c r="I2595" s="60">
        <f>IF(OR(G2595="",H2595=""),"",MOD(H2595-G2595,1))</f>
        <v/>
      </c>
      <c r="J2595" s="61">
        <f>IF(OR(G2595="",H2595=""),"",ROUND(MOD(H2595-G2595,1)*24,2))</f>
        <v/>
      </c>
      <c r="K2595" s="62">
        <f>IF(E2595="","",IF(E2595="Werken","JA","NEE"))</f>
        <v/>
      </c>
      <c r="L2595" s="61">
        <f>IF(K2595="JA",N(J2595),IF(E2595="","",0))</f>
        <v/>
      </c>
      <c r="M2595" s="62">
        <f>IF(AND(A2595="",E2595=""),"",IF(E2595="","Segment ontbreekt",IF(OR(G2595="",H2595=""),"Van/tot ontbreekt",IF(N(J2595)=0,"Duur is nul",IF(N(J2595)&gt;12,"Langer dan 12 uur - controleren",IF(AND(E2595="Werken",D2595=""),"Werken zonder klant - koppelen","OK"))))))</f>
        <v/>
      </c>
    </row>
    <row r="2596" ht="15" customHeight="1" s="42">
      <c r="A2596" s="55" t="n"/>
      <c r="B2596" s="56">
        <f>IF(A2596="","",WEEKNUM(A2596,21))</f>
        <v/>
      </c>
      <c r="C2596" s="57" t="n"/>
      <c r="D2596" s="57" t="n"/>
      <c r="E2596" s="58" t="n"/>
      <c r="F2596" s="57" t="n"/>
      <c r="G2596" s="59" t="n"/>
      <c r="H2596" s="59" t="n"/>
      <c r="I2596" s="60">
        <f>IF(OR(G2596="",H2596=""),"",MOD(H2596-G2596,1))</f>
        <v/>
      </c>
      <c r="J2596" s="61">
        <f>IF(OR(G2596="",H2596=""),"",ROUND(MOD(H2596-G2596,1)*24,2))</f>
        <v/>
      </c>
      <c r="K2596" s="62">
        <f>IF(E2596="","",IF(E2596="Werken","JA","NEE"))</f>
        <v/>
      </c>
      <c r="L2596" s="61">
        <f>IF(K2596="JA",N(J2596),IF(E2596="","",0))</f>
        <v/>
      </c>
      <c r="M2596" s="62">
        <f>IF(AND(A2596="",E2596=""),"",IF(E2596="","Segment ontbreekt",IF(OR(G2596="",H2596=""),"Van/tot ontbreekt",IF(N(J2596)=0,"Duur is nul",IF(N(J2596)&gt;12,"Langer dan 12 uur - controleren",IF(AND(E2596="Werken",D2596=""),"Werken zonder klant - koppelen","OK"))))))</f>
        <v/>
      </c>
    </row>
    <row r="2597" ht="15" customHeight="1" s="42">
      <c r="A2597" s="55" t="n"/>
      <c r="B2597" s="56">
        <f>IF(A2597="","",WEEKNUM(A2597,21))</f>
        <v/>
      </c>
      <c r="C2597" s="57" t="n"/>
      <c r="D2597" s="57" t="n"/>
      <c r="E2597" s="58" t="n"/>
      <c r="F2597" s="57" t="n"/>
      <c r="G2597" s="59" t="n"/>
      <c r="H2597" s="59" t="n"/>
      <c r="I2597" s="60">
        <f>IF(OR(G2597="",H2597=""),"",MOD(H2597-G2597,1))</f>
        <v/>
      </c>
      <c r="J2597" s="61">
        <f>IF(OR(G2597="",H2597=""),"",ROUND(MOD(H2597-G2597,1)*24,2))</f>
        <v/>
      </c>
      <c r="K2597" s="62">
        <f>IF(E2597="","",IF(E2597="Werken","JA","NEE"))</f>
        <v/>
      </c>
      <c r="L2597" s="61">
        <f>IF(K2597="JA",N(J2597),IF(E2597="","",0))</f>
        <v/>
      </c>
      <c r="M2597" s="62">
        <f>IF(AND(A2597="",E2597=""),"",IF(E2597="","Segment ontbreekt",IF(OR(G2597="",H2597=""),"Van/tot ontbreekt",IF(N(J2597)=0,"Duur is nul",IF(N(J2597)&gt;12,"Langer dan 12 uur - controleren",IF(AND(E2597="Werken",D2597=""),"Werken zonder klant - koppelen","OK"))))))</f>
        <v/>
      </c>
    </row>
    <row r="2598" ht="15" customHeight="1" s="42">
      <c r="A2598" s="55" t="n"/>
      <c r="B2598" s="56">
        <f>IF(A2598="","",WEEKNUM(A2598,21))</f>
        <v/>
      </c>
      <c r="C2598" s="57" t="n"/>
      <c r="D2598" s="57" t="n"/>
      <c r="E2598" s="58" t="n"/>
      <c r="F2598" s="57" t="n"/>
      <c r="G2598" s="59" t="n"/>
      <c r="H2598" s="59" t="n"/>
      <c r="I2598" s="60">
        <f>IF(OR(G2598="",H2598=""),"",MOD(H2598-G2598,1))</f>
        <v/>
      </c>
      <c r="J2598" s="61">
        <f>IF(OR(G2598="",H2598=""),"",ROUND(MOD(H2598-G2598,1)*24,2))</f>
        <v/>
      </c>
      <c r="K2598" s="62">
        <f>IF(E2598="","",IF(E2598="Werken","JA","NEE"))</f>
        <v/>
      </c>
      <c r="L2598" s="61">
        <f>IF(K2598="JA",N(J2598),IF(E2598="","",0))</f>
        <v/>
      </c>
      <c r="M2598" s="62">
        <f>IF(AND(A2598="",E2598=""),"",IF(E2598="","Segment ontbreekt",IF(OR(G2598="",H2598=""),"Van/tot ontbreekt",IF(N(J2598)=0,"Duur is nul",IF(N(J2598)&gt;12,"Langer dan 12 uur - controleren",IF(AND(E2598="Werken",D2598=""),"Werken zonder klant - koppelen","OK"))))))</f>
        <v/>
      </c>
    </row>
    <row r="2599" ht="15" customHeight="1" s="42">
      <c r="A2599" s="55" t="n"/>
      <c r="B2599" s="56">
        <f>IF(A2599="","",WEEKNUM(A2599,21))</f>
        <v/>
      </c>
      <c r="C2599" s="57" t="n"/>
      <c r="D2599" s="57" t="n"/>
      <c r="E2599" s="58" t="n"/>
      <c r="F2599" s="57" t="n"/>
      <c r="G2599" s="59" t="n"/>
      <c r="H2599" s="59" t="n"/>
      <c r="I2599" s="60">
        <f>IF(OR(G2599="",H2599=""),"",MOD(H2599-G2599,1))</f>
        <v/>
      </c>
      <c r="J2599" s="61">
        <f>IF(OR(G2599="",H2599=""),"",ROUND(MOD(H2599-G2599,1)*24,2))</f>
        <v/>
      </c>
      <c r="K2599" s="62">
        <f>IF(E2599="","",IF(E2599="Werken","JA","NEE"))</f>
        <v/>
      </c>
      <c r="L2599" s="61">
        <f>IF(K2599="JA",N(J2599),IF(E2599="","",0))</f>
        <v/>
      </c>
      <c r="M2599" s="62">
        <f>IF(AND(A2599="",E2599=""),"",IF(E2599="","Segment ontbreekt",IF(OR(G2599="",H2599=""),"Van/tot ontbreekt",IF(N(J2599)=0,"Duur is nul",IF(N(J2599)&gt;12,"Langer dan 12 uur - controleren",IF(AND(E2599="Werken",D2599=""),"Werken zonder klant - koppelen","OK"))))))</f>
        <v/>
      </c>
    </row>
    <row r="2600" ht="15" customHeight="1" s="42">
      <c r="A2600" s="55" t="n"/>
      <c r="B2600" s="56">
        <f>IF(A2600="","",WEEKNUM(A2600,21))</f>
        <v/>
      </c>
      <c r="C2600" s="57" t="n"/>
      <c r="D2600" s="57" t="n"/>
      <c r="E2600" s="58" t="n"/>
      <c r="F2600" s="57" t="n"/>
      <c r="G2600" s="59" t="n"/>
      <c r="H2600" s="59" t="n"/>
      <c r="I2600" s="60">
        <f>IF(OR(G2600="",H2600=""),"",MOD(H2600-G2600,1))</f>
        <v/>
      </c>
      <c r="J2600" s="61">
        <f>IF(OR(G2600="",H2600=""),"",ROUND(MOD(H2600-G2600,1)*24,2))</f>
        <v/>
      </c>
      <c r="K2600" s="62">
        <f>IF(E2600="","",IF(E2600="Werken","JA","NEE"))</f>
        <v/>
      </c>
      <c r="L2600" s="61">
        <f>IF(K2600="JA",N(J2600),IF(E2600="","",0))</f>
        <v/>
      </c>
      <c r="M2600" s="62">
        <f>IF(AND(A2600="",E2600=""),"",IF(E2600="","Segment ontbreekt",IF(OR(G2600="",H2600=""),"Van/tot ontbreekt",IF(N(J2600)=0,"Duur is nul",IF(N(J2600)&gt;12,"Langer dan 12 uur - controleren",IF(AND(E2600="Werken",D2600=""),"Werken zonder klant - koppelen","OK"))))))</f>
        <v/>
      </c>
    </row>
    <row r="2601" ht="15" customHeight="1" s="42">
      <c r="A2601" s="55" t="n"/>
      <c r="B2601" s="56">
        <f>IF(A2601="","",WEEKNUM(A2601,21))</f>
        <v/>
      </c>
      <c r="C2601" s="57" t="n"/>
      <c r="D2601" s="57" t="n"/>
      <c r="E2601" s="58" t="n"/>
      <c r="F2601" s="57" t="n"/>
      <c r="G2601" s="59" t="n"/>
      <c r="H2601" s="59" t="n"/>
      <c r="I2601" s="60">
        <f>IF(OR(G2601="",H2601=""),"",MOD(H2601-G2601,1))</f>
        <v/>
      </c>
      <c r="J2601" s="61">
        <f>IF(OR(G2601="",H2601=""),"",ROUND(MOD(H2601-G2601,1)*24,2))</f>
        <v/>
      </c>
      <c r="K2601" s="62">
        <f>IF(E2601="","",IF(E2601="Werken","JA","NEE"))</f>
        <v/>
      </c>
      <c r="L2601" s="61">
        <f>IF(K2601="JA",N(J2601),IF(E2601="","",0))</f>
        <v/>
      </c>
      <c r="M2601" s="62">
        <f>IF(AND(A2601="",E2601=""),"",IF(E2601="","Segment ontbreekt",IF(OR(G2601="",H2601=""),"Van/tot ontbreekt",IF(N(J2601)=0,"Duur is nul",IF(N(J2601)&gt;12,"Langer dan 12 uur - controleren",IF(AND(E2601="Werken",D2601=""),"Werken zonder klant - koppelen","OK"))))))</f>
        <v/>
      </c>
    </row>
    <row r="2602" ht="15" customHeight="1" s="42">
      <c r="A2602" s="55" t="n"/>
      <c r="B2602" s="56">
        <f>IF(A2602="","",WEEKNUM(A2602,21))</f>
        <v/>
      </c>
      <c r="C2602" s="57" t="n"/>
      <c r="D2602" s="57" t="n"/>
      <c r="E2602" s="58" t="n"/>
      <c r="F2602" s="57" t="n"/>
      <c r="G2602" s="59" t="n"/>
      <c r="H2602" s="59" t="n"/>
      <c r="I2602" s="60">
        <f>IF(OR(G2602="",H2602=""),"",MOD(H2602-G2602,1))</f>
        <v/>
      </c>
      <c r="J2602" s="61">
        <f>IF(OR(G2602="",H2602=""),"",ROUND(MOD(H2602-G2602,1)*24,2))</f>
        <v/>
      </c>
      <c r="K2602" s="62">
        <f>IF(E2602="","",IF(E2602="Werken","JA","NEE"))</f>
        <v/>
      </c>
      <c r="L2602" s="61">
        <f>IF(K2602="JA",N(J2602),IF(E2602="","",0))</f>
        <v/>
      </c>
      <c r="M2602" s="62">
        <f>IF(AND(A2602="",E2602=""),"",IF(E2602="","Segment ontbreekt",IF(OR(G2602="",H2602=""),"Van/tot ontbreekt",IF(N(J2602)=0,"Duur is nul",IF(N(J2602)&gt;12,"Langer dan 12 uur - controleren",IF(AND(E2602="Werken",D2602=""),"Werken zonder klant - koppelen","OK"))))))</f>
        <v/>
      </c>
    </row>
    <row r="2603" ht="15" customHeight="1" s="42">
      <c r="A2603" s="55" t="n"/>
      <c r="B2603" s="56">
        <f>IF(A2603="","",WEEKNUM(A2603,21))</f>
        <v/>
      </c>
      <c r="C2603" s="57" t="n"/>
      <c r="D2603" s="57" t="n"/>
      <c r="E2603" s="58" t="n"/>
      <c r="F2603" s="57" t="n"/>
      <c r="G2603" s="59" t="n"/>
      <c r="H2603" s="59" t="n"/>
      <c r="I2603" s="60">
        <f>IF(OR(G2603="",H2603=""),"",MOD(H2603-G2603,1))</f>
        <v/>
      </c>
      <c r="J2603" s="61">
        <f>IF(OR(G2603="",H2603=""),"",ROUND(MOD(H2603-G2603,1)*24,2))</f>
        <v/>
      </c>
      <c r="K2603" s="62">
        <f>IF(E2603="","",IF(E2603="Werken","JA","NEE"))</f>
        <v/>
      </c>
      <c r="L2603" s="61">
        <f>IF(K2603="JA",N(J2603),IF(E2603="","",0))</f>
        <v/>
      </c>
      <c r="M2603" s="62">
        <f>IF(AND(A2603="",E2603=""),"",IF(E2603="","Segment ontbreekt",IF(OR(G2603="",H2603=""),"Van/tot ontbreekt",IF(N(J2603)=0,"Duur is nul",IF(N(J2603)&gt;12,"Langer dan 12 uur - controleren",IF(AND(E2603="Werken",D2603=""),"Werken zonder klant - koppelen","OK"))))))</f>
        <v/>
      </c>
    </row>
    <row r="2604" ht="15" customHeight="1" s="42">
      <c r="A2604" s="55" t="n"/>
      <c r="B2604" s="56">
        <f>IF(A2604="","",WEEKNUM(A2604,21))</f>
        <v/>
      </c>
      <c r="C2604" s="57" t="n"/>
      <c r="D2604" s="57" t="n"/>
      <c r="E2604" s="58" t="n"/>
      <c r="F2604" s="57" t="n"/>
      <c r="G2604" s="59" t="n"/>
      <c r="H2604" s="59" t="n"/>
      <c r="I2604" s="60">
        <f>IF(OR(G2604="",H2604=""),"",MOD(H2604-G2604,1))</f>
        <v/>
      </c>
      <c r="J2604" s="61">
        <f>IF(OR(G2604="",H2604=""),"",ROUND(MOD(H2604-G2604,1)*24,2))</f>
        <v/>
      </c>
      <c r="K2604" s="62">
        <f>IF(E2604="","",IF(E2604="Werken","JA","NEE"))</f>
        <v/>
      </c>
      <c r="L2604" s="61">
        <f>IF(K2604="JA",N(J2604),IF(E2604="","",0))</f>
        <v/>
      </c>
      <c r="M2604" s="62">
        <f>IF(AND(A2604="",E2604=""),"",IF(E2604="","Segment ontbreekt",IF(OR(G2604="",H2604=""),"Van/tot ontbreekt",IF(N(J2604)=0,"Duur is nul",IF(N(J2604)&gt;12,"Langer dan 12 uur - controleren",IF(AND(E2604="Werken",D2604=""),"Werken zonder klant - koppelen","OK"))))))</f>
        <v/>
      </c>
    </row>
    <row r="2605" ht="15" customHeight="1" s="42">
      <c r="A2605" s="55" t="n"/>
      <c r="B2605" s="56">
        <f>IF(A2605="","",WEEKNUM(A2605,21))</f>
        <v/>
      </c>
      <c r="C2605" s="57" t="n"/>
      <c r="D2605" s="57" t="n"/>
      <c r="E2605" s="58" t="n"/>
      <c r="F2605" s="57" t="n"/>
      <c r="G2605" s="59" t="n"/>
      <c r="H2605" s="59" t="n"/>
      <c r="I2605" s="60">
        <f>IF(OR(G2605="",H2605=""),"",MOD(H2605-G2605,1))</f>
        <v/>
      </c>
      <c r="J2605" s="61">
        <f>IF(OR(G2605="",H2605=""),"",ROUND(MOD(H2605-G2605,1)*24,2))</f>
        <v/>
      </c>
      <c r="K2605" s="62">
        <f>IF(E2605="","",IF(E2605="Werken","JA","NEE"))</f>
        <v/>
      </c>
      <c r="L2605" s="61">
        <f>IF(K2605="JA",N(J2605),IF(E2605="","",0))</f>
        <v/>
      </c>
      <c r="M2605" s="62">
        <f>IF(AND(A2605="",E2605=""),"",IF(E2605="","Segment ontbreekt",IF(OR(G2605="",H2605=""),"Van/tot ontbreekt",IF(N(J2605)=0,"Duur is nul",IF(N(J2605)&gt;12,"Langer dan 12 uur - controleren",IF(AND(E2605="Werken",D2605=""),"Werken zonder klant - koppelen","OK"))))))</f>
        <v/>
      </c>
    </row>
    <row r="2606" ht="15" customHeight="1" s="42">
      <c r="A2606" s="55" t="n"/>
      <c r="B2606" s="56">
        <f>IF(A2606="","",WEEKNUM(A2606,21))</f>
        <v/>
      </c>
      <c r="C2606" s="57" t="n"/>
      <c r="D2606" s="57" t="n"/>
      <c r="E2606" s="58" t="n"/>
      <c r="F2606" s="57" t="n"/>
      <c r="G2606" s="59" t="n"/>
      <c r="H2606" s="59" t="n"/>
      <c r="I2606" s="60">
        <f>IF(OR(G2606="",H2606=""),"",MOD(H2606-G2606,1))</f>
        <v/>
      </c>
      <c r="J2606" s="61">
        <f>IF(OR(G2606="",H2606=""),"",ROUND(MOD(H2606-G2606,1)*24,2))</f>
        <v/>
      </c>
      <c r="K2606" s="62">
        <f>IF(E2606="","",IF(E2606="Werken","JA","NEE"))</f>
        <v/>
      </c>
      <c r="L2606" s="61">
        <f>IF(K2606="JA",N(J2606),IF(E2606="","",0))</f>
        <v/>
      </c>
      <c r="M2606" s="62">
        <f>IF(AND(A2606="",E2606=""),"",IF(E2606="","Segment ontbreekt",IF(OR(G2606="",H2606=""),"Van/tot ontbreekt",IF(N(J2606)=0,"Duur is nul",IF(N(J2606)&gt;12,"Langer dan 12 uur - controleren",IF(AND(E2606="Werken",D2606=""),"Werken zonder klant - koppelen","OK"))))))</f>
        <v/>
      </c>
    </row>
    <row r="2607" ht="15" customHeight="1" s="42">
      <c r="A2607" s="55" t="n"/>
      <c r="B2607" s="56">
        <f>IF(A2607="","",WEEKNUM(A2607,21))</f>
        <v/>
      </c>
      <c r="C2607" s="57" t="n"/>
      <c r="D2607" s="57" t="n"/>
      <c r="E2607" s="58" t="n"/>
      <c r="F2607" s="57" t="n"/>
      <c r="G2607" s="59" t="n"/>
      <c r="H2607" s="59" t="n"/>
      <c r="I2607" s="60">
        <f>IF(OR(G2607="",H2607=""),"",MOD(H2607-G2607,1))</f>
        <v/>
      </c>
      <c r="J2607" s="61">
        <f>IF(OR(G2607="",H2607=""),"",ROUND(MOD(H2607-G2607,1)*24,2))</f>
        <v/>
      </c>
      <c r="K2607" s="62">
        <f>IF(E2607="","",IF(E2607="Werken","JA","NEE"))</f>
        <v/>
      </c>
      <c r="L2607" s="61">
        <f>IF(K2607="JA",N(J2607),IF(E2607="","",0))</f>
        <v/>
      </c>
      <c r="M2607" s="62">
        <f>IF(AND(A2607="",E2607=""),"",IF(E2607="","Segment ontbreekt",IF(OR(G2607="",H2607=""),"Van/tot ontbreekt",IF(N(J2607)=0,"Duur is nul",IF(N(J2607)&gt;12,"Langer dan 12 uur - controleren",IF(AND(E2607="Werken",D2607=""),"Werken zonder klant - koppelen","OK"))))))</f>
        <v/>
      </c>
    </row>
    <row r="2608" ht="15" customHeight="1" s="42">
      <c r="A2608" s="55" t="n"/>
      <c r="B2608" s="56">
        <f>IF(A2608="","",WEEKNUM(A2608,21))</f>
        <v/>
      </c>
      <c r="C2608" s="57" t="n"/>
      <c r="D2608" s="57" t="n"/>
      <c r="E2608" s="58" t="n"/>
      <c r="F2608" s="57" t="n"/>
      <c r="G2608" s="59" t="n"/>
      <c r="H2608" s="59" t="n"/>
      <c r="I2608" s="60">
        <f>IF(OR(G2608="",H2608=""),"",MOD(H2608-G2608,1))</f>
        <v/>
      </c>
      <c r="J2608" s="61">
        <f>IF(OR(G2608="",H2608=""),"",ROUND(MOD(H2608-G2608,1)*24,2))</f>
        <v/>
      </c>
      <c r="K2608" s="62">
        <f>IF(E2608="","",IF(E2608="Werken","JA","NEE"))</f>
        <v/>
      </c>
      <c r="L2608" s="61">
        <f>IF(K2608="JA",N(J2608),IF(E2608="","",0))</f>
        <v/>
      </c>
      <c r="M2608" s="62">
        <f>IF(AND(A2608="",E2608=""),"",IF(E2608="","Segment ontbreekt",IF(OR(G2608="",H2608=""),"Van/tot ontbreekt",IF(N(J2608)=0,"Duur is nul",IF(N(J2608)&gt;12,"Langer dan 12 uur - controleren",IF(AND(E2608="Werken",D2608=""),"Werken zonder klant - koppelen","OK"))))))</f>
        <v/>
      </c>
    </row>
    <row r="2609" ht="15" customHeight="1" s="42">
      <c r="A2609" s="55" t="n"/>
      <c r="B2609" s="56">
        <f>IF(A2609="","",WEEKNUM(A2609,21))</f>
        <v/>
      </c>
      <c r="C2609" s="57" t="n"/>
      <c r="D2609" s="57" t="n"/>
      <c r="E2609" s="58" t="n"/>
      <c r="F2609" s="57" t="n"/>
      <c r="G2609" s="59" t="n"/>
      <c r="H2609" s="59" t="n"/>
      <c r="I2609" s="60">
        <f>IF(OR(G2609="",H2609=""),"",MOD(H2609-G2609,1))</f>
        <v/>
      </c>
      <c r="J2609" s="61">
        <f>IF(OR(G2609="",H2609=""),"",ROUND(MOD(H2609-G2609,1)*24,2))</f>
        <v/>
      </c>
      <c r="K2609" s="62">
        <f>IF(E2609="","",IF(E2609="Werken","JA","NEE"))</f>
        <v/>
      </c>
      <c r="L2609" s="61">
        <f>IF(K2609="JA",N(J2609),IF(E2609="","",0))</f>
        <v/>
      </c>
      <c r="M2609" s="62">
        <f>IF(AND(A2609="",E2609=""),"",IF(E2609="","Segment ontbreekt",IF(OR(G2609="",H2609=""),"Van/tot ontbreekt",IF(N(J2609)=0,"Duur is nul",IF(N(J2609)&gt;12,"Langer dan 12 uur - controleren",IF(AND(E2609="Werken",D2609=""),"Werken zonder klant - koppelen","OK"))))))</f>
        <v/>
      </c>
    </row>
    <row r="2610" ht="15" customHeight="1" s="42">
      <c r="A2610" s="55" t="n"/>
      <c r="B2610" s="56">
        <f>IF(A2610="","",WEEKNUM(A2610,21))</f>
        <v/>
      </c>
      <c r="C2610" s="57" t="n"/>
      <c r="D2610" s="57" t="n"/>
      <c r="E2610" s="58" t="n"/>
      <c r="F2610" s="57" t="n"/>
      <c r="G2610" s="59" t="n"/>
      <c r="H2610" s="59" t="n"/>
      <c r="I2610" s="60">
        <f>IF(OR(G2610="",H2610=""),"",MOD(H2610-G2610,1))</f>
        <v/>
      </c>
      <c r="J2610" s="61">
        <f>IF(OR(G2610="",H2610=""),"",ROUND(MOD(H2610-G2610,1)*24,2))</f>
        <v/>
      </c>
      <c r="K2610" s="62">
        <f>IF(E2610="","",IF(E2610="Werken","JA","NEE"))</f>
        <v/>
      </c>
      <c r="L2610" s="61">
        <f>IF(K2610="JA",N(J2610),IF(E2610="","",0))</f>
        <v/>
      </c>
      <c r="M2610" s="62">
        <f>IF(AND(A2610="",E2610=""),"",IF(E2610="","Segment ontbreekt",IF(OR(G2610="",H2610=""),"Van/tot ontbreekt",IF(N(J2610)=0,"Duur is nul",IF(N(J2610)&gt;12,"Langer dan 12 uur - controleren",IF(AND(E2610="Werken",D2610=""),"Werken zonder klant - koppelen","OK"))))))</f>
        <v/>
      </c>
    </row>
    <row r="2611" ht="15" customHeight="1" s="42">
      <c r="A2611" s="55" t="n"/>
      <c r="B2611" s="56">
        <f>IF(A2611="","",WEEKNUM(A2611,21))</f>
        <v/>
      </c>
      <c r="C2611" s="57" t="n"/>
      <c r="D2611" s="57" t="n"/>
      <c r="E2611" s="58" t="n"/>
      <c r="F2611" s="57" t="n"/>
      <c r="G2611" s="59" t="n"/>
      <c r="H2611" s="59" t="n"/>
      <c r="I2611" s="60">
        <f>IF(OR(G2611="",H2611=""),"",MOD(H2611-G2611,1))</f>
        <v/>
      </c>
      <c r="J2611" s="61">
        <f>IF(OR(G2611="",H2611=""),"",ROUND(MOD(H2611-G2611,1)*24,2))</f>
        <v/>
      </c>
      <c r="K2611" s="62">
        <f>IF(E2611="","",IF(E2611="Werken","JA","NEE"))</f>
        <v/>
      </c>
      <c r="L2611" s="61">
        <f>IF(K2611="JA",N(J2611),IF(E2611="","",0))</f>
        <v/>
      </c>
      <c r="M2611" s="62">
        <f>IF(AND(A2611="",E2611=""),"",IF(E2611="","Segment ontbreekt",IF(OR(G2611="",H2611=""),"Van/tot ontbreekt",IF(N(J2611)=0,"Duur is nul",IF(N(J2611)&gt;12,"Langer dan 12 uur - controleren",IF(AND(E2611="Werken",D2611=""),"Werken zonder klant - koppelen","OK"))))))</f>
        <v/>
      </c>
    </row>
    <row r="2612" ht="15" customHeight="1" s="42">
      <c r="A2612" s="55" t="n"/>
      <c r="B2612" s="56">
        <f>IF(A2612="","",WEEKNUM(A2612,21))</f>
        <v/>
      </c>
      <c r="C2612" s="57" t="n"/>
      <c r="D2612" s="57" t="n"/>
      <c r="E2612" s="58" t="n"/>
      <c r="F2612" s="57" t="n"/>
      <c r="G2612" s="59" t="n"/>
      <c r="H2612" s="59" t="n"/>
      <c r="I2612" s="60">
        <f>IF(OR(G2612="",H2612=""),"",MOD(H2612-G2612,1))</f>
        <v/>
      </c>
      <c r="J2612" s="61">
        <f>IF(OR(G2612="",H2612=""),"",ROUND(MOD(H2612-G2612,1)*24,2))</f>
        <v/>
      </c>
      <c r="K2612" s="62">
        <f>IF(E2612="","",IF(E2612="Werken","JA","NEE"))</f>
        <v/>
      </c>
      <c r="L2612" s="61">
        <f>IF(K2612="JA",N(J2612),IF(E2612="","",0))</f>
        <v/>
      </c>
      <c r="M2612" s="62">
        <f>IF(AND(A2612="",E2612=""),"",IF(E2612="","Segment ontbreekt",IF(OR(G2612="",H2612=""),"Van/tot ontbreekt",IF(N(J2612)=0,"Duur is nul",IF(N(J2612)&gt;12,"Langer dan 12 uur - controleren",IF(AND(E2612="Werken",D2612=""),"Werken zonder klant - koppelen","OK"))))))</f>
        <v/>
      </c>
    </row>
    <row r="2613" ht="15" customHeight="1" s="42">
      <c r="A2613" s="55" t="n"/>
      <c r="B2613" s="56">
        <f>IF(A2613="","",WEEKNUM(A2613,21))</f>
        <v/>
      </c>
      <c r="C2613" s="57" t="n"/>
      <c r="D2613" s="57" t="n"/>
      <c r="E2613" s="58" t="n"/>
      <c r="F2613" s="57" t="n"/>
      <c r="G2613" s="59" t="n"/>
      <c r="H2613" s="59" t="n"/>
      <c r="I2613" s="60">
        <f>IF(OR(G2613="",H2613=""),"",MOD(H2613-G2613,1))</f>
        <v/>
      </c>
      <c r="J2613" s="61">
        <f>IF(OR(G2613="",H2613=""),"",ROUND(MOD(H2613-G2613,1)*24,2))</f>
        <v/>
      </c>
      <c r="K2613" s="62">
        <f>IF(E2613="","",IF(E2613="Werken","JA","NEE"))</f>
        <v/>
      </c>
      <c r="L2613" s="61">
        <f>IF(K2613="JA",N(J2613),IF(E2613="","",0))</f>
        <v/>
      </c>
      <c r="M2613" s="62">
        <f>IF(AND(A2613="",E2613=""),"",IF(E2613="","Segment ontbreekt",IF(OR(G2613="",H2613=""),"Van/tot ontbreekt",IF(N(J2613)=0,"Duur is nul",IF(N(J2613)&gt;12,"Langer dan 12 uur - controleren",IF(AND(E2613="Werken",D2613=""),"Werken zonder klant - koppelen","OK"))))))</f>
        <v/>
      </c>
    </row>
    <row r="2614" ht="15" customHeight="1" s="42">
      <c r="A2614" s="55" t="n"/>
      <c r="B2614" s="56">
        <f>IF(A2614="","",WEEKNUM(A2614,21))</f>
        <v/>
      </c>
      <c r="C2614" s="57" t="n"/>
      <c r="D2614" s="57" t="n"/>
      <c r="E2614" s="58" t="n"/>
      <c r="F2614" s="57" t="n"/>
      <c r="G2614" s="59" t="n"/>
      <c r="H2614" s="59" t="n"/>
      <c r="I2614" s="60">
        <f>IF(OR(G2614="",H2614=""),"",MOD(H2614-G2614,1))</f>
        <v/>
      </c>
      <c r="J2614" s="61">
        <f>IF(OR(G2614="",H2614=""),"",ROUND(MOD(H2614-G2614,1)*24,2))</f>
        <v/>
      </c>
      <c r="K2614" s="62">
        <f>IF(E2614="","",IF(E2614="Werken","JA","NEE"))</f>
        <v/>
      </c>
      <c r="L2614" s="61">
        <f>IF(K2614="JA",N(J2614),IF(E2614="","",0))</f>
        <v/>
      </c>
      <c r="M2614" s="62">
        <f>IF(AND(A2614="",E2614=""),"",IF(E2614="","Segment ontbreekt",IF(OR(G2614="",H2614=""),"Van/tot ontbreekt",IF(N(J2614)=0,"Duur is nul",IF(N(J2614)&gt;12,"Langer dan 12 uur - controleren",IF(AND(E2614="Werken",D2614=""),"Werken zonder klant - koppelen","OK"))))))</f>
        <v/>
      </c>
    </row>
    <row r="2615" ht="15" customHeight="1" s="42">
      <c r="A2615" s="55" t="n"/>
      <c r="B2615" s="56">
        <f>IF(A2615="","",WEEKNUM(A2615,21))</f>
        <v/>
      </c>
      <c r="C2615" s="57" t="n"/>
      <c r="D2615" s="57" t="n"/>
      <c r="E2615" s="58" t="n"/>
      <c r="F2615" s="57" t="n"/>
      <c r="G2615" s="59" t="n"/>
      <c r="H2615" s="59" t="n"/>
      <c r="I2615" s="60">
        <f>IF(OR(G2615="",H2615=""),"",MOD(H2615-G2615,1))</f>
        <v/>
      </c>
      <c r="J2615" s="61">
        <f>IF(OR(G2615="",H2615=""),"",ROUND(MOD(H2615-G2615,1)*24,2))</f>
        <v/>
      </c>
      <c r="K2615" s="62">
        <f>IF(E2615="","",IF(E2615="Werken","JA","NEE"))</f>
        <v/>
      </c>
      <c r="L2615" s="61">
        <f>IF(K2615="JA",N(J2615),IF(E2615="","",0))</f>
        <v/>
      </c>
      <c r="M2615" s="62">
        <f>IF(AND(A2615="",E2615=""),"",IF(E2615="","Segment ontbreekt",IF(OR(G2615="",H2615=""),"Van/tot ontbreekt",IF(N(J2615)=0,"Duur is nul",IF(N(J2615)&gt;12,"Langer dan 12 uur - controleren",IF(AND(E2615="Werken",D2615=""),"Werken zonder klant - koppelen","OK"))))))</f>
        <v/>
      </c>
    </row>
    <row r="2616" ht="15" customHeight="1" s="42">
      <c r="A2616" s="55" t="n"/>
      <c r="B2616" s="56">
        <f>IF(A2616="","",WEEKNUM(A2616,21))</f>
        <v/>
      </c>
      <c r="C2616" s="57" t="n"/>
      <c r="D2616" s="57" t="n"/>
      <c r="E2616" s="58" t="n"/>
      <c r="F2616" s="57" t="n"/>
      <c r="G2616" s="59" t="n"/>
      <c r="H2616" s="59" t="n"/>
      <c r="I2616" s="60">
        <f>IF(OR(G2616="",H2616=""),"",MOD(H2616-G2616,1))</f>
        <v/>
      </c>
      <c r="J2616" s="61">
        <f>IF(OR(G2616="",H2616=""),"",ROUND(MOD(H2616-G2616,1)*24,2))</f>
        <v/>
      </c>
      <c r="K2616" s="62">
        <f>IF(E2616="","",IF(E2616="Werken","JA","NEE"))</f>
        <v/>
      </c>
      <c r="L2616" s="61">
        <f>IF(K2616="JA",N(J2616),IF(E2616="","",0))</f>
        <v/>
      </c>
      <c r="M2616" s="62">
        <f>IF(AND(A2616="",E2616=""),"",IF(E2616="","Segment ontbreekt",IF(OR(G2616="",H2616=""),"Van/tot ontbreekt",IF(N(J2616)=0,"Duur is nul",IF(N(J2616)&gt;12,"Langer dan 12 uur - controleren",IF(AND(E2616="Werken",D2616=""),"Werken zonder klant - koppelen","OK"))))))</f>
        <v/>
      </c>
    </row>
    <row r="2617" ht="15" customHeight="1" s="42">
      <c r="A2617" s="55" t="n"/>
      <c r="B2617" s="56">
        <f>IF(A2617="","",WEEKNUM(A2617,21))</f>
        <v/>
      </c>
      <c r="C2617" s="57" t="n"/>
      <c r="D2617" s="57" t="n"/>
      <c r="E2617" s="58" t="n"/>
      <c r="F2617" s="57" t="n"/>
      <c r="G2617" s="59" t="n"/>
      <c r="H2617" s="59" t="n"/>
      <c r="I2617" s="60">
        <f>IF(OR(G2617="",H2617=""),"",MOD(H2617-G2617,1))</f>
        <v/>
      </c>
      <c r="J2617" s="61">
        <f>IF(OR(G2617="",H2617=""),"",ROUND(MOD(H2617-G2617,1)*24,2))</f>
        <v/>
      </c>
      <c r="K2617" s="62">
        <f>IF(E2617="","",IF(E2617="Werken","JA","NEE"))</f>
        <v/>
      </c>
      <c r="L2617" s="61">
        <f>IF(K2617="JA",N(J2617),IF(E2617="","",0))</f>
        <v/>
      </c>
      <c r="M2617" s="62">
        <f>IF(AND(A2617="",E2617=""),"",IF(E2617="","Segment ontbreekt",IF(OR(G2617="",H2617=""),"Van/tot ontbreekt",IF(N(J2617)=0,"Duur is nul",IF(N(J2617)&gt;12,"Langer dan 12 uur - controleren",IF(AND(E2617="Werken",D2617=""),"Werken zonder klant - koppelen","OK"))))))</f>
        <v/>
      </c>
    </row>
    <row r="2618" ht="15" customHeight="1" s="42">
      <c r="A2618" s="55" t="n"/>
      <c r="B2618" s="56">
        <f>IF(A2618="","",WEEKNUM(A2618,21))</f>
        <v/>
      </c>
      <c r="C2618" s="57" t="n"/>
      <c r="D2618" s="57" t="n"/>
      <c r="E2618" s="58" t="n"/>
      <c r="F2618" s="57" t="n"/>
      <c r="G2618" s="59" t="n"/>
      <c r="H2618" s="59" t="n"/>
      <c r="I2618" s="60">
        <f>IF(OR(G2618="",H2618=""),"",MOD(H2618-G2618,1))</f>
        <v/>
      </c>
      <c r="J2618" s="61">
        <f>IF(OR(G2618="",H2618=""),"",ROUND(MOD(H2618-G2618,1)*24,2))</f>
        <v/>
      </c>
      <c r="K2618" s="62">
        <f>IF(E2618="","",IF(E2618="Werken","JA","NEE"))</f>
        <v/>
      </c>
      <c r="L2618" s="61">
        <f>IF(K2618="JA",N(J2618),IF(E2618="","",0))</f>
        <v/>
      </c>
      <c r="M2618" s="62">
        <f>IF(AND(A2618="",E2618=""),"",IF(E2618="","Segment ontbreekt",IF(OR(G2618="",H2618=""),"Van/tot ontbreekt",IF(N(J2618)=0,"Duur is nul",IF(N(J2618)&gt;12,"Langer dan 12 uur - controleren",IF(AND(E2618="Werken",D2618=""),"Werken zonder klant - koppelen","OK"))))))</f>
        <v/>
      </c>
    </row>
    <row r="2619" ht="15" customHeight="1" s="42">
      <c r="A2619" s="55" t="n"/>
      <c r="B2619" s="56">
        <f>IF(A2619="","",WEEKNUM(A2619,21))</f>
        <v/>
      </c>
      <c r="C2619" s="57" t="n"/>
      <c r="D2619" s="57" t="n"/>
      <c r="E2619" s="58" t="n"/>
      <c r="F2619" s="57" t="n"/>
      <c r="G2619" s="59" t="n"/>
      <c r="H2619" s="59" t="n"/>
      <c r="I2619" s="60">
        <f>IF(OR(G2619="",H2619=""),"",MOD(H2619-G2619,1))</f>
        <v/>
      </c>
      <c r="J2619" s="61">
        <f>IF(OR(G2619="",H2619=""),"",ROUND(MOD(H2619-G2619,1)*24,2))</f>
        <v/>
      </c>
      <c r="K2619" s="62">
        <f>IF(E2619="","",IF(E2619="Werken","JA","NEE"))</f>
        <v/>
      </c>
      <c r="L2619" s="61">
        <f>IF(K2619="JA",N(J2619),IF(E2619="","",0))</f>
        <v/>
      </c>
      <c r="M2619" s="62">
        <f>IF(AND(A2619="",E2619=""),"",IF(E2619="","Segment ontbreekt",IF(OR(G2619="",H2619=""),"Van/tot ontbreekt",IF(N(J2619)=0,"Duur is nul",IF(N(J2619)&gt;12,"Langer dan 12 uur - controleren",IF(AND(E2619="Werken",D2619=""),"Werken zonder klant - koppelen","OK"))))))</f>
        <v/>
      </c>
    </row>
    <row r="2620" ht="15" customHeight="1" s="42">
      <c r="A2620" s="55" t="n"/>
      <c r="B2620" s="56">
        <f>IF(A2620="","",WEEKNUM(A2620,21))</f>
        <v/>
      </c>
      <c r="C2620" s="57" t="n"/>
      <c r="D2620" s="57" t="n"/>
      <c r="E2620" s="58" t="n"/>
      <c r="F2620" s="57" t="n"/>
      <c r="G2620" s="59" t="n"/>
      <c r="H2620" s="59" t="n"/>
      <c r="I2620" s="60">
        <f>IF(OR(G2620="",H2620=""),"",MOD(H2620-G2620,1))</f>
        <v/>
      </c>
      <c r="J2620" s="61">
        <f>IF(OR(G2620="",H2620=""),"",ROUND(MOD(H2620-G2620,1)*24,2))</f>
        <v/>
      </c>
      <c r="K2620" s="62">
        <f>IF(E2620="","",IF(E2620="Werken","JA","NEE"))</f>
        <v/>
      </c>
      <c r="L2620" s="61">
        <f>IF(K2620="JA",N(J2620),IF(E2620="","",0))</f>
        <v/>
      </c>
      <c r="M2620" s="62">
        <f>IF(AND(A2620="",E2620=""),"",IF(E2620="","Segment ontbreekt",IF(OR(G2620="",H2620=""),"Van/tot ontbreekt",IF(N(J2620)=0,"Duur is nul",IF(N(J2620)&gt;12,"Langer dan 12 uur - controleren",IF(AND(E2620="Werken",D2620=""),"Werken zonder klant - koppelen","OK"))))))</f>
        <v/>
      </c>
    </row>
    <row r="2621" ht="15" customHeight="1" s="42">
      <c r="A2621" s="55" t="n"/>
      <c r="B2621" s="56">
        <f>IF(A2621="","",WEEKNUM(A2621,21))</f>
        <v/>
      </c>
      <c r="C2621" s="57" t="n"/>
      <c r="D2621" s="57" t="n"/>
      <c r="E2621" s="58" t="n"/>
      <c r="F2621" s="57" t="n"/>
      <c r="G2621" s="59" t="n"/>
      <c r="H2621" s="59" t="n"/>
      <c r="I2621" s="60">
        <f>IF(OR(G2621="",H2621=""),"",MOD(H2621-G2621,1))</f>
        <v/>
      </c>
      <c r="J2621" s="61">
        <f>IF(OR(G2621="",H2621=""),"",ROUND(MOD(H2621-G2621,1)*24,2))</f>
        <v/>
      </c>
      <c r="K2621" s="62">
        <f>IF(E2621="","",IF(E2621="Werken","JA","NEE"))</f>
        <v/>
      </c>
      <c r="L2621" s="61">
        <f>IF(K2621="JA",N(J2621),IF(E2621="","",0))</f>
        <v/>
      </c>
      <c r="M2621" s="62">
        <f>IF(AND(A2621="",E2621=""),"",IF(E2621="","Segment ontbreekt",IF(OR(G2621="",H2621=""),"Van/tot ontbreekt",IF(N(J2621)=0,"Duur is nul",IF(N(J2621)&gt;12,"Langer dan 12 uur - controleren",IF(AND(E2621="Werken",D2621=""),"Werken zonder klant - koppelen","OK"))))))</f>
        <v/>
      </c>
    </row>
    <row r="2622" ht="15" customHeight="1" s="42">
      <c r="A2622" s="55" t="n"/>
      <c r="B2622" s="56">
        <f>IF(A2622="","",WEEKNUM(A2622,21))</f>
        <v/>
      </c>
      <c r="C2622" s="57" t="n"/>
      <c r="D2622" s="57" t="n"/>
      <c r="E2622" s="58" t="n"/>
      <c r="F2622" s="57" t="n"/>
      <c r="G2622" s="59" t="n"/>
      <c r="H2622" s="59" t="n"/>
      <c r="I2622" s="60">
        <f>IF(OR(G2622="",H2622=""),"",MOD(H2622-G2622,1))</f>
        <v/>
      </c>
      <c r="J2622" s="61">
        <f>IF(OR(G2622="",H2622=""),"",ROUND(MOD(H2622-G2622,1)*24,2))</f>
        <v/>
      </c>
      <c r="K2622" s="62">
        <f>IF(E2622="","",IF(E2622="Werken","JA","NEE"))</f>
        <v/>
      </c>
      <c r="L2622" s="61">
        <f>IF(K2622="JA",N(J2622),IF(E2622="","",0))</f>
        <v/>
      </c>
      <c r="M2622" s="62">
        <f>IF(AND(A2622="",E2622=""),"",IF(E2622="","Segment ontbreekt",IF(OR(G2622="",H2622=""),"Van/tot ontbreekt",IF(N(J2622)=0,"Duur is nul",IF(N(J2622)&gt;12,"Langer dan 12 uur - controleren",IF(AND(E2622="Werken",D2622=""),"Werken zonder klant - koppelen","OK"))))))</f>
        <v/>
      </c>
    </row>
    <row r="2623" ht="15" customHeight="1" s="42">
      <c r="A2623" s="55" t="n"/>
      <c r="B2623" s="56">
        <f>IF(A2623="","",WEEKNUM(A2623,21))</f>
        <v/>
      </c>
      <c r="C2623" s="57" t="n"/>
      <c r="D2623" s="57" t="n"/>
      <c r="E2623" s="58" t="n"/>
      <c r="F2623" s="57" t="n"/>
      <c r="G2623" s="59" t="n"/>
      <c r="H2623" s="59" t="n"/>
      <c r="I2623" s="60">
        <f>IF(OR(G2623="",H2623=""),"",MOD(H2623-G2623,1))</f>
        <v/>
      </c>
      <c r="J2623" s="61">
        <f>IF(OR(G2623="",H2623=""),"",ROUND(MOD(H2623-G2623,1)*24,2))</f>
        <v/>
      </c>
      <c r="K2623" s="62">
        <f>IF(E2623="","",IF(E2623="Werken","JA","NEE"))</f>
        <v/>
      </c>
      <c r="L2623" s="61">
        <f>IF(K2623="JA",N(J2623),IF(E2623="","",0))</f>
        <v/>
      </c>
      <c r="M2623" s="62">
        <f>IF(AND(A2623="",E2623=""),"",IF(E2623="","Segment ontbreekt",IF(OR(G2623="",H2623=""),"Van/tot ontbreekt",IF(N(J2623)=0,"Duur is nul",IF(N(J2623)&gt;12,"Langer dan 12 uur - controleren",IF(AND(E2623="Werken",D2623=""),"Werken zonder klant - koppelen","OK"))))))</f>
        <v/>
      </c>
    </row>
    <row r="2624" ht="15" customHeight="1" s="42">
      <c r="A2624" s="55" t="n"/>
      <c r="B2624" s="56">
        <f>IF(A2624="","",WEEKNUM(A2624,21))</f>
        <v/>
      </c>
      <c r="C2624" s="57" t="n"/>
      <c r="D2624" s="57" t="n"/>
      <c r="E2624" s="58" t="n"/>
      <c r="F2624" s="57" t="n"/>
      <c r="G2624" s="59" t="n"/>
      <c r="H2624" s="59" t="n"/>
      <c r="I2624" s="60">
        <f>IF(OR(G2624="",H2624=""),"",MOD(H2624-G2624,1))</f>
        <v/>
      </c>
      <c r="J2624" s="61">
        <f>IF(OR(G2624="",H2624=""),"",ROUND(MOD(H2624-G2624,1)*24,2))</f>
        <v/>
      </c>
      <c r="K2624" s="62">
        <f>IF(E2624="","",IF(E2624="Werken","JA","NEE"))</f>
        <v/>
      </c>
      <c r="L2624" s="61">
        <f>IF(K2624="JA",N(J2624),IF(E2624="","",0))</f>
        <v/>
      </c>
      <c r="M2624" s="62">
        <f>IF(AND(A2624="",E2624=""),"",IF(E2624="","Segment ontbreekt",IF(OR(G2624="",H2624=""),"Van/tot ontbreekt",IF(N(J2624)=0,"Duur is nul",IF(N(J2624)&gt;12,"Langer dan 12 uur - controleren",IF(AND(E2624="Werken",D2624=""),"Werken zonder klant - koppelen","OK"))))))</f>
        <v/>
      </c>
    </row>
    <row r="2625" ht="15" customHeight="1" s="42">
      <c r="A2625" s="55" t="n"/>
      <c r="B2625" s="56">
        <f>IF(A2625="","",WEEKNUM(A2625,21))</f>
        <v/>
      </c>
      <c r="C2625" s="57" t="n"/>
      <c r="D2625" s="57" t="n"/>
      <c r="E2625" s="58" t="n"/>
      <c r="F2625" s="57" t="n"/>
      <c r="G2625" s="59" t="n"/>
      <c r="H2625" s="59" t="n"/>
      <c r="I2625" s="60">
        <f>IF(OR(G2625="",H2625=""),"",MOD(H2625-G2625,1))</f>
        <v/>
      </c>
      <c r="J2625" s="61">
        <f>IF(OR(G2625="",H2625=""),"",ROUND(MOD(H2625-G2625,1)*24,2))</f>
        <v/>
      </c>
      <c r="K2625" s="62">
        <f>IF(E2625="","",IF(E2625="Werken","JA","NEE"))</f>
        <v/>
      </c>
      <c r="L2625" s="61">
        <f>IF(K2625="JA",N(J2625),IF(E2625="","",0))</f>
        <v/>
      </c>
      <c r="M2625" s="62">
        <f>IF(AND(A2625="",E2625=""),"",IF(E2625="","Segment ontbreekt",IF(OR(G2625="",H2625=""),"Van/tot ontbreekt",IF(N(J2625)=0,"Duur is nul",IF(N(J2625)&gt;12,"Langer dan 12 uur - controleren",IF(AND(E2625="Werken",D2625=""),"Werken zonder klant - koppelen","OK"))))))</f>
        <v/>
      </c>
    </row>
    <row r="2626" ht="15" customHeight="1" s="42">
      <c r="A2626" s="55" t="n"/>
      <c r="B2626" s="56">
        <f>IF(A2626="","",WEEKNUM(A2626,21))</f>
        <v/>
      </c>
      <c r="C2626" s="57" t="n"/>
      <c r="D2626" s="57" t="n"/>
      <c r="E2626" s="58" t="n"/>
      <c r="F2626" s="57" t="n"/>
      <c r="G2626" s="59" t="n"/>
      <c r="H2626" s="59" t="n"/>
      <c r="I2626" s="60">
        <f>IF(OR(G2626="",H2626=""),"",MOD(H2626-G2626,1))</f>
        <v/>
      </c>
      <c r="J2626" s="61">
        <f>IF(OR(G2626="",H2626=""),"",ROUND(MOD(H2626-G2626,1)*24,2))</f>
        <v/>
      </c>
      <c r="K2626" s="62">
        <f>IF(E2626="","",IF(E2626="Werken","JA","NEE"))</f>
        <v/>
      </c>
      <c r="L2626" s="61">
        <f>IF(K2626="JA",N(J2626),IF(E2626="","",0))</f>
        <v/>
      </c>
      <c r="M2626" s="62">
        <f>IF(AND(A2626="",E2626=""),"",IF(E2626="","Segment ontbreekt",IF(OR(G2626="",H2626=""),"Van/tot ontbreekt",IF(N(J2626)=0,"Duur is nul",IF(N(J2626)&gt;12,"Langer dan 12 uur - controleren",IF(AND(E2626="Werken",D2626=""),"Werken zonder klant - koppelen","OK"))))))</f>
        <v/>
      </c>
    </row>
    <row r="2627" ht="15" customHeight="1" s="42">
      <c r="A2627" s="55" t="n"/>
      <c r="B2627" s="56">
        <f>IF(A2627="","",WEEKNUM(A2627,21))</f>
        <v/>
      </c>
      <c r="C2627" s="57" t="n"/>
      <c r="D2627" s="57" t="n"/>
      <c r="E2627" s="58" t="n"/>
      <c r="F2627" s="57" t="n"/>
      <c r="G2627" s="59" t="n"/>
      <c r="H2627" s="59" t="n"/>
      <c r="I2627" s="60">
        <f>IF(OR(G2627="",H2627=""),"",MOD(H2627-G2627,1))</f>
        <v/>
      </c>
      <c r="J2627" s="61">
        <f>IF(OR(G2627="",H2627=""),"",ROUND(MOD(H2627-G2627,1)*24,2))</f>
        <v/>
      </c>
      <c r="K2627" s="62">
        <f>IF(E2627="","",IF(E2627="Werken","JA","NEE"))</f>
        <v/>
      </c>
      <c r="L2627" s="61">
        <f>IF(K2627="JA",N(J2627),IF(E2627="","",0))</f>
        <v/>
      </c>
      <c r="M2627" s="62">
        <f>IF(AND(A2627="",E2627=""),"",IF(E2627="","Segment ontbreekt",IF(OR(G2627="",H2627=""),"Van/tot ontbreekt",IF(N(J2627)=0,"Duur is nul",IF(N(J2627)&gt;12,"Langer dan 12 uur - controleren",IF(AND(E2627="Werken",D2627=""),"Werken zonder klant - koppelen","OK"))))))</f>
        <v/>
      </c>
    </row>
    <row r="2628" ht="15" customHeight="1" s="42">
      <c r="A2628" s="55" t="n"/>
      <c r="B2628" s="56">
        <f>IF(A2628="","",WEEKNUM(A2628,21))</f>
        <v/>
      </c>
      <c r="C2628" s="57" t="n"/>
      <c r="D2628" s="57" t="n"/>
      <c r="E2628" s="58" t="n"/>
      <c r="F2628" s="57" t="n"/>
      <c r="G2628" s="59" t="n"/>
      <c r="H2628" s="59" t="n"/>
      <c r="I2628" s="60">
        <f>IF(OR(G2628="",H2628=""),"",MOD(H2628-G2628,1))</f>
        <v/>
      </c>
      <c r="J2628" s="61">
        <f>IF(OR(G2628="",H2628=""),"",ROUND(MOD(H2628-G2628,1)*24,2))</f>
        <v/>
      </c>
      <c r="K2628" s="62">
        <f>IF(E2628="","",IF(E2628="Werken","JA","NEE"))</f>
        <v/>
      </c>
      <c r="L2628" s="61">
        <f>IF(K2628="JA",N(J2628),IF(E2628="","",0))</f>
        <v/>
      </c>
      <c r="M2628" s="62">
        <f>IF(AND(A2628="",E2628=""),"",IF(E2628="","Segment ontbreekt",IF(OR(G2628="",H2628=""),"Van/tot ontbreekt",IF(N(J2628)=0,"Duur is nul",IF(N(J2628)&gt;12,"Langer dan 12 uur - controleren",IF(AND(E2628="Werken",D2628=""),"Werken zonder klant - koppelen","OK"))))))</f>
        <v/>
      </c>
    </row>
    <row r="2629" ht="15" customHeight="1" s="42">
      <c r="A2629" s="55" t="n"/>
      <c r="B2629" s="56">
        <f>IF(A2629="","",WEEKNUM(A2629,21))</f>
        <v/>
      </c>
      <c r="C2629" s="57" t="n"/>
      <c r="D2629" s="57" t="n"/>
      <c r="E2629" s="58" t="n"/>
      <c r="F2629" s="57" t="n"/>
      <c r="G2629" s="59" t="n"/>
      <c r="H2629" s="59" t="n"/>
      <c r="I2629" s="60">
        <f>IF(OR(G2629="",H2629=""),"",MOD(H2629-G2629,1))</f>
        <v/>
      </c>
      <c r="J2629" s="61">
        <f>IF(OR(G2629="",H2629=""),"",ROUND(MOD(H2629-G2629,1)*24,2))</f>
        <v/>
      </c>
      <c r="K2629" s="62">
        <f>IF(E2629="","",IF(E2629="Werken","JA","NEE"))</f>
        <v/>
      </c>
      <c r="L2629" s="61">
        <f>IF(K2629="JA",N(J2629),IF(E2629="","",0))</f>
        <v/>
      </c>
      <c r="M2629" s="62">
        <f>IF(AND(A2629="",E2629=""),"",IF(E2629="","Segment ontbreekt",IF(OR(G2629="",H2629=""),"Van/tot ontbreekt",IF(N(J2629)=0,"Duur is nul",IF(N(J2629)&gt;12,"Langer dan 12 uur - controleren",IF(AND(E2629="Werken",D2629=""),"Werken zonder klant - koppelen","OK"))))))</f>
        <v/>
      </c>
    </row>
    <row r="2630" ht="15" customHeight="1" s="42">
      <c r="A2630" s="55" t="n"/>
      <c r="B2630" s="56">
        <f>IF(A2630="","",WEEKNUM(A2630,21))</f>
        <v/>
      </c>
      <c r="C2630" s="57" t="n"/>
      <c r="D2630" s="57" t="n"/>
      <c r="E2630" s="58" t="n"/>
      <c r="F2630" s="57" t="n"/>
      <c r="G2630" s="59" t="n"/>
      <c r="H2630" s="59" t="n"/>
      <c r="I2630" s="60">
        <f>IF(OR(G2630="",H2630=""),"",MOD(H2630-G2630,1))</f>
        <v/>
      </c>
      <c r="J2630" s="61">
        <f>IF(OR(G2630="",H2630=""),"",ROUND(MOD(H2630-G2630,1)*24,2))</f>
        <v/>
      </c>
      <c r="K2630" s="62">
        <f>IF(E2630="","",IF(E2630="Werken","JA","NEE"))</f>
        <v/>
      </c>
      <c r="L2630" s="61">
        <f>IF(K2630="JA",N(J2630),IF(E2630="","",0))</f>
        <v/>
      </c>
      <c r="M2630" s="62">
        <f>IF(AND(A2630="",E2630=""),"",IF(E2630="","Segment ontbreekt",IF(OR(G2630="",H2630=""),"Van/tot ontbreekt",IF(N(J2630)=0,"Duur is nul",IF(N(J2630)&gt;12,"Langer dan 12 uur - controleren",IF(AND(E2630="Werken",D2630=""),"Werken zonder klant - koppelen","OK"))))))</f>
        <v/>
      </c>
    </row>
    <row r="2631" ht="15" customHeight="1" s="42">
      <c r="A2631" s="55" t="n"/>
      <c r="B2631" s="56">
        <f>IF(A2631="","",WEEKNUM(A2631,21))</f>
        <v/>
      </c>
      <c r="C2631" s="57" t="n"/>
      <c r="D2631" s="57" t="n"/>
      <c r="E2631" s="58" t="n"/>
      <c r="F2631" s="57" t="n"/>
      <c r="G2631" s="59" t="n"/>
      <c r="H2631" s="59" t="n"/>
      <c r="I2631" s="60">
        <f>IF(OR(G2631="",H2631=""),"",MOD(H2631-G2631,1))</f>
        <v/>
      </c>
      <c r="J2631" s="61">
        <f>IF(OR(G2631="",H2631=""),"",ROUND(MOD(H2631-G2631,1)*24,2))</f>
        <v/>
      </c>
      <c r="K2631" s="62">
        <f>IF(E2631="","",IF(E2631="Werken","JA","NEE"))</f>
        <v/>
      </c>
      <c r="L2631" s="61">
        <f>IF(K2631="JA",N(J2631),IF(E2631="","",0))</f>
        <v/>
      </c>
      <c r="M2631" s="62">
        <f>IF(AND(A2631="",E2631=""),"",IF(E2631="","Segment ontbreekt",IF(OR(G2631="",H2631=""),"Van/tot ontbreekt",IF(N(J2631)=0,"Duur is nul",IF(N(J2631)&gt;12,"Langer dan 12 uur - controleren",IF(AND(E2631="Werken",D2631=""),"Werken zonder klant - koppelen","OK"))))))</f>
        <v/>
      </c>
    </row>
    <row r="2632" ht="15" customHeight="1" s="42">
      <c r="A2632" s="55" t="n"/>
      <c r="B2632" s="56">
        <f>IF(A2632="","",WEEKNUM(A2632,21))</f>
        <v/>
      </c>
      <c r="C2632" s="57" t="n"/>
      <c r="D2632" s="57" t="n"/>
      <c r="E2632" s="58" t="n"/>
      <c r="F2632" s="57" t="n"/>
      <c r="G2632" s="59" t="n"/>
      <c r="H2632" s="59" t="n"/>
      <c r="I2632" s="60">
        <f>IF(OR(G2632="",H2632=""),"",MOD(H2632-G2632,1))</f>
        <v/>
      </c>
      <c r="J2632" s="61">
        <f>IF(OR(G2632="",H2632=""),"",ROUND(MOD(H2632-G2632,1)*24,2))</f>
        <v/>
      </c>
      <c r="K2632" s="62">
        <f>IF(E2632="","",IF(E2632="Werken","JA","NEE"))</f>
        <v/>
      </c>
      <c r="L2632" s="61">
        <f>IF(K2632="JA",N(J2632),IF(E2632="","",0))</f>
        <v/>
      </c>
      <c r="M2632" s="62">
        <f>IF(AND(A2632="",E2632=""),"",IF(E2632="","Segment ontbreekt",IF(OR(G2632="",H2632=""),"Van/tot ontbreekt",IF(N(J2632)=0,"Duur is nul",IF(N(J2632)&gt;12,"Langer dan 12 uur - controleren",IF(AND(E2632="Werken",D2632=""),"Werken zonder klant - koppelen","OK"))))))</f>
        <v/>
      </c>
    </row>
    <row r="2633" ht="15" customHeight="1" s="42">
      <c r="A2633" s="55" t="n"/>
      <c r="B2633" s="56">
        <f>IF(A2633="","",WEEKNUM(A2633,21))</f>
        <v/>
      </c>
      <c r="C2633" s="57" t="n"/>
      <c r="D2633" s="57" t="n"/>
      <c r="E2633" s="58" t="n"/>
      <c r="F2633" s="57" t="n"/>
      <c r="G2633" s="59" t="n"/>
      <c r="H2633" s="59" t="n"/>
      <c r="I2633" s="60">
        <f>IF(OR(G2633="",H2633=""),"",MOD(H2633-G2633,1))</f>
        <v/>
      </c>
      <c r="J2633" s="61">
        <f>IF(OR(G2633="",H2633=""),"",ROUND(MOD(H2633-G2633,1)*24,2))</f>
        <v/>
      </c>
      <c r="K2633" s="62">
        <f>IF(E2633="","",IF(E2633="Werken","JA","NEE"))</f>
        <v/>
      </c>
      <c r="L2633" s="61">
        <f>IF(K2633="JA",N(J2633),IF(E2633="","",0))</f>
        <v/>
      </c>
      <c r="M2633" s="62">
        <f>IF(AND(A2633="",E2633=""),"",IF(E2633="","Segment ontbreekt",IF(OR(G2633="",H2633=""),"Van/tot ontbreekt",IF(N(J2633)=0,"Duur is nul",IF(N(J2633)&gt;12,"Langer dan 12 uur - controleren",IF(AND(E2633="Werken",D2633=""),"Werken zonder klant - koppelen","OK"))))))</f>
        <v/>
      </c>
    </row>
    <row r="2634" ht="15" customHeight="1" s="42">
      <c r="A2634" s="55" t="n"/>
      <c r="B2634" s="56">
        <f>IF(A2634="","",WEEKNUM(A2634,21))</f>
        <v/>
      </c>
      <c r="C2634" s="57" t="n"/>
      <c r="D2634" s="57" t="n"/>
      <c r="E2634" s="58" t="n"/>
      <c r="F2634" s="57" t="n"/>
      <c r="G2634" s="59" t="n"/>
      <c r="H2634" s="59" t="n"/>
      <c r="I2634" s="60">
        <f>IF(OR(G2634="",H2634=""),"",MOD(H2634-G2634,1))</f>
        <v/>
      </c>
      <c r="J2634" s="61">
        <f>IF(OR(G2634="",H2634=""),"",ROUND(MOD(H2634-G2634,1)*24,2))</f>
        <v/>
      </c>
      <c r="K2634" s="62">
        <f>IF(E2634="","",IF(E2634="Werken","JA","NEE"))</f>
        <v/>
      </c>
      <c r="L2634" s="61">
        <f>IF(K2634="JA",N(J2634),IF(E2634="","",0))</f>
        <v/>
      </c>
      <c r="M2634" s="62">
        <f>IF(AND(A2634="",E2634=""),"",IF(E2634="","Segment ontbreekt",IF(OR(G2634="",H2634=""),"Van/tot ontbreekt",IF(N(J2634)=0,"Duur is nul",IF(N(J2634)&gt;12,"Langer dan 12 uur - controleren",IF(AND(E2634="Werken",D2634=""),"Werken zonder klant - koppelen","OK"))))))</f>
        <v/>
      </c>
    </row>
    <row r="2635" ht="15" customHeight="1" s="42">
      <c r="A2635" s="55" t="n"/>
      <c r="B2635" s="56">
        <f>IF(A2635="","",WEEKNUM(A2635,21))</f>
        <v/>
      </c>
      <c r="C2635" s="57" t="n"/>
      <c r="D2635" s="57" t="n"/>
      <c r="E2635" s="58" t="n"/>
      <c r="F2635" s="57" t="n"/>
      <c r="G2635" s="59" t="n"/>
      <c r="H2635" s="59" t="n"/>
      <c r="I2635" s="60">
        <f>IF(OR(G2635="",H2635=""),"",MOD(H2635-G2635,1))</f>
        <v/>
      </c>
      <c r="J2635" s="61">
        <f>IF(OR(G2635="",H2635=""),"",ROUND(MOD(H2635-G2635,1)*24,2))</f>
        <v/>
      </c>
      <c r="K2635" s="62">
        <f>IF(E2635="","",IF(E2635="Werken","JA","NEE"))</f>
        <v/>
      </c>
      <c r="L2635" s="61">
        <f>IF(K2635="JA",N(J2635),IF(E2635="","",0))</f>
        <v/>
      </c>
      <c r="M2635" s="62">
        <f>IF(AND(A2635="",E2635=""),"",IF(E2635="","Segment ontbreekt",IF(OR(G2635="",H2635=""),"Van/tot ontbreekt",IF(N(J2635)=0,"Duur is nul",IF(N(J2635)&gt;12,"Langer dan 12 uur - controleren",IF(AND(E2635="Werken",D2635=""),"Werken zonder klant - koppelen","OK"))))))</f>
        <v/>
      </c>
    </row>
    <row r="2636" ht="15" customHeight="1" s="42">
      <c r="A2636" s="55" t="n"/>
      <c r="B2636" s="56">
        <f>IF(A2636="","",WEEKNUM(A2636,21))</f>
        <v/>
      </c>
      <c r="C2636" s="57" t="n"/>
      <c r="D2636" s="57" t="n"/>
      <c r="E2636" s="58" t="n"/>
      <c r="F2636" s="57" t="n"/>
      <c r="G2636" s="59" t="n"/>
      <c r="H2636" s="59" t="n"/>
      <c r="I2636" s="60">
        <f>IF(OR(G2636="",H2636=""),"",MOD(H2636-G2636,1))</f>
        <v/>
      </c>
      <c r="J2636" s="61">
        <f>IF(OR(G2636="",H2636=""),"",ROUND(MOD(H2636-G2636,1)*24,2))</f>
        <v/>
      </c>
      <c r="K2636" s="62">
        <f>IF(E2636="","",IF(E2636="Werken","JA","NEE"))</f>
        <v/>
      </c>
      <c r="L2636" s="61">
        <f>IF(K2636="JA",N(J2636),IF(E2636="","",0))</f>
        <v/>
      </c>
      <c r="M2636" s="62">
        <f>IF(AND(A2636="",E2636=""),"",IF(E2636="","Segment ontbreekt",IF(OR(G2636="",H2636=""),"Van/tot ontbreekt",IF(N(J2636)=0,"Duur is nul",IF(N(J2636)&gt;12,"Langer dan 12 uur - controleren",IF(AND(E2636="Werken",D2636=""),"Werken zonder klant - koppelen","OK"))))))</f>
        <v/>
      </c>
    </row>
    <row r="2637" ht="15" customHeight="1" s="42">
      <c r="A2637" s="55" t="n"/>
      <c r="B2637" s="56">
        <f>IF(A2637="","",WEEKNUM(A2637,21))</f>
        <v/>
      </c>
      <c r="C2637" s="57" t="n"/>
      <c r="D2637" s="57" t="n"/>
      <c r="E2637" s="58" t="n"/>
      <c r="F2637" s="57" t="n"/>
      <c r="G2637" s="59" t="n"/>
      <c r="H2637" s="59" t="n"/>
      <c r="I2637" s="60">
        <f>IF(OR(G2637="",H2637=""),"",MOD(H2637-G2637,1))</f>
        <v/>
      </c>
      <c r="J2637" s="61">
        <f>IF(OR(G2637="",H2637=""),"",ROUND(MOD(H2637-G2637,1)*24,2))</f>
        <v/>
      </c>
      <c r="K2637" s="62">
        <f>IF(E2637="","",IF(E2637="Werken","JA","NEE"))</f>
        <v/>
      </c>
      <c r="L2637" s="61">
        <f>IF(K2637="JA",N(J2637),IF(E2637="","",0))</f>
        <v/>
      </c>
      <c r="M2637" s="62">
        <f>IF(AND(A2637="",E2637=""),"",IF(E2637="","Segment ontbreekt",IF(OR(G2637="",H2637=""),"Van/tot ontbreekt",IF(N(J2637)=0,"Duur is nul",IF(N(J2637)&gt;12,"Langer dan 12 uur - controleren",IF(AND(E2637="Werken",D2637=""),"Werken zonder klant - koppelen","OK"))))))</f>
        <v/>
      </c>
    </row>
    <row r="2638" ht="15" customHeight="1" s="42">
      <c r="A2638" s="55" t="n"/>
      <c r="B2638" s="56">
        <f>IF(A2638="","",WEEKNUM(A2638,21))</f>
        <v/>
      </c>
      <c r="C2638" s="57" t="n"/>
      <c r="D2638" s="57" t="n"/>
      <c r="E2638" s="58" t="n"/>
      <c r="F2638" s="57" t="n"/>
      <c r="G2638" s="59" t="n"/>
      <c r="H2638" s="59" t="n"/>
      <c r="I2638" s="60">
        <f>IF(OR(G2638="",H2638=""),"",MOD(H2638-G2638,1))</f>
        <v/>
      </c>
      <c r="J2638" s="61">
        <f>IF(OR(G2638="",H2638=""),"",ROUND(MOD(H2638-G2638,1)*24,2))</f>
        <v/>
      </c>
      <c r="K2638" s="62">
        <f>IF(E2638="","",IF(E2638="Werken","JA","NEE"))</f>
        <v/>
      </c>
      <c r="L2638" s="61">
        <f>IF(K2638="JA",N(J2638),IF(E2638="","",0))</f>
        <v/>
      </c>
      <c r="M2638" s="62">
        <f>IF(AND(A2638="",E2638=""),"",IF(E2638="","Segment ontbreekt",IF(OR(G2638="",H2638=""),"Van/tot ontbreekt",IF(N(J2638)=0,"Duur is nul",IF(N(J2638)&gt;12,"Langer dan 12 uur - controleren",IF(AND(E2638="Werken",D2638=""),"Werken zonder klant - koppelen","OK"))))))</f>
        <v/>
      </c>
    </row>
    <row r="2639" ht="15" customHeight="1" s="42">
      <c r="A2639" s="55" t="n"/>
      <c r="B2639" s="56">
        <f>IF(A2639="","",WEEKNUM(A2639,21))</f>
        <v/>
      </c>
      <c r="C2639" s="57" t="n"/>
      <c r="D2639" s="57" t="n"/>
      <c r="E2639" s="58" t="n"/>
      <c r="F2639" s="57" t="n"/>
      <c r="G2639" s="59" t="n"/>
      <c r="H2639" s="59" t="n"/>
      <c r="I2639" s="60">
        <f>IF(OR(G2639="",H2639=""),"",MOD(H2639-G2639,1))</f>
        <v/>
      </c>
      <c r="J2639" s="61">
        <f>IF(OR(G2639="",H2639=""),"",ROUND(MOD(H2639-G2639,1)*24,2))</f>
        <v/>
      </c>
      <c r="K2639" s="62">
        <f>IF(E2639="","",IF(E2639="Werken","JA","NEE"))</f>
        <v/>
      </c>
      <c r="L2639" s="61">
        <f>IF(K2639="JA",N(J2639),IF(E2639="","",0))</f>
        <v/>
      </c>
      <c r="M2639" s="62">
        <f>IF(AND(A2639="",E2639=""),"",IF(E2639="","Segment ontbreekt",IF(OR(G2639="",H2639=""),"Van/tot ontbreekt",IF(N(J2639)=0,"Duur is nul",IF(N(J2639)&gt;12,"Langer dan 12 uur - controleren",IF(AND(E2639="Werken",D2639=""),"Werken zonder klant - koppelen","OK"))))))</f>
        <v/>
      </c>
    </row>
    <row r="2640" ht="15" customHeight="1" s="42">
      <c r="A2640" s="55" t="n"/>
      <c r="B2640" s="56">
        <f>IF(A2640="","",WEEKNUM(A2640,21))</f>
        <v/>
      </c>
      <c r="C2640" s="57" t="n"/>
      <c r="D2640" s="57" t="n"/>
      <c r="E2640" s="58" t="n"/>
      <c r="F2640" s="57" t="n"/>
      <c r="G2640" s="59" t="n"/>
      <c r="H2640" s="59" t="n"/>
      <c r="I2640" s="60">
        <f>IF(OR(G2640="",H2640=""),"",MOD(H2640-G2640,1))</f>
        <v/>
      </c>
      <c r="J2640" s="61">
        <f>IF(OR(G2640="",H2640=""),"",ROUND(MOD(H2640-G2640,1)*24,2))</f>
        <v/>
      </c>
      <c r="K2640" s="62">
        <f>IF(E2640="","",IF(E2640="Werken","JA","NEE"))</f>
        <v/>
      </c>
      <c r="L2640" s="61">
        <f>IF(K2640="JA",N(J2640),IF(E2640="","",0))</f>
        <v/>
      </c>
      <c r="M2640" s="62">
        <f>IF(AND(A2640="",E2640=""),"",IF(E2640="","Segment ontbreekt",IF(OR(G2640="",H2640=""),"Van/tot ontbreekt",IF(N(J2640)=0,"Duur is nul",IF(N(J2640)&gt;12,"Langer dan 12 uur - controleren",IF(AND(E2640="Werken",D2640=""),"Werken zonder klant - koppelen","OK"))))))</f>
        <v/>
      </c>
    </row>
    <row r="2641" ht="15" customHeight="1" s="42">
      <c r="A2641" s="55" t="n"/>
      <c r="B2641" s="56">
        <f>IF(A2641="","",WEEKNUM(A2641,21))</f>
        <v/>
      </c>
      <c r="C2641" s="57" t="n"/>
      <c r="D2641" s="57" t="n"/>
      <c r="E2641" s="58" t="n"/>
      <c r="F2641" s="57" t="n"/>
      <c r="G2641" s="59" t="n"/>
      <c r="H2641" s="59" t="n"/>
      <c r="I2641" s="60">
        <f>IF(OR(G2641="",H2641=""),"",MOD(H2641-G2641,1))</f>
        <v/>
      </c>
      <c r="J2641" s="61">
        <f>IF(OR(G2641="",H2641=""),"",ROUND(MOD(H2641-G2641,1)*24,2))</f>
        <v/>
      </c>
      <c r="K2641" s="62">
        <f>IF(E2641="","",IF(E2641="Werken","JA","NEE"))</f>
        <v/>
      </c>
      <c r="L2641" s="61">
        <f>IF(K2641="JA",N(J2641),IF(E2641="","",0))</f>
        <v/>
      </c>
      <c r="M2641" s="62">
        <f>IF(AND(A2641="",E2641=""),"",IF(E2641="","Segment ontbreekt",IF(OR(G2641="",H2641=""),"Van/tot ontbreekt",IF(N(J2641)=0,"Duur is nul",IF(N(J2641)&gt;12,"Langer dan 12 uur - controleren",IF(AND(E2641="Werken",D2641=""),"Werken zonder klant - koppelen","OK"))))))</f>
        <v/>
      </c>
    </row>
    <row r="2642" ht="15" customHeight="1" s="42">
      <c r="A2642" s="55" t="n"/>
      <c r="B2642" s="56">
        <f>IF(A2642="","",WEEKNUM(A2642,21))</f>
        <v/>
      </c>
      <c r="C2642" s="57" t="n"/>
      <c r="D2642" s="57" t="n"/>
      <c r="E2642" s="58" t="n"/>
      <c r="F2642" s="57" t="n"/>
      <c r="G2642" s="59" t="n"/>
      <c r="H2642" s="59" t="n"/>
      <c r="I2642" s="60">
        <f>IF(OR(G2642="",H2642=""),"",MOD(H2642-G2642,1))</f>
        <v/>
      </c>
      <c r="J2642" s="61">
        <f>IF(OR(G2642="",H2642=""),"",ROUND(MOD(H2642-G2642,1)*24,2))</f>
        <v/>
      </c>
      <c r="K2642" s="62">
        <f>IF(E2642="","",IF(E2642="Werken","JA","NEE"))</f>
        <v/>
      </c>
      <c r="L2642" s="61">
        <f>IF(K2642="JA",N(J2642),IF(E2642="","",0))</f>
        <v/>
      </c>
      <c r="M2642" s="62">
        <f>IF(AND(A2642="",E2642=""),"",IF(E2642="","Segment ontbreekt",IF(OR(G2642="",H2642=""),"Van/tot ontbreekt",IF(N(J2642)=0,"Duur is nul",IF(N(J2642)&gt;12,"Langer dan 12 uur - controleren",IF(AND(E2642="Werken",D2642=""),"Werken zonder klant - koppelen","OK"))))))</f>
        <v/>
      </c>
    </row>
    <row r="2643" ht="15" customHeight="1" s="42">
      <c r="A2643" s="55" t="n"/>
      <c r="B2643" s="56">
        <f>IF(A2643="","",WEEKNUM(A2643,21))</f>
        <v/>
      </c>
      <c r="C2643" s="57" t="n"/>
      <c r="D2643" s="57" t="n"/>
      <c r="E2643" s="58" t="n"/>
      <c r="F2643" s="57" t="n"/>
      <c r="G2643" s="59" t="n"/>
      <c r="H2643" s="59" t="n"/>
      <c r="I2643" s="60">
        <f>IF(OR(G2643="",H2643=""),"",MOD(H2643-G2643,1))</f>
        <v/>
      </c>
      <c r="J2643" s="61">
        <f>IF(OR(G2643="",H2643=""),"",ROUND(MOD(H2643-G2643,1)*24,2))</f>
        <v/>
      </c>
      <c r="K2643" s="62">
        <f>IF(E2643="","",IF(E2643="Werken","JA","NEE"))</f>
        <v/>
      </c>
      <c r="L2643" s="61">
        <f>IF(K2643="JA",N(J2643),IF(E2643="","",0))</f>
        <v/>
      </c>
      <c r="M2643" s="62">
        <f>IF(AND(A2643="",E2643=""),"",IF(E2643="","Segment ontbreekt",IF(OR(G2643="",H2643=""),"Van/tot ontbreekt",IF(N(J2643)=0,"Duur is nul",IF(N(J2643)&gt;12,"Langer dan 12 uur - controleren",IF(AND(E2643="Werken",D2643=""),"Werken zonder klant - koppelen","OK"))))))</f>
        <v/>
      </c>
    </row>
    <row r="2644" ht="15" customHeight="1" s="42">
      <c r="A2644" s="55" t="n"/>
      <c r="B2644" s="56">
        <f>IF(A2644="","",WEEKNUM(A2644,21))</f>
        <v/>
      </c>
      <c r="C2644" s="57" t="n"/>
      <c r="D2644" s="57" t="n"/>
      <c r="E2644" s="58" t="n"/>
      <c r="F2644" s="57" t="n"/>
      <c r="G2644" s="59" t="n"/>
      <c r="H2644" s="59" t="n"/>
      <c r="I2644" s="60">
        <f>IF(OR(G2644="",H2644=""),"",MOD(H2644-G2644,1))</f>
        <v/>
      </c>
      <c r="J2644" s="61">
        <f>IF(OR(G2644="",H2644=""),"",ROUND(MOD(H2644-G2644,1)*24,2))</f>
        <v/>
      </c>
      <c r="K2644" s="62">
        <f>IF(E2644="","",IF(E2644="Werken","JA","NEE"))</f>
        <v/>
      </c>
      <c r="L2644" s="61">
        <f>IF(K2644="JA",N(J2644),IF(E2644="","",0))</f>
        <v/>
      </c>
      <c r="M2644" s="62">
        <f>IF(AND(A2644="",E2644=""),"",IF(E2644="","Segment ontbreekt",IF(OR(G2644="",H2644=""),"Van/tot ontbreekt",IF(N(J2644)=0,"Duur is nul",IF(N(J2644)&gt;12,"Langer dan 12 uur - controleren",IF(AND(E2644="Werken",D2644=""),"Werken zonder klant - koppelen","OK"))))))</f>
        <v/>
      </c>
    </row>
    <row r="2645" ht="15" customHeight="1" s="42">
      <c r="A2645" s="55" t="n"/>
      <c r="B2645" s="56">
        <f>IF(A2645="","",WEEKNUM(A2645,21))</f>
        <v/>
      </c>
      <c r="C2645" s="57" t="n"/>
      <c r="D2645" s="57" t="n"/>
      <c r="E2645" s="58" t="n"/>
      <c r="F2645" s="57" t="n"/>
      <c r="G2645" s="59" t="n"/>
      <c r="H2645" s="59" t="n"/>
      <c r="I2645" s="60">
        <f>IF(OR(G2645="",H2645=""),"",MOD(H2645-G2645,1))</f>
        <v/>
      </c>
      <c r="J2645" s="61">
        <f>IF(OR(G2645="",H2645=""),"",ROUND(MOD(H2645-G2645,1)*24,2))</f>
        <v/>
      </c>
      <c r="K2645" s="62">
        <f>IF(E2645="","",IF(E2645="Werken","JA","NEE"))</f>
        <v/>
      </c>
      <c r="L2645" s="61">
        <f>IF(K2645="JA",N(J2645),IF(E2645="","",0))</f>
        <v/>
      </c>
      <c r="M2645" s="62">
        <f>IF(AND(A2645="",E2645=""),"",IF(E2645="","Segment ontbreekt",IF(OR(G2645="",H2645=""),"Van/tot ontbreekt",IF(N(J2645)=0,"Duur is nul",IF(N(J2645)&gt;12,"Langer dan 12 uur - controleren",IF(AND(E2645="Werken",D2645=""),"Werken zonder klant - koppelen","OK"))))))</f>
        <v/>
      </c>
    </row>
    <row r="2646" ht="15" customHeight="1" s="42">
      <c r="A2646" s="55" t="n"/>
      <c r="B2646" s="56">
        <f>IF(A2646="","",WEEKNUM(A2646,21))</f>
        <v/>
      </c>
      <c r="C2646" s="57" t="n"/>
      <c r="D2646" s="57" t="n"/>
      <c r="E2646" s="58" t="n"/>
      <c r="F2646" s="57" t="n"/>
      <c r="G2646" s="59" t="n"/>
      <c r="H2646" s="59" t="n"/>
      <c r="I2646" s="60">
        <f>IF(OR(G2646="",H2646=""),"",MOD(H2646-G2646,1))</f>
        <v/>
      </c>
      <c r="J2646" s="61">
        <f>IF(OR(G2646="",H2646=""),"",ROUND(MOD(H2646-G2646,1)*24,2))</f>
        <v/>
      </c>
      <c r="K2646" s="62">
        <f>IF(E2646="","",IF(E2646="Werken","JA","NEE"))</f>
        <v/>
      </c>
      <c r="L2646" s="61">
        <f>IF(K2646="JA",N(J2646),IF(E2646="","",0))</f>
        <v/>
      </c>
      <c r="M2646" s="62">
        <f>IF(AND(A2646="",E2646=""),"",IF(E2646="","Segment ontbreekt",IF(OR(G2646="",H2646=""),"Van/tot ontbreekt",IF(N(J2646)=0,"Duur is nul",IF(N(J2646)&gt;12,"Langer dan 12 uur - controleren",IF(AND(E2646="Werken",D2646=""),"Werken zonder klant - koppelen","OK"))))))</f>
        <v/>
      </c>
    </row>
    <row r="2647" ht="15" customHeight="1" s="42">
      <c r="A2647" s="55" t="n"/>
      <c r="B2647" s="56">
        <f>IF(A2647="","",WEEKNUM(A2647,21))</f>
        <v/>
      </c>
      <c r="C2647" s="57" t="n"/>
      <c r="D2647" s="57" t="n"/>
      <c r="E2647" s="58" t="n"/>
      <c r="F2647" s="57" t="n"/>
      <c r="G2647" s="59" t="n"/>
      <c r="H2647" s="59" t="n"/>
      <c r="I2647" s="60">
        <f>IF(OR(G2647="",H2647=""),"",MOD(H2647-G2647,1))</f>
        <v/>
      </c>
      <c r="J2647" s="61">
        <f>IF(OR(G2647="",H2647=""),"",ROUND(MOD(H2647-G2647,1)*24,2))</f>
        <v/>
      </c>
      <c r="K2647" s="62">
        <f>IF(E2647="","",IF(E2647="Werken","JA","NEE"))</f>
        <v/>
      </c>
      <c r="L2647" s="61">
        <f>IF(K2647="JA",N(J2647),IF(E2647="","",0))</f>
        <v/>
      </c>
      <c r="M2647" s="62">
        <f>IF(AND(A2647="",E2647=""),"",IF(E2647="","Segment ontbreekt",IF(OR(G2647="",H2647=""),"Van/tot ontbreekt",IF(N(J2647)=0,"Duur is nul",IF(N(J2647)&gt;12,"Langer dan 12 uur - controleren",IF(AND(E2647="Werken",D2647=""),"Werken zonder klant - koppelen","OK"))))))</f>
        <v/>
      </c>
    </row>
    <row r="2648" ht="15" customHeight="1" s="42">
      <c r="A2648" s="55" t="n"/>
      <c r="B2648" s="56">
        <f>IF(A2648="","",WEEKNUM(A2648,21))</f>
        <v/>
      </c>
      <c r="C2648" s="57" t="n"/>
      <c r="D2648" s="57" t="n"/>
      <c r="E2648" s="58" t="n"/>
      <c r="F2648" s="57" t="n"/>
      <c r="G2648" s="59" t="n"/>
      <c r="H2648" s="59" t="n"/>
      <c r="I2648" s="60">
        <f>IF(OR(G2648="",H2648=""),"",MOD(H2648-G2648,1))</f>
        <v/>
      </c>
      <c r="J2648" s="61">
        <f>IF(OR(G2648="",H2648=""),"",ROUND(MOD(H2648-G2648,1)*24,2))</f>
        <v/>
      </c>
      <c r="K2648" s="62">
        <f>IF(E2648="","",IF(E2648="Werken","JA","NEE"))</f>
        <v/>
      </c>
      <c r="L2648" s="61">
        <f>IF(K2648="JA",N(J2648),IF(E2648="","",0))</f>
        <v/>
      </c>
      <c r="M2648" s="62">
        <f>IF(AND(A2648="",E2648=""),"",IF(E2648="","Segment ontbreekt",IF(OR(G2648="",H2648=""),"Van/tot ontbreekt",IF(N(J2648)=0,"Duur is nul",IF(N(J2648)&gt;12,"Langer dan 12 uur - controleren",IF(AND(E2648="Werken",D2648=""),"Werken zonder klant - koppelen","OK"))))))</f>
        <v/>
      </c>
    </row>
    <row r="2649" ht="15" customHeight="1" s="42">
      <c r="A2649" s="55" t="n"/>
      <c r="B2649" s="56">
        <f>IF(A2649="","",WEEKNUM(A2649,21))</f>
        <v/>
      </c>
      <c r="C2649" s="57" t="n"/>
      <c r="D2649" s="57" t="n"/>
      <c r="E2649" s="58" t="n"/>
      <c r="F2649" s="57" t="n"/>
      <c r="G2649" s="59" t="n"/>
      <c r="H2649" s="59" t="n"/>
      <c r="I2649" s="60">
        <f>IF(OR(G2649="",H2649=""),"",MOD(H2649-G2649,1))</f>
        <v/>
      </c>
      <c r="J2649" s="61">
        <f>IF(OR(G2649="",H2649=""),"",ROUND(MOD(H2649-G2649,1)*24,2))</f>
        <v/>
      </c>
      <c r="K2649" s="62">
        <f>IF(E2649="","",IF(E2649="Werken","JA","NEE"))</f>
        <v/>
      </c>
      <c r="L2649" s="61">
        <f>IF(K2649="JA",N(J2649),IF(E2649="","",0))</f>
        <v/>
      </c>
      <c r="M2649" s="62">
        <f>IF(AND(A2649="",E2649=""),"",IF(E2649="","Segment ontbreekt",IF(OR(G2649="",H2649=""),"Van/tot ontbreekt",IF(N(J2649)=0,"Duur is nul",IF(N(J2649)&gt;12,"Langer dan 12 uur - controleren",IF(AND(E2649="Werken",D2649=""),"Werken zonder klant - koppelen","OK"))))))</f>
        <v/>
      </c>
    </row>
    <row r="2650" ht="15" customHeight="1" s="42">
      <c r="A2650" s="55" t="n"/>
      <c r="B2650" s="56">
        <f>IF(A2650="","",WEEKNUM(A2650,21))</f>
        <v/>
      </c>
      <c r="C2650" s="57" t="n"/>
      <c r="D2650" s="57" t="n"/>
      <c r="E2650" s="58" t="n"/>
      <c r="F2650" s="57" t="n"/>
      <c r="G2650" s="59" t="n"/>
      <c r="H2650" s="59" t="n"/>
      <c r="I2650" s="60">
        <f>IF(OR(G2650="",H2650=""),"",MOD(H2650-G2650,1))</f>
        <v/>
      </c>
      <c r="J2650" s="61">
        <f>IF(OR(G2650="",H2650=""),"",ROUND(MOD(H2650-G2650,1)*24,2))</f>
        <v/>
      </c>
      <c r="K2650" s="62">
        <f>IF(E2650="","",IF(E2650="Werken","JA","NEE"))</f>
        <v/>
      </c>
      <c r="L2650" s="61">
        <f>IF(K2650="JA",N(J2650),IF(E2650="","",0))</f>
        <v/>
      </c>
      <c r="M2650" s="62">
        <f>IF(AND(A2650="",E2650=""),"",IF(E2650="","Segment ontbreekt",IF(OR(G2650="",H2650=""),"Van/tot ontbreekt",IF(N(J2650)=0,"Duur is nul",IF(N(J2650)&gt;12,"Langer dan 12 uur - controleren",IF(AND(E2650="Werken",D2650=""),"Werken zonder klant - koppelen","OK"))))))</f>
        <v/>
      </c>
    </row>
    <row r="2651" ht="15" customHeight="1" s="42">
      <c r="A2651" s="55" t="n"/>
      <c r="B2651" s="56">
        <f>IF(A2651="","",WEEKNUM(A2651,21))</f>
        <v/>
      </c>
      <c r="C2651" s="57" t="n"/>
      <c r="D2651" s="57" t="n"/>
      <c r="E2651" s="58" t="n"/>
      <c r="F2651" s="57" t="n"/>
      <c r="G2651" s="59" t="n"/>
      <c r="H2651" s="59" t="n"/>
      <c r="I2651" s="60">
        <f>IF(OR(G2651="",H2651=""),"",MOD(H2651-G2651,1))</f>
        <v/>
      </c>
      <c r="J2651" s="61">
        <f>IF(OR(G2651="",H2651=""),"",ROUND(MOD(H2651-G2651,1)*24,2))</f>
        <v/>
      </c>
      <c r="K2651" s="62">
        <f>IF(E2651="","",IF(E2651="Werken","JA","NEE"))</f>
        <v/>
      </c>
      <c r="L2651" s="61">
        <f>IF(K2651="JA",N(J2651),IF(E2651="","",0))</f>
        <v/>
      </c>
      <c r="M2651" s="62">
        <f>IF(AND(A2651="",E2651=""),"",IF(E2651="","Segment ontbreekt",IF(OR(G2651="",H2651=""),"Van/tot ontbreekt",IF(N(J2651)=0,"Duur is nul",IF(N(J2651)&gt;12,"Langer dan 12 uur - controleren",IF(AND(E2651="Werken",D2651=""),"Werken zonder klant - koppelen","OK"))))))</f>
        <v/>
      </c>
    </row>
    <row r="2652" ht="15" customHeight="1" s="42">
      <c r="A2652" s="55" t="n"/>
      <c r="B2652" s="56">
        <f>IF(A2652="","",WEEKNUM(A2652,21))</f>
        <v/>
      </c>
      <c r="C2652" s="57" t="n"/>
      <c r="D2652" s="57" t="n"/>
      <c r="E2652" s="58" t="n"/>
      <c r="F2652" s="57" t="n"/>
      <c r="G2652" s="59" t="n"/>
      <c r="H2652" s="59" t="n"/>
      <c r="I2652" s="60">
        <f>IF(OR(G2652="",H2652=""),"",MOD(H2652-G2652,1))</f>
        <v/>
      </c>
      <c r="J2652" s="61">
        <f>IF(OR(G2652="",H2652=""),"",ROUND(MOD(H2652-G2652,1)*24,2))</f>
        <v/>
      </c>
      <c r="K2652" s="62">
        <f>IF(E2652="","",IF(E2652="Werken","JA","NEE"))</f>
        <v/>
      </c>
      <c r="L2652" s="61">
        <f>IF(K2652="JA",N(J2652),IF(E2652="","",0))</f>
        <v/>
      </c>
      <c r="M2652" s="62">
        <f>IF(AND(A2652="",E2652=""),"",IF(E2652="","Segment ontbreekt",IF(OR(G2652="",H2652=""),"Van/tot ontbreekt",IF(N(J2652)=0,"Duur is nul",IF(N(J2652)&gt;12,"Langer dan 12 uur - controleren",IF(AND(E2652="Werken",D2652=""),"Werken zonder klant - koppelen","OK"))))))</f>
        <v/>
      </c>
    </row>
    <row r="2653" ht="15" customHeight="1" s="42">
      <c r="A2653" s="55" t="n"/>
      <c r="B2653" s="56">
        <f>IF(A2653="","",WEEKNUM(A2653,21))</f>
        <v/>
      </c>
      <c r="C2653" s="57" t="n"/>
      <c r="D2653" s="57" t="n"/>
      <c r="E2653" s="58" t="n"/>
      <c r="F2653" s="57" t="n"/>
      <c r="G2653" s="59" t="n"/>
      <c r="H2653" s="59" t="n"/>
      <c r="I2653" s="60">
        <f>IF(OR(G2653="",H2653=""),"",MOD(H2653-G2653,1))</f>
        <v/>
      </c>
      <c r="J2653" s="61">
        <f>IF(OR(G2653="",H2653=""),"",ROUND(MOD(H2653-G2653,1)*24,2))</f>
        <v/>
      </c>
      <c r="K2653" s="62">
        <f>IF(E2653="","",IF(E2653="Werken","JA","NEE"))</f>
        <v/>
      </c>
      <c r="L2653" s="61">
        <f>IF(K2653="JA",N(J2653),IF(E2653="","",0))</f>
        <v/>
      </c>
      <c r="M2653" s="62">
        <f>IF(AND(A2653="",E2653=""),"",IF(E2653="","Segment ontbreekt",IF(OR(G2653="",H2653=""),"Van/tot ontbreekt",IF(N(J2653)=0,"Duur is nul",IF(N(J2653)&gt;12,"Langer dan 12 uur - controleren",IF(AND(E2653="Werken",D2653=""),"Werken zonder klant - koppelen","OK"))))))</f>
        <v/>
      </c>
    </row>
    <row r="2654" ht="15" customHeight="1" s="42">
      <c r="A2654" s="55" t="n"/>
      <c r="B2654" s="56">
        <f>IF(A2654="","",WEEKNUM(A2654,21))</f>
        <v/>
      </c>
      <c r="C2654" s="57" t="n"/>
      <c r="D2654" s="57" t="n"/>
      <c r="E2654" s="58" t="n"/>
      <c r="F2654" s="57" t="n"/>
      <c r="G2654" s="59" t="n"/>
      <c r="H2654" s="59" t="n"/>
      <c r="I2654" s="60">
        <f>IF(OR(G2654="",H2654=""),"",MOD(H2654-G2654,1))</f>
        <v/>
      </c>
      <c r="J2654" s="61">
        <f>IF(OR(G2654="",H2654=""),"",ROUND(MOD(H2654-G2654,1)*24,2))</f>
        <v/>
      </c>
      <c r="K2654" s="62">
        <f>IF(E2654="","",IF(E2654="Werken","JA","NEE"))</f>
        <v/>
      </c>
      <c r="L2654" s="61">
        <f>IF(K2654="JA",N(J2654),IF(E2654="","",0))</f>
        <v/>
      </c>
      <c r="M2654" s="62">
        <f>IF(AND(A2654="",E2654=""),"",IF(E2654="","Segment ontbreekt",IF(OR(G2654="",H2654=""),"Van/tot ontbreekt",IF(N(J2654)=0,"Duur is nul",IF(N(J2654)&gt;12,"Langer dan 12 uur - controleren",IF(AND(E2654="Werken",D2654=""),"Werken zonder klant - koppelen","OK"))))))</f>
        <v/>
      </c>
    </row>
    <row r="2655" ht="15" customHeight="1" s="42">
      <c r="A2655" s="55" t="n"/>
      <c r="B2655" s="56">
        <f>IF(A2655="","",WEEKNUM(A2655,21))</f>
        <v/>
      </c>
      <c r="C2655" s="57" t="n"/>
      <c r="D2655" s="57" t="n"/>
      <c r="E2655" s="58" t="n"/>
      <c r="F2655" s="57" t="n"/>
      <c r="G2655" s="59" t="n"/>
      <c r="H2655" s="59" t="n"/>
      <c r="I2655" s="60">
        <f>IF(OR(G2655="",H2655=""),"",MOD(H2655-G2655,1))</f>
        <v/>
      </c>
      <c r="J2655" s="61">
        <f>IF(OR(G2655="",H2655=""),"",ROUND(MOD(H2655-G2655,1)*24,2))</f>
        <v/>
      </c>
      <c r="K2655" s="62">
        <f>IF(E2655="","",IF(E2655="Werken","JA","NEE"))</f>
        <v/>
      </c>
      <c r="L2655" s="61">
        <f>IF(K2655="JA",N(J2655),IF(E2655="","",0))</f>
        <v/>
      </c>
      <c r="M2655" s="62">
        <f>IF(AND(A2655="",E2655=""),"",IF(E2655="","Segment ontbreekt",IF(OR(G2655="",H2655=""),"Van/tot ontbreekt",IF(N(J2655)=0,"Duur is nul",IF(N(J2655)&gt;12,"Langer dan 12 uur - controleren",IF(AND(E2655="Werken",D2655=""),"Werken zonder klant - koppelen","OK"))))))</f>
        <v/>
      </c>
    </row>
    <row r="2656" ht="15" customHeight="1" s="42">
      <c r="A2656" s="55" t="n"/>
      <c r="B2656" s="56">
        <f>IF(A2656="","",WEEKNUM(A2656,21))</f>
        <v/>
      </c>
      <c r="C2656" s="57" t="n"/>
      <c r="D2656" s="57" t="n"/>
      <c r="E2656" s="58" t="n"/>
      <c r="F2656" s="57" t="n"/>
      <c r="G2656" s="59" t="n"/>
      <c r="H2656" s="59" t="n"/>
      <c r="I2656" s="60">
        <f>IF(OR(G2656="",H2656=""),"",MOD(H2656-G2656,1))</f>
        <v/>
      </c>
      <c r="J2656" s="61">
        <f>IF(OR(G2656="",H2656=""),"",ROUND(MOD(H2656-G2656,1)*24,2))</f>
        <v/>
      </c>
      <c r="K2656" s="62">
        <f>IF(E2656="","",IF(E2656="Werken","JA","NEE"))</f>
        <v/>
      </c>
      <c r="L2656" s="61">
        <f>IF(K2656="JA",N(J2656),IF(E2656="","",0))</f>
        <v/>
      </c>
      <c r="M2656" s="62">
        <f>IF(AND(A2656="",E2656=""),"",IF(E2656="","Segment ontbreekt",IF(OR(G2656="",H2656=""),"Van/tot ontbreekt",IF(N(J2656)=0,"Duur is nul",IF(N(J2656)&gt;12,"Langer dan 12 uur - controleren",IF(AND(E2656="Werken",D2656=""),"Werken zonder klant - koppelen","OK"))))))</f>
        <v/>
      </c>
    </row>
    <row r="2657" ht="15" customHeight="1" s="42">
      <c r="A2657" s="55" t="n"/>
      <c r="B2657" s="56">
        <f>IF(A2657="","",WEEKNUM(A2657,21))</f>
        <v/>
      </c>
      <c r="C2657" s="57" t="n"/>
      <c r="D2657" s="57" t="n"/>
      <c r="E2657" s="58" t="n"/>
      <c r="F2657" s="57" t="n"/>
      <c r="G2657" s="59" t="n"/>
      <c r="H2657" s="59" t="n"/>
      <c r="I2657" s="60">
        <f>IF(OR(G2657="",H2657=""),"",MOD(H2657-G2657,1))</f>
        <v/>
      </c>
      <c r="J2657" s="61">
        <f>IF(OR(G2657="",H2657=""),"",ROUND(MOD(H2657-G2657,1)*24,2))</f>
        <v/>
      </c>
      <c r="K2657" s="62">
        <f>IF(E2657="","",IF(E2657="Werken","JA","NEE"))</f>
        <v/>
      </c>
      <c r="L2657" s="61">
        <f>IF(K2657="JA",N(J2657),IF(E2657="","",0))</f>
        <v/>
      </c>
      <c r="M2657" s="62">
        <f>IF(AND(A2657="",E2657=""),"",IF(E2657="","Segment ontbreekt",IF(OR(G2657="",H2657=""),"Van/tot ontbreekt",IF(N(J2657)=0,"Duur is nul",IF(N(J2657)&gt;12,"Langer dan 12 uur - controleren",IF(AND(E2657="Werken",D2657=""),"Werken zonder klant - koppelen","OK"))))))</f>
        <v/>
      </c>
    </row>
    <row r="2658" ht="15" customHeight="1" s="42">
      <c r="A2658" s="55" t="n"/>
      <c r="B2658" s="56">
        <f>IF(A2658="","",WEEKNUM(A2658,21))</f>
        <v/>
      </c>
      <c r="C2658" s="57" t="n"/>
      <c r="D2658" s="57" t="n"/>
      <c r="E2658" s="58" t="n"/>
      <c r="F2658" s="57" t="n"/>
      <c r="G2658" s="59" t="n"/>
      <c r="H2658" s="59" t="n"/>
      <c r="I2658" s="60">
        <f>IF(OR(G2658="",H2658=""),"",MOD(H2658-G2658,1))</f>
        <v/>
      </c>
      <c r="J2658" s="61">
        <f>IF(OR(G2658="",H2658=""),"",ROUND(MOD(H2658-G2658,1)*24,2))</f>
        <v/>
      </c>
      <c r="K2658" s="62">
        <f>IF(E2658="","",IF(E2658="Werken","JA","NEE"))</f>
        <v/>
      </c>
      <c r="L2658" s="61">
        <f>IF(K2658="JA",N(J2658),IF(E2658="","",0))</f>
        <v/>
      </c>
      <c r="M2658" s="62">
        <f>IF(AND(A2658="",E2658=""),"",IF(E2658="","Segment ontbreekt",IF(OR(G2658="",H2658=""),"Van/tot ontbreekt",IF(N(J2658)=0,"Duur is nul",IF(N(J2658)&gt;12,"Langer dan 12 uur - controleren",IF(AND(E2658="Werken",D2658=""),"Werken zonder klant - koppelen","OK"))))))</f>
        <v/>
      </c>
    </row>
    <row r="2659" ht="15" customHeight="1" s="42">
      <c r="A2659" s="55" t="n"/>
      <c r="B2659" s="56">
        <f>IF(A2659="","",WEEKNUM(A2659,21))</f>
        <v/>
      </c>
      <c r="C2659" s="57" t="n"/>
      <c r="D2659" s="57" t="n"/>
      <c r="E2659" s="58" t="n"/>
      <c r="F2659" s="57" t="n"/>
      <c r="G2659" s="59" t="n"/>
      <c r="H2659" s="59" t="n"/>
      <c r="I2659" s="60">
        <f>IF(OR(G2659="",H2659=""),"",MOD(H2659-G2659,1))</f>
        <v/>
      </c>
      <c r="J2659" s="61">
        <f>IF(OR(G2659="",H2659=""),"",ROUND(MOD(H2659-G2659,1)*24,2))</f>
        <v/>
      </c>
      <c r="K2659" s="62">
        <f>IF(E2659="","",IF(E2659="Werken","JA","NEE"))</f>
        <v/>
      </c>
      <c r="L2659" s="61">
        <f>IF(K2659="JA",N(J2659),IF(E2659="","",0))</f>
        <v/>
      </c>
      <c r="M2659" s="62">
        <f>IF(AND(A2659="",E2659=""),"",IF(E2659="","Segment ontbreekt",IF(OR(G2659="",H2659=""),"Van/tot ontbreekt",IF(N(J2659)=0,"Duur is nul",IF(N(J2659)&gt;12,"Langer dan 12 uur - controleren",IF(AND(E2659="Werken",D2659=""),"Werken zonder klant - koppelen","OK"))))))</f>
        <v/>
      </c>
    </row>
    <row r="2660" ht="15" customHeight="1" s="42">
      <c r="A2660" s="55" t="n"/>
      <c r="B2660" s="56">
        <f>IF(A2660="","",WEEKNUM(A2660,21))</f>
        <v/>
      </c>
      <c r="C2660" s="57" t="n"/>
      <c r="D2660" s="57" t="n"/>
      <c r="E2660" s="58" t="n"/>
      <c r="F2660" s="57" t="n"/>
      <c r="G2660" s="59" t="n"/>
      <c r="H2660" s="59" t="n"/>
      <c r="I2660" s="60">
        <f>IF(OR(G2660="",H2660=""),"",MOD(H2660-G2660,1))</f>
        <v/>
      </c>
      <c r="J2660" s="61">
        <f>IF(OR(G2660="",H2660=""),"",ROUND(MOD(H2660-G2660,1)*24,2))</f>
        <v/>
      </c>
      <c r="K2660" s="62">
        <f>IF(E2660="","",IF(E2660="Werken","JA","NEE"))</f>
        <v/>
      </c>
      <c r="L2660" s="61">
        <f>IF(K2660="JA",N(J2660),IF(E2660="","",0))</f>
        <v/>
      </c>
      <c r="M2660" s="62">
        <f>IF(AND(A2660="",E2660=""),"",IF(E2660="","Segment ontbreekt",IF(OR(G2660="",H2660=""),"Van/tot ontbreekt",IF(N(J2660)=0,"Duur is nul",IF(N(J2660)&gt;12,"Langer dan 12 uur - controleren",IF(AND(E2660="Werken",D2660=""),"Werken zonder klant - koppelen","OK"))))))</f>
        <v/>
      </c>
    </row>
    <row r="2661" ht="15" customHeight="1" s="42">
      <c r="A2661" s="55" t="n"/>
      <c r="B2661" s="56">
        <f>IF(A2661="","",WEEKNUM(A2661,21))</f>
        <v/>
      </c>
      <c r="C2661" s="57" t="n"/>
      <c r="D2661" s="57" t="n"/>
      <c r="E2661" s="58" t="n"/>
      <c r="F2661" s="57" t="n"/>
      <c r="G2661" s="59" t="n"/>
      <c r="H2661" s="59" t="n"/>
      <c r="I2661" s="60">
        <f>IF(OR(G2661="",H2661=""),"",MOD(H2661-G2661,1))</f>
        <v/>
      </c>
      <c r="J2661" s="61">
        <f>IF(OR(G2661="",H2661=""),"",ROUND(MOD(H2661-G2661,1)*24,2))</f>
        <v/>
      </c>
      <c r="K2661" s="62">
        <f>IF(E2661="","",IF(E2661="Werken","JA","NEE"))</f>
        <v/>
      </c>
      <c r="L2661" s="61">
        <f>IF(K2661="JA",N(J2661),IF(E2661="","",0))</f>
        <v/>
      </c>
      <c r="M2661" s="62">
        <f>IF(AND(A2661="",E2661=""),"",IF(E2661="","Segment ontbreekt",IF(OR(G2661="",H2661=""),"Van/tot ontbreekt",IF(N(J2661)=0,"Duur is nul",IF(N(J2661)&gt;12,"Langer dan 12 uur - controleren",IF(AND(E2661="Werken",D2661=""),"Werken zonder klant - koppelen","OK"))))))</f>
        <v/>
      </c>
    </row>
    <row r="2662" ht="15" customHeight="1" s="42">
      <c r="A2662" s="55" t="n"/>
      <c r="B2662" s="56">
        <f>IF(A2662="","",WEEKNUM(A2662,21))</f>
        <v/>
      </c>
      <c r="C2662" s="57" t="n"/>
      <c r="D2662" s="57" t="n"/>
      <c r="E2662" s="58" t="n"/>
      <c r="F2662" s="57" t="n"/>
      <c r="G2662" s="59" t="n"/>
      <c r="H2662" s="59" t="n"/>
      <c r="I2662" s="60">
        <f>IF(OR(G2662="",H2662=""),"",MOD(H2662-G2662,1))</f>
        <v/>
      </c>
      <c r="J2662" s="61">
        <f>IF(OR(G2662="",H2662=""),"",ROUND(MOD(H2662-G2662,1)*24,2))</f>
        <v/>
      </c>
      <c r="K2662" s="62">
        <f>IF(E2662="","",IF(E2662="Werken","JA","NEE"))</f>
        <v/>
      </c>
      <c r="L2662" s="61">
        <f>IF(K2662="JA",N(J2662),IF(E2662="","",0))</f>
        <v/>
      </c>
      <c r="M2662" s="62">
        <f>IF(AND(A2662="",E2662=""),"",IF(E2662="","Segment ontbreekt",IF(OR(G2662="",H2662=""),"Van/tot ontbreekt",IF(N(J2662)=0,"Duur is nul",IF(N(J2662)&gt;12,"Langer dan 12 uur - controleren",IF(AND(E2662="Werken",D2662=""),"Werken zonder klant - koppelen","OK"))))))</f>
        <v/>
      </c>
    </row>
    <row r="2663" ht="15" customHeight="1" s="42">
      <c r="A2663" s="55" t="n"/>
      <c r="B2663" s="56">
        <f>IF(A2663="","",WEEKNUM(A2663,21))</f>
        <v/>
      </c>
      <c r="C2663" s="57" t="n"/>
      <c r="D2663" s="57" t="n"/>
      <c r="E2663" s="58" t="n"/>
      <c r="F2663" s="57" t="n"/>
      <c r="G2663" s="59" t="n"/>
      <c r="H2663" s="59" t="n"/>
      <c r="I2663" s="60">
        <f>IF(OR(G2663="",H2663=""),"",MOD(H2663-G2663,1))</f>
        <v/>
      </c>
      <c r="J2663" s="61">
        <f>IF(OR(G2663="",H2663=""),"",ROUND(MOD(H2663-G2663,1)*24,2))</f>
        <v/>
      </c>
      <c r="K2663" s="62">
        <f>IF(E2663="","",IF(E2663="Werken","JA","NEE"))</f>
        <v/>
      </c>
      <c r="L2663" s="61">
        <f>IF(K2663="JA",N(J2663),IF(E2663="","",0))</f>
        <v/>
      </c>
      <c r="M2663" s="62">
        <f>IF(AND(A2663="",E2663=""),"",IF(E2663="","Segment ontbreekt",IF(OR(G2663="",H2663=""),"Van/tot ontbreekt",IF(N(J2663)=0,"Duur is nul",IF(N(J2663)&gt;12,"Langer dan 12 uur - controleren",IF(AND(E2663="Werken",D2663=""),"Werken zonder klant - koppelen","OK"))))))</f>
        <v/>
      </c>
    </row>
    <row r="2664" ht="15" customHeight="1" s="42">
      <c r="A2664" s="55" t="n"/>
      <c r="B2664" s="56">
        <f>IF(A2664="","",WEEKNUM(A2664,21))</f>
        <v/>
      </c>
      <c r="C2664" s="57" t="n"/>
      <c r="D2664" s="57" t="n"/>
      <c r="E2664" s="58" t="n"/>
      <c r="F2664" s="57" t="n"/>
      <c r="G2664" s="59" t="n"/>
      <c r="H2664" s="59" t="n"/>
      <c r="I2664" s="60">
        <f>IF(OR(G2664="",H2664=""),"",MOD(H2664-G2664,1))</f>
        <v/>
      </c>
      <c r="J2664" s="61">
        <f>IF(OR(G2664="",H2664=""),"",ROUND(MOD(H2664-G2664,1)*24,2))</f>
        <v/>
      </c>
      <c r="K2664" s="62">
        <f>IF(E2664="","",IF(E2664="Werken","JA","NEE"))</f>
        <v/>
      </c>
      <c r="L2664" s="61">
        <f>IF(K2664="JA",N(J2664),IF(E2664="","",0))</f>
        <v/>
      </c>
      <c r="M2664" s="62">
        <f>IF(AND(A2664="",E2664=""),"",IF(E2664="","Segment ontbreekt",IF(OR(G2664="",H2664=""),"Van/tot ontbreekt",IF(N(J2664)=0,"Duur is nul",IF(N(J2664)&gt;12,"Langer dan 12 uur - controleren",IF(AND(E2664="Werken",D2664=""),"Werken zonder klant - koppelen","OK"))))))</f>
        <v/>
      </c>
    </row>
    <row r="2665" ht="15" customHeight="1" s="42">
      <c r="A2665" s="55" t="n"/>
      <c r="B2665" s="56">
        <f>IF(A2665="","",WEEKNUM(A2665,21))</f>
        <v/>
      </c>
      <c r="C2665" s="57" t="n"/>
      <c r="D2665" s="57" t="n"/>
      <c r="E2665" s="58" t="n"/>
      <c r="F2665" s="57" t="n"/>
      <c r="G2665" s="59" t="n"/>
      <c r="H2665" s="59" t="n"/>
      <c r="I2665" s="60">
        <f>IF(OR(G2665="",H2665=""),"",MOD(H2665-G2665,1))</f>
        <v/>
      </c>
      <c r="J2665" s="61">
        <f>IF(OR(G2665="",H2665=""),"",ROUND(MOD(H2665-G2665,1)*24,2))</f>
        <v/>
      </c>
      <c r="K2665" s="62">
        <f>IF(E2665="","",IF(E2665="Werken","JA","NEE"))</f>
        <v/>
      </c>
      <c r="L2665" s="61">
        <f>IF(K2665="JA",N(J2665),IF(E2665="","",0))</f>
        <v/>
      </c>
      <c r="M2665" s="62">
        <f>IF(AND(A2665="",E2665=""),"",IF(E2665="","Segment ontbreekt",IF(OR(G2665="",H2665=""),"Van/tot ontbreekt",IF(N(J2665)=0,"Duur is nul",IF(N(J2665)&gt;12,"Langer dan 12 uur - controleren",IF(AND(E2665="Werken",D2665=""),"Werken zonder klant - koppelen","OK"))))))</f>
        <v/>
      </c>
    </row>
    <row r="2666" ht="15" customHeight="1" s="42">
      <c r="A2666" s="55" t="n"/>
      <c r="B2666" s="56">
        <f>IF(A2666="","",WEEKNUM(A2666,21))</f>
        <v/>
      </c>
      <c r="C2666" s="57" t="n"/>
      <c r="D2666" s="57" t="n"/>
      <c r="E2666" s="58" t="n"/>
      <c r="F2666" s="57" t="n"/>
      <c r="G2666" s="59" t="n"/>
      <c r="H2666" s="59" t="n"/>
      <c r="I2666" s="60">
        <f>IF(OR(G2666="",H2666=""),"",MOD(H2666-G2666,1))</f>
        <v/>
      </c>
      <c r="J2666" s="61">
        <f>IF(OR(G2666="",H2666=""),"",ROUND(MOD(H2666-G2666,1)*24,2))</f>
        <v/>
      </c>
      <c r="K2666" s="62">
        <f>IF(E2666="","",IF(E2666="Werken","JA","NEE"))</f>
        <v/>
      </c>
      <c r="L2666" s="61">
        <f>IF(K2666="JA",N(J2666),IF(E2666="","",0))</f>
        <v/>
      </c>
      <c r="M2666" s="62">
        <f>IF(AND(A2666="",E2666=""),"",IF(E2666="","Segment ontbreekt",IF(OR(G2666="",H2666=""),"Van/tot ontbreekt",IF(N(J2666)=0,"Duur is nul",IF(N(J2666)&gt;12,"Langer dan 12 uur - controleren",IF(AND(E2666="Werken",D2666=""),"Werken zonder klant - koppelen","OK"))))))</f>
        <v/>
      </c>
    </row>
    <row r="2667" ht="15" customHeight="1" s="42">
      <c r="A2667" s="55" t="n"/>
      <c r="B2667" s="56">
        <f>IF(A2667="","",WEEKNUM(A2667,21))</f>
        <v/>
      </c>
      <c r="C2667" s="57" t="n"/>
      <c r="D2667" s="57" t="n"/>
      <c r="E2667" s="58" t="n"/>
      <c r="F2667" s="57" t="n"/>
      <c r="G2667" s="59" t="n"/>
      <c r="H2667" s="59" t="n"/>
      <c r="I2667" s="60">
        <f>IF(OR(G2667="",H2667=""),"",MOD(H2667-G2667,1))</f>
        <v/>
      </c>
      <c r="J2667" s="61">
        <f>IF(OR(G2667="",H2667=""),"",ROUND(MOD(H2667-G2667,1)*24,2))</f>
        <v/>
      </c>
      <c r="K2667" s="62">
        <f>IF(E2667="","",IF(E2667="Werken","JA","NEE"))</f>
        <v/>
      </c>
      <c r="L2667" s="61">
        <f>IF(K2667="JA",N(J2667),IF(E2667="","",0))</f>
        <v/>
      </c>
      <c r="M2667" s="62">
        <f>IF(AND(A2667="",E2667=""),"",IF(E2667="","Segment ontbreekt",IF(OR(G2667="",H2667=""),"Van/tot ontbreekt",IF(N(J2667)=0,"Duur is nul",IF(N(J2667)&gt;12,"Langer dan 12 uur - controleren",IF(AND(E2667="Werken",D2667=""),"Werken zonder klant - koppelen","OK"))))))</f>
        <v/>
      </c>
    </row>
    <row r="2668" ht="15" customHeight="1" s="42">
      <c r="A2668" s="55" t="n"/>
      <c r="B2668" s="56">
        <f>IF(A2668="","",WEEKNUM(A2668,21))</f>
        <v/>
      </c>
      <c r="C2668" s="57" t="n"/>
      <c r="D2668" s="57" t="n"/>
      <c r="E2668" s="58" t="n"/>
      <c r="F2668" s="57" t="n"/>
      <c r="G2668" s="59" t="n"/>
      <c r="H2668" s="59" t="n"/>
      <c r="I2668" s="60">
        <f>IF(OR(G2668="",H2668=""),"",MOD(H2668-G2668,1))</f>
        <v/>
      </c>
      <c r="J2668" s="61">
        <f>IF(OR(G2668="",H2668=""),"",ROUND(MOD(H2668-G2668,1)*24,2))</f>
        <v/>
      </c>
      <c r="K2668" s="62">
        <f>IF(E2668="","",IF(E2668="Werken","JA","NEE"))</f>
        <v/>
      </c>
      <c r="L2668" s="61">
        <f>IF(K2668="JA",N(J2668),IF(E2668="","",0))</f>
        <v/>
      </c>
      <c r="M2668" s="62">
        <f>IF(AND(A2668="",E2668=""),"",IF(E2668="","Segment ontbreekt",IF(OR(G2668="",H2668=""),"Van/tot ontbreekt",IF(N(J2668)=0,"Duur is nul",IF(N(J2668)&gt;12,"Langer dan 12 uur - controleren",IF(AND(E2668="Werken",D2668=""),"Werken zonder klant - koppelen","OK"))))))</f>
        <v/>
      </c>
    </row>
    <row r="2669" ht="15" customHeight="1" s="42">
      <c r="A2669" s="55" t="n"/>
      <c r="B2669" s="56">
        <f>IF(A2669="","",WEEKNUM(A2669,21))</f>
        <v/>
      </c>
      <c r="C2669" s="57" t="n"/>
      <c r="D2669" s="57" t="n"/>
      <c r="E2669" s="58" t="n"/>
      <c r="F2669" s="57" t="n"/>
      <c r="G2669" s="59" t="n"/>
      <c r="H2669" s="59" t="n"/>
      <c r="I2669" s="60">
        <f>IF(OR(G2669="",H2669=""),"",MOD(H2669-G2669,1))</f>
        <v/>
      </c>
      <c r="J2669" s="61">
        <f>IF(OR(G2669="",H2669=""),"",ROUND(MOD(H2669-G2669,1)*24,2))</f>
        <v/>
      </c>
      <c r="K2669" s="62">
        <f>IF(E2669="","",IF(E2669="Werken","JA","NEE"))</f>
        <v/>
      </c>
      <c r="L2669" s="61">
        <f>IF(K2669="JA",N(J2669),IF(E2669="","",0))</f>
        <v/>
      </c>
      <c r="M2669" s="62">
        <f>IF(AND(A2669="",E2669=""),"",IF(E2669="","Segment ontbreekt",IF(OR(G2669="",H2669=""),"Van/tot ontbreekt",IF(N(J2669)=0,"Duur is nul",IF(N(J2669)&gt;12,"Langer dan 12 uur - controleren",IF(AND(E2669="Werken",D2669=""),"Werken zonder klant - koppelen","OK"))))))</f>
        <v/>
      </c>
    </row>
    <row r="2670" ht="15" customHeight="1" s="42">
      <c r="A2670" s="55" t="n"/>
      <c r="B2670" s="56">
        <f>IF(A2670="","",WEEKNUM(A2670,21))</f>
        <v/>
      </c>
      <c r="C2670" s="57" t="n"/>
      <c r="D2670" s="57" t="n"/>
      <c r="E2670" s="58" t="n"/>
      <c r="F2670" s="57" t="n"/>
      <c r="G2670" s="59" t="n"/>
      <c r="H2670" s="59" t="n"/>
      <c r="I2670" s="60">
        <f>IF(OR(G2670="",H2670=""),"",MOD(H2670-G2670,1))</f>
        <v/>
      </c>
      <c r="J2670" s="61">
        <f>IF(OR(G2670="",H2670=""),"",ROUND(MOD(H2670-G2670,1)*24,2))</f>
        <v/>
      </c>
      <c r="K2670" s="62">
        <f>IF(E2670="","",IF(E2670="Werken","JA","NEE"))</f>
        <v/>
      </c>
      <c r="L2670" s="61">
        <f>IF(K2670="JA",N(J2670),IF(E2670="","",0))</f>
        <v/>
      </c>
      <c r="M2670" s="62">
        <f>IF(AND(A2670="",E2670=""),"",IF(E2670="","Segment ontbreekt",IF(OR(G2670="",H2670=""),"Van/tot ontbreekt",IF(N(J2670)=0,"Duur is nul",IF(N(J2670)&gt;12,"Langer dan 12 uur - controleren",IF(AND(E2670="Werken",D2670=""),"Werken zonder klant - koppelen","OK"))))))</f>
        <v/>
      </c>
    </row>
    <row r="2671" ht="15" customHeight="1" s="42">
      <c r="A2671" s="55" t="n"/>
      <c r="B2671" s="56">
        <f>IF(A2671="","",WEEKNUM(A2671,21))</f>
        <v/>
      </c>
      <c r="C2671" s="57" t="n"/>
      <c r="D2671" s="57" t="n"/>
      <c r="E2671" s="58" t="n"/>
      <c r="F2671" s="57" t="n"/>
      <c r="G2671" s="59" t="n"/>
      <c r="H2671" s="59" t="n"/>
      <c r="I2671" s="60">
        <f>IF(OR(G2671="",H2671=""),"",MOD(H2671-G2671,1))</f>
        <v/>
      </c>
      <c r="J2671" s="61">
        <f>IF(OR(G2671="",H2671=""),"",ROUND(MOD(H2671-G2671,1)*24,2))</f>
        <v/>
      </c>
      <c r="K2671" s="62">
        <f>IF(E2671="","",IF(E2671="Werken","JA","NEE"))</f>
        <v/>
      </c>
      <c r="L2671" s="61">
        <f>IF(K2671="JA",N(J2671),IF(E2671="","",0))</f>
        <v/>
      </c>
      <c r="M2671" s="62">
        <f>IF(AND(A2671="",E2671=""),"",IF(E2671="","Segment ontbreekt",IF(OR(G2671="",H2671=""),"Van/tot ontbreekt",IF(N(J2671)=0,"Duur is nul",IF(N(J2671)&gt;12,"Langer dan 12 uur - controleren",IF(AND(E2671="Werken",D2671=""),"Werken zonder klant - koppelen","OK"))))))</f>
        <v/>
      </c>
    </row>
    <row r="2672" ht="15" customHeight="1" s="42">
      <c r="A2672" s="55" t="n"/>
      <c r="B2672" s="56">
        <f>IF(A2672="","",WEEKNUM(A2672,21))</f>
        <v/>
      </c>
      <c r="C2672" s="57" t="n"/>
      <c r="D2672" s="57" t="n"/>
      <c r="E2672" s="58" t="n"/>
      <c r="F2672" s="57" t="n"/>
      <c r="G2672" s="59" t="n"/>
      <c r="H2672" s="59" t="n"/>
      <c r="I2672" s="60">
        <f>IF(OR(G2672="",H2672=""),"",MOD(H2672-G2672,1))</f>
        <v/>
      </c>
      <c r="J2672" s="61">
        <f>IF(OR(G2672="",H2672=""),"",ROUND(MOD(H2672-G2672,1)*24,2))</f>
        <v/>
      </c>
      <c r="K2672" s="62">
        <f>IF(E2672="","",IF(E2672="Werken","JA","NEE"))</f>
        <v/>
      </c>
      <c r="L2672" s="61">
        <f>IF(K2672="JA",N(J2672),IF(E2672="","",0))</f>
        <v/>
      </c>
      <c r="M2672" s="62">
        <f>IF(AND(A2672="",E2672=""),"",IF(E2672="","Segment ontbreekt",IF(OR(G2672="",H2672=""),"Van/tot ontbreekt",IF(N(J2672)=0,"Duur is nul",IF(N(J2672)&gt;12,"Langer dan 12 uur - controleren",IF(AND(E2672="Werken",D2672=""),"Werken zonder klant - koppelen","OK"))))))</f>
        <v/>
      </c>
    </row>
    <row r="2673" ht="15" customHeight="1" s="42">
      <c r="A2673" s="55" t="n"/>
      <c r="B2673" s="56">
        <f>IF(A2673="","",WEEKNUM(A2673,21))</f>
        <v/>
      </c>
      <c r="C2673" s="57" t="n"/>
      <c r="D2673" s="57" t="n"/>
      <c r="E2673" s="58" t="n"/>
      <c r="F2673" s="57" t="n"/>
      <c r="G2673" s="59" t="n"/>
      <c r="H2673" s="59" t="n"/>
      <c r="I2673" s="60">
        <f>IF(OR(G2673="",H2673=""),"",MOD(H2673-G2673,1))</f>
        <v/>
      </c>
      <c r="J2673" s="61">
        <f>IF(OR(G2673="",H2673=""),"",ROUND(MOD(H2673-G2673,1)*24,2))</f>
        <v/>
      </c>
      <c r="K2673" s="62">
        <f>IF(E2673="","",IF(E2673="Werken","JA","NEE"))</f>
        <v/>
      </c>
      <c r="L2673" s="61">
        <f>IF(K2673="JA",N(J2673),IF(E2673="","",0))</f>
        <v/>
      </c>
      <c r="M2673" s="62">
        <f>IF(AND(A2673="",E2673=""),"",IF(E2673="","Segment ontbreekt",IF(OR(G2673="",H2673=""),"Van/tot ontbreekt",IF(N(J2673)=0,"Duur is nul",IF(N(J2673)&gt;12,"Langer dan 12 uur - controleren",IF(AND(E2673="Werken",D2673=""),"Werken zonder klant - koppelen","OK"))))))</f>
        <v/>
      </c>
    </row>
    <row r="2674" ht="15" customHeight="1" s="42">
      <c r="A2674" s="55" t="n"/>
      <c r="B2674" s="56">
        <f>IF(A2674="","",WEEKNUM(A2674,21))</f>
        <v/>
      </c>
      <c r="C2674" s="57" t="n"/>
      <c r="D2674" s="57" t="n"/>
      <c r="E2674" s="58" t="n"/>
      <c r="F2674" s="57" t="n"/>
      <c r="G2674" s="59" t="n"/>
      <c r="H2674" s="59" t="n"/>
      <c r="I2674" s="60">
        <f>IF(OR(G2674="",H2674=""),"",MOD(H2674-G2674,1))</f>
        <v/>
      </c>
      <c r="J2674" s="61">
        <f>IF(OR(G2674="",H2674=""),"",ROUND(MOD(H2674-G2674,1)*24,2))</f>
        <v/>
      </c>
      <c r="K2674" s="62">
        <f>IF(E2674="","",IF(E2674="Werken","JA","NEE"))</f>
        <v/>
      </c>
      <c r="L2674" s="61">
        <f>IF(K2674="JA",N(J2674),IF(E2674="","",0))</f>
        <v/>
      </c>
      <c r="M2674" s="62">
        <f>IF(AND(A2674="",E2674=""),"",IF(E2674="","Segment ontbreekt",IF(OR(G2674="",H2674=""),"Van/tot ontbreekt",IF(N(J2674)=0,"Duur is nul",IF(N(J2674)&gt;12,"Langer dan 12 uur - controleren",IF(AND(E2674="Werken",D2674=""),"Werken zonder klant - koppelen","OK"))))))</f>
        <v/>
      </c>
    </row>
    <row r="2675" ht="15" customHeight="1" s="42">
      <c r="A2675" s="55" t="n"/>
      <c r="B2675" s="56">
        <f>IF(A2675="","",WEEKNUM(A2675,21))</f>
        <v/>
      </c>
      <c r="C2675" s="57" t="n"/>
      <c r="D2675" s="57" t="n"/>
      <c r="E2675" s="58" t="n"/>
      <c r="F2675" s="57" t="n"/>
      <c r="G2675" s="59" t="n"/>
      <c r="H2675" s="59" t="n"/>
      <c r="I2675" s="60">
        <f>IF(OR(G2675="",H2675=""),"",MOD(H2675-G2675,1))</f>
        <v/>
      </c>
      <c r="J2675" s="61">
        <f>IF(OR(G2675="",H2675=""),"",ROUND(MOD(H2675-G2675,1)*24,2))</f>
        <v/>
      </c>
      <c r="K2675" s="62">
        <f>IF(E2675="","",IF(E2675="Werken","JA","NEE"))</f>
        <v/>
      </c>
      <c r="L2675" s="61">
        <f>IF(K2675="JA",N(J2675),IF(E2675="","",0))</f>
        <v/>
      </c>
      <c r="M2675" s="62">
        <f>IF(AND(A2675="",E2675=""),"",IF(E2675="","Segment ontbreekt",IF(OR(G2675="",H2675=""),"Van/tot ontbreekt",IF(N(J2675)=0,"Duur is nul",IF(N(J2675)&gt;12,"Langer dan 12 uur - controleren",IF(AND(E2675="Werken",D2675=""),"Werken zonder klant - koppelen","OK"))))))</f>
        <v/>
      </c>
    </row>
    <row r="2676" ht="15" customHeight="1" s="42">
      <c r="A2676" s="55" t="n"/>
      <c r="B2676" s="56">
        <f>IF(A2676="","",WEEKNUM(A2676,21))</f>
        <v/>
      </c>
      <c r="C2676" s="57" t="n"/>
      <c r="D2676" s="57" t="n"/>
      <c r="E2676" s="58" t="n"/>
      <c r="F2676" s="57" t="n"/>
      <c r="G2676" s="59" t="n"/>
      <c r="H2676" s="59" t="n"/>
      <c r="I2676" s="60">
        <f>IF(OR(G2676="",H2676=""),"",MOD(H2676-G2676,1))</f>
        <v/>
      </c>
      <c r="J2676" s="61">
        <f>IF(OR(G2676="",H2676=""),"",ROUND(MOD(H2676-G2676,1)*24,2))</f>
        <v/>
      </c>
      <c r="K2676" s="62">
        <f>IF(E2676="","",IF(E2676="Werken","JA","NEE"))</f>
        <v/>
      </c>
      <c r="L2676" s="61">
        <f>IF(K2676="JA",N(J2676),IF(E2676="","",0))</f>
        <v/>
      </c>
      <c r="M2676" s="62">
        <f>IF(AND(A2676="",E2676=""),"",IF(E2676="","Segment ontbreekt",IF(OR(G2676="",H2676=""),"Van/tot ontbreekt",IF(N(J2676)=0,"Duur is nul",IF(N(J2676)&gt;12,"Langer dan 12 uur - controleren",IF(AND(E2676="Werken",D2676=""),"Werken zonder klant - koppelen","OK"))))))</f>
        <v/>
      </c>
    </row>
    <row r="2677" ht="15" customHeight="1" s="42">
      <c r="A2677" s="55" t="n"/>
      <c r="B2677" s="56">
        <f>IF(A2677="","",WEEKNUM(A2677,21))</f>
        <v/>
      </c>
      <c r="C2677" s="57" t="n"/>
      <c r="D2677" s="57" t="n"/>
      <c r="E2677" s="58" t="n"/>
      <c r="F2677" s="57" t="n"/>
      <c r="G2677" s="59" t="n"/>
      <c r="H2677" s="59" t="n"/>
      <c r="I2677" s="60">
        <f>IF(OR(G2677="",H2677=""),"",MOD(H2677-G2677,1))</f>
        <v/>
      </c>
      <c r="J2677" s="61">
        <f>IF(OR(G2677="",H2677=""),"",ROUND(MOD(H2677-G2677,1)*24,2))</f>
        <v/>
      </c>
      <c r="K2677" s="62">
        <f>IF(E2677="","",IF(E2677="Werken","JA","NEE"))</f>
        <v/>
      </c>
      <c r="L2677" s="61">
        <f>IF(K2677="JA",N(J2677),IF(E2677="","",0))</f>
        <v/>
      </c>
      <c r="M2677" s="62">
        <f>IF(AND(A2677="",E2677=""),"",IF(E2677="","Segment ontbreekt",IF(OR(G2677="",H2677=""),"Van/tot ontbreekt",IF(N(J2677)=0,"Duur is nul",IF(N(J2677)&gt;12,"Langer dan 12 uur - controleren",IF(AND(E2677="Werken",D2677=""),"Werken zonder klant - koppelen","OK"))))))</f>
        <v/>
      </c>
    </row>
    <row r="2678" ht="15" customHeight="1" s="42">
      <c r="A2678" s="55" t="n"/>
      <c r="B2678" s="56">
        <f>IF(A2678="","",WEEKNUM(A2678,21))</f>
        <v/>
      </c>
      <c r="C2678" s="57" t="n"/>
      <c r="D2678" s="57" t="n"/>
      <c r="E2678" s="58" t="n"/>
      <c r="F2678" s="57" t="n"/>
      <c r="G2678" s="59" t="n"/>
      <c r="H2678" s="59" t="n"/>
      <c r="I2678" s="60">
        <f>IF(OR(G2678="",H2678=""),"",MOD(H2678-G2678,1))</f>
        <v/>
      </c>
      <c r="J2678" s="61">
        <f>IF(OR(G2678="",H2678=""),"",ROUND(MOD(H2678-G2678,1)*24,2))</f>
        <v/>
      </c>
      <c r="K2678" s="62">
        <f>IF(E2678="","",IF(E2678="Werken","JA","NEE"))</f>
        <v/>
      </c>
      <c r="L2678" s="61">
        <f>IF(K2678="JA",N(J2678),IF(E2678="","",0))</f>
        <v/>
      </c>
      <c r="M2678" s="62">
        <f>IF(AND(A2678="",E2678=""),"",IF(E2678="","Segment ontbreekt",IF(OR(G2678="",H2678=""),"Van/tot ontbreekt",IF(N(J2678)=0,"Duur is nul",IF(N(J2678)&gt;12,"Langer dan 12 uur - controleren",IF(AND(E2678="Werken",D2678=""),"Werken zonder klant - koppelen","OK"))))))</f>
        <v/>
      </c>
    </row>
    <row r="2679" ht="15" customHeight="1" s="42">
      <c r="A2679" s="55" t="n"/>
      <c r="B2679" s="56">
        <f>IF(A2679="","",WEEKNUM(A2679,21))</f>
        <v/>
      </c>
      <c r="C2679" s="57" t="n"/>
      <c r="D2679" s="57" t="n"/>
      <c r="E2679" s="58" t="n"/>
      <c r="F2679" s="57" t="n"/>
      <c r="G2679" s="59" t="n"/>
      <c r="H2679" s="59" t="n"/>
      <c r="I2679" s="60">
        <f>IF(OR(G2679="",H2679=""),"",MOD(H2679-G2679,1))</f>
        <v/>
      </c>
      <c r="J2679" s="61">
        <f>IF(OR(G2679="",H2679=""),"",ROUND(MOD(H2679-G2679,1)*24,2))</f>
        <v/>
      </c>
      <c r="K2679" s="62">
        <f>IF(E2679="","",IF(E2679="Werken","JA","NEE"))</f>
        <v/>
      </c>
      <c r="L2679" s="61">
        <f>IF(K2679="JA",N(J2679),IF(E2679="","",0))</f>
        <v/>
      </c>
      <c r="M2679" s="62">
        <f>IF(AND(A2679="",E2679=""),"",IF(E2679="","Segment ontbreekt",IF(OR(G2679="",H2679=""),"Van/tot ontbreekt",IF(N(J2679)=0,"Duur is nul",IF(N(J2679)&gt;12,"Langer dan 12 uur - controleren",IF(AND(E2679="Werken",D2679=""),"Werken zonder klant - koppelen","OK"))))))</f>
        <v/>
      </c>
    </row>
    <row r="2680" ht="15" customHeight="1" s="42">
      <c r="A2680" s="55" t="n"/>
      <c r="B2680" s="56">
        <f>IF(A2680="","",WEEKNUM(A2680,21))</f>
        <v/>
      </c>
      <c r="C2680" s="57" t="n"/>
      <c r="D2680" s="57" t="n"/>
      <c r="E2680" s="58" t="n"/>
      <c r="F2680" s="57" t="n"/>
      <c r="G2680" s="59" t="n"/>
      <c r="H2680" s="59" t="n"/>
      <c r="I2680" s="60">
        <f>IF(OR(G2680="",H2680=""),"",MOD(H2680-G2680,1))</f>
        <v/>
      </c>
      <c r="J2680" s="61">
        <f>IF(OR(G2680="",H2680=""),"",ROUND(MOD(H2680-G2680,1)*24,2))</f>
        <v/>
      </c>
      <c r="K2680" s="62">
        <f>IF(E2680="","",IF(E2680="Werken","JA","NEE"))</f>
        <v/>
      </c>
      <c r="L2680" s="61">
        <f>IF(K2680="JA",N(J2680),IF(E2680="","",0))</f>
        <v/>
      </c>
      <c r="M2680" s="62">
        <f>IF(AND(A2680="",E2680=""),"",IF(E2680="","Segment ontbreekt",IF(OR(G2680="",H2680=""),"Van/tot ontbreekt",IF(N(J2680)=0,"Duur is nul",IF(N(J2680)&gt;12,"Langer dan 12 uur - controleren",IF(AND(E2680="Werken",D2680=""),"Werken zonder klant - koppelen","OK"))))))</f>
        <v/>
      </c>
    </row>
    <row r="2681" ht="15" customHeight="1" s="42">
      <c r="A2681" s="55" t="n"/>
      <c r="B2681" s="56">
        <f>IF(A2681="","",WEEKNUM(A2681,21))</f>
        <v/>
      </c>
      <c r="C2681" s="57" t="n"/>
      <c r="D2681" s="57" t="n"/>
      <c r="E2681" s="58" t="n"/>
      <c r="F2681" s="57" t="n"/>
      <c r="G2681" s="59" t="n"/>
      <c r="H2681" s="59" t="n"/>
      <c r="I2681" s="60">
        <f>IF(OR(G2681="",H2681=""),"",MOD(H2681-G2681,1))</f>
        <v/>
      </c>
      <c r="J2681" s="61">
        <f>IF(OR(G2681="",H2681=""),"",ROUND(MOD(H2681-G2681,1)*24,2))</f>
        <v/>
      </c>
      <c r="K2681" s="62">
        <f>IF(E2681="","",IF(E2681="Werken","JA","NEE"))</f>
        <v/>
      </c>
      <c r="L2681" s="61">
        <f>IF(K2681="JA",N(J2681),IF(E2681="","",0))</f>
        <v/>
      </c>
      <c r="M2681" s="62">
        <f>IF(AND(A2681="",E2681=""),"",IF(E2681="","Segment ontbreekt",IF(OR(G2681="",H2681=""),"Van/tot ontbreekt",IF(N(J2681)=0,"Duur is nul",IF(N(J2681)&gt;12,"Langer dan 12 uur - controleren",IF(AND(E2681="Werken",D2681=""),"Werken zonder klant - koppelen","OK"))))))</f>
        <v/>
      </c>
    </row>
    <row r="2682" ht="15" customHeight="1" s="42">
      <c r="A2682" s="55" t="n"/>
      <c r="B2682" s="56">
        <f>IF(A2682="","",WEEKNUM(A2682,21))</f>
        <v/>
      </c>
      <c r="C2682" s="57" t="n"/>
      <c r="D2682" s="57" t="n"/>
      <c r="E2682" s="58" t="n"/>
      <c r="F2682" s="57" t="n"/>
      <c r="G2682" s="59" t="n"/>
      <c r="H2682" s="59" t="n"/>
      <c r="I2682" s="60">
        <f>IF(OR(G2682="",H2682=""),"",MOD(H2682-G2682,1))</f>
        <v/>
      </c>
      <c r="J2682" s="61">
        <f>IF(OR(G2682="",H2682=""),"",ROUND(MOD(H2682-G2682,1)*24,2))</f>
        <v/>
      </c>
      <c r="K2682" s="62">
        <f>IF(E2682="","",IF(E2682="Werken","JA","NEE"))</f>
        <v/>
      </c>
      <c r="L2682" s="61">
        <f>IF(K2682="JA",N(J2682),IF(E2682="","",0))</f>
        <v/>
      </c>
      <c r="M2682" s="62">
        <f>IF(AND(A2682="",E2682=""),"",IF(E2682="","Segment ontbreekt",IF(OR(G2682="",H2682=""),"Van/tot ontbreekt",IF(N(J2682)=0,"Duur is nul",IF(N(J2682)&gt;12,"Langer dan 12 uur - controleren",IF(AND(E2682="Werken",D2682=""),"Werken zonder klant - koppelen","OK"))))))</f>
        <v/>
      </c>
    </row>
    <row r="2683" ht="15" customHeight="1" s="42">
      <c r="A2683" s="55" t="n"/>
      <c r="B2683" s="56">
        <f>IF(A2683="","",WEEKNUM(A2683,21))</f>
        <v/>
      </c>
      <c r="C2683" s="57" t="n"/>
      <c r="D2683" s="57" t="n"/>
      <c r="E2683" s="58" t="n"/>
      <c r="F2683" s="57" t="n"/>
      <c r="G2683" s="59" t="n"/>
      <c r="H2683" s="59" t="n"/>
      <c r="I2683" s="60">
        <f>IF(OR(G2683="",H2683=""),"",MOD(H2683-G2683,1))</f>
        <v/>
      </c>
      <c r="J2683" s="61">
        <f>IF(OR(G2683="",H2683=""),"",ROUND(MOD(H2683-G2683,1)*24,2))</f>
        <v/>
      </c>
      <c r="K2683" s="62">
        <f>IF(E2683="","",IF(E2683="Werken","JA","NEE"))</f>
        <v/>
      </c>
      <c r="L2683" s="61">
        <f>IF(K2683="JA",N(J2683),IF(E2683="","",0))</f>
        <v/>
      </c>
      <c r="M2683" s="62">
        <f>IF(AND(A2683="",E2683=""),"",IF(E2683="","Segment ontbreekt",IF(OR(G2683="",H2683=""),"Van/tot ontbreekt",IF(N(J2683)=0,"Duur is nul",IF(N(J2683)&gt;12,"Langer dan 12 uur - controleren",IF(AND(E2683="Werken",D2683=""),"Werken zonder klant - koppelen","OK"))))))</f>
        <v/>
      </c>
    </row>
    <row r="2684" ht="15" customHeight="1" s="42">
      <c r="A2684" s="55" t="n"/>
      <c r="B2684" s="56">
        <f>IF(A2684="","",WEEKNUM(A2684,21))</f>
        <v/>
      </c>
      <c r="C2684" s="57" t="n"/>
      <c r="D2684" s="57" t="n"/>
      <c r="E2684" s="58" t="n"/>
      <c r="F2684" s="57" t="n"/>
      <c r="G2684" s="59" t="n"/>
      <c r="H2684" s="59" t="n"/>
      <c r="I2684" s="60">
        <f>IF(OR(G2684="",H2684=""),"",MOD(H2684-G2684,1))</f>
        <v/>
      </c>
      <c r="J2684" s="61">
        <f>IF(OR(G2684="",H2684=""),"",ROUND(MOD(H2684-G2684,1)*24,2))</f>
        <v/>
      </c>
      <c r="K2684" s="62">
        <f>IF(E2684="","",IF(E2684="Werken","JA","NEE"))</f>
        <v/>
      </c>
      <c r="L2684" s="61">
        <f>IF(K2684="JA",N(J2684),IF(E2684="","",0))</f>
        <v/>
      </c>
      <c r="M2684" s="62">
        <f>IF(AND(A2684="",E2684=""),"",IF(E2684="","Segment ontbreekt",IF(OR(G2684="",H2684=""),"Van/tot ontbreekt",IF(N(J2684)=0,"Duur is nul",IF(N(J2684)&gt;12,"Langer dan 12 uur - controleren",IF(AND(E2684="Werken",D2684=""),"Werken zonder klant - koppelen","OK"))))))</f>
        <v/>
      </c>
    </row>
    <row r="2685" ht="15" customHeight="1" s="42">
      <c r="A2685" s="55" t="n"/>
      <c r="B2685" s="56">
        <f>IF(A2685="","",WEEKNUM(A2685,21))</f>
        <v/>
      </c>
      <c r="C2685" s="57" t="n"/>
      <c r="D2685" s="57" t="n"/>
      <c r="E2685" s="58" t="n"/>
      <c r="F2685" s="57" t="n"/>
      <c r="G2685" s="59" t="n"/>
      <c r="H2685" s="59" t="n"/>
      <c r="I2685" s="60">
        <f>IF(OR(G2685="",H2685=""),"",MOD(H2685-G2685,1))</f>
        <v/>
      </c>
      <c r="J2685" s="61">
        <f>IF(OR(G2685="",H2685=""),"",ROUND(MOD(H2685-G2685,1)*24,2))</f>
        <v/>
      </c>
      <c r="K2685" s="62">
        <f>IF(E2685="","",IF(E2685="Werken","JA","NEE"))</f>
        <v/>
      </c>
      <c r="L2685" s="61">
        <f>IF(K2685="JA",N(J2685),IF(E2685="","",0))</f>
        <v/>
      </c>
      <c r="M2685" s="62">
        <f>IF(AND(A2685="",E2685=""),"",IF(E2685="","Segment ontbreekt",IF(OR(G2685="",H2685=""),"Van/tot ontbreekt",IF(N(J2685)=0,"Duur is nul",IF(N(J2685)&gt;12,"Langer dan 12 uur - controleren",IF(AND(E2685="Werken",D2685=""),"Werken zonder klant - koppelen","OK"))))))</f>
        <v/>
      </c>
    </row>
    <row r="2686" ht="15" customHeight="1" s="42">
      <c r="A2686" s="55" t="n"/>
      <c r="B2686" s="56">
        <f>IF(A2686="","",WEEKNUM(A2686,21))</f>
        <v/>
      </c>
      <c r="C2686" s="57" t="n"/>
      <c r="D2686" s="57" t="n"/>
      <c r="E2686" s="58" t="n"/>
      <c r="F2686" s="57" t="n"/>
      <c r="G2686" s="59" t="n"/>
      <c r="H2686" s="59" t="n"/>
      <c r="I2686" s="60">
        <f>IF(OR(G2686="",H2686=""),"",MOD(H2686-G2686,1))</f>
        <v/>
      </c>
      <c r="J2686" s="61">
        <f>IF(OR(G2686="",H2686=""),"",ROUND(MOD(H2686-G2686,1)*24,2))</f>
        <v/>
      </c>
      <c r="K2686" s="62">
        <f>IF(E2686="","",IF(E2686="Werken","JA","NEE"))</f>
        <v/>
      </c>
      <c r="L2686" s="61">
        <f>IF(K2686="JA",N(J2686),IF(E2686="","",0))</f>
        <v/>
      </c>
      <c r="M2686" s="62">
        <f>IF(AND(A2686="",E2686=""),"",IF(E2686="","Segment ontbreekt",IF(OR(G2686="",H2686=""),"Van/tot ontbreekt",IF(N(J2686)=0,"Duur is nul",IF(N(J2686)&gt;12,"Langer dan 12 uur - controleren",IF(AND(E2686="Werken",D2686=""),"Werken zonder klant - koppelen","OK"))))))</f>
        <v/>
      </c>
    </row>
    <row r="2687" ht="15" customHeight="1" s="42">
      <c r="A2687" s="55" t="n"/>
      <c r="B2687" s="56">
        <f>IF(A2687="","",WEEKNUM(A2687,21))</f>
        <v/>
      </c>
      <c r="C2687" s="57" t="n"/>
      <c r="D2687" s="57" t="n"/>
      <c r="E2687" s="58" t="n"/>
      <c r="F2687" s="57" t="n"/>
      <c r="G2687" s="59" t="n"/>
      <c r="H2687" s="59" t="n"/>
      <c r="I2687" s="60">
        <f>IF(OR(G2687="",H2687=""),"",MOD(H2687-G2687,1))</f>
        <v/>
      </c>
      <c r="J2687" s="61">
        <f>IF(OR(G2687="",H2687=""),"",ROUND(MOD(H2687-G2687,1)*24,2))</f>
        <v/>
      </c>
      <c r="K2687" s="62">
        <f>IF(E2687="","",IF(E2687="Werken","JA","NEE"))</f>
        <v/>
      </c>
      <c r="L2687" s="61">
        <f>IF(K2687="JA",N(J2687),IF(E2687="","",0))</f>
        <v/>
      </c>
      <c r="M2687" s="62">
        <f>IF(AND(A2687="",E2687=""),"",IF(E2687="","Segment ontbreekt",IF(OR(G2687="",H2687=""),"Van/tot ontbreekt",IF(N(J2687)=0,"Duur is nul",IF(N(J2687)&gt;12,"Langer dan 12 uur - controleren",IF(AND(E2687="Werken",D2687=""),"Werken zonder klant - koppelen","OK"))))))</f>
        <v/>
      </c>
    </row>
    <row r="2688" ht="15" customHeight="1" s="42">
      <c r="A2688" s="55" t="n"/>
      <c r="B2688" s="56">
        <f>IF(A2688="","",WEEKNUM(A2688,21))</f>
        <v/>
      </c>
      <c r="C2688" s="57" t="n"/>
      <c r="D2688" s="57" t="n"/>
      <c r="E2688" s="58" t="n"/>
      <c r="F2688" s="57" t="n"/>
      <c r="G2688" s="59" t="n"/>
      <c r="H2688" s="59" t="n"/>
      <c r="I2688" s="60">
        <f>IF(OR(G2688="",H2688=""),"",MOD(H2688-G2688,1))</f>
        <v/>
      </c>
      <c r="J2688" s="61">
        <f>IF(OR(G2688="",H2688=""),"",ROUND(MOD(H2688-G2688,1)*24,2))</f>
        <v/>
      </c>
      <c r="K2688" s="62">
        <f>IF(E2688="","",IF(E2688="Werken","JA","NEE"))</f>
        <v/>
      </c>
      <c r="L2688" s="61">
        <f>IF(K2688="JA",N(J2688),IF(E2688="","",0))</f>
        <v/>
      </c>
      <c r="M2688" s="62">
        <f>IF(AND(A2688="",E2688=""),"",IF(E2688="","Segment ontbreekt",IF(OR(G2688="",H2688=""),"Van/tot ontbreekt",IF(N(J2688)=0,"Duur is nul",IF(N(J2688)&gt;12,"Langer dan 12 uur - controleren",IF(AND(E2688="Werken",D2688=""),"Werken zonder klant - koppelen","OK"))))))</f>
        <v/>
      </c>
    </row>
    <row r="2689" ht="15" customHeight="1" s="42">
      <c r="A2689" s="55" t="n"/>
      <c r="B2689" s="56">
        <f>IF(A2689="","",WEEKNUM(A2689,21))</f>
        <v/>
      </c>
      <c r="C2689" s="57" t="n"/>
      <c r="D2689" s="57" t="n"/>
      <c r="E2689" s="58" t="n"/>
      <c r="F2689" s="57" t="n"/>
      <c r="G2689" s="59" t="n"/>
      <c r="H2689" s="59" t="n"/>
      <c r="I2689" s="60">
        <f>IF(OR(G2689="",H2689=""),"",MOD(H2689-G2689,1))</f>
        <v/>
      </c>
      <c r="J2689" s="61">
        <f>IF(OR(G2689="",H2689=""),"",ROUND(MOD(H2689-G2689,1)*24,2))</f>
        <v/>
      </c>
      <c r="K2689" s="62">
        <f>IF(E2689="","",IF(E2689="Werken","JA","NEE"))</f>
        <v/>
      </c>
      <c r="L2689" s="61">
        <f>IF(K2689="JA",N(J2689),IF(E2689="","",0))</f>
        <v/>
      </c>
      <c r="M2689" s="62">
        <f>IF(AND(A2689="",E2689=""),"",IF(E2689="","Segment ontbreekt",IF(OR(G2689="",H2689=""),"Van/tot ontbreekt",IF(N(J2689)=0,"Duur is nul",IF(N(J2689)&gt;12,"Langer dan 12 uur - controleren",IF(AND(E2689="Werken",D2689=""),"Werken zonder klant - koppelen","OK"))))))</f>
        <v/>
      </c>
    </row>
    <row r="2690" ht="15" customHeight="1" s="42">
      <c r="A2690" s="55" t="n"/>
      <c r="B2690" s="56">
        <f>IF(A2690="","",WEEKNUM(A2690,21))</f>
        <v/>
      </c>
      <c r="C2690" s="57" t="n"/>
      <c r="D2690" s="57" t="n"/>
      <c r="E2690" s="58" t="n"/>
      <c r="F2690" s="57" t="n"/>
      <c r="G2690" s="59" t="n"/>
      <c r="H2690" s="59" t="n"/>
      <c r="I2690" s="60">
        <f>IF(OR(G2690="",H2690=""),"",MOD(H2690-G2690,1))</f>
        <v/>
      </c>
      <c r="J2690" s="61">
        <f>IF(OR(G2690="",H2690=""),"",ROUND(MOD(H2690-G2690,1)*24,2))</f>
        <v/>
      </c>
      <c r="K2690" s="62">
        <f>IF(E2690="","",IF(E2690="Werken","JA","NEE"))</f>
        <v/>
      </c>
      <c r="L2690" s="61">
        <f>IF(K2690="JA",N(J2690),IF(E2690="","",0))</f>
        <v/>
      </c>
      <c r="M2690" s="62">
        <f>IF(AND(A2690="",E2690=""),"",IF(E2690="","Segment ontbreekt",IF(OR(G2690="",H2690=""),"Van/tot ontbreekt",IF(N(J2690)=0,"Duur is nul",IF(N(J2690)&gt;12,"Langer dan 12 uur - controleren",IF(AND(E2690="Werken",D2690=""),"Werken zonder klant - koppelen","OK"))))))</f>
        <v/>
      </c>
    </row>
    <row r="2691" ht="15" customHeight="1" s="42">
      <c r="A2691" s="55" t="n"/>
      <c r="B2691" s="56">
        <f>IF(A2691="","",WEEKNUM(A2691,21))</f>
        <v/>
      </c>
      <c r="C2691" s="57" t="n"/>
      <c r="D2691" s="57" t="n"/>
      <c r="E2691" s="58" t="n"/>
      <c r="F2691" s="57" t="n"/>
      <c r="G2691" s="59" t="n"/>
      <c r="H2691" s="59" t="n"/>
      <c r="I2691" s="60">
        <f>IF(OR(G2691="",H2691=""),"",MOD(H2691-G2691,1))</f>
        <v/>
      </c>
      <c r="J2691" s="61">
        <f>IF(OR(G2691="",H2691=""),"",ROUND(MOD(H2691-G2691,1)*24,2))</f>
        <v/>
      </c>
      <c r="K2691" s="62">
        <f>IF(E2691="","",IF(E2691="Werken","JA","NEE"))</f>
        <v/>
      </c>
      <c r="L2691" s="61">
        <f>IF(K2691="JA",N(J2691),IF(E2691="","",0))</f>
        <v/>
      </c>
      <c r="M2691" s="62">
        <f>IF(AND(A2691="",E2691=""),"",IF(E2691="","Segment ontbreekt",IF(OR(G2691="",H2691=""),"Van/tot ontbreekt",IF(N(J2691)=0,"Duur is nul",IF(N(J2691)&gt;12,"Langer dan 12 uur - controleren",IF(AND(E2691="Werken",D2691=""),"Werken zonder klant - koppelen","OK"))))))</f>
        <v/>
      </c>
    </row>
    <row r="2692" ht="15" customHeight="1" s="42">
      <c r="A2692" s="55" t="n"/>
      <c r="B2692" s="56">
        <f>IF(A2692="","",WEEKNUM(A2692,21))</f>
        <v/>
      </c>
      <c r="C2692" s="57" t="n"/>
      <c r="D2692" s="57" t="n"/>
      <c r="E2692" s="58" t="n"/>
      <c r="F2692" s="57" t="n"/>
      <c r="G2692" s="59" t="n"/>
      <c r="H2692" s="59" t="n"/>
      <c r="I2692" s="60">
        <f>IF(OR(G2692="",H2692=""),"",MOD(H2692-G2692,1))</f>
        <v/>
      </c>
      <c r="J2692" s="61">
        <f>IF(OR(G2692="",H2692=""),"",ROUND(MOD(H2692-G2692,1)*24,2))</f>
        <v/>
      </c>
      <c r="K2692" s="62">
        <f>IF(E2692="","",IF(E2692="Werken","JA","NEE"))</f>
        <v/>
      </c>
      <c r="L2692" s="61">
        <f>IF(K2692="JA",N(J2692),IF(E2692="","",0))</f>
        <v/>
      </c>
      <c r="M2692" s="62">
        <f>IF(AND(A2692="",E2692=""),"",IF(E2692="","Segment ontbreekt",IF(OR(G2692="",H2692=""),"Van/tot ontbreekt",IF(N(J2692)=0,"Duur is nul",IF(N(J2692)&gt;12,"Langer dan 12 uur - controleren",IF(AND(E2692="Werken",D2692=""),"Werken zonder klant - koppelen","OK"))))))</f>
        <v/>
      </c>
    </row>
    <row r="2693" ht="15" customHeight="1" s="42">
      <c r="A2693" s="55" t="n"/>
      <c r="B2693" s="56">
        <f>IF(A2693="","",WEEKNUM(A2693,21))</f>
        <v/>
      </c>
      <c r="C2693" s="57" t="n"/>
      <c r="D2693" s="57" t="n"/>
      <c r="E2693" s="58" t="n"/>
      <c r="F2693" s="57" t="n"/>
      <c r="G2693" s="59" t="n"/>
      <c r="H2693" s="59" t="n"/>
      <c r="I2693" s="60">
        <f>IF(OR(G2693="",H2693=""),"",MOD(H2693-G2693,1))</f>
        <v/>
      </c>
      <c r="J2693" s="61">
        <f>IF(OR(G2693="",H2693=""),"",ROUND(MOD(H2693-G2693,1)*24,2))</f>
        <v/>
      </c>
      <c r="K2693" s="62">
        <f>IF(E2693="","",IF(E2693="Werken","JA","NEE"))</f>
        <v/>
      </c>
      <c r="L2693" s="61">
        <f>IF(K2693="JA",N(J2693),IF(E2693="","",0))</f>
        <v/>
      </c>
      <c r="M2693" s="62">
        <f>IF(AND(A2693="",E2693=""),"",IF(E2693="","Segment ontbreekt",IF(OR(G2693="",H2693=""),"Van/tot ontbreekt",IF(N(J2693)=0,"Duur is nul",IF(N(J2693)&gt;12,"Langer dan 12 uur - controleren",IF(AND(E2693="Werken",D2693=""),"Werken zonder klant - koppelen","OK"))))))</f>
        <v/>
      </c>
    </row>
    <row r="2694" ht="15" customHeight="1" s="42">
      <c r="A2694" s="55" t="n"/>
      <c r="B2694" s="56">
        <f>IF(A2694="","",WEEKNUM(A2694,21))</f>
        <v/>
      </c>
      <c r="C2694" s="57" t="n"/>
      <c r="D2694" s="57" t="n"/>
      <c r="E2694" s="58" t="n"/>
      <c r="F2694" s="57" t="n"/>
      <c r="G2694" s="59" t="n"/>
      <c r="H2694" s="59" t="n"/>
      <c r="I2694" s="60">
        <f>IF(OR(G2694="",H2694=""),"",MOD(H2694-G2694,1))</f>
        <v/>
      </c>
      <c r="J2694" s="61">
        <f>IF(OR(G2694="",H2694=""),"",ROUND(MOD(H2694-G2694,1)*24,2))</f>
        <v/>
      </c>
      <c r="K2694" s="62">
        <f>IF(E2694="","",IF(E2694="Werken","JA","NEE"))</f>
        <v/>
      </c>
      <c r="L2694" s="61">
        <f>IF(K2694="JA",N(J2694),IF(E2694="","",0))</f>
        <v/>
      </c>
      <c r="M2694" s="62">
        <f>IF(AND(A2694="",E2694=""),"",IF(E2694="","Segment ontbreekt",IF(OR(G2694="",H2694=""),"Van/tot ontbreekt",IF(N(J2694)=0,"Duur is nul",IF(N(J2694)&gt;12,"Langer dan 12 uur - controleren",IF(AND(E2694="Werken",D2694=""),"Werken zonder klant - koppelen","OK"))))))</f>
        <v/>
      </c>
    </row>
    <row r="2695" ht="15" customHeight="1" s="42">
      <c r="A2695" s="55" t="n"/>
      <c r="B2695" s="56">
        <f>IF(A2695="","",WEEKNUM(A2695,21))</f>
        <v/>
      </c>
      <c r="C2695" s="57" t="n"/>
      <c r="D2695" s="57" t="n"/>
      <c r="E2695" s="58" t="n"/>
      <c r="F2695" s="57" t="n"/>
      <c r="G2695" s="59" t="n"/>
      <c r="H2695" s="59" t="n"/>
      <c r="I2695" s="60">
        <f>IF(OR(G2695="",H2695=""),"",MOD(H2695-G2695,1))</f>
        <v/>
      </c>
      <c r="J2695" s="61">
        <f>IF(OR(G2695="",H2695=""),"",ROUND(MOD(H2695-G2695,1)*24,2))</f>
        <v/>
      </c>
      <c r="K2695" s="62">
        <f>IF(E2695="","",IF(E2695="Werken","JA","NEE"))</f>
        <v/>
      </c>
      <c r="L2695" s="61">
        <f>IF(K2695="JA",N(J2695),IF(E2695="","",0))</f>
        <v/>
      </c>
      <c r="M2695" s="62">
        <f>IF(AND(A2695="",E2695=""),"",IF(E2695="","Segment ontbreekt",IF(OR(G2695="",H2695=""),"Van/tot ontbreekt",IF(N(J2695)=0,"Duur is nul",IF(N(J2695)&gt;12,"Langer dan 12 uur - controleren",IF(AND(E2695="Werken",D2695=""),"Werken zonder klant - koppelen","OK"))))))</f>
        <v/>
      </c>
    </row>
    <row r="2696" ht="15" customHeight="1" s="42">
      <c r="A2696" s="55" t="n"/>
      <c r="B2696" s="56">
        <f>IF(A2696="","",WEEKNUM(A2696,21))</f>
        <v/>
      </c>
      <c r="C2696" s="57" t="n"/>
      <c r="D2696" s="57" t="n"/>
      <c r="E2696" s="58" t="n"/>
      <c r="F2696" s="57" t="n"/>
      <c r="G2696" s="59" t="n"/>
      <c r="H2696" s="59" t="n"/>
      <c r="I2696" s="60">
        <f>IF(OR(G2696="",H2696=""),"",MOD(H2696-G2696,1))</f>
        <v/>
      </c>
      <c r="J2696" s="61">
        <f>IF(OR(G2696="",H2696=""),"",ROUND(MOD(H2696-G2696,1)*24,2))</f>
        <v/>
      </c>
      <c r="K2696" s="62">
        <f>IF(E2696="","",IF(E2696="Werken","JA","NEE"))</f>
        <v/>
      </c>
      <c r="L2696" s="61">
        <f>IF(K2696="JA",N(J2696),IF(E2696="","",0))</f>
        <v/>
      </c>
      <c r="M2696" s="62">
        <f>IF(AND(A2696="",E2696=""),"",IF(E2696="","Segment ontbreekt",IF(OR(G2696="",H2696=""),"Van/tot ontbreekt",IF(N(J2696)=0,"Duur is nul",IF(N(J2696)&gt;12,"Langer dan 12 uur - controleren",IF(AND(E2696="Werken",D2696=""),"Werken zonder klant - koppelen","OK"))))))</f>
        <v/>
      </c>
    </row>
    <row r="2697" ht="15" customHeight="1" s="42">
      <c r="A2697" s="55" t="n"/>
      <c r="B2697" s="56">
        <f>IF(A2697="","",WEEKNUM(A2697,21))</f>
        <v/>
      </c>
      <c r="C2697" s="57" t="n"/>
      <c r="D2697" s="57" t="n"/>
      <c r="E2697" s="58" t="n"/>
      <c r="F2697" s="57" t="n"/>
      <c r="G2697" s="59" t="n"/>
      <c r="H2697" s="59" t="n"/>
      <c r="I2697" s="60">
        <f>IF(OR(G2697="",H2697=""),"",MOD(H2697-G2697,1))</f>
        <v/>
      </c>
      <c r="J2697" s="61">
        <f>IF(OR(G2697="",H2697=""),"",ROUND(MOD(H2697-G2697,1)*24,2))</f>
        <v/>
      </c>
      <c r="K2697" s="62">
        <f>IF(E2697="","",IF(E2697="Werken","JA","NEE"))</f>
        <v/>
      </c>
      <c r="L2697" s="61">
        <f>IF(K2697="JA",N(J2697),IF(E2697="","",0))</f>
        <v/>
      </c>
      <c r="M2697" s="62">
        <f>IF(AND(A2697="",E2697=""),"",IF(E2697="","Segment ontbreekt",IF(OR(G2697="",H2697=""),"Van/tot ontbreekt",IF(N(J2697)=0,"Duur is nul",IF(N(J2697)&gt;12,"Langer dan 12 uur - controleren",IF(AND(E2697="Werken",D2697=""),"Werken zonder klant - koppelen","OK"))))))</f>
        <v/>
      </c>
    </row>
    <row r="2698" ht="15" customHeight="1" s="42">
      <c r="A2698" s="55" t="n"/>
      <c r="B2698" s="56">
        <f>IF(A2698="","",WEEKNUM(A2698,21))</f>
        <v/>
      </c>
      <c r="C2698" s="57" t="n"/>
      <c r="D2698" s="57" t="n"/>
      <c r="E2698" s="58" t="n"/>
      <c r="F2698" s="57" t="n"/>
      <c r="G2698" s="59" t="n"/>
      <c r="H2698" s="59" t="n"/>
      <c r="I2698" s="60">
        <f>IF(OR(G2698="",H2698=""),"",MOD(H2698-G2698,1))</f>
        <v/>
      </c>
      <c r="J2698" s="61">
        <f>IF(OR(G2698="",H2698=""),"",ROUND(MOD(H2698-G2698,1)*24,2))</f>
        <v/>
      </c>
      <c r="K2698" s="62">
        <f>IF(E2698="","",IF(E2698="Werken","JA","NEE"))</f>
        <v/>
      </c>
      <c r="L2698" s="61">
        <f>IF(K2698="JA",N(J2698),IF(E2698="","",0))</f>
        <v/>
      </c>
      <c r="M2698" s="62">
        <f>IF(AND(A2698="",E2698=""),"",IF(E2698="","Segment ontbreekt",IF(OR(G2698="",H2698=""),"Van/tot ontbreekt",IF(N(J2698)=0,"Duur is nul",IF(N(J2698)&gt;12,"Langer dan 12 uur - controleren",IF(AND(E2698="Werken",D2698=""),"Werken zonder klant - koppelen","OK"))))))</f>
        <v/>
      </c>
    </row>
    <row r="2699" ht="15" customHeight="1" s="42">
      <c r="A2699" s="55" t="n"/>
      <c r="B2699" s="56">
        <f>IF(A2699="","",WEEKNUM(A2699,21))</f>
        <v/>
      </c>
      <c r="C2699" s="57" t="n"/>
      <c r="D2699" s="57" t="n"/>
      <c r="E2699" s="58" t="n"/>
      <c r="F2699" s="57" t="n"/>
      <c r="G2699" s="59" t="n"/>
      <c r="H2699" s="59" t="n"/>
      <c r="I2699" s="60">
        <f>IF(OR(G2699="",H2699=""),"",MOD(H2699-G2699,1))</f>
        <v/>
      </c>
      <c r="J2699" s="61">
        <f>IF(OR(G2699="",H2699=""),"",ROUND(MOD(H2699-G2699,1)*24,2))</f>
        <v/>
      </c>
      <c r="K2699" s="62">
        <f>IF(E2699="","",IF(E2699="Werken","JA","NEE"))</f>
        <v/>
      </c>
      <c r="L2699" s="61">
        <f>IF(K2699="JA",N(J2699),IF(E2699="","",0))</f>
        <v/>
      </c>
      <c r="M2699" s="62">
        <f>IF(AND(A2699="",E2699=""),"",IF(E2699="","Segment ontbreekt",IF(OR(G2699="",H2699=""),"Van/tot ontbreekt",IF(N(J2699)=0,"Duur is nul",IF(N(J2699)&gt;12,"Langer dan 12 uur - controleren",IF(AND(E2699="Werken",D2699=""),"Werken zonder klant - koppelen","OK"))))))</f>
        <v/>
      </c>
    </row>
    <row r="2700" ht="15" customHeight="1" s="42">
      <c r="A2700" s="55" t="n"/>
      <c r="B2700" s="56">
        <f>IF(A2700="","",WEEKNUM(A2700,21))</f>
        <v/>
      </c>
      <c r="C2700" s="57" t="n"/>
      <c r="D2700" s="57" t="n"/>
      <c r="E2700" s="58" t="n"/>
      <c r="F2700" s="57" t="n"/>
      <c r="G2700" s="59" t="n"/>
      <c r="H2700" s="59" t="n"/>
      <c r="I2700" s="60">
        <f>IF(OR(G2700="",H2700=""),"",MOD(H2700-G2700,1))</f>
        <v/>
      </c>
      <c r="J2700" s="61">
        <f>IF(OR(G2700="",H2700=""),"",ROUND(MOD(H2700-G2700,1)*24,2))</f>
        <v/>
      </c>
      <c r="K2700" s="62">
        <f>IF(E2700="","",IF(E2700="Werken","JA","NEE"))</f>
        <v/>
      </c>
      <c r="L2700" s="61">
        <f>IF(K2700="JA",N(J2700),IF(E2700="","",0))</f>
        <v/>
      </c>
      <c r="M2700" s="62">
        <f>IF(AND(A2700="",E2700=""),"",IF(E2700="","Segment ontbreekt",IF(OR(G2700="",H2700=""),"Van/tot ontbreekt",IF(N(J2700)=0,"Duur is nul",IF(N(J2700)&gt;12,"Langer dan 12 uur - controleren",IF(AND(E2700="Werken",D2700=""),"Werken zonder klant - koppelen","OK"))))))</f>
        <v/>
      </c>
    </row>
    <row r="2701" ht="15" customHeight="1" s="42">
      <c r="A2701" s="55" t="n"/>
      <c r="B2701" s="56">
        <f>IF(A2701="","",WEEKNUM(A2701,21))</f>
        <v/>
      </c>
      <c r="C2701" s="57" t="n"/>
      <c r="D2701" s="57" t="n"/>
      <c r="E2701" s="58" t="n"/>
      <c r="F2701" s="57" t="n"/>
      <c r="G2701" s="59" t="n"/>
      <c r="H2701" s="59" t="n"/>
      <c r="I2701" s="60">
        <f>IF(OR(G2701="",H2701=""),"",MOD(H2701-G2701,1))</f>
        <v/>
      </c>
      <c r="J2701" s="61">
        <f>IF(OR(G2701="",H2701=""),"",ROUND(MOD(H2701-G2701,1)*24,2))</f>
        <v/>
      </c>
      <c r="K2701" s="62">
        <f>IF(E2701="","",IF(E2701="Werken","JA","NEE"))</f>
        <v/>
      </c>
      <c r="L2701" s="61">
        <f>IF(K2701="JA",N(J2701),IF(E2701="","",0))</f>
        <v/>
      </c>
      <c r="M2701" s="62">
        <f>IF(AND(A2701="",E2701=""),"",IF(E2701="","Segment ontbreekt",IF(OR(G2701="",H2701=""),"Van/tot ontbreekt",IF(N(J2701)=0,"Duur is nul",IF(N(J2701)&gt;12,"Langer dan 12 uur - controleren",IF(AND(E2701="Werken",D2701=""),"Werken zonder klant - koppelen","OK"))))))</f>
        <v/>
      </c>
    </row>
    <row r="2702" ht="15" customHeight="1" s="42">
      <c r="A2702" s="55" t="n"/>
      <c r="B2702" s="56">
        <f>IF(A2702="","",WEEKNUM(A2702,21))</f>
        <v/>
      </c>
      <c r="C2702" s="57" t="n"/>
      <c r="D2702" s="57" t="n"/>
      <c r="E2702" s="58" t="n"/>
      <c r="F2702" s="57" t="n"/>
      <c r="G2702" s="59" t="n"/>
      <c r="H2702" s="59" t="n"/>
      <c r="I2702" s="60">
        <f>IF(OR(G2702="",H2702=""),"",MOD(H2702-G2702,1))</f>
        <v/>
      </c>
      <c r="J2702" s="61">
        <f>IF(OR(G2702="",H2702=""),"",ROUND(MOD(H2702-G2702,1)*24,2))</f>
        <v/>
      </c>
      <c r="K2702" s="62">
        <f>IF(E2702="","",IF(E2702="Werken","JA","NEE"))</f>
        <v/>
      </c>
      <c r="L2702" s="61">
        <f>IF(K2702="JA",N(J2702),IF(E2702="","",0))</f>
        <v/>
      </c>
      <c r="M2702" s="62">
        <f>IF(AND(A2702="",E2702=""),"",IF(E2702="","Segment ontbreekt",IF(OR(G2702="",H2702=""),"Van/tot ontbreekt",IF(N(J2702)=0,"Duur is nul",IF(N(J2702)&gt;12,"Langer dan 12 uur - controleren",IF(AND(E2702="Werken",D2702=""),"Werken zonder klant - koppelen","OK"))))))</f>
        <v/>
      </c>
    </row>
    <row r="2703" ht="15" customHeight="1" s="42">
      <c r="A2703" s="55" t="n"/>
      <c r="B2703" s="56">
        <f>IF(A2703="","",WEEKNUM(A2703,21))</f>
        <v/>
      </c>
      <c r="C2703" s="57" t="n"/>
      <c r="D2703" s="57" t="n"/>
      <c r="E2703" s="58" t="n"/>
      <c r="F2703" s="57" t="n"/>
      <c r="G2703" s="59" t="n"/>
      <c r="H2703" s="59" t="n"/>
      <c r="I2703" s="60">
        <f>IF(OR(G2703="",H2703=""),"",MOD(H2703-G2703,1))</f>
        <v/>
      </c>
      <c r="J2703" s="61">
        <f>IF(OR(G2703="",H2703=""),"",ROUND(MOD(H2703-G2703,1)*24,2))</f>
        <v/>
      </c>
      <c r="K2703" s="62">
        <f>IF(E2703="","",IF(E2703="Werken","JA","NEE"))</f>
        <v/>
      </c>
      <c r="L2703" s="61">
        <f>IF(K2703="JA",N(J2703),IF(E2703="","",0))</f>
        <v/>
      </c>
      <c r="M2703" s="62">
        <f>IF(AND(A2703="",E2703=""),"",IF(E2703="","Segment ontbreekt",IF(OR(G2703="",H2703=""),"Van/tot ontbreekt",IF(N(J2703)=0,"Duur is nul",IF(N(J2703)&gt;12,"Langer dan 12 uur - controleren",IF(AND(E2703="Werken",D2703=""),"Werken zonder klant - koppelen","OK"))))))</f>
        <v/>
      </c>
    </row>
    <row r="2704" ht="15" customHeight="1" s="42">
      <c r="A2704" s="55" t="n"/>
      <c r="B2704" s="56">
        <f>IF(A2704="","",WEEKNUM(A2704,21))</f>
        <v/>
      </c>
      <c r="C2704" s="57" t="n"/>
      <c r="D2704" s="57" t="n"/>
      <c r="E2704" s="58" t="n"/>
      <c r="F2704" s="57" t="n"/>
      <c r="G2704" s="59" t="n"/>
      <c r="H2704" s="59" t="n"/>
      <c r="I2704" s="60">
        <f>IF(OR(G2704="",H2704=""),"",MOD(H2704-G2704,1))</f>
        <v/>
      </c>
      <c r="J2704" s="61">
        <f>IF(OR(G2704="",H2704=""),"",ROUND(MOD(H2704-G2704,1)*24,2))</f>
        <v/>
      </c>
      <c r="K2704" s="62">
        <f>IF(E2704="","",IF(E2704="Werken","JA","NEE"))</f>
        <v/>
      </c>
      <c r="L2704" s="61">
        <f>IF(K2704="JA",N(J2704),IF(E2704="","",0))</f>
        <v/>
      </c>
      <c r="M2704" s="62">
        <f>IF(AND(A2704="",E2704=""),"",IF(E2704="","Segment ontbreekt",IF(OR(G2704="",H2704=""),"Van/tot ontbreekt",IF(N(J2704)=0,"Duur is nul",IF(N(J2704)&gt;12,"Langer dan 12 uur - controleren",IF(AND(E2704="Werken",D2704=""),"Werken zonder klant - koppelen","OK"))))))</f>
        <v/>
      </c>
    </row>
    <row r="2705" ht="15" customHeight="1" s="42">
      <c r="A2705" s="55" t="n"/>
      <c r="B2705" s="56">
        <f>IF(A2705="","",WEEKNUM(A2705,21))</f>
        <v/>
      </c>
      <c r="C2705" s="57" t="n"/>
      <c r="D2705" s="57" t="n"/>
      <c r="E2705" s="58" t="n"/>
      <c r="F2705" s="57" t="n"/>
      <c r="G2705" s="59" t="n"/>
      <c r="H2705" s="59" t="n"/>
      <c r="I2705" s="60">
        <f>IF(OR(G2705="",H2705=""),"",MOD(H2705-G2705,1))</f>
        <v/>
      </c>
      <c r="J2705" s="61">
        <f>IF(OR(G2705="",H2705=""),"",ROUND(MOD(H2705-G2705,1)*24,2))</f>
        <v/>
      </c>
      <c r="K2705" s="62">
        <f>IF(E2705="","",IF(E2705="Werken","JA","NEE"))</f>
        <v/>
      </c>
      <c r="L2705" s="61">
        <f>IF(K2705="JA",N(J2705),IF(E2705="","",0))</f>
        <v/>
      </c>
      <c r="M2705" s="62">
        <f>IF(AND(A2705="",E2705=""),"",IF(E2705="","Segment ontbreekt",IF(OR(G2705="",H2705=""),"Van/tot ontbreekt",IF(N(J2705)=0,"Duur is nul",IF(N(J2705)&gt;12,"Langer dan 12 uur - controleren",IF(AND(E2705="Werken",D2705=""),"Werken zonder klant - koppelen","OK"))))))</f>
        <v/>
      </c>
    </row>
    <row r="2706" ht="15" customHeight="1" s="42">
      <c r="A2706" s="55" t="n"/>
      <c r="B2706" s="56">
        <f>IF(A2706="","",WEEKNUM(A2706,21))</f>
        <v/>
      </c>
      <c r="C2706" s="57" t="n"/>
      <c r="D2706" s="57" t="n"/>
      <c r="E2706" s="58" t="n"/>
      <c r="F2706" s="57" t="n"/>
      <c r="G2706" s="59" t="n"/>
      <c r="H2706" s="59" t="n"/>
      <c r="I2706" s="60">
        <f>IF(OR(G2706="",H2706=""),"",MOD(H2706-G2706,1))</f>
        <v/>
      </c>
      <c r="J2706" s="61">
        <f>IF(OR(G2706="",H2706=""),"",ROUND(MOD(H2706-G2706,1)*24,2))</f>
        <v/>
      </c>
      <c r="K2706" s="62">
        <f>IF(E2706="","",IF(E2706="Werken","JA","NEE"))</f>
        <v/>
      </c>
      <c r="L2706" s="61">
        <f>IF(K2706="JA",N(J2706),IF(E2706="","",0))</f>
        <v/>
      </c>
      <c r="M2706" s="62">
        <f>IF(AND(A2706="",E2706=""),"",IF(E2706="","Segment ontbreekt",IF(OR(G2706="",H2706=""),"Van/tot ontbreekt",IF(N(J2706)=0,"Duur is nul",IF(N(J2706)&gt;12,"Langer dan 12 uur - controleren",IF(AND(E2706="Werken",D2706=""),"Werken zonder klant - koppelen","OK"))))))</f>
        <v/>
      </c>
    </row>
    <row r="2707" ht="15" customHeight="1" s="42">
      <c r="A2707" s="55" t="n"/>
      <c r="B2707" s="56">
        <f>IF(A2707="","",WEEKNUM(A2707,21))</f>
        <v/>
      </c>
      <c r="C2707" s="57" t="n"/>
      <c r="D2707" s="57" t="n"/>
      <c r="E2707" s="58" t="n"/>
      <c r="F2707" s="57" t="n"/>
      <c r="G2707" s="59" t="n"/>
      <c r="H2707" s="59" t="n"/>
      <c r="I2707" s="60">
        <f>IF(OR(G2707="",H2707=""),"",MOD(H2707-G2707,1))</f>
        <v/>
      </c>
      <c r="J2707" s="61">
        <f>IF(OR(G2707="",H2707=""),"",ROUND(MOD(H2707-G2707,1)*24,2))</f>
        <v/>
      </c>
      <c r="K2707" s="62">
        <f>IF(E2707="","",IF(E2707="Werken","JA","NEE"))</f>
        <v/>
      </c>
      <c r="L2707" s="61">
        <f>IF(K2707="JA",N(J2707),IF(E2707="","",0))</f>
        <v/>
      </c>
      <c r="M2707" s="62">
        <f>IF(AND(A2707="",E2707=""),"",IF(E2707="","Segment ontbreekt",IF(OR(G2707="",H2707=""),"Van/tot ontbreekt",IF(N(J2707)=0,"Duur is nul",IF(N(J2707)&gt;12,"Langer dan 12 uur - controleren",IF(AND(E2707="Werken",D2707=""),"Werken zonder klant - koppelen","OK"))))))</f>
        <v/>
      </c>
    </row>
    <row r="2708" ht="15" customHeight="1" s="42">
      <c r="A2708" s="55" t="n"/>
      <c r="B2708" s="56">
        <f>IF(A2708="","",WEEKNUM(A2708,21))</f>
        <v/>
      </c>
      <c r="C2708" s="57" t="n"/>
      <c r="D2708" s="57" t="n"/>
      <c r="E2708" s="58" t="n"/>
      <c r="F2708" s="57" t="n"/>
      <c r="G2708" s="59" t="n"/>
      <c r="H2708" s="59" t="n"/>
      <c r="I2708" s="60">
        <f>IF(OR(G2708="",H2708=""),"",MOD(H2708-G2708,1))</f>
        <v/>
      </c>
      <c r="J2708" s="61">
        <f>IF(OR(G2708="",H2708=""),"",ROUND(MOD(H2708-G2708,1)*24,2))</f>
        <v/>
      </c>
      <c r="K2708" s="62">
        <f>IF(E2708="","",IF(E2708="Werken","JA","NEE"))</f>
        <v/>
      </c>
      <c r="L2708" s="61">
        <f>IF(K2708="JA",N(J2708),IF(E2708="","",0))</f>
        <v/>
      </c>
      <c r="M2708" s="62">
        <f>IF(AND(A2708="",E2708=""),"",IF(E2708="","Segment ontbreekt",IF(OR(G2708="",H2708=""),"Van/tot ontbreekt",IF(N(J2708)=0,"Duur is nul",IF(N(J2708)&gt;12,"Langer dan 12 uur - controleren",IF(AND(E2708="Werken",D2708=""),"Werken zonder klant - koppelen","OK"))))))</f>
        <v/>
      </c>
    </row>
    <row r="2709" ht="15" customHeight="1" s="42">
      <c r="A2709" s="55" t="n"/>
      <c r="B2709" s="56">
        <f>IF(A2709="","",WEEKNUM(A2709,21))</f>
        <v/>
      </c>
      <c r="C2709" s="57" t="n"/>
      <c r="D2709" s="57" t="n"/>
      <c r="E2709" s="58" t="n"/>
      <c r="F2709" s="57" t="n"/>
      <c r="G2709" s="59" t="n"/>
      <c r="H2709" s="59" t="n"/>
      <c r="I2709" s="60">
        <f>IF(OR(G2709="",H2709=""),"",MOD(H2709-G2709,1))</f>
        <v/>
      </c>
      <c r="J2709" s="61">
        <f>IF(OR(G2709="",H2709=""),"",ROUND(MOD(H2709-G2709,1)*24,2))</f>
        <v/>
      </c>
      <c r="K2709" s="62">
        <f>IF(E2709="","",IF(E2709="Werken","JA","NEE"))</f>
        <v/>
      </c>
      <c r="L2709" s="61">
        <f>IF(K2709="JA",N(J2709),IF(E2709="","",0))</f>
        <v/>
      </c>
      <c r="M2709" s="62">
        <f>IF(AND(A2709="",E2709=""),"",IF(E2709="","Segment ontbreekt",IF(OR(G2709="",H2709=""),"Van/tot ontbreekt",IF(N(J2709)=0,"Duur is nul",IF(N(J2709)&gt;12,"Langer dan 12 uur - controleren",IF(AND(E2709="Werken",D2709=""),"Werken zonder klant - koppelen","OK"))))))</f>
        <v/>
      </c>
    </row>
    <row r="2710" ht="15" customHeight="1" s="42">
      <c r="A2710" s="55" t="n"/>
      <c r="B2710" s="56">
        <f>IF(A2710="","",WEEKNUM(A2710,21))</f>
        <v/>
      </c>
      <c r="C2710" s="57" t="n"/>
      <c r="D2710" s="57" t="n"/>
      <c r="E2710" s="58" t="n"/>
      <c r="F2710" s="57" t="n"/>
      <c r="G2710" s="59" t="n"/>
      <c r="H2710" s="59" t="n"/>
      <c r="I2710" s="60">
        <f>IF(OR(G2710="",H2710=""),"",MOD(H2710-G2710,1))</f>
        <v/>
      </c>
      <c r="J2710" s="61">
        <f>IF(OR(G2710="",H2710=""),"",ROUND(MOD(H2710-G2710,1)*24,2))</f>
        <v/>
      </c>
      <c r="K2710" s="62">
        <f>IF(E2710="","",IF(E2710="Werken","JA","NEE"))</f>
        <v/>
      </c>
      <c r="L2710" s="61">
        <f>IF(K2710="JA",N(J2710),IF(E2710="","",0))</f>
        <v/>
      </c>
      <c r="M2710" s="62">
        <f>IF(AND(A2710="",E2710=""),"",IF(E2710="","Segment ontbreekt",IF(OR(G2710="",H2710=""),"Van/tot ontbreekt",IF(N(J2710)=0,"Duur is nul",IF(N(J2710)&gt;12,"Langer dan 12 uur - controleren",IF(AND(E2710="Werken",D2710=""),"Werken zonder klant - koppelen","OK"))))))</f>
        <v/>
      </c>
    </row>
    <row r="2711" ht="15" customHeight="1" s="42">
      <c r="A2711" s="55" t="n"/>
      <c r="B2711" s="56">
        <f>IF(A2711="","",WEEKNUM(A2711,21))</f>
        <v/>
      </c>
      <c r="C2711" s="57" t="n"/>
      <c r="D2711" s="57" t="n"/>
      <c r="E2711" s="58" t="n"/>
      <c r="F2711" s="57" t="n"/>
      <c r="G2711" s="59" t="n"/>
      <c r="H2711" s="59" t="n"/>
      <c r="I2711" s="60">
        <f>IF(OR(G2711="",H2711=""),"",MOD(H2711-G2711,1))</f>
        <v/>
      </c>
      <c r="J2711" s="61">
        <f>IF(OR(G2711="",H2711=""),"",ROUND(MOD(H2711-G2711,1)*24,2))</f>
        <v/>
      </c>
      <c r="K2711" s="62">
        <f>IF(E2711="","",IF(E2711="Werken","JA","NEE"))</f>
        <v/>
      </c>
      <c r="L2711" s="61">
        <f>IF(K2711="JA",N(J2711),IF(E2711="","",0))</f>
        <v/>
      </c>
      <c r="M2711" s="62">
        <f>IF(AND(A2711="",E2711=""),"",IF(E2711="","Segment ontbreekt",IF(OR(G2711="",H2711=""),"Van/tot ontbreekt",IF(N(J2711)=0,"Duur is nul",IF(N(J2711)&gt;12,"Langer dan 12 uur - controleren",IF(AND(E2711="Werken",D2711=""),"Werken zonder klant - koppelen","OK"))))))</f>
        <v/>
      </c>
    </row>
    <row r="2712" ht="15" customHeight="1" s="42">
      <c r="A2712" s="55" t="n"/>
      <c r="B2712" s="56">
        <f>IF(A2712="","",WEEKNUM(A2712,21))</f>
        <v/>
      </c>
      <c r="C2712" s="57" t="n"/>
      <c r="D2712" s="57" t="n"/>
      <c r="E2712" s="58" t="n"/>
      <c r="F2712" s="57" t="n"/>
      <c r="G2712" s="59" t="n"/>
      <c r="H2712" s="59" t="n"/>
      <c r="I2712" s="60">
        <f>IF(OR(G2712="",H2712=""),"",MOD(H2712-G2712,1))</f>
        <v/>
      </c>
      <c r="J2712" s="61">
        <f>IF(OR(G2712="",H2712=""),"",ROUND(MOD(H2712-G2712,1)*24,2))</f>
        <v/>
      </c>
      <c r="K2712" s="62">
        <f>IF(E2712="","",IF(E2712="Werken","JA","NEE"))</f>
        <v/>
      </c>
      <c r="L2712" s="61">
        <f>IF(K2712="JA",N(J2712),IF(E2712="","",0))</f>
        <v/>
      </c>
      <c r="M2712" s="62">
        <f>IF(AND(A2712="",E2712=""),"",IF(E2712="","Segment ontbreekt",IF(OR(G2712="",H2712=""),"Van/tot ontbreekt",IF(N(J2712)=0,"Duur is nul",IF(N(J2712)&gt;12,"Langer dan 12 uur - controleren",IF(AND(E2712="Werken",D2712=""),"Werken zonder klant - koppelen","OK"))))))</f>
        <v/>
      </c>
    </row>
    <row r="2713" ht="15" customHeight="1" s="42">
      <c r="A2713" s="55" t="n"/>
      <c r="B2713" s="56">
        <f>IF(A2713="","",WEEKNUM(A2713,21))</f>
        <v/>
      </c>
      <c r="C2713" s="57" t="n"/>
      <c r="D2713" s="57" t="n"/>
      <c r="E2713" s="58" t="n"/>
      <c r="F2713" s="57" t="n"/>
      <c r="G2713" s="59" t="n"/>
      <c r="H2713" s="59" t="n"/>
      <c r="I2713" s="60">
        <f>IF(OR(G2713="",H2713=""),"",MOD(H2713-G2713,1))</f>
        <v/>
      </c>
      <c r="J2713" s="61">
        <f>IF(OR(G2713="",H2713=""),"",ROUND(MOD(H2713-G2713,1)*24,2))</f>
        <v/>
      </c>
      <c r="K2713" s="62">
        <f>IF(E2713="","",IF(E2713="Werken","JA","NEE"))</f>
        <v/>
      </c>
      <c r="L2713" s="61">
        <f>IF(K2713="JA",N(J2713),IF(E2713="","",0))</f>
        <v/>
      </c>
      <c r="M2713" s="62">
        <f>IF(AND(A2713="",E2713=""),"",IF(E2713="","Segment ontbreekt",IF(OR(G2713="",H2713=""),"Van/tot ontbreekt",IF(N(J2713)=0,"Duur is nul",IF(N(J2713)&gt;12,"Langer dan 12 uur - controleren",IF(AND(E2713="Werken",D2713=""),"Werken zonder klant - koppelen","OK"))))))</f>
        <v/>
      </c>
    </row>
    <row r="2714" ht="15" customHeight="1" s="42">
      <c r="A2714" s="55" t="n"/>
      <c r="B2714" s="56">
        <f>IF(A2714="","",WEEKNUM(A2714,21))</f>
        <v/>
      </c>
      <c r="C2714" s="57" t="n"/>
      <c r="D2714" s="57" t="n"/>
      <c r="E2714" s="58" t="n"/>
      <c r="F2714" s="57" t="n"/>
      <c r="G2714" s="59" t="n"/>
      <c r="H2714" s="59" t="n"/>
      <c r="I2714" s="60">
        <f>IF(OR(G2714="",H2714=""),"",MOD(H2714-G2714,1))</f>
        <v/>
      </c>
      <c r="J2714" s="61">
        <f>IF(OR(G2714="",H2714=""),"",ROUND(MOD(H2714-G2714,1)*24,2))</f>
        <v/>
      </c>
      <c r="K2714" s="62">
        <f>IF(E2714="","",IF(E2714="Werken","JA","NEE"))</f>
        <v/>
      </c>
      <c r="L2714" s="61">
        <f>IF(K2714="JA",N(J2714),IF(E2714="","",0))</f>
        <v/>
      </c>
      <c r="M2714" s="62">
        <f>IF(AND(A2714="",E2714=""),"",IF(E2714="","Segment ontbreekt",IF(OR(G2714="",H2714=""),"Van/tot ontbreekt",IF(N(J2714)=0,"Duur is nul",IF(N(J2714)&gt;12,"Langer dan 12 uur - controleren",IF(AND(E2714="Werken",D2714=""),"Werken zonder klant - koppelen","OK"))))))</f>
        <v/>
      </c>
    </row>
    <row r="2715" ht="15" customHeight="1" s="42">
      <c r="A2715" s="55" t="n"/>
      <c r="B2715" s="56">
        <f>IF(A2715="","",WEEKNUM(A2715,21))</f>
        <v/>
      </c>
      <c r="C2715" s="57" t="n"/>
      <c r="D2715" s="57" t="n"/>
      <c r="E2715" s="58" t="n"/>
      <c r="F2715" s="57" t="n"/>
      <c r="G2715" s="59" t="n"/>
      <c r="H2715" s="59" t="n"/>
      <c r="I2715" s="60">
        <f>IF(OR(G2715="",H2715=""),"",MOD(H2715-G2715,1))</f>
        <v/>
      </c>
      <c r="J2715" s="61">
        <f>IF(OR(G2715="",H2715=""),"",ROUND(MOD(H2715-G2715,1)*24,2))</f>
        <v/>
      </c>
      <c r="K2715" s="62">
        <f>IF(E2715="","",IF(E2715="Werken","JA","NEE"))</f>
        <v/>
      </c>
      <c r="L2715" s="61">
        <f>IF(K2715="JA",N(J2715),IF(E2715="","",0))</f>
        <v/>
      </c>
      <c r="M2715" s="62">
        <f>IF(AND(A2715="",E2715=""),"",IF(E2715="","Segment ontbreekt",IF(OR(G2715="",H2715=""),"Van/tot ontbreekt",IF(N(J2715)=0,"Duur is nul",IF(N(J2715)&gt;12,"Langer dan 12 uur - controleren",IF(AND(E2715="Werken",D2715=""),"Werken zonder klant - koppelen","OK"))))))</f>
        <v/>
      </c>
    </row>
    <row r="2716" ht="15" customHeight="1" s="42">
      <c r="A2716" s="55" t="n"/>
      <c r="B2716" s="56">
        <f>IF(A2716="","",WEEKNUM(A2716,21))</f>
        <v/>
      </c>
      <c r="C2716" s="57" t="n"/>
      <c r="D2716" s="57" t="n"/>
      <c r="E2716" s="58" t="n"/>
      <c r="F2716" s="57" t="n"/>
      <c r="G2716" s="59" t="n"/>
      <c r="H2716" s="59" t="n"/>
      <c r="I2716" s="60">
        <f>IF(OR(G2716="",H2716=""),"",MOD(H2716-G2716,1))</f>
        <v/>
      </c>
      <c r="J2716" s="61">
        <f>IF(OR(G2716="",H2716=""),"",ROUND(MOD(H2716-G2716,1)*24,2))</f>
        <v/>
      </c>
      <c r="K2716" s="62">
        <f>IF(E2716="","",IF(E2716="Werken","JA","NEE"))</f>
        <v/>
      </c>
      <c r="L2716" s="61">
        <f>IF(K2716="JA",N(J2716),IF(E2716="","",0))</f>
        <v/>
      </c>
      <c r="M2716" s="62">
        <f>IF(AND(A2716="",E2716=""),"",IF(E2716="","Segment ontbreekt",IF(OR(G2716="",H2716=""),"Van/tot ontbreekt",IF(N(J2716)=0,"Duur is nul",IF(N(J2716)&gt;12,"Langer dan 12 uur - controleren",IF(AND(E2716="Werken",D2716=""),"Werken zonder klant - koppelen","OK"))))))</f>
        <v/>
      </c>
    </row>
    <row r="2717" ht="15" customHeight="1" s="42">
      <c r="A2717" s="55" t="n"/>
      <c r="B2717" s="56">
        <f>IF(A2717="","",WEEKNUM(A2717,21))</f>
        <v/>
      </c>
      <c r="C2717" s="57" t="n"/>
      <c r="D2717" s="57" t="n"/>
      <c r="E2717" s="58" t="n"/>
      <c r="F2717" s="57" t="n"/>
      <c r="G2717" s="59" t="n"/>
      <c r="H2717" s="59" t="n"/>
      <c r="I2717" s="60">
        <f>IF(OR(G2717="",H2717=""),"",MOD(H2717-G2717,1))</f>
        <v/>
      </c>
      <c r="J2717" s="61">
        <f>IF(OR(G2717="",H2717=""),"",ROUND(MOD(H2717-G2717,1)*24,2))</f>
        <v/>
      </c>
      <c r="K2717" s="62">
        <f>IF(E2717="","",IF(E2717="Werken","JA","NEE"))</f>
        <v/>
      </c>
      <c r="L2717" s="61">
        <f>IF(K2717="JA",N(J2717),IF(E2717="","",0))</f>
        <v/>
      </c>
      <c r="M2717" s="62">
        <f>IF(AND(A2717="",E2717=""),"",IF(E2717="","Segment ontbreekt",IF(OR(G2717="",H2717=""),"Van/tot ontbreekt",IF(N(J2717)=0,"Duur is nul",IF(N(J2717)&gt;12,"Langer dan 12 uur - controleren",IF(AND(E2717="Werken",D2717=""),"Werken zonder klant - koppelen","OK"))))))</f>
        <v/>
      </c>
    </row>
    <row r="2718" ht="15" customHeight="1" s="42">
      <c r="A2718" s="55" t="n"/>
      <c r="B2718" s="56">
        <f>IF(A2718="","",WEEKNUM(A2718,21))</f>
        <v/>
      </c>
      <c r="C2718" s="57" t="n"/>
      <c r="D2718" s="57" t="n"/>
      <c r="E2718" s="58" t="n"/>
      <c r="F2718" s="57" t="n"/>
      <c r="G2718" s="59" t="n"/>
      <c r="H2718" s="59" t="n"/>
      <c r="I2718" s="60">
        <f>IF(OR(G2718="",H2718=""),"",MOD(H2718-G2718,1))</f>
        <v/>
      </c>
      <c r="J2718" s="61">
        <f>IF(OR(G2718="",H2718=""),"",ROUND(MOD(H2718-G2718,1)*24,2))</f>
        <v/>
      </c>
      <c r="K2718" s="62">
        <f>IF(E2718="","",IF(E2718="Werken","JA","NEE"))</f>
        <v/>
      </c>
      <c r="L2718" s="61">
        <f>IF(K2718="JA",N(J2718),IF(E2718="","",0))</f>
        <v/>
      </c>
      <c r="M2718" s="62">
        <f>IF(AND(A2718="",E2718=""),"",IF(E2718="","Segment ontbreekt",IF(OR(G2718="",H2718=""),"Van/tot ontbreekt",IF(N(J2718)=0,"Duur is nul",IF(N(J2718)&gt;12,"Langer dan 12 uur - controleren",IF(AND(E2718="Werken",D2718=""),"Werken zonder klant - koppelen","OK"))))))</f>
        <v/>
      </c>
    </row>
    <row r="2719" ht="15" customHeight="1" s="42">
      <c r="A2719" s="55" t="n"/>
      <c r="B2719" s="56">
        <f>IF(A2719="","",WEEKNUM(A2719,21))</f>
        <v/>
      </c>
      <c r="C2719" s="57" t="n"/>
      <c r="D2719" s="57" t="n"/>
      <c r="E2719" s="58" t="n"/>
      <c r="F2719" s="57" t="n"/>
      <c r="G2719" s="59" t="n"/>
      <c r="H2719" s="59" t="n"/>
      <c r="I2719" s="60">
        <f>IF(OR(G2719="",H2719=""),"",MOD(H2719-G2719,1))</f>
        <v/>
      </c>
      <c r="J2719" s="61">
        <f>IF(OR(G2719="",H2719=""),"",ROUND(MOD(H2719-G2719,1)*24,2))</f>
        <v/>
      </c>
      <c r="K2719" s="62">
        <f>IF(E2719="","",IF(E2719="Werken","JA","NEE"))</f>
        <v/>
      </c>
      <c r="L2719" s="61">
        <f>IF(K2719="JA",N(J2719),IF(E2719="","",0))</f>
        <v/>
      </c>
      <c r="M2719" s="62">
        <f>IF(AND(A2719="",E2719=""),"",IF(E2719="","Segment ontbreekt",IF(OR(G2719="",H2719=""),"Van/tot ontbreekt",IF(N(J2719)=0,"Duur is nul",IF(N(J2719)&gt;12,"Langer dan 12 uur - controleren",IF(AND(E2719="Werken",D2719=""),"Werken zonder klant - koppelen","OK"))))))</f>
        <v/>
      </c>
    </row>
    <row r="2720" ht="15" customHeight="1" s="42">
      <c r="A2720" s="55" t="n"/>
      <c r="B2720" s="56">
        <f>IF(A2720="","",WEEKNUM(A2720,21))</f>
        <v/>
      </c>
      <c r="C2720" s="57" t="n"/>
      <c r="D2720" s="57" t="n"/>
      <c r="E2720" s="58" t="n"/>
      <c r="F2720" s="57" t="n"/>
      <c r="G2720" s="59" t="n"/>
      <c r="H2720" s="59" t="n"/>
      <c r="I2720" s="60">
        <f>IF(OR(G2720="",H2720=""),"",MOD(H2720-G2720,1))</f>
        <v/>
      </c>
      <c r="J2720" s="61">
        <f>IF(OR(G2720="",H2720=""),"",ROUND(MOD(H2720-G2720,1)*24,2))</f>
        <v/>
      </c>
      <c r="K2720" s="62">
        <f>IF(E2720="","",IF(E2720="Werken","JA","NEE"))</f>
        <v/>
      </c>
      <c r="L2720" s="61">
        <f>IF(K2720="JA",N(J2720),IF(E2720="","",0))</f>
        <v/>
      </c>
      <c r="M2720" s="62">
        <f>IF(AND(A2720="",E2720=""),"",IF(E2720="","Segment ontbreekt",IF(OR(G2720="",H2720=""),"Van/tot ontbreekt",IF(N(J2720)=0,"Duur is nul",IF(N(J2720)&gt;12,"Langer dan 12 uur - controleren",IF(AND(E2720="Werken",D2720=""),"Werken zonder klant - koppelen","OK"))))))</f>
        <v/>
      </c>
    </row>
    <row r="2721" ht="15" customHeight="1" s="42">
      <c r="A2721" s="55" t="n"/>
      <c r="B2721" s="56">
        <f>IF(A2721="","",WEEKNUM(A2721,21))</f>
        <v/>
      </c>
      <c r="C2721" s="57" t="n"/>
      <c r="D2721" s="57" t="n"/>
      <c r="E2721" s="58" t="n"/>
      <c r="F2721" s="57" t="n"/>
      <c r="G2721" s="59" t="n"/>
      <c r="H2721" s="59" t="n"/>
      <c r="I2721" s="60">
        <f>IF(OR(G2721="",H2721=""),"",MOD(H2721-G2721,1))</f>
        <v/>
      </c>
      <c r="J2721" s="61">
        <f>IF(OR(G2721="",H2721=""),"",ROUND(MOD(H2721-G2721,1)*24,2))</f>
        <v/>
      </c>
      <c r="K2721" s="62">
        <f>IF(E2721="","",IF(E2721="Werken","JA","NEE"))</f>
        <v/>
      </c>
      <c r="L2721" s="61">
        <f>IF(K2721="JA",N(J2721),IF(E2721="","",0))</f>
        <v/>
      </c>
      <c r="M2721" s="62">
        <f>IF(AND(A2721="",E2721=""),"",IF(E2721="","Segment ontbreekt",IF(OR(G2721="",H2721=""),"Van/tot ontbreekt",IF(N(J2721)=0,"Duur is nul",IF(N(J2721)&gt;12,"Langer dan 12 uur - controleren",IF(AND(E2721="Werken",D2721=""),"Werken zonder klant - koppelen","OK"))))))</f>
        <v/>
      </c>
    </row>
    <row r="2722" ht="15" customHeight="1" s="42">
      <c r="A2722" s="55" t="n"/>
      <c r="B2722" s="56">
        <f>IF(A2722="","",WEEKNUM(A2722,21))</f>
        <v/>
      </c>
      <c r="C2722" s="57" t="n"/>
      <c r="D2722" s="57" t="n"/>
      <c r="E2722" s="58" t="n"/>
      <c r="F2722" s="57" t="n"/>
      <c r="G2722" s="59" t="n"/>
      <c r="H2722" s="59" t="n"/>
      <c r="I2722" s="60">
        <f>IF(OR(G2722="",H2722=""),"",MOD(H2722-G2722,1))</f>
        <v/>
      </c>
      <c r="J2722" s="61">
        <f>IF(OR(G2722="",H2722=""),"",ROUND(MOD(H2722-G2722,1)*24,2))</f>
        <v/>
      </c>
      <c r="K2722" s="62">
        <f>IF(E2722="","",IF(E2722="Werken","JA","NEE"))</f>
        <v/>
      </c>
      <c r="L2722" s="61">
        <f>IF(K2722="JA",N(J2722),IF(E2722="","",0))</f>
        <v/>
      </c>
      <c r="M2722" s="62">
        <f>IF(AND(A2722="",E2722=""),"",IF(E2722="","Segment ontbreekt",IF(OR(G2722="",H2722=""),"Van/tot ontbreekt",IF(N(J2722)=0,"Duur is nul",IF(N(J2722)&gt;12,"Langer dan 12 uur - controleren",IF(AND(E2722="Werken",D2722=""),"Werken zonder klant - koppelen","OK"))))))</f>
        <v/>
      </c>
    </row>
    <row r="2723" ht="15" customHeight="1" s="42">
      <c r="A2723" s="55" t="n"/>
      <c r="B2723" s="56">
        <f>IF(A2723="","",WEEKNUM(A2723,21))</f>
        <v/>
      </c>
      <c r="C2723" s="57" t="n"/>
      <c r="D2723" s="57" t="n"/>
      <c r="E2723" s="58" t="n"/>
      <c r="F2723" s="57" t="n"/>
      <c r="G2723" s="59" t="n"/>
      <c r="H2723" s="59" t="n"/>
      <c r="I2723" s="60">
        <f>IF(OR(G2723="",H2723=""),"",MOD(H2723-G2723,1))</f>
        <v/>
      </c>
      <c r="J2723" s="61">
        <f>IF(OR(G2723="",H2723=""),"",ROUND(MOD(H2723-G2723,1)*24,2))</f>
        <v/>
      </c>
      <c r="K2723" s="62">
        <f>IF(E2723="","",IF(E2723="Werken","JA","NEE"))</f>
        <v/>
      </c>
      <c r="L2723" s="61">
        <f>IF(K2723="JA",N(J2723),IF(E2723="","",0))</f>
        <v/>
      </c>
      <c r="M2723" s="62">
        <f>IF(AND(A2723="",E2723=""),"",IF(E2723="","Segment ontbreekt",IF(OR(G2723="",H2723=""),"Van/tot ontbreekt",IF(N(J2723)=0,"Duur is nul",IF(N(J2723)&gt;12,"Langer dan 12 uur - controleren",IF(AND(E2723="Werken",D2723=""),"Werken zonder klant - koppelen","OK"))))))</f>
        <v/>
      </c>
    </row>
    <row r="2724" ht="15" customHeight="1" s="42">
      <c r="A2724" s="55" t="n"/>
      <c r="B2724" s="56">
        <f>IF(A2724="","",WEEKNUM(A2724,21))</f>
        <v/>
      </c>
      <c r="C2724" s="57" t="n"/>
      <c r="D2724" s="57" t="n"/>
      <c r="E2724" s="58" t="n"/>
      <c r="F2724" s="57" t="n"/>
      <c r="G2724" s="59" t="n"/>
      <c r="H2724" s="59" t="n"/>
      <c r="I2724" s="60">
        <f>IF(OR(G2724="",H2724=""),"",MOD(H2724-G2724,1))</f>
        <v/>
      </c>
      <c r="J2724" s="61">
        <f>IF(OR(G2724="",H2724=""),"",ROUND(MOD(H2724-G2724,1)*24,2))</f>
        <v/>
      </c>
      <c r="K2724" s="62">
        <f>IF(E2724="","",IF(E2724="Werken","JA","NEE"))</f>
        <v/>
      </c>
      <c r="L2724" s="61">
        <f>IF(K2724="JA",N(J2724),IF(E2724="","",0))</f>
        <v/>
      </c>
      <c r="M2724" s="62">
        <f>IF(AND(A2724="",E2724=""),"",IF(E2724="","Segment ontbreekt",IF(OR(G2724="",H2724=""),"Van/tot ontbreekt",IF(N(J2724)=0,"Duur is nul",IF(N(J2724)&gt;12,"Langer dan 12 uur - controleren",IF(AND(E2724="Werken",D2724=""),"Werken zonder klant - koppelen","OK"))))))</f>
        <v/>
      </c>
    </row>
    <row r="2725" ht="15" customHeight="1" s="42">
      <c r="A2725" s="55" t="n"/>
      <c r="B2725" s="56">
        <f>IF(A2725="","",WEEKNUM(A2725,21))</f>
        <v/>
      </c>
      <c r="C2725" s="57" t="n"/>
      <c r="D2725" s="57" t="n"/>
      <c r="E2725" s="58" t="n"/>
      <c r="F2725" s="57" t="n"/>
      <c r="G2725" s="59" t="n"/>
      <c r="H2725" s="59" t="n"/>
      <c r="I2725" s="60">
        <f>IF(OR(G2725="",H2725=""),"",MOD(H2725-G2725,1))</f>
        <v/>
      </c>
      <c r="J2725" s="61">
        <f>IF(OR(G2725="",H2725=""),"",ROUND(MOD(H2725-G2725,1)*24,2))</f>
        <v/>
      </c>
      <c r="K2725" s="62">
        <f>IF(E2725="","",IF(E2725="Werken","JA","NEE"))</f>
        <v/>
      </c>
      <c r="L2725" s="61">
        <f>IF(K2725="JA",N(J2725),IF(E2725="","",0))</f>
        <v/>
      </c>
      <c r="M2725" s="62">
        <f>IF(AND(A2725="",E2725=""),"",IF(E2725="","Segment ontbreekt",IF(OR(G2725="",H2725=""),"Van/tot ontbreekt",IF(N(J2725)=0,"Duur is nul",IF(N(J2725)&gt;12,"Langer dan 12 uur - controleren",IF(AND(E2725="Werken",D2725=""),"Werken zonder klant - koppelen","OK"))))))</f>
        <v/>
      </c>
    </row>
    <row r="2726" ht="15" customHeight="1" s="42">
      <c r="A2726" s="55" t="n"/>
      <c r="B2726" s="56">
        <f>IF(A2726="","",WEEKNUM(A2726,21))</f>
        <v/>
      </c>
      <c r="C2726" s="57" t="n"/>
      <c r="D2726" s="57" t="n"/>
      <c r="E2726" s="58" t="n"/>
      <c r="F2726" s="57" t="n"/>
      <c r="G2726" s="59" t="n"/>
      <c r="H2726" s="59" t="n"/>
      <c r="I2726" s="60">
        <f>IF(OR(G2726="",H2726=""),"",MOD(H2726-G2726,1))</f>
        <v/>
      </c>
      <c r="J2726" s="61">
        <f>IF(OR(G2726="",H2726=""),"",ROUND(MOD(H2726-G2726,1)*24,2))</f>
        <v/>
      </c>
      <c r="K2726" s="62">
        <f>IF(E2726="","",IF(E2726="Werken","JA","NEE"))</f>
        <v/>
      </c>
      <c r="L2726" s="61">
        <f>IF(K2726="JA",N(J2726),IF(E2726="","",0))</f>
        <v/>
      </c>
      <c r="M2726" s="62">
        <f>IF(AND(A2726="",E2726=""),"",IF(E2726="","Segment ontbreekt",IF(OR(G2726="",H2726=""),"Van/tot ontbreekt",IF(N(J2726)=0,"Duur is nul",IF(N(J2726)&gt;12,"Langer dan 12 uur - controleren",IF(AND(E2726="Werken",D2726=""),"Werken zonder klant - koppelen","OK"))))))</f>
        <v/>
      </c>
    </row>
    <row r="2727" ht="15" customHeight="1" s="42">
      <c r="A2727" s="55" t="n"/>
      <c r="B2727" s="56">
        <f>IF(A2727="","",WEEKNUM(A2727,21))</f>
        <v/>
      </c>
      <c r="C2727" s="57" t="n"/>
      <c r="D2727" s="57" t="n"/>
      <c r="E2727" s="58" t="n"/>
      <c r="F2727" s="57" t="n"/>
      <c r="G2727" s="59" t="n"/>
      <c r="H2727" s="59" t="n"/>
      <c r="I2727" s="60">
        <f>IF(OR(G2727="",H2727=""),"",MOD(H2727-G2727,1))</f>
        <v/>
      </c>
      <c r="J2727" s="61">
        <f>IF(OR(G2727="",H2727=""),"",ROUND(MOD(H2727-G2727,1)*24,2))</f>
        <v/>
      </c>
      <c r="K2727" s="62">
        <f>IF(E2727="","",IF(E2727="Werken","JA","NEE"))</f>
        <v/>
      </c>
      <c r="L2727" s="61">
        <f>IF(K2727="JA",N(J2727),IF(E2727="","",0))</f>
        <v/>
      </c>
      <c r="M2727" s="62">
        <f>IF(AND(A2727="",E2727=""),"",IF(E2727="","Segment ontbreekt",IF(OR(G2727="",H2727=""),"Van/tot ontbreekt",IF(N(J2727)=0,"Duur is nul",IF(N(J2727)&gt;12,"Langer dan 12 uur - controleren",IF(AND(E2727="Werken",D2727=""),"Werken zonder klant - koppelen","OK"))))))</f>
        <v/>
      </c>
    </row>
    <row r="2728" ht="15" customHeight="1" s="42">
      <c r="A2728" s="55" t="n"/>
      <c r="B2728" s="56">
        <f>IF(A2728="","",WEEKNUM(A2728,21))</f>
        <v/>
      </c>
      <c r="C2728" s="57" t="n"/>
      <c r="D2728" s="57" t="n"/>
      <c r="E2728" s="58" t="n"/>
      <c r="F2728" s="57" t="n"/>
      <c r="G2728" s="59" t="n"/>
      <c r="H2728" s="59" t="n"/>
      <c r="I2728" s="60">
        <f>IF(OR(G2728="",H2728=""),"",MOD(H2728-G2728,1))</f>
        <v/>
      </c>
      <c r="J2728" s="61">
        <f>IF(OR(G2728="",H2728=""),"",ROUND(MOD(H2728-G2728,1)*24,2))</f>
        <v/>
      </c>
      <c r="K2728" s="62">
        <f>IF(E2728="","",IF(E2728="Werken","JA","NEE"))</f>
        <v/>
      </c>
      <c r="L2728" s="61">
        <f>IF(K2728="JA",N(J2728),IF(E2728="","",0))</f>
        <v/>
      </c>
      <c r="M2728" s="62">
        <f>IF(AND(A2728="",E2728=""),"",IF(E2728="","Segment ontbreekt",IF(OR(G2728="",H2728=""),"Van/tot ontbreekt",IF(N(J2728)=0,"Duur is nul",IF(N(J2728)&gt;12,"Langer dan 12 uur - controleren",IF(AND(E2728="Werken",D2728=""),"Werken zonder klant - koppelen","OK"))))))</f>
        <v/>
      </c>
    </row>
    <row r="2729" ht="15" customHeight="1" s="42">
      <c r="A2729" s="55" t="n"/>
      <c r="B2729" s="56">
        <f>IF(A2729="","",WEEKNUM(A2729,21))</f>
        <v/>
      </c>
      <c r="C2729" s="57" t="n"/>
      <c r="D2729" s="57" t="n"/>
      <c r="E2729" s="58" t="n"/>
      <c r="F2729" s="57" t="n"/>
      <c r="G2729" s="59" t="n"/>
      <c r="H2729" s="59" t="n"/>
      <c r="I2729" s="60">
        <f>IF(OR(G2729="",H2729=""),"",MOD(H2729-G2729,1))</f>
        <v/>
      </c>
      <c r="J2729" s="61">
        <f>IF(OR(G2729="",H2729=""),"",ROUND(MOD(H2729-G2729,1)*24,2))</f>
        <v/>
      </c>
      <c r="K2729" s="62">
        <f>IF(E2729="","",IF(E2729="Werken","JA","NEE"))</f>
        <v/>
      </c>
      <c r="L2729" s="61">
        <f>IF(K2729="JA",N(J2729),IF(E2729="","",0))</f>
        <v/>
      </c>
      <c r="M2729" s="62">
        <f>IF(AND(A2729="",E2729=""),"",IF(E2729="","Segment ontbreekt",IF(OR(G2729="",H2729=""),"Van/tot ontbreekt",IF(N(J2729)=0,"Duur is nul",IF(N(J2729)&gt;12,"Langer dan 12 uur - controleren",IF(AND(E2729="Werken",D2729=""),"Werken zonder klant - koppelen","OK"))))))</f>
        <v/>
      </c>
    </row>
    <row r="2730" ht="15" customHeight="1" s="42">
      <c r="A2730" s="55" t="n"/>
      <c r="B2730" s="56">
        <f>IF(A2730="","",WEEKNUM(A2730,21))</f>
        <v/>
      </c>
      <c r="C2730" s="57" t="n"/>
      <c r="D2730" s="57" t="n"/>
      <c r="E2730" s="58" t="n"/>
      <c r="F2730" s="57" t="n"/>
      <c r="G2730" s="59" t="n"/>
      <c r="H2730" s="59" t="n"/>
      <c r="I2730" s="60">
        <f>IF(OR(G2730="",H2730=""),"",MOD(H2730-G2730,1))</f>
        <v/>
      </c>
      <c r="J2730" s="61">
        <f>IF(OR(G2730="",H2730=""),"",ROUND(MOD(H2730-G2730,1)*24,2))</f>
        <v/>
      </c>
      <c r="K2730" s="62">
        <f>IF(E2730="","",IF(E2730="Werken","JA","NEE"))</f>
        <v/>
      </c>
      <c r="L2730" s="61">
        <f>IF(K2730="JA",N(J2730),IF(E2730="","",0))</f>
        <v/>
      </c>
      <c r="M2730" s="62">
        <f>IF(AND(A2730="",E2730=""),"",IF(E2730="","Segment ontbreekt",IF(OR(G2730="",H2730=""),"Van/tot ontbreekt",IF(N(J2730)=0,"Duur is nul",IF(N(J2730)&gt;12,"Langer dan 12 uur - controleren",IF(AND(E2730="Werken",D2730=""),"Werken zonder klant - koppelen","OK"))))))</f>
        <v/>
      </c>
    </row>
    <row r="2731" ht="15" customHeight="1" s="42">
      <c r="A2731" s="55" t="n"/>
      <c r="B2731" s="56">
        <f>IF(A2731="","",WEEKNUM(A2731,21))</f>
        <v/>
      </c>
      <c r="C2731" s="57" t="n"/>
      <c r="D2731" s="57" t="n"/>
      <c r="E2731" s="58" t="n"/>
      <c r="F2731" s="57" t="n"/>
      <c r="G2731" s="59" t="n"/>
      <c r="H2731" s="59" t="n"/>
      <c r="I2731" s="60">
        <f>IF(OR(G2731="",H2731=""),"",MOD(H2731-G2731,1))</f>
        <v/>
      </c>
      <c r="J2731" s="61">
        <f>IF(OR(G2731="",H2731=""),"",ROUND(MOD(H2731-G2731,1)*24,2))</f>
        <v/>
      </c>
      <c r="K2731" s="62">
        <f>IF(E2731="","",IF(E2731="Werken","JA","NEE"))</f>
        <v/>
      </c>
      <c r="L2731" s="61">
        <f>IF(K2731="JA",N(J2731),IF(E2731="","",0))</f>
        <v/>
      </c>
      <c r="M2731" s="62">
        <f>IF(AND(A2731="",E2731=""),"",IF(E2731="","Segment ontbreekt",IF(OR(G2731="",H2731=""),"Van/tot ontbreekt",IF(N(J2731)=0,"Duur is nul",IF(N(J2731)&gt;12,"Langer dan 12 uur - controleren",IF(AND(E2731="Werken",D2731=""),"Werken zonder klant - koppelen","OK"))))))</f>
        <v/>
      </c>
    </row>
    <row r="2732" ht="15" customHeight="1" s="42">
      <c r="A2732" s="55" t="n"/>
      <c r="B2732" s="56">
        <f>IF(A2732="","",WEEKNUM(A2732,21))</f>
        <v/>
      </c>
      <c r="C2732" s="57" t="n"/>
      <c r="D2732" s="57" t="n"/>
      <c r="E2732" s="58" t="n"/>
      <c r="F2732" s="57" t="n"/>
      <c r="G2732" s="59" t="n"/>
      <c r="H2732" s="59" t="n"/>
      <c r="I2732" s="60">
        <f>IF(OR(G2732="",H2732=""),"",MOD(H2732-G2732,1))</f>
        <v/>
      </c>
      <c r="J2732" s="61">
        <f>IF(OR(G2732="",H2732=""),"",ROUND(MOD(H2732-G2732,1)*24,2))</f>
        <v/>
      </c>
      <c r="K2732" s="62">
        <f>IF(E2732="","",IF(E2732="Werken","JA","NEE"))</f>
        <v/>
      </c>
      <c r="L2732" s="61">
        <f>IF(K2732="JA",N(J2732),IF(E2732="","",0))</f>
        <v/>
      </c>
      <c r="M2732" s="62">
        <f>IF(AND(A2732="",E2732=""),"",IF(E2732="","Segment ontbreekt",IF(OR(G2732="",H2732=""),"Van/tot ontbreekt",IF(N(J2732)=0,"Duur is nul",IF(N(J2732)&gt;12,"Langer dan 12 uur - controleren",IF(AND(E2732="Werken",D2732=""),"Werken zonder klant - koppelen","OK"))))))</f>
        <v/>
      </c>
    </row>
    <row r="2733" ht="15" customHeight="1" s="42">
      <c r="A2733" s="55" t="n"/>
      <c r="B2733" s="56">
        <f>IF(A2733="","",WEEKNUM(A2733,21))</f>
        <v/>
      </c>
      <c r="C2733" s="57" t="n"/>
      <c r="D2733" s="57" t="n"/>
      <c r="E2733" s="58" t="n"/>
      <c r="F2733" s="57" t="n"/>
      <c r="G2733" s="59" t="n"/>
      <c r="H2733" s="59" t="n"/>
      <c r="I2733" s="60">
        <f>IF(OR(G2733="",H2733=""),"",MOD(H2733-G2733,1))</f>
        <v/>
      </c>
      <c r="J2733" s="61">
        <f>IF(OR(G2733="",H2733=""),"",ROUND(MOD(H2733-G2733,1)*24,2))</f>
        <v/>
      </c>
      <c r="K2733" s="62">
        <f>IF(E2733="","",IF(E2733="Werken","JA","NEE"))</f>
        <v/>
      </c>
      <c r="L2733" s="61">
        <f>IF(K2733="JA",N(J2733),IF(E2733="","",0))</f>
        <v/>
      </c>
      <c r="M2733" s="62">
        <f>IF(AND(A2733="",E2733=""),"",IF(E2733="","Segment ontbreekt",IF(OR(G2733="",H2733=""),"Van/tot ontbreekt",IF(N(J2733)=0,"Duur is nul",IF(N(J2733)&gt;12,"Langer dan 12 uur - controleren",IF(AND(E2733="Werken",D2733=""),"Werken zonder klant - koppelen","OK"))))))</f>
        <v/>
      </c>
    </row>
    <row r="2734" ht="15" customHeight="1" s="42">
      <c r="A2734" s="55" t="n"/>
      <c r="B2734" s="56">
        <f>IF(A2734="","",WEEKNUM(A2734,21))</f>
        <v/>
      </c>
      <c r="C2734" s="57" t="n"/>
      <c r="D2734" s="57" t="n"/>
      <c r="E2734" s="58" t="n"/>
      <c r="F2734" s="57" t="n"/>
      <c r="G2734" s="59" t="n"/>
      <c r="H2734" s="59" t="n"/>
      <c r="I2734" s="60">
        <f>IF(OR(G2734="",H2734=""),"",MOD(H2734-G2734,1))</f>
        <v/>
      </c>
      <c r="J2734" s="61">
        <f>IF(OR(G2734="",H2734=""),"",ROUND(MOD(H2734-G2734,1)*24,2))</f>
        <v/>
      </c>
      <c r="K2734" s="62">
        <f>IF(E2734="","",IF(E2734="Werken","JA","NEE"))</f>
        <v/>
      </c>
      <c r="L2734" s="61">
        <f>IF(K2734="JA",N(J2734),IF(E2734="","",0))</f>
        <v/>
      </c>
      <c r="M2734" s="62">
        <f>IF(AND(A2734="",E2734=""),"",IF(E2734="","Segment ontbreekt",IF(OR(G2734="",H2734=""),"Van/tot ontbreekt",IF(N(J2734)=0,"Duur is nul",IF(N(J2734)&gt;12,"Langer dan 12 uur - controleren",IF(AND(E2734="Werken",D2734=""),"Werken zonder klant - koppelen","OK"))))))</f>
        <v/>
      </c>
    </row>
    <row r="2735" ht="15" customHeight="1" s="42">
      <c r="A2735" s="55" t="n"/>
      <c r="B2735" s="56">
        <f>IF(A2735="","",WEEKNUM(A2735,21))</f>
        <v/>
      </c>
      <c r="C2735" s="57" t="n"/>
      <c r="D2735" s="57" t="n"/>
      <c r="E2735" s="58" t="n"/>
      <c r="F2735" s="57" t="n"/>
      <c r="G2735" s="59" t="n"/>
      <c r="H2735" s="59" t="n"/>
      <c r="I2735" s="60">
        <f>IF(OR(G2735="",H2735=""),"",MOD(H2735-G2735,1))</f>
        <v/>
      </c>
      <c r="J2735" s="61">
        <f>IF(OR(G2735="",H2735=""),"",ROUND(MOD(H2735-G2735,1)*24,2))</f>
        <v/>
      </c>
      <c r="K2735" s="62">
        <f>IF(E2735="","",IF(E2735="Werken","JA","NEE"))</f>
        <v/>
      </c>
      <c r="L2735" s="61">
        <f>IF(K2735="JA",N(J2735),IF(E2735="","",0))</f>
        <v/>
      </c>
      <c r="M2735" s="62">
        <f>IF(AND(A2735="",E2735=""),"",IF(E2735="","Segment ontbreekt",IF(OR(G2735="",H2735=""),"Van/tot ontbreekt",IF(N(J2735)=0,"Duur is nul",IF(N(J2735)&gt;12,"Langer dan 12 uur - controleren",IF(AND(E2735="Werken",D2735=""),"Werken zonder klant - koppelen","OK"))))))</f>
        <v/>
      </c>
    </row>
    <row r="2736" ht="15" customHeight="1" s="42">
      <c r="A2736" s="55" t="n"/>
      <c r="B2736" s="56">
        <f>IF(A2736="","",WEEKNUM(A2736,21))</f>
        <v/>
      </c>
      <c r="C2736" s="57" t="n"/>
      <c r="D2736" s="57" t="n"/>
      <c r="E2736" s="58" t="n"/>
      <c r="F2736" s="57" t="n"/>
      <c r="G2736" s="59" t="n"/>
      <c r="H2736" s="59" t="n"/>
      <c r="I2736" s="60">
        <f>IF(OR(G2736="",H2736=""),"",MOD(H2736-G2736,1))</f>
        <v/>
      </c>
      <c r="J2736" s="61">
        <f>IF(OR(G2736="",H2736=""),"",ROUND(MOD(H2736-G2736,1)*24,2))</f>
        <v/>
      </c>
      <c r="K2736" s="62">
        <f>IF(E2736="","",IF(E2736="Werken","JA","NEE"))</f>
        <v/>
      </c>
      <c r="L2736" s="61">
        <f>IF(K2736="JA",N(J2736),IF(E2736="","",0))</f>
        <v/>
      </c>
      <c r="M2736" s="62">
        <f>IF(AND(A2736="",E2736=""),"",IF(E2736="","Segment ontbreekt",IF(OR(G2736="",H2736=""),"Van/tot ontbreekt",IF(N(J2736)=0,"Duur is nul",IF(N(J2736)&gt;12,"Langer dan 12 uur - controleren",IF(AND(E2736="Werken",D2736=""),"Werken zonder klant - koppelen","OK"))))))</f>
        <v/>
      </c>
    </row>
    <row r="2737" ht="15" customHeight="1" s="42">
      <c r="A2737" s="55" t="n"/>
      <c r="B2737" s="56">
        <f>IF(A2737="","",WEEKNUM(A2737,21))</f>
        <v/>
      </c>
      <c r="C2737" s="57" t="n"/>
      <c r="D2737" s="57" t="n"/>
      <c r="E2737" s="58" t="n"/>
      <c r="F2737" s="57" t="n"/>
      <c r="G2737" s="59" t="n"/>
      <c r="H2737" s="59" t="n"/>
      <c r="I2737" s="60">
        <f>IF(OR(G2737="",H2737=""),"",MOD(H2737-G2737,1))</f>
        <v/>
      </c>
      <c r="J2737" s="61">
        <f>IF(OR(G2737="",H2737=""),"",ROUND(MOD(H2737-G2737,1)*24,2))</f>
        <v/>
      </c>
      <c r="K2737" s="62">
        <f>IF(E2737="","",IF(E2737="Werken","JA","NEE"))</f>
        <v/>
      </c>
      <c r="L2737" s="61">
        <f>IF(K2737="JA",N(J2737),IF(E2737="","",0))</f>
        <v/>
      </c>
      <c r="M2737" s="62">
        <f>IF(AND(A2737="",E2737=""),"",IF(E2737="","Segment ontbreekt",IF(OR(G2737="",H2737=""),"Van/tot ontbreekt",IF(N(J2737)=0,"Duur is nul",IF(N(J2737)&gt;12,"Langer dan 12 uur - controleren",IF(AND(E2737="Werken",D2737=""),"Werken zonder klant - koppelen","OK"))))))</f>
        <v/>
      </c>
    </row>
    <row r="2738" ht="15" customHeight="1" s="42">
      <c r="A2738" s="55" t="n"/>
      <c r="B2738" s="56">
        <f>IF(A2738="","",WEEKNUM(A2738,21))</f>
        <v/>
      </c>
      <c r="C2738" s="57" t="n"/>
      <c r="D2738" s="57" t="n"/>
      <c r="E2738" s="58" t="n"/>
      <c r="F2738" s="57" t="n"/>
      <c r="G2738" s="59" t="n"/>
      <c r="H2738" s="59" t="n"/>
      <c r="I2738" s="60">
        <f>IF(OR(G2738="",H2738=""),"",MOD(H2738-G2738,1))</f>
        <v/>
      </c>
      <c r="J2738" s="61">
        <f>IF(OR(G2738="",H2738=""),"",ROUND(MOD(H2738-G2738,1)*24,2))</f>
        <v/>
      </c>
      <c r="K2738" s="62">
        <f>IF(E2738="","",IF(E2738="Werken","JA","NEE"))</f>
        <v/>
      </c>
      <c r="L2738" s="61">
        <f>IF(K2738="JA",N(J2738),IF(E2738="","",0))</f>
        <v/>
      </c>
      <c r="M2738" s="62">
        <f>IF(AND(A2738="",E2738=""),"",IF(E2738="","Segment ontbreekt",IF(OR(G2738="",H2738=""),"Van/tot ontbreekt",IF(N(J2738)=0,"Duur is nul",IF(N(J2738)&gt;12,"Langer dan 12 uur - controleren",IF(AND(E2738="Werken",D2738=""),"Werken zonder klant - koppelen","OK"))))))</f>
        <v/>
      </c>
    </row>
    <row r="2739" ht="15" customHeight="1" s="42">
      <c r="A2739" s="55" t="n"/>
      <c r="B2739" s="56">
        <f>IF(A2739="","",WEEKNUM(A2739,21))</f>
        <v/>
      </c>
      <c r="C2739" s="57" t="n"/>
      <c r="D2739" s="57" t="n"/>
      <c r="E2739" s="58" t="n"/>
      <c r="F2739" s="57" t="n"/>
      <c r="G2739" s="59" t="n"/>
      <c r="H2739" s="59" t="n"/>
      <c r="I2739" s="60">
        <f>IF(OR(G2739="",H2739=""),"",MOD(H2739-G2739,1))</f>
        <v/>
      </c>
      <c r="J2739" s="61">
        <f>IF(OR(G2739="",H2739=""),"",ROUND(MOD(H2739-G2739,1)*24,2))</f>
        <v/>
      </c>
      <c r="K2739" s="62">
        <f>IF(E2739="","",IF(E2739="Werken","JA","NEE"))</f>
        <v/>
      </c>
      <c r="L2739" s="61">
        <f>IF(K2739="JA",N(J2739),IF(E2739="","",0))</f>
        <v/>
      </c>
      <c r="M2739" s="62">
        <f>IF(AND(A2739="",E2739=""),"",IF(E2739="","Segment ontbreekt",IF(OR(G2739="",H2739=""),"Van/tot ontbreekt",IF(N(J2739)=0,"Duur is nul",IF(N(J2739)&gt;12,"Langer dan 12 uur - controleren",IF(AND(E2739="Werken",D2739=""),"Werken zonder klant - koppelen","OK"))))))</f>
        <v/>
      </c>
    </row>
    <row r="2740" ht="15" customHeight="1" s="42">
      <c r="A2740" s="55" t="n"/>
      <c r="B2740" s="56">
        <f>IF(A2740="","",WEEKNUM(A2740,21))</f>
        <v/>
      </c>
      <c r="C2740" s="57" t="n"/>
      <c r="D2740" s="57" t="n"/>
      <c r="E2740" s="58" t="n"/>
      <c r="F2740" s="57" t="n"/>
      <c r="G2740" s="59" t="n"/>
      <c r="H2740" s="59" t="n"/>
      <c r="I2740" s="60">
        <f>IF(OR(G2740="",H2740=""),"",MOD(H2740-G2740,1))</f>
        <v/>
      </c>
      <c r="J2740" s="61">
        <f>IF(OR(G2740="",H2740=""),"",ROUND(MOD(H2740-G2740,1)*24,2))</f>
        <v/>
      </c>
      <c r="K2740" s="62">
        <f>IF(E2740="","",IF(E2740="Werken","JA","NEE"))</f>
        <v/>
      </c>
      <c r="L2740" s="61">
        <f>IF(K2740="JA",N(J2740),IF(E2740="","",0))</f>
        <v/>
      </c>
      <c r="M2740" s="62">
        <f>IF(AND(A2740="",E2740=""),"",IF(E2740="","Segment ontbreekt",IF(OR(G2740="",H2740=""),"Van/tot ontbreekt",IF(N(J2740)=0,"Duur is nul",IF(N(J2740)&gt;12,"Langer dan 12 uur - controleren",IF(AND(E2740="Werken",D2740=""),"Werken zonder klant - koppelen","OK"))))))</f>
        <v/>
      </c>
    </row>
    <row r="2741" ht="15" customHeight="1" s="42">
      <c r="A2741" s="55" t="n"/>
      <c r="B2741" s="56">
        <f>IF(A2741="","",WEEKNUM(A2741,21))</f>
        <v/>
      </c>
      <c r="C2741" s="57" t="n"/>
      <c r="D2741" s="57" t="n"/>
      <c r="E2741" s="58" t="n"/>
      <c r="F2741" s="57" t="n"/>
      <c r="G2741" s="59" t="n"/>
      <c r="H2741" s="59" t="n"/>
      <c r="I2741" s="60">
        <f>IF(OR(G2741="",H2741=""),"",MOD(H2741-G2741,1))</f>
        <v/>
      </c>
      <c r="J2741" s="61">
        <f>IF(OR(G2741="",H2741=""),"",ROUND(MOD(H2741-G2741,1)*24,2))</f>
        <v/>
      </c>
      <c r="K2741" s="62">
        <f>IF(E2741="","",IF(E2741="Werken","JA","NEE"))</f>
        <v/>
      </c>
      <c r="L2741" s="61">
        <f>IF(K2741="JA",N(J2741),IF(E2741="","",0))</f>
        <v/>
      </c>
      <c r="M2741" s="62">
        <f>IF(AND(A2741="",E2741=""),"",IF(E2741="","Segment ontbreekt",IF(OR(G2741="",H2741=""),"Van/tot ontbreekt",IF(N(J2741)=0,"Duur is nul",IF(N(J2741)&gt;12,"Langer dan 12 uur - controleren",IF(AND(E2741="Werken",D2741=""),"Werken zonder klant - koppelen","OK"))))))</f>
        <v/>
      </c>
    </row>
    <row r="2742" ht="15" customHeight="1" s="42">
      <c r="A2742" s="55" t="n"/>
      <c r="B2742" s="56">
        <f>IF(A2742="","",WEEKNUM(A2742,21))</f>
        <v/>
      </c>
      <c r="C2742" s="57" t="n"/>
      <c r="D2742" s="57" t="n"/>
      <c r="E2742" s="58" t="n"/>
      <c r="F2742" s="57" t="n"/>
      <c r="G2742" s="59" t="n"/>
      <c r="H2742" s="59" t="n"/>
      <c r="I2742" s="60">
        <f>IF(OR(G2742="",H2742=""),"",MOD(H2742-G2742,1))</f>
        <v/>
      </c>
      <c r="J2742" s="61">
        <f>IF(OR(G2742="",H2742=""),"",ROUND(MOD(H2742-G2742,1)*24,2))</f>
        <v/>
      </c>
      <c r="K2742" s="62">
        <f>IF(E2742="","",IF(E2742="Werken","JA","NEE"))</f>
        <v/>
      </c>
      <c r="L2742" s="61">
        <f>IF(K2742="JA",N(J2742),IF(E2742="","",0))</f>
        <v/>
      </c>
      <c r="M2742" s="62">
        <f>IF(AND(A2742="",E2742=""),"",IF(E2742="","Segment ontbreekt",IF(OR(G2742="",H2742=""),"Van/tot ontbreekt",IF(N(J2742)=0,"Duur is nul",IF(N(J2742)&gt;12,"Langer dan 12 uur - controleren",IF(AND(E2742="Werken",D2742=""),"Werken zonder klant - koppelen","OK"))))))</f>
        <v/>
      </c>
    </row>
    <row r="2743" ht="15" customHeight="1" s="42">
      <c r="A2743" s="55" t="n"/>
      <c r="B2743" s="56">
        <f>IF(A2743="","",WEEKNUM(A2743,21))</f>
        <v/>
      </c>
      <c r="C2743" s="57" t="n"/>
      <c r="D2743" s="57" t="n"/>
      <c r="E2743" s="58" t="n"/>
      <c r="F2743" s="57" t="n"/>
      <c r="G2743" s="59" t="n"/>
      <c r="H2743" s="59" t="n"/>
      <c r="I2743" s="60">
        <f>IF(OR(G2743="",H2743=""),"",MOD(H2743-G2743,1))</f>
        <v/>
      </c>
      <c r="J2743" s="61">
        <f>IF(OR(G2743="",H2743=""),"",ROUND(MOD(H2743-G2743,1)*24,2))</f>
        <v/>
      </c>
      <c r="K2743" s="62">
        <f>IF(E2743="","",IF(E2743="Werken","JA","NEE"))</f>
        <v/>
      </c>
      <c r="L2743" s="61">
        <f>IF(K2743="JA",N(J2743),IF(E2743="","",0))</f>
        <v/>
      </c>
      <c r="M2743" s="62">
        <f>IF(AND(A2743="",E2743=""),"",IF(E2743="","Segment ontbreekt",IF(OR(G2743="",H2743=""),"Van/tot ontbreekt",IF(N(J2743)=0,"Duur is nul",IF(N(J2743)&gt;12,"Langer dan 12 uur - controleren",IF(AND(E2743="Werken",D2743=""),"Werken zonder klant - koppelen","OK"))))))</f>
        <v/>
      </c>
    </row>
    <row r="2744" ht="15" customHeight="1" s="42">
      <c r="A2744" s="55" t="n"/>
      <c r="B2744" s="56">
        <f>IF(A2744="","",WEEKNUM(A2744,21))</f>
        <v/>
      </c>
      <c r="C2744" s="57" t="n"/>
      <c r="D2744" s="57" t="n"/>
      <c r="E2744" s="58" t="n"/>
      <c r="F2744" s="57" t="n"/>
      <c r="G2744" s="59" t="n"/>
      <c r="H2744" s="59" t="n"/>
      <c r="I2744" s="60">
        <f>IF(OR(G2744="",H2744=""),"",MOD(H2744-G2744,1))</f>
        <v/>
      </c>
      <c r="J2744" s="61">
        <f>IF(OR(G2744="",H2744=""),"",ROUND(MOD(H2744-G2744,1)*24,2))</f>
        <v/>
      </c>
      <c r="K2744" s="62">
        <f>IF(E2744="","",IF(E2744="Werken","JA","NEE"))</f>
        <v/>
      </c>
      <c r="L2744" s="61">
        <f>IF(K2744="JA",N(J2744),IF(E2744="","",0))</f>
        <v/>
      </c>
      <c r="M2744" s="62">
        <f>IF(AND(A2744="",E2744=""),"",IF(E2744="","Segment ontbreekt",IF(OR(G2744="",H2744=""),"Van/tot ontbreekt",IF(N(J2744)=0,"Duur is nul",IF(N(J2744)&gt;12,"Langer dan 12 uur - controleren",IF(AND(E2744="Werken",D2744=""),"Werken zonder klant - koppelen","OK"))))))</f>
        <v/>
      </c>
    </row>
    <row r="2745" ht="15" customHeight="1" s="42">
      <c r="A2745" s="55" t="n"/>
      <c r="B2745" s="56">
        <f>IF(A2745="","",WEEKNUM(A2745,21))</f>
        <v/>
      </c>
      <c r="C2745" s="57" t="n"/>
      <c r="D2745" s="57" t="n"/>
      <c r="E2745" s="58" t="n"/>
      <c r="F2745" s="57" t="n"/>
      <c r="G2745" s="59" t="n"/>
      <c r="H2745" s="59" t="n"/>
      <c r="I2745" s="60">
        <f>IF(OR(G2745="",H2745=""),"",MOD(H2745-G2745,1))</f>
        <v/>
      </c>
      <c r="J2745" s="61">
        <f>IF(OR(G2745="",H2745=""),"",ROUND(MOD(H2745-G2745,1)*24,2))</f>
        <v/>
      </c>
      <c r="K2745" s="62">
        <f>IF(E2745="","",IF(E2745="Werken","JA","NEE"))</f>
        <v/>
      </c>
      <c r="L2745" s="61">
        <f>IF(K2745="JA",N(J2745),IF(E2745="","",0))</f>
        <v/>
      </c>
      <c r="M2745" s="62">
        <f>IF(AND(A2745="",E2745=""),"",IF(E2745="","Segment ontbreekt",IF(OR(G2745="",H2745=""),"Van/tot ontbreekt",IF(N(J2745)=0,"Duur is nul",IF(N(J2745)&gt;12,"Langer dan 12 uur - controleren",IF(AND(E2745="Werken",D2745=""),"Werken zonder klant - koppelen","OK"))))))</f>
        <v/>
      </c>
    </row>
    <row r="2746" ht="15" customHeight="1" s="42">
      <c r="A2746" s="55" t="n"/>
      <c r="B2746" s="56">
        <f>IF(A2746="","",WEEKNUM(A2746,21))</f>
        <v/>
      </c>
      <c r="C2746" s="57" t="n"/>
      <c r="D2746" s="57" t="n"/>
      <c r="E2746" s="58" t="n"/>
      <c r="F2746" s="57" t="n"/>
      <c r="G2746" s="59" t="n"/>
      <c r="H2746" s="59" t="n"/>
      <c r="I2746" s="60">
        <f>IF(OR(G2746="",H2746=""),"",MOD(H2746-G2746,1))</f>
        <v/>
      </c>
      <c r="J2746" s="61">
        <f>IF(OR(G2746="",H2746=""),"",ROUND(MOD(H2746-G2746,1)*24,2))</f>
        <v/>
      </c>
      <c r="K2746" s="62">
        <f>IF(E2746="","",IF(E2746="Werken","JA","NEE"))</f>
        <v/>
      </c>
      <c r="L2746" s="61">
        <f>IF(K2746="JA",N(J2746),IF(E2746="","",0))</f>
        <v/>
      </c>
      <c r="M2746" s="62">
        <f>IF(AND(A2746="",E2746=""),"",IF(E2746="","Segment ontbreekt",IF(OR(G2746="",H2746=""),"Van/tot ontbreekt",IF(N(J2746)=0,"Duur is nul",IF(N(J2746)&gt;12,"Langer dan 12 uur - controleren",IF(AND(E2746="Werken",D2746=""),"Werken zonder klant - koppelen","OK"))))))</f>
        <v/>
      </c>
    </row>
    <row r="2747" ht="15" customHeight="1" s="42">
      <c r="A2747" s="55" t="n"/>
      <c r="B2747" s="56">
        <f>IF(A2747="","",WEEKNUM(A2747,21))</f>
        <v/>
      </c>
      <c r="C2747" s="57" t="n"/>
      <c r="D2747" s="57" t="n"/>
      <c r="E2747" s="58" t="n"/>
      <c r="F2747" s="57" t="n"/>
      <c r="G2747" s="59" t="n"/>
      <c r="H2747" s="59" t="n"/>
      <c r="I2747" s="60">
        <f>IF(OR(G2747="",H2747=""),"",MOD(H2747-G2747,1))</f>
        <v/>
      </c>
      <c r="J2747" s="61">
        <f>IF(OR(G2747="",H2747=""),"",ROUND(MOD(H2747-G2747,1)*24,2))</f>
        <v/>
      </c>
      <c r="K2747" s="62">
        <f>IF(E2747="","",IF(E2747="Werken","JA","NEE"))</f>
        <v/>
      </c>
      <c r="L2747" s="61">
        <f>IF(K2747="JA",N(J2747),IF(E2747="","",0))</f>
        <v/>
      </c>
      <c r="M2747" s="62">
        <f>IF(AND(A2747="",E2747=""),"",IF(E2747="","Segment ontbreekt",IF(OR(G2747="",H2747=""),"Van/tot ontbreekt",IF(N(J2747)=0,"Duur is nul",IF(N(J2747)&gt;12,"Langer dan 12 uur - controleren",IF(AND(E2747="Werken",D2747=""),"Werken zonder klant - koppelen","OK"))))))</f>
        <v/>
      </c>
    </row>
    <row r="2748" ht="15" customHeight="1" s="42">
      <c r="A2748" s="55" t="n"/>
      <c r="B2748" s="56">
        <f>IF(A2748="","",WEEKNUM(A2748,21))</f>
        <v/>
      </c>
      <c r="C2748" s="57" t="n"/>
      <c r="D2748" s="57" t="n"/>
      <c r="E2748" s="58" t="n"/>
      <c r="F2748" s="57" t="n"/>
      <c r="G2748" s="59" t="n"/>
      <c r="H2748" s="59" t="n"/>
      <c r="I2748" s="60">
        <f>IF(OR(G2748="",H2748=""),"",MOD(H2748-G2748,1))</f>
        <v/>
      </c>
      <c r="J2748" s="61">
        <f>IF(OR(G2748="",H2748=""),"",ROUND(MOD(H2748-G2748,1)*24,2))</f>
        <v/>
      </c>
      <c r="K2748" s="62">
        <f>IF(E2748="","",IF(E2748="Werken","JA","NEE"))</f>
        <v/>
      </c>
      <c r="L2748" s="61">
        <f>IF(K2748="JA",N(J2748),IF(E2748="","",0))</f>
        <v/>
      </c>
      <c r="M2748" s="62">
        <f>IF(AND(A2748="",E2748=""),"",IF(E2748="","Segment ontbreekt",IF(OR(G2748="",H2748=""),"Van/tot ontbreekt",IF(N(J2748)=0,"Duur is nul",IF(N(J2748)&gt;12,"Langer dan 12 uur - controleren",IF(AND(E2748="Werken",D2748=""),"Werken zonder klant - koppelen","OK"))))))</f>
        <v/>
      </c>
    </row>
    <row r="2749" ht="15" customHeight="1" s="42">
      <c r="A2749" s="55" t="n"/>
      <c r="B2749" s="56">
        <f>IF(A2749="","",WEEKNUM(A2749,21))</f>
        <v/>
      </c>
      <c r="C2749" s="57" t="n"/>
      <c r="D2749" s="57" t="n"/>
      <c r="E2749" s="58" t="n"/>
      <c r="F2749" s="57" t="n"/>
      <c r="G2749" s="59" t="n"/>
      <c r="H2749" s="59" t="n"/>
      <c r="I2749" s="60">
        <f>IF(OR(G2749="",H2749=""),"",MOD(H2749-G2749,1))</f>
        <v/>
      </c>
      <c r="J2749" s="61">
        <f>IF(OR(G2749="",H2749=""),"",ROUND(MOD(H2749-G2749,1)*24,2))</f>
        <v/>
      </c>
      <c r="K2749" s="62">
        <f>IF(E2749="","",IF(E2749="Werken","JA","NEE"))</f>
        <v/>
      </c>
      <c r="L2749" s="61">
        <f>IF(K2749="JA",N(J2749),IF(E2749="","",0))</f>
        <v/>
      </c>
      <c r="M2749" s="62">
        <f>IF(AND(A2749="",E2749=""),"",IF(E2749="","Segment ontbreekt",IF(OR(G2749="",H2749=""),"Van/tot ontbreekt",IF(N(J2749)=0,"Duur is nul",IF(N(J2749)&gt;12,"Langer dan 12 uur - controleren",IF(AND(E2749="Werken",D2749=""),"Werken zonder klant - koppelen","OK"))))))</f>
        <v/>
      </c>
    </row>
    <row r="2750" ht="15" customHeight="1" s="42">
      <c r="A2750" s="55" t="n"/>
      <c r="B2750" s="56">
        <f>IF(A2750="","",WEEKNUM(A2750,21))</f>
        <v/>
      </c>
      <c r="C2750" s="57" t="n"/>
      <c r="D2750" s="57" t="n"/>
      <c r="E2750" s="58" t="n"/>
      <c r="F2750" s="57" t="n"/>
      <c r="G2750" s="59" t="n"/>
      <c r="H2750" s="59" t="n"/>
      <c r="I2750" s="60">
        <f>IF(OR(G2750="",H2750=""),"",MOD(H2750-G2750,1))</f>
        <v/>
      </c>
      <c r="J2750" s="61">
        <f>IF(OR(G2750="",H2750=""),"",ROUND(MOD(H2750-G2750,1)*24,2))</f>
        <v/>
      </c>
      <c r="K2750" s="62">
        <f>IF(E2750="","",IF(E2750="Werken","JA","NEE"))</f>
        <v/>
      </c>
      <c r="L2750" s="61">
        <f>IF(K2750="JA",N(J2750),IF(E2750="","",0))</f>
        <v/>
      </c>
      <c r="M2750" s="62">
        <f>IF(AND(A2750="",E2750=""),"",IF(E2750="","Segment ontbreekt",IF(OR(G2750="",H2750=""),"Van/tot ontbreekt",IF(N(J2750)=0,"Duur is nul",IF(N(J2750)&gt;12,"Langer dan 12 uur - controleren",IF(AND(E2750="Werken",D2750=""),"Werken zonder klant - koppelen","OK"))))))</f>
        <v/>
      </c>
    </row>
    <row r="2751" ht="15" customHeight="1" s="42">
      <c r="A2751" s="55" t="n"/>
      <c r="B2751" s="56">
        <f>IF(A2751="","",WEEKNUM(A2751,21))</f>
        <v/>
      </c>
      <c r="C2751" s="57" t="n"/>
      <c r="D2751" s="57" t="n"/>
      <c r="E2751" s="58" t="n"/>
      <c r="F2751" s="57" t="n"/>
      <c r="G2751" s="59" t="n"/>
      <c r="H2751" s="59" t="n"/>
      <c r="I2751" s="60">
        <f>IF(OR(G2751="",H2751=""),"",MOD(H2751-G2751,1))</f>
        <v/>
      </c>
      <c r="J2751" s="61">
        <f>IF(OR(G2751="",H2751=""),"",ROUND(MOD(H2751-G2751,1)*24,2))</f>
        <v/>
      </c>
      <c r="K2751" s="62">
        <f>IF(E2751="","",IF(E2751="Werken","JA","NEE"))</f>
        <v/>
      </c>
      <c r="L2751" s="61">
        <f>IF(K2751="JA",N(J2751),IF(E2751="","",0))</f>
        <v/>
      </c>
      <c r="M2751" s="62">
        <f>IF(AND(A2751="",E2751=""),"",IF(E2751="","Segment ontbreekt",IF(OR(G2751="",H2751=""),"Van/tot ontbreekt",IF(N(J2751)=0,"Duur is nul",IF(N(J2751)&gt;12,"Langer dan 12 uur - controleren",IF(AND(E2751="Werken",D2751=""),"Werken zonder klant - koppelen","OK"))))))</f>
        <v/>
      </c>
    </row>
    <row r="2752" ht="15" customHeight="1" s="42">
      <c r="A2752" s="55" t="n"/>
      <c r="B2752" s="56">
        <f>IF(A2752="","",WEEKNUM(A2752,21))</f>
        <v/>
      </c>
      <c r="C2752" s="57" t="n"/>
      <c r="D2752" s="57" t="n"/>
      <c r="E2752" s="58" t="n"/>
      <c r="F2752" s="57" t="n"/>
      <c r="G2752" s="59" t="n"/>
      <c r="H2752" s="59" t="n"/>
      <c r="I2752" s="60">
        <f>IF(OR(G2752="",H2752=""),"",MOD(H2752-G2752,1))</f>
        <v/>
      </c>
      <c r="J2752" s="61">
        <f>IF(OR(G2752="",H2752=""),"",ROUND(MOD(H2752-G2752,1)*24,2))</f>
        <v/>
      </c>
      <c r="K2752" s="62">
        <f>IF(E2752="","",IF(E2752="Werken","JA","NEE"))</f>
        <v/>
      </c>
      <c r="L2752" s="61">
        <f>IF(K2752="JA",N(J2752),IF(E2752="","",0))</f>
        <v/>
      </c>
      <c r="M2752" s="62">
        <f>IF(AND(A2752="",E2752=""),"",IF(E2752="","Segment ontbreekt",IF(OR(G2752="",H2752=""),"Van/tot ontbreekt",IF(N(J2752)=0,"Duur is nul",IF(N(J2752)&gt;12,"Langer dan 12 uur - controleren",IF(AND(E2752="Werken",D2752=""),"Werken zonder klant - koppelen","OK"))))))</f>
        <v/>
      </c>
    </row>
    <row r="2753" ht="15" customHeight="1" s="42">
      <c r="A2753" s="55" t="n"/>
      <c r="B2753" s="56">
        <f>IF(A2753="","",WEEKNUM(A2753,21))</f>
        <v/>
      </c>
      <c r="C2753" s="57" t="n"/>
      <c r="D2753" s="57" t="n"/>
      <c r="E2753" s="58" t="n"/>
      <c r="F2753" s="57" t="n"/>
      <c r="G2753" s="59" t="n"/>
      <c r="H2753" s="59" t="n"/>
      <c r="I2753" s="60">
        <f>IF(OR(G2753="",H2753=""),"",MOD(H2753-G2753,1))</f>
        <v/>
      </c>
      <c r="J2753" s="61">
        <f>IF(OR(G2753="",H2753=""),"",ROUND(MOD(H2753-G2753,1)*24,2))</f>
        <v/>
      </c>
      <c r="K2753" s="62">
        <f>IF(E2753="","",IF(E2753="Werken","JA","NEE"))</f>
        <v/>
      </c>
      <c r="L2753" s="61">
        <f>IF(K2753="JA",N(J2753),IF(E2753="","",0))</f>
        <v/>
      </c>
      <c r="M2753" s="62">
        <f>IF(AND(A2753="",E2753=""),"",IF(E2753="","Segment ontbreekt",IF(OR(G2753="",H2753=""),"Van/tot ontbreekt",IF(N(J2753)=0,"Duur is nul",IF(N(J2753)&gt;12,"Langer dan 12 uur - controleren",IF(AND(E2753="Werken",D2753=""),"Werken zonder klant - koppelen","OK"))))))</f>
        <v/>
      </c>
    </row>
    <row r="2754" ht="15" customHeight="1" s="42">
      <c r="A2754" s="55" t="n"/>
      <c r="B2754" s="56">
        <f>IF(A2754="","",WEEKNUM(A2754,21))</f>
        <v/>
      </c>
      <c r="C2754" s="57" t="n"/>
      <c r="D2754" s="57" t="n"/>
      <c r="E2754" s="58" t="n"/>
      <c r="F2754" s="57" t="n"/>
      <c r="G2754" s="59" t="n"/>
      <c r="H2754" s="59" t="n"/>
      <c r="I2754" s="60">
        <f>IF(OR(G2754="",H2754=""),"",MOD(H2754-G2754,1))</f>
        <v/>
      </c>
      <c r="J2754" s="61">
        <f>IF(OR(G2754="",H2754=""),"",ROUND(MOD(H2754-G2754,1)*24,2))</f>
        <v/>
      </c>
      <c r="K2754" s="62">
        <f>IF(E2754="","",IF(E2754="Werken","JA","NEE"))</f>
        <v/>
      </c>
      <c r="L2754" s="61">
        <f>IF(K2754="JA",N(J2754),IF(E2754="","",0))</f>
        <v/>
      </c>
      <c r="M2754" s="62">
        <f>IF(AND(A2754="",E2754=""),"",IF(E2754="","Segment ontbreekt",IF(OR(G2754="",H2754=""),"Van/tot ontbreekt",IF(N(J2754)=0,"Duur is nul",IF(N(J2754)&gt;12,"Langer dan 12 uur - controleren",IF(AND(E2754="Werken",D2754=""),"Werken zonder klant - koppelen","OK"))))))</f>
        <v/>
      </c>
    </row>
    <row r="2755" ht="15" customHeight="1" s="42">
      <c r="A2755" s="55" t="n"/>
      <c r="B2755" s="56">
        <f>IF(A2755="","",WEEKNUM(A2755,21))</f>
        <v/>
      </c>
      <c r="C2755" s="57" t="n"/>
      <c r="D2755" s="57" t="n"/>
      <c r="E2755" s="58" t="n"/>
      <c r="F2755" s="57" t="n"/>
      <c r="G2755" s="59" t="n"/>
      <c r="H2755" s="59" t="n"/>
      <c r="I2755" s="60">
        <f>IF(OR(G2755="",H2755=""),"",MOD(H2755-G2755,1))</f>
        <v/>
      </c>
      <c r="J2755" s="61">
        <f>IF(OR(G2755="",H2755=""),"",ROUND(MOD(H2755-G2755,1)*24,2))</f>
        <v/>
      </c>
      <c r="K2755" s="62">
        <f>IF(E2755="","",IF(E2755="Werken","JA","NEE"))</f>
        <v/>
      </c>
      <c r="L2755" s="61">
        <f>IF(K2755="JA",N(J2755),IF(E2755="","",0))</f>
        <v/>
      </c>
      <c r="M2755" s="62">
        <f>IF(AND(A2755="",E2755=""),"",IF(E2755="","Segment ontbreekt",IF(OR(G2755="",H2755=""),"Van/tot ontbreekt",IF(N(J2755)=0,"Duur is nul",IF(N(J2755)&gt;12,"Langer dan 12 uur - controleren",IF(AND(E2755="Werken",D2755=""),"Werken zonder klant - koppelen","OK"))))))</f>
        <v/>
      </c>
    </row>
    <row r="2756" ht="15" customHeight="1" s="42">
      <c r="A2756" s="55" t="n"/>
      <c r="B2756" s="56">
        <f>IF(A2756="","",WEEKNUM(A2756,21))</f>
        <v/>
      </c>
      <c r="C2756" s="57" t="n"/>
      <c r="D2756" s="57" t="n"/>
      <c r="E2756" s="58" t="n"/>
      <c r="F2756" s="57" t="n"/>
      <c r="G2756" s="59" t="n"/>
      <c r="H2756" s="59" t="n"/>
      <c r="I2756" s="60">
        <f>IF(OR(G2756="",H2756=""),"",MOD(H2756-G2756,1))</f>
        <v/>
      </c>
      <c r="J2756" s="61">
        <f>IF(OR(G2756="",H2756=""),"",ROUND(MOD(H2756-G2756,1)*24,2))</f>
        <v/>
      </c>
      <c r="K2756" s="62">
        <f>IF(E2756="","",IF(E2756="Werken","JA","NEE"))</f>
        <v/>
      </c>
      <c r="L2756" s="61">
        <f>IF(K2756="JA",N(J2756),IF(E2756="","",0))</f>
        <v/>
      </c>
      <c r="M2756" s="62">
        <f>IF(AND(A2756="",E2756=""),"",IF(E2756="","Segment ontbreekt",IF(OR(G2756="",H2756=""),"Van/tot ontbreekt",IF(N(J2756)=0,"Duur is nul",IF(N(J2756)&gt;12,"Langer dan 12 uur - controleren",IF(AND(E2756="Werken",D2756=""),"Werken zonder klant - koppelen","OK"))))))</f>
        <v/>
      </c>
    </row>
    <row r="2757" ht="15" customHeight="1" s="42">
      <c r="A2757" s="55" t="n"/>
      <c r="B2757" s="56">
        <f>IF(A2757="","",WEEKNUM(A2757,21))</f>
        <v/>
      </c>
      <c r="C2757" s="57" t="n"/>
      <c r="D2757" s="57" t="n"/>
      <c r="E2757" s="58" t="n"/>
      <c r="F2757" s="57" t="n"/>
      <c r="G2757" s="59" t="n"/>
      <c r="H2757" s="59" t="n"/>
      <c r="I2757" s="60">
        <f>IF(OR(G2757="",H2757=""),"",MOD(H2757-G2757,1))</f>
        <v/>
      </c>
      <c r="J2757" s="61">
        <f>IF(OR(G2757="",H2757=""),"",ROUND(MOD(H2757-G2757,1)*24,2))</f>
        <v/>
      </c>
      <c r="K2757" s="62">
        <f>IF(E2757="","",IF(E2757="Werken","JA","NEE"))</f>
        <v/>
      </c>
      <c r="L2757" s="61">
        <f>IF(K2757="JA",N(J2757),IF(E2757="","",0))</f>
        <v/>
      </c>
      <c r="M2757" s="62">
        <f>IF(AND(A2757="",E2757=""),"",IF(E2757="","Segment ontbreekt",IF(OR(G2757="",H2757=""),"Van/tot ontbreekt",IF(N(J2757)=0,"Duur is nul",IF(N(J2757)&gt;12,"Langer dan 12 uur - controleren",IF(AND(E2757="Werken",D2757=""),"Werken zonder klant - koppelen","OK"))))))</f>
        <v/>
      </c>
    </row>
    <row r="2758" ht="15" customHeight="1" s="42">
      <c r="A2758" s="55" t="n"/>
      <c r="B2758" s="56">
        <f>IF(A2758="","",WEEKNUM(A2758,21))</f>
        <v/>
      </c>
      <c r="C2758" s="57" t="n"/>
      <c r="D2758" s="57" t="n"/>
      <c r="E2758" s="58" t="n"/>
      <c r="F2758" s="57" t="n"/>
      <c r="G2758" s="59" t="n"/>
      <c r="H2758" s="59" t="n"/>
      <c r="I2758" s="60">
        <f>IF(OR(G2758="",H2758=""),"",MOD(H2758-G2758,1))</f>
        <v/>
      </c>
      <c r="J2758" s="61">
        <f>IF(OR(G2758="",H2758=""),"",ROUND(MOD(H2758-G2758,1)*24,2))</f>
        <v/>
      </c>
      <c r="K2758" s="62">
        <f>IF(E2758="","",IF(E2758="Werken","JA","NEE"))</f>
        <v/>
      </c>
      <c r="L2758" s="61">
        <f>IF(K2758="JA",N(J2758),IF(E2758="","",0))</f>
        <v/>
      </c>
      <c r="M2758" s="62">
        <f>IF(AND(A2758="",E2758=""),"",IF(E2758="","Segment ontbreekt",IF(OR(G2758="",H2758=""),"Van/tot ontbreekt",IF(N(J2758)=0,"Duur is nul",IF(N(J2758)&gt;12,"Langer dan 12 uur - controleren",IF(AND(E2758="Werken",D2758=""),"Werken zonder klant - koppelen","OK"))))))</f>
        <v/>
      </c>
    </row>
    <row r="2759" ht="15" customHeight="1" s="42">
      <c r="A2759" s="55" t="n"/>
      <c r="B2759" s="56">
        <f>IF(A2759="","",WEEKNUM(A2759,21))</f>
        <v/>
      </c>
      <c r="C2759" s="57" t="n"/>
      <c r="D2759" s="57" t="n"/>
      <c r="E2759" s="58" t="n"/>
      <c r="F2759" s="57" t="n"/>
      <c r="G2759" s="59" t="n"/>
      <c r="H2759" s="59" t="n"/>
      <c r="I2759" s="60">
        <f>IF(OR(G2759="",H2759=""),"",MOD(H2759-G2759,1))</f>
        <v/>
      </c>
      <c r="J2759" s="61">
        <f>IF(OR(G2759="",H2759=""),"",ROUND(MOD(H2759-G2759,1)*24,2))</f>
        <v/>
      </c>
      <c r="K2759" s="62">
        <f>IF(E2759="","",IF(E2759="Werken","JA","NEE"))</f>
        <v/>
      </c>
      <c r="L2759" s="61">
        <f>IF(K2759="JA",N(J2759),IF(E2759="","",0))</f>
        <v/>
      </c>
      <c r="M2759" s="62">
        <f>IF(AND(A2759="",E2759=""),"",IF(E2759="","Segment ontbreekt",IF(OR(G2759="",H2759=""),"Van/tot ontbreekt",IF(N(J2759)=0,"Duur is nul",IF(N(J2759)&gt;12,"Langer dan 12 uur - controleren",IF(AND(E2759="Werken",D2759=""),"Werken zonder klant - koppelen","OK"))))))</f>
        <v/>
      </c>
    </row>
    <row r="2760" ht="15" customHeight="1" s="42">
      <c r="A2760" s="55" t="n"/>
      <c r="B2760" s="56">
        <f>IF(A2760="","",WEEKNUM(A2760,21))</f>
        <v/>
      </c>
      <c r="C2760" s="57" t="n"/>
      <c r="D2760" s="57" t="n"/>
      <c r="E2760" s="58" t="n"/>
      <c r="F2760" s="57" t="n"/>
      <c r="G2760" s="59" t="n"/>
      <c r="H2760" s="59" t="n"/>
      <c r="I2760" s="60">
        <f>IF(OR(G2760="",H2760=""),"",MOD(H2760-G2760,1))</f>
        <v/>
      </c>
      <c r="J2760" s="61">
        <f>IF(OR(G2760="",H2760=""),"",ROUND(MOD(H2760-G2760,1)*24,2))</f>
        <v/>
      </c>
      <c r="K2760" s="62">
        <f>IF(E2760="","",IF(E2760="Werken","JA","NEE"))</f>
        <v/>
      </c>
      <c r="L2760" s="61">
        <f>IF(K2760="JA",N(J2760),IF(E2760="","",0))</f>
        <v/>
      </c>
      <c r="M2760" s="62">
        <f>IF(AND(A2760="",E2760=""),"",IF(E2760="","Segment ontbreekt",IF(OR(G2760="",H2760=""),"Van/tot ontbreekt",IF(N(J2760)=0,"Duur is nul",IF(N(J2760)&gt;12,"Langer dan 12 uur - controleren",IF(AND(E2760="Werken",D2760=""),"Werken zonder klant - koppelen","OK"))))))</f>
        <v/>
      </c>
    </row>
    <row r="2761" ht="15" customHeight="1" s="42">
      <c r="A2761" s="55" t="n"/>
      <c r="B2761" s="56">
        <f>IF(A2761="","",WEEKNUM(A2761,21))</f>
        <v/>
      </c>
      <c r="C2761" s="57" t="n"/>
      <c r="D2761" s="57" t="n"/>
      <c r="E2761" s="58" t="n"/>
      <c r="F2761" s="57" t="n"/>
      <c r="G2761" s="59" t="n"/>
      <c r="H2761" s="59" t="n"/>
      <c r="I2761" s="60">
        <f>IF(OR(G2761="",H2761=""),"",MOD(H2761-G2761,1))</f>
        <v/>
      </c>
      <c r="J2761" s="61">
        <f>IF(OR(G2761="",H2761=""),"",ROUND(MOD(H2761-G2761,1)*24,2))</f>
        <v/>
      </c>
      <c r="K2761" s="62">
        <f>IF(E2761="","",IF(E2761="Werken","JA","NEE"))</f>
        <v/>
      </c>
      <c r="L2761" s="61">
        <f>IF(K2761="JA",N(J2761),IF(E2761="","",0))</f>
        <v/>
      </c>
      <c r="M2761" s="62">
        <f>IF(AND(A2761="",E2761=""),"",IF(E2761="","Segment ontbreekt",IF(OR(G2761="",H2761=""),"Van/tot ontbreekt",IF(N(J2761)=0,"Duur is nul",IF(N(J2761)&gt;12,"Langer dan 12 uur - controleren",IF(AND(E2761="Werken",D2761=""),"Werken zonder klant - koppelen","OK"))))))</f>
        <v/>
      </c>
    </row>
    <row r="2762" ht="15" customHeight="1" s="42">
      <c r="A2762" s="55" t="n"/>
      <c r="B2762" s="56">
        <f>IF(A2762="","",WEEKNUM(A2762,21))</f>
        <v/>
      </c>
      <c r="C2762" s="57" t="n"/>
      <c r="D2762" s="57" t="n"/>
      <c r="E2762" s="58" t="n"/>
      <c r="F2762" s="57" t="n"/>
      <c r="G2762" s="59" t="n"/>
      <c r="H2762" s="59" t="n"/>
      <c r="I2762" s="60">
        <f>IF(OR(G2762="",H2762=""),"",MOD(H2762-G2762,1))</f>
        <v/>
      </c>
      <c r="J2762" s="61">
        <f>IF(OR(G2762="",H2762=""),"",ROUND(MOD(H2762-G2762,1)*24,2))</f>
        <v/>
      </c>
      <c r="K2762" s="62">
        <f>IF(E2762="","",IF(E2762="Werken","JA","NEE"))</f>
        <v/>
      </c>
      <c r="L2762" s="61">
        <f>IF(K2762="JA",N(J2762),IF(E2762="","",0))</f>
        <v/>
      </c>
      <c r="M2762" s="62">
        <f>IF(AND(A2762="",E2762=""),"",IF(E2762="","Segment ontbreekt",IF(OR(G2762="",H2762=""),"Van/tot ontbreekt",IF(N(J2762)=0,"Duur is nul",IF(N(J2762)&gt;12,"Langer dan 12 uur - controleren",IF(AND(E2762="Werken",D2762=""),"Werken zonder klant - koppelen","OK"))))))</f>
        <v/>
      </c>
    </row>
    <row r="2763" ht="15" customHeight="1" s="42">
      <c r="A2763" s="55" t="n"/>
      <c r="B2763" s="56">
        <f>IF(A2763="","",WEEKNUM(A2763,21))</f>
        <v/>
      </c>
      <c r="C2763" s="57" t="n"/>
      <c r="D2763" s="57" t="n"/>
      <c r="E2763" s="58" t="n"/>
      <c r="F2763" s="57" t="n"/>
      <c r="G2763" s="59" t="n"/>
      <c r="H2763" s="59" t="n"/>
      <c r="I2763" s="60">
        <f>IF(OR(G2763="",H2763=""),"",MOD(H2763-G2763,1))</f>
        <v/>
      </c>
      <c r="J2763" s="61">
        <f>IF(OR(G2763="",H2763=""),"",ROUND(MOD(H2763-G2763,1)*24,2))</f>
        <v/>
      </c>
      <c r="K2763" s="62">
        <f>IF(E2763="","",IF(E2763="Werken","JA","NEE"))</f>
        <v/>
      </c>
      <c r="L2763" s="61">
        <f>IF(K2763="JA",N(J2763),IF(E2763="","",0))</f>
        <v/>
      </c>
      <c r="M2763" s="62">
        <f>IF(AND(A2763="",E2763=""),"",IF(E2763="","Segment ontbreekt",IF(OR(G2763="",H2763=""),"Van/tot ontbreekt",IF(N(J2763)=0,"Duur is nul",IF(N(J2763)&gt;12,"Langer dan 12 uur - controleren",IF(AND(E2763="Werken",D2763=""),"Werken zonder klant - koppelen","OK"))))))</f>
        <v/>
      </c>
    </row>
    <row r="2764" ht="15" customHeight="1" s="42">
      <c r="A2764" s="55" t="n"/>
      <c r="B2764" s="56">
        <f>IF(A2764="","",WEEKNUM(A2764,21))</f>
        <v/>
      </c>
      <c r="C2764" s="57" t="n"/>
      <c r="D2764" s="57" t="n"/>
      <c r="E2764" s="58" t="n"/>
      <c r="F2764" s="57" t="n"/>
      <c r="G2764" s="59" t="n"/>
      <c r="H2764" s="59" t="n"/>
      <c r="I2764" s="60">
        <f>IF(OR(G2764="",H2764=""),"",MOD(H2764-G2764,1))</f>
        <v/>
      </c>
      <c r="J2764" s="61">
        <f>IF(OR(G2764="",H2764=""),"",ROUND(MOD(H2764-G2764,1)*24,2))</f>
        <v/>
      </c>
      <c r="K2764" s="62">
        <f>IF(E2764="","",IF(E2764="Werken","JA","NEE"))</f>
        <v/>
      </c>
      <c r="L2764" s="61">
        <f>IF(K2764="JA",N(J2764),IF(E2764="","",0))</f>
        <v/>
      </c>
      <c r="M2764" s="62">
        <f>IF(AND(A2764="",E2764=""),"",IF(E2764="","Segment ontbreekt",IF(OR(G2764="",H2764=""),"Van/tot ontbreekt",IF(N(J2764)=0,"Duur is nul",IF(N(J2764)&gt;12,"Langer dan 12 uur - controleren",IF(AND(E2764="Werken",D2764=""),"Werken zonder klant - koppelen","OK"))))))</f>
        <v/>
      </c>
    </row>
    <row r="2765" ht="15" customHeight="1" s="42">
      <c r="A2765" s="55" t="n"/>
      <c r="B2765" s="56">
        <f>IF(A2765="","",WEEKNUM(A2765,21))</f>
        <v/>
      </c>
      <c r="C2765" s="57" t="n"/>
      <c r="D2765" s="57" t="n"/>
      <c r="E2765" s="58" t="n"/>
      <c r="F2765" s="57" t="n"/>
      <c r="G2765" s="59" t="n"/>
      <c r="H2765" s="59" t="n"/>
      <c r="I2765" s="60">
        <f>IF(OR(G2765="",H2765=""),"",MOD(H2765-G2765,1))</f>
        <v/>
      </c>
      <c r="J2765" s="61">
        <f>IF(OR(G2765="",H2765=""),"",ROUND(MOD(H2765-G2765,1)*24,2))</f>
        <v/>
      </c>
      <c r="K2765" s="62">
        <f>IF(E2765="","",IF(E2765="Werken","JA","NEE"))</f>
        <v/>
      </c>
      <c r="L2765" s="61">
        <f>IF(K2765="JA",N(J2765),IF(E2765="","",0))</f>
        <v/>
      </c>
      <c r="M2765" s="62">
        <f>IF(AND(A2765="",E2765=""),"",IF(E2765="","Segment ontbreekt",IF(OR(G2765="",H2765=""),"Van/tot ontbreekt",IF(N(J2765)=0,"Duur is nul",IF(N(J2765)&gt;12,"Langer dan 12 uur - controleren",IF(AND(E2765="Werken",D2765=""),"Werken zonder klant - koppelen","OK"))))))</f>
        <v/>
      </c>
    </row>
    <row r="2766" ht="15" customHeight="1" s="42">
      <c r="A2766" s="55" t="n"/>
      <c r="B2766" s="56">
        <f>IF(A2766="","",WEEKNUM(A2766,21))</f>
        <v/>
      </c>
      <c r="C2766" s="57" t="n"/>
      <c r="D2766" s="57" t="n"/>
      <c r="E2766" s="58" t="n"/>
      <c r="F2766" s="57" t="n"/>
      <c r="G2766" s="59" t="n"/>
      <c r="H2766" s="59" t="n"/>
      <c r="I2766" s="60">
        <f>IF(OR(G2766="",H2766=""),"",MOD(H2766-G2766,1))</f>
        <v/>
      </c>
      <c r="J2766" s="61">
        <f>IF(OR(G2766="",H2766=""),"",ROUND(MOD(H2766-G2766,1)*24,2))</f>
        <v/>
      </c>
      <c r="K2766" s="62">
        <f>IF(E2766="","",IF(E2766="Werken","JA","NEE"))</f>
        <v/>
      </c>
      <c r="L2766" s="61">
        <f>IF(K2766="JA",N(J2766),IF(E2766="","",0))</f>
        <v/>
      </c>
      <c r="M2766" s="62">
        <f>IF(AND(A2766="",E2766=""),"",IF(E2766="","Segment ontbreekt",IF(OR(G2766="",H2766=""),"Van/tot ontbreekt",IF(N(J2766)=0,"Duur is nul",IF(N(J2766)&gt;12,"Langer dan 12 uur - controleren",IF(AND(E2766="Werken",D2766=""),"Werken zonder klant - koppelen","OK"))))))</f>
        <v/>
      </c>
    </row>
    <row r="2767" ht="15" customHeight="1" s="42">
      <c r="A2767" s="55" t="n"/>
      <c r="B2767" s="56">
        <f>IF(A2767="","",WEEKNUM(A2767,21))</f>
        <v/>
      </c>
      <c r="C2767" s="57" t="n"/>
      <c r="D2767" s="57" t="n"/>
      <c r="E2767" s="58" t="n"/>
      <c r="F2767" s="57" t="n"/>
      <c r="G2767" s="59" t="n"/>
      <c r="H2767" s="59" t="n"/>
      <c r="I2767" s="60">
        <f>IF(OR(G2767="",H2767=""),"",MOD(H2767-G2767,1))</f>
        <v/>
      </c>
      <c r="J2767" s="61">
        <f>IF(OR(G2767="",H2767=""),"",ROUND(MOD(H2767-G2767,1)*24,2))</f>
        <v/>
      </c>
      <c r="K2767" s="62">
        <f>IF(E2767="","",IF(E2767="Werken","JA","NEE"))</f>
        <v/>
      </c>
      <c r="L2767" s="61">
        <f>IF(K2767="JA",N(J2767),IF(E2767="","",0))</f>
        <v/>
      </c>
      <c r="M2767" s="62">
        <f>IF(AND(A2767="",E2767=""),"",IF(E2767="","Segment ontbreekt",IF(OR(G2767="",H2767=""),"Van/tot ontbreekt",IF(N(J2767)=0,"Duur is nul",IF(N(J2767)&gt;12,"Langer dan 12 uur - controleren",IF(AND(E2767="Werken",D2767=""),"Werken zonder klant - koppelen","OK"))))))</f>
        <v/>
      </c>
    </row>
    <row r="2768" ht="15" customHeight="1" s="42">
      <c r="A2768" s="55" t="n"/>
      <c r="B2768" s="56">
        <f>IF(A2768="","",WEEKNUM(A2768,21))</f>
        <v/>
      </c>
      <c r="C2768" s="57" t="n"/>
      <c r="D2768" s="57" t="n"/>
      <c r="E2768" s="58" t="n"/>
      <c r="F2768" s="57" t="n"/>
      <c r="G2768" s="59" t="n"/>
      <c r="H2768" s="59" t="n"/>
      <c r="I2768" s="60">
        <f>IF(OR(G2768="",H2768=""),"",MOD(H2768-G2768,1))</f>
        <v/>
      </c>
      <c r="J2768" s="61">
        <f>IF(OR(G2768="",H2768=""),"",ROUND(MOD(H2768-G2768,1)*24,2))</f>
        <v/>
      </c>
      <c r="K2768" s="62">
        <f>IF(E2768="","",IF(E2768="Werken","JA","NEE"))</f>
        <v/>
      </c>
      <c r="L2768" s="61">
        <f>IF(K2768="JA",N(J2768),IF(E2768="","",0))</f>
        <v/>
      </c>
      <c r="M2768" s="62">
        <f>IF(AND(A2768="",E2768=""),"",IF(E2768="","Segment ontbreekt",IF(OR(G2768="",H2768=""),"Van/tot ontbreekt",IF(N(J2768)=0,"Duur is nul",IF(N(J2768)&gt;12,"Langer dan 12 uur - controleren",IF(AND(E2768="Werken",D2768=""),"Werken zonder klant - koppelen","OK"))))))</f>
        <v/>
      </c>
    </row>
    <row r="2769" ht="15" customHeight="1" s="42">
      <c r="A2769" s="55" t="n"/>
      <c r="B2769" s="56">
        <f>IF(A2769="","",WEEKNUM(A2769,21))</f>
        <v/>
      </c>
      <c r="C2769" s="57" t="n"/>
      <c r="D2769" s="57" t="n"/>
      <c r="E2769" s="58" t="n"/>
      <c r="F2769" s="57" t="n"/>
      <c r="G2769" s="59" t="n"/>
      <c r="H2769" s="59" t="n"/>
      <c r="I2769" s="60">
        <f>IF(OR(G2769="",H2769=""),"",MOD(H2769-G2769,1))</f>
        <v/>
      </c>
      <c r="J2769" s="61">
        <f>IF(OR(G2769="",H2769=""),"",ROUND(MOD(H2769-G2769,1)*24,2))</f>
        <v/>
      </c>
      <c r="K2769" s="62">
        <f>IF(E2769="","",IF(E2769="Werken","JA","NEE"))</f>
        <v/>
      </c>
      <c r="L2769" s="61">
        <f>IF(K2769="JA",N(J2769),IF(E2769="","",0))</f>
        <v/>
      </c>
      <c r="M2769" s="62">
        <f>IF(AND(A2769="",E2769=""),"",IF(E2769="","Segment ontbreekt",IF(OR(G2769="",H2769=""),"Van/tot ontbreekt",IF(N(J2769)=0,"Duur is nul",IF(N(J2769)&gt;12,"Langer dan 12 uur - controleren",IF(AND(E2769="Werken",D2769=""),"Werken zonder klant - koppelen","OK"))))))</f>
        <v/>
      </c>
    </row>
    <row r="2770" ht="15" customHeight="1" s="42">
      <c r="A2770" s="55" t="n"/>
      <c r="B2770" s="56">
        <f>IF(A2770="","",WEEKNUM(A2770,21))</f>
        <v/>
      </c>
      <c r="C2770" s="57" t="n"/>
      <c r="D2770" s="57" t="n"/>
      <c r="E2770" s="58" t="n"/>
      <c r="F2770" s="57" t="n"/>
      <c r="G2770" s="59" t="n"/>
      <c r="H2770" s="59" t="n"/>
      <c r="I2770" s="60">
        <f>IF(OR(G2770="",H2770=""),"",MOD(H2770-G2770,1))</f>
        <v/>
      </c>
      <c r="J2770" s="61">
        <f>IF(OR(G2770="",H2770=""),"",ROUND(MOD(H2770-G2770,1)*24,2))</f>
        <v/>
      </c>
      <c r="K2770" s="62">
        <f>IF(E2770="","",IF(E2770="Werken","JA","NEE"))</f>
        <v/>
      </c>
      <c r="L2770" s="61">
        <f>IF(K2770="JA",N(J2770),IF(E2770="","",0))</f>
        <v/>
      </c>
      <c r="M2770" s="62">
        <f>IF(AND(A2770="",E2770=""),"",IF(E2770="","Segment ontbreekt",IF(OR(G2770="",H2770=""),"Van/tot ontbreekt",IF(N(J2770)=0,"Duur is nul",IF(N(J2770)&gt;12,"Langer dan 12 uur - controleren",IF(AND(E2770="Werken",D2770=""),"Werken zonder klant - koppelen","OK"))))))</f>
        <v/>
      </c>
    </row>
    <row r="2771" ht="15" customHeight="1" s="42">
      <c r="A2771" s="55" t="n"/>
      <c r="B2771" s="56">
        <f>IF(A2771="","",WEEKNUM(A2771,21))</f>
        <v/>
      </c>
      <c r="C2771" s="57" t="n"/>
      <c r="D2771" s="57" t="n"/>
      <c r="E2771" s="58" t="n"/>
      <c r="F2771" s="57" t="n"/>
      <c r="G2771" s="59" t="n"/>
      <c r="H2771" s="59" t="n"/>
      <c r="I2771" s="60">
        <f>IF(OR(G2771="",H2771=""),"",MOD(H2771-G2771,1))</f>
        <v/>
      </c>
      <c r="J2771" s="61">
        <f>IF(OR(G2771="",H2771=""),"",ROUND(MOD(H2771-G2771,1)*24,2))</f>
        <v/>
      </c>
      <c r="K2771" s="62">
        <f>IF(E2771="","",IF(E2771="Werken","JA","NEE"))</f>
        <v/>
      </c>
      <c r="L2771" s="61">
        <f>IF(K2771="JA",N(J2771),IF(E2771="","",0))</f>
        <v/>
      </c>
      <c r="M2771" s="62">
        <f>IF(AND(A2771="",E2771=""),"",IF(E2771="","Segment ontbreekt",IF(OR(G2771="",H2771=""),"Van/tot ontbreekt",IF(N(J2771)=0,"Duur is nul",IF(N(J2771)&gt;12,"Langer dan 12 uur - controleren",IF(AND(E2771="Werken",D2771=""),"Werken zonder klant - koppelen","OK"))))))</f>
        <v/>
      </c>
    </row>
    <row r="2772" ht="15" customHeight="1" s="42">
      <c r="A2772" s="55" t="n"/>
      <c r="B2772" s="56">
        <f>IF(A2772="","",WEEKNUM(A2772,21))</f>
        <v/>
      </c>
      <c r="C2772" s="57" t="n"/>
      <c r="D2772" s="57" t="n"/>
      <c r="E2772" s="58" t="n"/>
      <c r="F2772" s="57" t="n"/>
      <c r="G2772" s="59" t="n"/>
      <c r="H2772" s="59" t="n"/>
      <c r="I2772" s="60">
        <f>IF(OR(G2772="",H2772=""),"",MOD(H2772-G2772,1))</f>
        <v/>
      </c>
      <c r="J2772" s="61">
        <f>IF(OR(G2772="",H2772=""),"",ROUND(MOD(H2772-G2772,1)*24,2))</f>
        <v/>
      </c>
      <c r="K2772" s="62">
        <f>IF(E2772="","",IF(E2772="Werken","JA","NEE"))</f>
        <v/>
      </c>
      <c r="L2772" s="61">
        <f>IF(K2772="JA",N(J2772),IF(E2772="","",0))</f>
        <v/>
      </c>
      <c r="M2772" s="62">
        <f>IF(AND(A2772="",E2772=""),"",IF(E2772="","Segment ontbreekt",IF(OR(G2772="",H2772=""),"Van/tot ontbreekt",IF(N(J2772)=0,"Duur is nul",IF(N(J2772)&gt;12,"Langer dan 12 uur - controleren",IF(AND(E2772="Werken",D2772=""),"Werken zonder klant - koppelen","OK"))))))</f>
        <v/>
      </c>
    </row>
    <row r="2773" ht="15" customHeight="1" s="42">
      <c r="A2773" s="55" t="n"/>
      <c r="B2773" s="56">
        <f>IF(A2773="","",WEEKNUM(A2773,21))</f>
        <v/>
      </c>
      <c r="C2773" s="57" t="n"/>
      <c r="D2773" s="57" t="n"/>
      <c r="E2773" s="58" t="n"/>
      <c r="F2773" s="57" t="n"/>
      <c r="G2773" s="59" t="n"/>
      <c r="H2773" s="59" t="n"/>
      <c r="I2773" s="60">
        <f>IF(OR(G2773="",H2773=""),"",MOD(H2773-G2773,1))</f>
        <v/>
      </c>
      <c r="J2773" s="61">
        <f>IF(OR(G2773="",H2773=""),"",ROUND(MOD(H2773-G2773,1)*24,2))</f>
        <v/>
      </c>
      <c r="K2773" s="62">
        <f>IF(E2773="","",IF(E2773="Werken","JA","NEE"))</f>
        <v/>
      </c>
      <c r="L2773" s="61">
        <f>IF(K2773="JA",N(J2773),IF(E2773="","",0))</f>
        <v/>
      </c>
      <c r="M2773" s="62">
        <f>IF(AND(A2773="",E2773=""),"",IF(E2773="","Segment ontbreekt",IF(OR(G2773="",H2773=""),"Van/tot ontbreekt",IF(N(J2773)=0,"Duur is nul",IF(N(J2773)&gt;12,"Langer dan 12 uur - controleren",IF(AND(E2773="Werken",D2773=""),"Werken zonder klant - koppelen","OK"))))))</f>
        <v/>
      </c>
    </row>
    <row r="2774" ht="15" customHeight="1" s="42">
      <c r="A2774" s="55" t="n"/>
      <c r="B2774" s="56">
        <f>IF(A2774="","",WEEKNUM(A2774,21))</f>
        <v/>
      </c>
      <c r="C2774" s="57" t="n"/>
      <c r="D2774" s="57" t="n"/>
      <c r="E2774" s="58" t="n"/>
      <c r="F2774" s="57" t="n"/>
      <c r="G2774" s="59" t="n"/>
      <c r="H2774" s="59" t="n"/>
      <c r="I2774" s="60">
        <f>IF(OR(G2774="",H2774=""),"",MOD(H2774-G2774,1))</f>
        <v/>
      </c>
      <c r="J2774" s="61">
        <f>IF(OR(G2774="",H2774=""),"",ROUND(MOD(H2774-G2774,1)*24,2))</f>
        <v/>
      </c>
      <c r="K2774" s="62">
        <f>IF(E2774="","",IF(E2774="Werken","JA","NEE"))</f>
        <v/>
      </c>
      <c r="L2774" s="61">
        <f>IF(K2774="JA",N(J2774),IF(E2774="","",0))</f>
        <v/>
      </c>
      <c r="M2774" s="62">
        <f>IF(AND(A2774="",E2774=""),"",IF(E2774="","Segment ontbreekt",IF(OR(G2774="",H2774=""),"Van/tot ontbreekt",IF(N(J2774)=0,"Duur is nul",IF(N(J2774)&gt;12,"Langer dan 12 uur - controleren",IF(AND(E2774="Werken",D2774=""),"Werken zonder klant - koppelen","OK"))))))</f>
        <v/>
      </c>
    </row>
    <row r="2775" ht="15" customHeight="1" s="42">
      <c r="A2775" s="55" t="n"/>
      <c r="B2775" s="56">
        <f>IF(A2775="","",WEEKNUM(A2775,21))</f>
        <v/>
      </c>
      <c r="C2775" s="57" t="n"/>
      <c r="D2775" s="57" t="n"/>
      <c r="E2775" s="58" t="n"/>
      <c r="F2775" s="57" t="n"/>
      <c r="G2775" s="59" t="n"/>
      <c r="H2775" s="59" t="n"/>
      <c r="I2775" s="60">
        <f>IF(OR(G2775="",H2775=""),"",MOD(H2775-G2775,1))</f>
        <v/>
      </c>
      <c r="J2775" s="61">
        <f>IF(OR(G2775="",H2775=""),"",ROUND(MOD(H2775-G2775,1)*24,2))</f>
        <v/>
      </c>
      <c r="K2775" s="62">
        <f>IF(E2775="","",IF(E2775="Werken","JA","NEE"))</f>
        <v/>
      </c>
      <c r="L2775" s="61">
        <f>IF(K2775="JA",N(J2775),IF(E2775="","",0))</f>
        <v/>
      </c>
      <c r="M2775" s="62">
        <f>IF(AND(A2775="",E2775=""),"",IF(E2775="","Segment ontbreekt",IF(OR(G2775="",H2775=""),"Van/tot ontbreekt",IF(N(J2775)=0,"Duur is nul",IF(N(J2775)&gt;12,"Langer dan 12 uur - controleren",IF(AND(E2775="Werken",D2775=""),"Werken zonder klant - koppelen","OK"))))))</f>
        <v/>
      </c>
    </row>
    <row r="2776" ht="15" customHeight="1" s="42">
      <c r="A2776" s="55" t="n"/>
      <c r="B2776" s="56">
        <f>IF(A2776="","",WEEKNUM(A2776,21))</f>
        <v/>
      </c>
      <c r="C2776" s="57" t="n"/>
      <c r="D2776" s="57" t="n"/>
      <c r="E2776" s="58" t="n"/>
      <c r="F2776" s="57" t="n"/>
      <c r="G2776" s="59" t="n"/>
      <c r="H2776" s="59" t="n"/>
      <c r="I2776" s="60">
        <f>IF(OR(G2776="",H2776=""),"",MOD(H2776-G2776,1))</f>
        <v/>
      </c>
      <c r="J2776" s="61">
        <f>IF(OR(G2776="",H2776=""),"",ROUND(MOD(H2776-G2776,1)*24,2))</f>
        <v/>
      </c>
      <c r="K2776" s="62">
        <f>IF(E2776="","",IF(E2776="Werken","JA","NEE"))</f>
        <v/>
      </c>
      <c r="L2776" s="61">
        <f>IF(K2776="JA",N(J2776),IF(E2776="","",0))</f>
        <v/>
      </c>
      <c r="M2776" s="62">
        <f>IF(AND(A2776="",E2776=""),"",IF(E2776="","Segment ontbreekt",IF(OR(G2776="",H2776=""),"Van/tot ontbreekt",IF(N(J2776)=0,"Duur is nul",IF(N(J2776)&gt;12,"Langer dan 12 uur - controleren",IF(AND(E2776="Werken",D2776=""),"Werken zonder klant - koppelen","OK"))))))</f>
        <v/>
      </c>
    </row>
    <row r="2777" ht="15" customHeight="1" s="42">
      <c r="A2777" s="55" t="n"/>
      <c r="B2777" s="56">
        <f>IF(A2777="","",WEEKNUM(A2777,21))</f>
        <v/>
      </c>
      <c r="C2777" s="57" t="n"/>
      <c r="D2777" s="57" t="n"/>
      <c r="E2777" s="58" t="n"/>
      <c r="F2777" s="57" t="n"/>
      <c r="G2777" s="59" t="n"/>
      <c r="H2777" s="59" t="n"/>
      <c r="I2777" s="60">
        <f>IF(OR(G2777="",H2777=""),"",MOD(H2777-G2777,1))</f>
        <v/>
      </c>
      <c r="J2777" s="61">
        <f>IF(OR(G2777="",H2777=""),"",ROUND(MOD(H2777-G2777,1)*24,2))</f>
        <v/>
      </c>
      <c r="K2777" s="62">
        <f>IF(E2777="","",IF(E2777="Werken","JA","NEE"))</f>
        <v/>
      </c>
      <c r="L2777" s="61">
        <f>IF(K2777="JA",N(J2777),IF(E2777="","",0))</f>
        <v/>
      </c>
      <c r="M2777" s="62">
        <f>IF(AND(A2777="",E2777=""),"",IF(E2777="","Segment ontbreekt",IF(OR(G2777="",H2777=""),"Van/tot ontbreekt",IF(N(J2777)=0,"Duur is nul",IF(N(J2777)&gt;12,"Langer dan 12 uur - controleren",IF(AND(E2777="Werken",D2777=""),"Werken zonder klant - koppelen","OK"))))))</f>
        <v/>
      </c>
    </row>
    <row r="2778" ht="15" customHeight="1" s="42">
      <c r="A2778" s="55" t="n"/>
      <c r="B2778" s="56">
        <f>IF(A2778="","",WEEKNUM(A2778,21))</f>
        <v/>
      </c>
      <c r="C2778" s="57" t="n"/>
      <c r="D2778" s="57" t="n"/>
      <c r="E2778" s="58" t="n"/>
      <c r="F2778" s="57" t="n"/>
      <c r="G2778" s="59" t="n"/>
      <c r="H2778" s="59" t="n"/>
      <c r="I2778" s="60">
        <f>IF(OR(G2778="",H2778=""),"",MOD(H2778-G2778,1))</f>
        <v/>
      </c>
      <c r="J2778" s="61">
        <f>IF(OR(G2778="",H2778=""),"",ROUND(MOD(H2778-G2778,1)*24,2))</f>
        <v/>
      </c>
      <c r="K2778" s="62">
        <f>IF(E2778="","",IF(E2778="Werken","JA","NEE"))</f>
        <v/>
      </c>
      <c r="L2778" s="61">
        <f>IF(K2778="JA",N(J2778),IF(E2778="","",0))</f>
        <v/>
      </c>
      <c r="M2778" s="62">
        <f>IF(AND(A2778="",E2778=""),"",IF(E2778="","Segment ontbreekt",IF(OR(G2778="",H2778=""),"Van/tot ontbreekt",IF(N(J2778)=0,"Duur is nul",IF(N(J2778)&gt;12,"Langer dan 12 uur - controleren",IF(AND(E2778="Werken",D2778=""),"Werken zonder klant - koppelen","OK"))))))</f>
        <v/>
      </c>
    </row>
    <row r="2779" ht="15" customHeight="1" s="42">
      <c r="A2779" s="55" t="n"/>
      <c r="B2779" s="56">
        <f>IF(A2779="","",WEEKNUM(A2779,21))</f>
        <v/>
      </c>
      <c r="C2779" s="57" t="n"/>
      <c r="D2779" s="57" t="n"/>
      <c r="E2779" s="58" t="n"/>
      <c r="F2779" s="57" t="n"/>
      <c r="G2779" s="59" t="n"/>
      <c r="H2779" s="59" t="n"/>
      <c r="I2779" s="60">
        <f>IF(OR(G2779="",H2779=""),"",MOD(H2779-G2779,1))</f>
        <v/>
      </c>
      <c r="J2779" s="61">
        <f>IF(OR(G2779="",H2779=""),"",ROUND(MOD(H2779-G2779,1)*24,2))</f>
        <v/>
      </c>
      <c r="K2779" s="62">
        <f>IF(E2779="","",IF(E2779="Werken","JA","NEE"))</f>
        <v/>
      </c>
      <c r="L2779" s="61">
        <f>IF(K2779="JA",N(J2779),IF(E2779="","",0))</f>
        <v/>
      </c>
      <c r="M2779" s="62">
        <f>IF(AND(A2779="",E2779=""),"",IF(E2779="","Segment ontbreekt",IF(OR(G2779="",H2779=""),"Van/tot ontbreekt",IF(N(J2779)=0,"Duur is nul",IF(N(J2779)&gt;12,"Langer dan 12 uur - controleren",IF(AND(E2779="Werken",D2779=""),"Werken zonder klant - koppelen","OK"))))))</f>
        <v/>
      </c>
    </row>
    <row r="2780" ht="15" customHeight="1" s="42">
      <c r="A2780" s="55" t="n"/>
      <c r="B2780" s="56">
        <f>IF(A2780="","",WEEKNUM(A2780,21))</f>
        <v/>
      </c>
      <c r="C2780" s="57" t="n"/>
      <c r="D2780" s="57" t="n"/>
      <c r="E2780" s="58" t="n"/>
      <c r="F2780" s="57" t="n"/>
      <c r="G2780" s="59" t="n"/>
      <c r="H2780" s="59" t="n"/>
      <c r="I2780" s="60">
        <f>IF(OR(G2780="",H2780=""),"",MOD(H2780-G2780,1))</f>
        <v/>
      </c>
      <c r="J2780" s="61">
        <f>IF(OR(G2780="",H2780=""),"",ROUND(MOD(H2780-G2780,1)*24,2))</f>
        <v/>
      </c>
      <c r="K2780" s="62">
        <f>IF(E2780="","",IF(E2780="Werken","JA","NEE"))</f>
        <v/>
      </c>
      <c r="L2780" s="61">
        <f>IF(K2780="JA",N(J2780),IF(E2780="","",0))</f>
        <v/>
      </c>
      <c r="M2780" s="62">
        <f>IF(AND(A2780="",E2780=""),"",IF(E2780="","Segment ontbreekt",IF(OR(G2780="",H2780=""),"Van/tot ontbreekt",IF(N(J2780)=0,"Duur is nul",IF(N(J2780)&gt;12,"Langer dan 12 uur - controleren",IF(AND(E2780="Werken",D2780=""),"Werken zonder klant - koppelen","OK"))))))</f>
        <v/>
      </c>
    </row>
    <row r="2781" ht="15" customHeight="1" s="42">
      <c r="A2781" s="55" t="n"/>
      <c r="B2781" s="56">
        <f>IF(A2781="","",WEEKNUM(A2781,21))</f>
        <v/>
      </c>
      <c r="C2781" s="57" t="n"/>
      <c r="D2781" s="57" t="n"/>
      <c r="E2781" s="58" t="n"/>
      <c r="F2781" s="57" t="n"/>
      <c r="G2781" s="59" t="n"/>
      <c r="H2781" s="59" t="n"/>
      <c r="I2781" s="60">
        <f>IF(OR(G2781="",H2781=""),"",MOD(H2781-G2781,1))</f>
        <v/>
      </c>
      <c r="J2781" s="61">
        <f>IF(OR(G2781="",H2781=""),"",ROUND(MOD(H2781-G2781,1)*24,2))</f>
        <v/>
      </c>
      <c r="K2781" s="62">
        <f>IF(E2781="","",IF(E2781="Werken","JA","NEE"))</f>
        <v/>
      </c>
      <c r="L2781" s="61">
        <f>IF(K2781="JA",N(J2781),IF(E2781="","",0))</f>
        <v/>
      </c>
      <c r="M2781" s="62">
        <f>IF(AND(A2781="",E2781=""),"",IF(E2781="","Segment ontbreekt",IF(OR(G2781="",H2781=""),"Van/tot ontbreekt",IF(N(J2781)=0,"Duur is nul",IF(N(J2781)&gt;12,"Langer dan 12 uur - controleren",IF(AND(E2781="Werken",D2781=""),"Werken zonder klant - koppelen","OK"))))))</f>
        <v/>
      </c>
    </row>
    <row r="2782" ht="15" customHeight="1" s="42">
      <c r="A2782" s="55" t="n"/>
      <c r="B2782" s="56">
        <f>IF(A2782="","",WEEKNUM(A2782,21))</f>
        <v/>
      </c>
      <c r="C2782" s="57" t="n"/>
      <c r="D2782" s="57" t="n"/>
      <c r="E2782" s="58" t="n"/>
      <c r="F2782" s="57" t="n"/>
      <c r="G2782" s="59" t="n"/>
      <c r="H2782" s="59" t="n"/>
      <c r="I2782" s="60">
        <f>IF(OR(G2782="",H2782=""),"",MOD(H2782-G2782,1))</f>
        <v/>
      </c>
      <c r="J2782" s="61">
        <f>IF(OR(G2782="",H2782=""),"",ROUND(MOD(H2782-G2782,1)*24,2))</f>
        <v/>
      </c>
      <c r="K2782" s="62">
        <f>IF(E2782="","",IF(E2782="Werken","JA","NEE"))</f>
        <v/>
      </c>
      <c r="L2782" s="61">
        <f>IF(K2782="JA",N(J2782),IF(E2782="","",0))</f>
        <v/>
      </c>
      <c r="M2782" s="62">
        <f>IF(AND(A2782="",E2782=""),"",IF(E2782="","Segment ontbreekt",IF(OR(G2782="",H2782=""),"Van/tot ontbreekt",IF(N(J2782)=0,"Duur is nul",IF(N(J2782)&gt;12,"Langer dan 12 uur - controleren",IF(AND(E2782="Werken",D2782=""),"Werken zonder klant - koppelen","OK"))))))</f>
        <v/>
      </c>
    </row>
    <row r="2783" ht="15" customHeight="1" s="42">
      <c r="A2783" s="55" t="n"/>
      <c r="B2783" s="56">
        <f>IF(A2783="","",WEEKNUM(A2783,21))</f>
        <v/>
      </c>
      <c r="C2783" s="57" t="n"/>
      <c r="D2783" s="57" t="n"/>
      <c r="E2783" s="58" t="n"/>
      <c r="F2783" s="57" t="n"/>
      <c r="G2783" s="59" t="n"/>
      <c r="H2783" s="59" t="n"/>
      <c r="I2783" s="60">
        <f>IF(OR(G2783="",H2783=""),"",MOD(H2783-G2783,1))</f>
        <v/>
      </c>
      <c r="J2783" s="61">
        <f>IF(OR(G2783="",H2783=""),"",ROUND(MOD(H2783-G2783,1)*24,2))</f>
        <v/>
      </c>
      <c r="K2783" s="62">
        <f>IF(E2783="","",IF(E2783="Werken","JA","NEE"))</f>
        <v/>
      </c>
      <c r="L2783" s="61">
        <f>IF(K2783="JA",N(J2783),IF(E2783="","",0))</f>
        <v/>
      </c>
      <c r="M2783" s="62">
        <f>IF(AND(A2783="",E2783=""),"",IF(E2783="","Segment ontbreekt",IF(OR(G2783="",H2783=""),"Van/tot ontbreekt",IF(N(J2783)=0,"Duur is nul",IF(N(J2783)&gt;12,"Langer dan 12 uur - controleren",IF(AND(E2783="Werken",D2783=""),"Werken zonder klant - koppelen","OK"))))))</f>
        <v/>
      </c>
    </row>
    <row r="2784" ht="15" customHeight="1" s="42">
      <c r="A2784" s="55" t="n"/>
      <c r="B2784" s="56">
        <f>IF(A2784="","",WEEKNUM(A2784,21))</f>
        <v/>
      </c>
      <c r="C2784" s="57" t="n"/>
      <c r="D2784" s="57" t="n"/>
      <c r="E2784" s="58" t="n"/>
      <c r="F2784" s="57" t="n"/>
      <c r="G2784" s="59" t="n"/>
      <c r="H2784" s="59" t="n"/>
      <c r="I2784" s="60">
        <f>IF(OR(G2784="",H2784=""),"",MOD(H2784-G2784,1))</f>
        <v/>
      </c>
      <c r="J2784" s="61">
        <f>IF(OR(G2784="",H2784=""),"",ROUND(MOD(H2784-G2784,1)*24,2))</f>
        <v/>
      </c>
      <c r="K2784" s="62">
        <f>IF(E2784="","",IF(E2784="Werken","JA","NEE"))</f>
        <v/>
      </c>
      <c r="L2784" s="61">
        <f>IF(K2784="JA",N(J2784),IF(E2784="","",0))</f>
        <v/>
      </c>
      <c r="M2784" s="62">
        <f>IF(AND(A2784="",E2784=""),"",IF(E2784="","Segment ontbreekt",IF(OR(G2784="",H2784=""),"Van/tot ontbreekt",IF(N(J2784)=0,"Duur is nul",IF(N(J2784)&gt;12,"Langer dan 12 uur - controleren",IF(AND(E2784="Werken",D2784=""),"Werken zonder klant - koppelen","OK"))))))</f>
        <v/>
      </c>
    </row>
    <row r="2785" ht="15" customHeight="1" s="42">
      <c r="A2785" s="55" t="n"/>
      <c r="B2785" s="56">
        <f>IF(A2785="","",WEEKNUM(A2785,21))</f>
        <v/>
      </c>
      <c r="C2785" s="57" t="n"/>
      <c r="D2785" s="57" t="n"/>
      <c r="E2785" s="58" t="n"/>
      <c r="F2785" s="57" t="n"/>
      <c r="G2785" s="59" t="n"/>
      <c r="H2785" s="59" t="n"/>
      <c r="I2785" s="60">
        <f>IF(OR(G2785="",H2785=""),"",MOD(H2785-G2785,1))</f>
        <v/>
      </c>
      <c r="J2785" s="61">
        <f>IF(OR(G2785="",H2785=""),"",ROUND(MOD(H2785-G2785,1)*24,2))</f>
        <v/>
      </c>
      <c r="K2785" s="62">
        <f>IF(E2785="","",IF(E2785="Werken","JA","NEE"))</f>
        <v/>
      </c>
      <c r="L2785" s="61">
        <f>IF(K2785="JA",N(J2785),IF(E2785="","",0))</f>
        <v/>
      </c>
      <c r="M2785" s="62">
        <f>IF(AND(A2785="",E2785=""),"",IF(E2785="","Segment ontbreekt",IF(OR(G2785="",H2785=""),"Van/tot ontbreekt",IF(N(J2785)=0,"Duur is nul",IF(N(J2785)&gt;12,"Langer dan 12 uur - controleren",IF(AND(E2785="Werken",D2785=""),"Werken zonder klant - koppelen","OK"))))))</f>
        <v/>
      </c>
    </row>
    <row r="2786" ht="15" customHeight="1" s="42">
      <c r="A2786" s="55" t="n"/>
      <c r="B2786" s="56">
        <f>IF(A2786="","",WEEKNUM(A2786,21))</f>
        <v/>
      </c>
      <c r="C2786" s="57" t="n"/>
      <c r="D2786" s="57" t="n"/>
      <c r="E2786" s="58" t="n"/>
      <c r="F2786" s="57" t="n"/>
      <c r="G2786" s="59" t="n"/>
      <c r="H2786" s="59" t="n"/>
      <c r="I2786" s="60">
        <f>IF(OR(G2786="",H2786=""),"",MOD(H2786-G2786,1))</f>
        <v/>
      </c>
      <c r="J2786" s="61">
        <f>IF(OR(G2786="",H2786=""),"",ROUND(MOD(H2786-G2786,1)*24,2))</f>
        <v/>
      </c>
      <c r="K2786" s="62">
        <f>IF(E2786="","",IF(E2786="Werken","JA","NEE"))</f>
        <v/>
      </c>
      <c r="L2786" s="61">
        <f>IF(K2786="JA",N(J2786),IF(E2786="","",0))</f>
        <v/>
      </c>
      <c r="M2786" s="62">
        <f>IF(AND(A2786="",E2786=""),"",IF(E2786="","Segment ontbreekt",IF(OR(G2786="",H2786=""),"Van/tot ontbreekt",IF(N(J2786)=0,"Duur is nul",IF(N(J2786)&gt;12,"Langer dan 12 uur - controleren",IF(AND(E2786="Werken",D2786=""),"Werken zonder klant - koppelen","OK"))))))</f>
        <v/>
      </c>
    </row>
    <row r="2787" ht="15" customHeight="1" s="42">
      <c r="A2787" s="55" t="n"/>
      <c r="B2787" s="56">
        <f>IF(A2787="","",WEEKNUM(A2787,21))</f>
        <v/>
      </c>
      <c r="C2787" s="57" t="n"/>
      <c r="D2787" s="57" t="n"/>
      <c r="E2787" s="58" t="n"/>
      <c r="F2787" s="57" t="n"/>
      <c r="G2787" s="59" t="n"/>
      <c r="H2787" s="59" t="n"/>
      <c r="I2787" s="60">
        <f>IF(OR(G2787="",H2787=""),"",MOD(H2787-G2787,1))</f>
        <v/>
      </c>
      <c r="J2787" s="61">
        <f>IF(OR(G2787="",H2787=""),"",ROUND(MOD(H2787-G2787,1)*24,2))</f>
        <v/>
      </c>
      <c r="K2787" s="62">
        <f>IF(E2787="","",IF(E2787="Werken","JA","NEE"))</f>
        <v/>
      </c>
      <c r="L2787" s="61">
        <f>IF(K2787="JA",N(J2787),IF(E2787="","",0))</f>
        <v/>
      </c>
      <c r="M2787" s="62">
        <f>IF(AND(A2787="",E2787=""),"",IF(E2787="","Segment ontbreekt",IF(OR(G2787="",H2787=""),"Van/tot ontbreekt",IF(N(J2787)=0,"Duur is nul",IF(N(J2787)&gt;12,"Langer dan 12 uur - controleren",IF(AND(E2787="Werken",D2787=""),"Werken zonder klant - koppelen","OK"))))))</f>
        <v/>
      </c>
    </row>
    <row r="2788" ht="15" customHeight="1" s="42">
      <c r="A2788" s="55" t="n"/>
      <c r="B2788" s="56">
        <f>IF(A2788="","",WEEKNUM(A2788,21))</f>
        <v/>
      </c>
      <c r="C2788" s="57" t="n"/>
      <c r="D2788" s="57" t="n"/>
      <c r="E2788" s="58" t="n"/>
      <c r="F2788" s="57" t="n"/>
      <c r="G2788" s="59" t="n"/>
      <c r="H2788" s="59" t="n"/>
      <c r="I2788" s="60">
        <f>IF(OR(G2788="",H2788=""),"",MOD(H2788-G2788,1))</f>
        <v/>
      </c>
      <c r="J2788" s="61">
        <f>IF(OR(G2788="",H2788=""),"",ROUND(MOD(H2788-G2788,1)*24,2))</f>
        <v/>
      </c>
      <c r="K2788" s="62">
        <f>IF(E2788="","",IF(E2788="Werken","JA","NEE"))</f>
        <v/>
      </c>
      <c r="L2788" s="61">
        <f>IF(K2788="JA",N(J2788),IF(E2788="","",0))</f>
        <v/>
      </c>
      <c r="M2788" s="62">
        <f>IF(AND(A2788="",E2788=""),"",IF(E2788="","Segment ontbreekt",IF(OR(G2788="",H2788=""),"Van/tot ontbreekt",IF(N(J2788)=0,"Duur is nul",IF(N(J2788)&gt;12,"Langer dan 12 uur - controleren",IF(AND(E2788="Werken",D2788=""),"Werken zonder klant - koppelen","OK"))))))</f>
        <v/>
      </c>
    </row>
    <row r="2789" ht="15" customHeight="1" s="42">
      <c r="A2789" s="55" t="n"/>
      <c r="B2789" s="56">
        <f>IF(A2789="","",WEEKNUM(A2789,21))</f>
        <v/>
      </c>
      <c r="C2789" s="57" t="n"/>
      <c r="D2789" s="57" t="n"/>
      <c r="E2789" s="58" t="n"/>
      <c r="F2789" s="57" t="n"/>
      <c r="G2789" s="59" t="n"/>
      <c r="H2789" s="59" t="n"/>
      <c r="I2789" s="60">
        <f>IF(OR(G2789="",H2789=""),"",MOD(H2789-G2789,1))</f>
        <v/>
      </c>
      <c r="J2789" s="61">
        <f>IF(OR(G2789="",H2789=""),"",ROUND(MOD(H2789-G2789,1)*24,2))</f>
        <v/>
      </c>
      <c r="K2789" s="62">
        <f>IF(E2789="","",IF(E2789="Werken","JA","NEE"))</f>
        <v/>
      </c>
      <c r="L2789" s="61">
        <f>IF(K2789="JA",N(J2789),IF(E2789="","",0))</f>
        <v/>
      </c>
      <c r="M2789" s="62">
        <f>IF(AND(A2789="",E2789=""),"",IF(E2789="","Segment ontbreekt",IF(OR(G2789="",H2789=""),"Van/tot ontbreekt",IF(N(J2789)=0,"Duur is nul",IF(N(J2789)&gt;12,"Langer dan 12 uur - controleren",IF(AND(E2789="Werken",D2789=""),"Werken zonder klant - koppelen","OK"))))))</f>
        <v/>
      </c>
    </row>
    <row r="2790" ht="15" customHeight="1" s="42">
      <c r="A2790" s="55" t="n"/>
      <c r="B2790" s="56">
        <f>IF(A2790="","",WEEKNUM(A2790,21))</f>
        <v/>
      </c>
      <c r="C2790" s="57" t="n"/>
      <c r="D2790" s="57" t="n"/>
      <c r="E2790" s="58" t="n"/>
      <c r="F2790" s="57" t="n"/>
      <c r="G2790" s="59" t="n"/>
      <c r="H2790" s="59" t="n"/>
      <c r="I2790" s="60">
        <f>IF(OR(G2790="",H2790=""),"",MOD(H2790-G2790,1))</f>
        <v/>
      </c>
      <c r="J2790" s="61">
        <f>IF(OR(G2790="",H2790=""),"",ROUND(MOD(H2790-G2790,1)*24,2))</f>
        <v/>
      </c>
      <c r="K2790" s="62">
        <f>IF(E2790="","",IF(E2790="Werken","JA","NEE"))</f>
        <v/>
      </c>
      <c r="L2790" s="61">
        <f>IF(K2790="JA",N(J2790),IF(E2790="","",0))</f>
        <v/>
      </c>
      <c r="M2790" s="62">
        <f>IF(AND(A2790="",E2790=""),"",IF(E2790="","Segment ontbreekt",IF(OR(G2790="",H2790=""),"Van/tot ontbreekt",IF(N(J2790)=0,"Duur is nul",IF(N(J2790)&gt;12,"Langer dan 12 uur - controleren",IF(AND(E2790="Werken",D2790=""),"Werken zonder klant - koppelen","OK"))))))</f>
        <v/>
      </c>
    </row>
    <row r="2791" ht="15" customHeight="1" s="42">
      <c r="A2791" s="55" t="n"/>
      <c r="B2791" s="56">
        <f>IF(A2791="","",WEEKNUM(A2791,21))</f>
        <v/>
      </c>
      <c r="C2791" s="57" t="n"/>
      <c r="D2791" s="57" t="n"/>
      <c r="E2791" s="58" t="n"/>
      <c r="F2791" s="57" t="n"/>
      <c r="G2791" s="59" t="n"/>
      <c r="H2791" s="59" t="n"/>
      <c r="I2791" s="60">
        <f>IF(OR(G2791="",H2791=""),"",MOD(H2791-G2791,1))</f>
        <v/>
      </c>
      <c r="J2791" s="61">
        <f>IF(OR(G2791="",H2791=""),"",ROUND(MOD(H2791-G2791,1)*24,2))</f>
        <v/>
      </c>
      <c r="K2791" s="62">
        <f>IF(E2791="","",IF(E2791="Werken","JA","NEE"))</f>
        <v/>
      </c>
      <c r="L2791" s="61">
        <f>IF(K2791="JA",N(J2791),IF(E2791="","",0))</f>
        <v/>
      </c>
      <c r="M2791" s="62">
        <f>IF(AND(A2791="",E2791=""),"",IF(E2791="","Segment ontbreekt",IF(OR(G2791="",H2791=""),"Van/tot ontbreekt",IF(N(J2791)=0,"Duur is nul",IF(N(J2791)&gt;12,"Langer dan 12 uur - controleren",IF(AND(E2791="Werken",D2791=""),"Werken zonder klant - koppelen","OK"))))))</f>
        <v/>
      </c>
    </row>
    <row r="2792" ht="15" customHeight="1" s="42">
      <c r="A2792" s="55" t="n"/>
      <c r="B2792" s="56">
        <f>IF(A2792="","",WEEKNUM(A2792,21))</f>
        <v/>
      </c>
      <c r="C2792" s="57" t="n"/>
      <c r="D2792" s="57" t="n"/>
      <c r="E2792" s="58" t="n"/>
      <c r="F2792" s="57" t="n"/>
      <c r="G2792" s="59" t="n"/>
      <c r="H2792" s="59" t="n"/>
      <c r="I2792" s="60">
        <f>IF(OR(G2792="",H2792=""),"",MOD(H2792-G2792,1))</f>
        <v/>
      </c>
      <c r="J2792" s="61">
        <f>IF(OR(G2792="",H2792=""),"",ROUND(MOD(H2792-G2792,1)*24,2))</f>
        <v/>
      </c>
      <c r="K2792" s="62">
        <f>IF(E2792="","",IF(E2792="Werken","JA","NEE"))</f>
        <v/>
      </c>
      <c r="L2792" s="61">
        <f>IF(K2792="JA",N(J2792),IF(E2792="","",0))</f>
        <v/>
      </c>
      <c r="M2792" s="62">
        <f>IF(AND(A2792="",E2792=""),"",IF(E2792="","Segment ontbreekt",IF(OR(G2792="",H2792=""),"Van/tot ontbreekt",IF(N(J2792)=0,"Duur is nul",IF(N(J2792)&gt;12,"Langer dan 12 uur - controleren",IF(AND(E2792="Werken",D2792=""),"Werken zonder klant - koppelen","OK"))))))</f>
        <v/>
      </c>
    </row>
    <row r="2793" ht="15" customHeight="1" s="42">
      <c r="A2793" s="55" t="n"/>
      <c r="B2793" s="56">
        <f>IF(A2793="","",WEEKNUM(A2793,21))</f>
        <v/>
      </c>
      <c r="C2793" s="57" t="n"/>
      <c r="D2793" s="57" t="n"/>
      <c r="E2793" s="58" t="n"/>
      <c r="F2793" s="57" t="n"/>
      <c r="G2793" s="59" t="n"/>
      <c r="H2793" s="59" t="n"/>
      <c r="I2793" s="60">
        <f>IF(OR(G2793="",H2793=""),"",MOD(H2793-G2793,1))</f>
        <v/>
      </c>
      <c r="J2793" s="61">
        <f>IF(OR(G2793="",H2793=""),"",ROUND(MOD(H2793-G2793,1)*24,2))</f>
        <v/>
      </c>
      <c r="K2793" s="62">
        <f>IF(E2793="","",IF(E2793="Werken","JA","NEE"))</f>
        <v/>
      </c>
      <c r="L2793" s="61">
        <f>IF(K2793="JA",N(J2793),IF(E2793="","",0))</f>
        <v/>
      </c>
      <c r="M2793" s="62">
        <f>IF(AND(A2793="",E2793=""),"",IF(E2793="","Segment ontbreekt",IF(OR(G2793="",H2793=""),"Van/tot ontbreekt",IF(N(J2793)=0,"Duur is nul",IF(N(J2793)&gt;12,"Langer dan 12 uur - controleren",IF(AND(E2793="Werken",D2793=""),"Werken zonder klant - koppelen","OK"))))))</f>
        <v/>
      </c>
    </row>
    <row r="2794" ht="15" customHeight="1" s="42">
      <c r="A2794" s="55" t="n"/>
      <c r="B2794" s="56">
        <f>IF(A2794="","",WEEKNUM(A2794,21))</f>
        <v/>
      </c>
      <c r="C2794" s="57" t="n"/>
      <c r="D2794" s="57" t="n"/>
      <c r="E2794" s="58" t="n"/>
      <c r="F2794" s="57" t="n"/>
      <c r="G2794" s="59" t="n"/>
      <c r="H2794" s="59" t="n"/>
      <c r="I2794" s="60">
        <f>IF(OR(G2794="",H2794=""),"",MOD(H2794-G2794,1))</f>
        <v/>
      </c>
      <c r="J2794" s="61">
        <f>IF(OR(G2794="",H2794=""),"",ROUND(MOD(H2794-G2794,1)*24,2))</f>
        <v/>
      </c>
      <c r="K2794" s="62">
        <f>IF(E2794="","",IF(E2794="Werken","JA","NEE"))</f>
        <v/>
      </c>
      <c r="L2794" s="61">
        <f>IF(K2794="JA",N(J2794),IF(E2794="","",0))</f>
        <v/>
      </c>
      <c r="M2794" s="62">
        <f>IF(AND(A2794="",E2794=""),"",IF(E2794="","Segment ontbreekt",IF(OR(G2794="",H2794=""),"Van/tot ontbreekt",IF(N(J2794)=0,"Duur is nul",IF(N(J2794)&gt;12,"Langer dan 12 uur - controleren",IF(AND(E2794="Werken",D2794=""),"Werken zonder klant - koppelen","OK"))))))</f>
        <v/>
      </c>
    </row>
    <row r="2795" ht="15" customHeight="1" s="42">
      <c r="A2795" s="55" t="n"/>
      <c r="B2795" s="56">
        <f>IF(A2795="","",WEEKNUM(A2795,21))</f>
        <v/>
      </c>
      <c r="C2795" s="57" t="n"/>
      <c r="D2795" s="57" t="n"/>
      <c r="E2795" s="58" t="n"/>
      <c r="F2795" s="57" t="n"/>
      <c r="G2795" s="59" t="n"/>
      <c r="H2795" s="59" t="n"/>
      <c r="I2795" s="60">
        <f>IF(OR(G2795="",H2795=""),"",MOD(H2795-G2795,1))</f>
        <v/>
      </c>
      <c r="J2795" s="61">
        <f>IF(OR(G2795="",H2795=""),"",ROUND(MOD(H2795-G2795,1)*24,2))</f>
        <v/>
      </c>
      <c r="K2795" s="62">
        <f>IF(E2795="","",IF(E2795="Werken","JA","NEE"))</f>
        <v/>
      </c>
      <c r="L2795" s="61">
        <f>IF(K2795="JA",N(J2795),IF(E2795="","",0))</f>
        <v/>
      </c>
      <c r="M2795" s="62">
        <f>IF(AND(A2795="",E2795=""),"",IF(E2795="","Segment ontbreekt",IF(OR(G2795="",H2795=""),"Van/tot ontbreekt",IF(N(J2795)=0,"Duur is nul",IF(N(J2795)&gt;12,"Langer dan 12 uur - controleren",IF(AND(E2795="Werken",D2795=""),"Werken zonder klant - koppelen","OK"))))))</f>
        <v/>
      </c>
    </row>
    <row r="2796" ht="15" customHeight="1" s="42">
      <c r="A2796" s="55" t="n"/>
      <c r="B2796" s="56">
        <f>IF(A2796="","",WEEKNUM(A2796,21))</f>
        <v/>
      </c>
      <c r="C2796" s="57" t="n"/>
      <c r="D2796" s="57" t="n"/>
      <c r="E2796" s="58" t="n"/>
      <c r="F2796" s="57" t="n"/>
      <c r="G2796" s="59" t="n"/>
      <c r="H2796" s="59" t="n"/>
      <c r="I2796" s="60">
        <f>IF(OR(G2796="",H2796=""),"",MOD(H2796-G2796,1))</f>
        <v/>
      </c>
      <c r="J2796" s="61">
        <f>IF(OR(G2796="",H2796=""),"",ROUND(MOD(H2796-G2796,1)*24,2))</f>
        <v/>
      </c>
      <c r="K2796" s="62">
        <f>IF(E2796="","",IF(E2796="Werken","JA","NEE"))</f>
        <v/>
      </c>
      <c r="L2796" s="61">
        <f>IF(K2796="JA",N(J2796),IF(E2796="","",0))</f>
        <v/>
      </c>
      <c r="M2796" s="62">
        <f>IF(AND(A2796="",E2796=""),"",IF(E2796="","Segment ontbreekt",IF(OR(G2796="",H2796=""),"Van/tot ontbreekt",IF(N(J2796)=0,"Duur is nul",IF(N(J2796)&gt;12,"Langer dan 12 uur - controleren",IF(AND(E2796="Werken",D2796=""),"Werken zonder klant - koppelen","OK"))))))</f>
        <v/>
      </c>
    </row>
    <row r="2797" ht="15" customHeight="1" s="42">
      <c r="A2797" s="55" t="n"/>
      <c r="B2797" s="56">
        <f>IF(A2797="","",WEEKNUM(A2797,21))</f>
        <v/>
      </c>
      <c r="C2797" s="57" t="n"/>
      <c r="D2797" s="57" t="n"/>
      <c r="E2797" s="58" t="n"/>
      <c r="F2797" s="57" t="n"/>
      <c r="G2797" s="59" t="n"/>
      <c r="H2797" s="59" t="n"/>
      <c r="I2797" s="60">
        <f>IF(OR(G2797="",H2797=""),"",MOD(H2797-G2797,1))</f>
        <v/>
      </c>
      <c r="J2797" s="61">
        <f>IF(OR(G2797="",H2797=""),"",ROUND(MOD(H2797-G2797,1)*24,2))</f>
        <v/>
      </c>
      <c r="K2797" s="62">
        <f>IF(E2797="","",IF(E2797="Werken","JA","NEE"))</f>
        <v/>
      </c>
      <c r="L2797" s="61">
        <f>IF(K2797="JA",N(J2797),IF(E2797="","",0))</f>
        <v/>
      </c>
      <c r="M2797" s="62">
        <f>IF(AND(A2797="",E2797=""),"",IF(E2797="","Segment ontbreekt",IF(OR(G2797="",H2797=""),"Van/tot ontbreekt",IF(N(J2797)=0,"Duur is nul",IF(N(J2797)&gt;12,"Langer dan 12 uur - controleren",IF(AND(E2797="Werken",D2797=""),"Werken zonder klant - koppelen","OK"))))))</f>
        <v/>
      </c>
    </row>
    <row r="2798" ht="15" customHeight="1" s="42">
      <c r="A2798" s="55" t="n"/>
      <c r="B2798" s="56">
        <f>IF(A2798="","",WEEKNUM(A2798,21))</f>
        <v/>
      </c>
      <c r="C2798" s="57" t="n"/>
      <c r="D2798" s="57" t="n"/>
      <c r="E2798" s="58" t="n"/>
      <c r="F2798" s="57" t="n"/>
      <c r="G2798" s="59" t="n"/>
      <c r="H2798" s="59" t="n"/>
      <c r="I2798" s="60">
        <f>IF(OR(G2798="",H2798=""),"",MOD(H2798-G2798,1))</f>
        <v/>
      </c>
      <c r="J2798" s="61">
        <f>IF(OR(G2798="",H2798=""),"",ROUND(MOD(H2798-G2798,1)*24,2))</f>
        <v/>
      </c>
      <c r="K2798" s="62">
        <f>IF(E2798="","",IF(E2798="Werken","JA","NEE"))</f>
        <v/>
      </c>
      <c r="L2798" s="61">
        <f>IF(K2798="JA",N(J2798),IF(E2798="","",0))</f>
        <v/>
      </c>
      <c r="M2798" s="62">
        <f>IF(AND(A2798="",E2798=""),"",IF(E2798="","Segment ontbreekt",IF(OR(G2798="",H2798=""),"Van/tot ontbreekt",IF(N(J2798)=0,"Duur is nul",IF(N(J2798)&gt;12,"Langer dan 12 uur - controleren",IF(AND(E2798="Werken",D2798=""),"Werken zonder klant - koppelen","OK"))))))</f>
        <v/>
      </c>
    </row>
    <row r="2799" ht="15" customHeight="1" s="42">
      <c r="A2799" s="55" t="n"/>
      <c r="B2799" s="56">
        <f>IF(A2799="","",WEEKNUM(A2799,21))</f>
        <v/>
      </c>
      <c r="C2799" s="57" t="n"/>
      <c r="D2799" s="57" t="n"/>
      <c r="E2799" s="58" t="n"/>
      <c r="F2799" s="57" t="n"/>
      <c r="G2799" s="59" t="n"/>
      <c r="H2799" s="59" t="n"/>
      <c r="I2799" s="60">
        <f>IF(OR(G2799="",H2799=""),"",MOD(H2799-G2799,1))</f>
        <v/>
      </c>
      <c r="J2799" s="61">
        <f>IF(OR(G2799="",H2799=""),"",ROUND(MOD(H2799-G2799,1)*24,2))</f>
        <v/>
      </c>
      <c r="K2799" s="62">
        <f>IF(E2799="","",IF(E2799="Werken","JA","NEE"))</f>
        <v/>
      </c>
      <c r="L2799" s="61">
        <f>IF(K2799="JA",N(J2799),IF(E2799="","",0))</f>
        <v/>
      </c>
      <c r="M2799" s="62">
        <f>IF(AND(A2799="",E2799=""),"",IF(E2799="","Segment ontbreekt",IF(OR(G2799="",H2799=""),"Van/tot ontbreekt",IF(N(J2799)=0,"Duur is nul",IF(N(J2799)&gt;12,"Langer dan 12 uur - controleren",IF(AND(E2799="Werken",D2799=""),"Werken zonder klant - koppelen","OK"))))))</f>
        <v/>
      </c>
    </row>
    <row r="2800" ht="15" customHeight="1" s="42">
      <c r="A2800" s="55" t="n"/>
      <c r="B2800" s="56">
        <f>IF(A2800="","",WEEKNUM(A2800,21))</f>
        <v/>
      </c>
      <c r="C2800" s="57" t="n"/>
      <c r="D2800" s="57" t="n"/>
      <c r="E2800" s="58" t="n"/>
      <c r="F2800" s="57" t="n"/>
      <c r="G2800" s="59" t="n"/>
      <c r="H2800" s="59" t="n"/>
      <c r="I2800" s="60">
        <f>IF(OR(G2800="",H2800=""),"",MOD(H2800-G2800,1))</f>
        <v/>
      </c>
      <c r="J2800" s="61">
        <f>IF(OR(G2800="",H2800=""),"",ROUND(MOD(H2800-G2800,1)*24,2))</f>
        <v/>
      </c>
      <c r="K2800" s="62">
        <f>IF(E2800="","",IF(E2800="Werken","JA","NEE"))</f>
        <v/>
      </c>
      <c r="L2800" s="61">
        <f>IF(K2800="JA",N(J2800),IF(E2800="","",0))</f>
        <v/>
      </c>
      <c r="M2800" s="62">
        <f>IF(AND(A2800="",E2800=""),"",IF(E2800="","Segment ontbreekt",IF(OR(G2800="",H2800=""),"Van/tot ontbreekt",IF(N(J2800)=0,"Duur is nul",IF(N(J2800)&gt;12,"Langer dan 12 uur - controleren",IF(AND(E2800="Werken",D2800=""),"Werken zonder klant - koppelen","OK"))))))</f>
        <v/>
      </c>
    </row>
    <row r="2801" ht="15" customHeight="1" s="42">
      <c r="A2801" s="55" t="n"/>
      <c r="B2801" s="56">
        <f>IF(A2801="","",WEEKNUM(A2801,21))</f>
        <v/>
      </c>
      <c r="C2801" s="57" t="n"/>
      <c r="D2801" s="57" t="n"/>
      <c r="E2801" s="58" t="n"/>
      <c r="F2801" s="57" t="n"/>
      <c r="G2801" s="59" t="n"/>
      <c r="H2801" s="59" t="n"/>
      <c r="I2801" s="60">
        <f>IF(OR(G2801="",H2801=""),"",MOD(H2801-G2801,1))</f>
        <v/>
      </c>
      <c r="J2801" s="61">
        <f>IF(OR(G2801="",H2801=""),"",ROUND(MOD(H2801-G2801,1)*24,2))</f>
        <v/>
      </c>
      <c r="K2801" s="62">
        <f>IF(E2801="","",IF(E2801="Werken","JA","NEE"))</f>
        <v/>
      </c>
      <c r="L2801" s="61">
        <f>IF(K2801="JA",N(J2801),IF(E2801="","",0))</f>
        <v/>
      </c>
      <c r="M2801" s="62">
        <f>IF(AND(A2801="",E2801=""),"",IF(E2801="","Segment ontbreekt",IF(OR(G2801="",H2801=""),"Van/tot ontbreekt",IF(N(J2801)=0,"Duur is nul",IF(N(J2801)&gt;12,"Langer dan 12 uur - controleren",IF(AND(E2801="Werken",D2801=""),"Werken zonder klant - koppelen","OK"))))))</f>
        <v/>
      </c>
    </row>
    <row r="2802" ht="15" customHeight="1" s="42">
      <c r="A2802" s="55" t="n"/>
      <c r="B2802" s="56">
        <f>IF(A2802="","",WEEKNUM(A2802,21))</f>
        <v/>
      </c>
      <c r="C2802" s="57" t="n"/>
      <c r="D2802" s="57" t="n"/>
      <c r="E2802" s="58" t="n"/>
      <c r="F2802" s="57" t="n"/>
      <c r="G2802" s="59" t="n"/>
      <c r="H2802" s="59" t="n"/>
      <c r="I2802" s="60">
        <f>IF(OR(G2802="",H2802=""),"",MOD(H2802-G2802,1))</f>
        <v/>
      </c>
      <c r="J2802" s="61">
        <f>IF(OR(G2802="",H2802=""),"",ROUND(MOD(H2802-G2802,1)*24,2))</f>
        <v/>
      </c>
      <c r="K2802" s="62">
        <f>IF(E2802="","",IF(E2802="Werken","JA","NEE"))</f>
        <v/>
      </c>
      <c r="L2802" s="61">
        <f>IF(K2802="JA",N(J2802),IF(E2802="","",0))</f>
        <v/>
      </c>
      <c r="M2802" s="62">
        <f>IF(AND(A2802="",E2802=""),"",IF(E2802="","Segment ontbreekt",IF(OR(G2802="",H2802=""),"Van/tot ontbreekt",IF(N(J2802)=0,"Duur is nul",IF(N(J2802)&gt;12,"Langer dan 12 uur - controleren",IF(AND(E2802="Werken",D2802=""),"Werken zonder klant - koppelen","OK"))))))</f>
        <v/>
      </c>
    </row>
    <row r="2803" ht="15" customHeight="1" s="42">
      <c r="A2803" s="55" t="n"/>
      <c r="B2803" s="56">
        <f>IF(A2803="","",WEEKNUM(A2803,21))</f>
        <v/>
      </c>
      <c r="C2803" s="57" t="n"/>
      <c r="D2803" s="57" t="n"/>
      <c r="E2803" s="58" t="n"/>
      <c r="F2803" s="57" t="n"/>
      <c r="G2803" s="59" t="n"/>
      <c r="H2803" s="59" t="n"/>
      <c r="I2803" s="60">
        <f>IF(OR(G2803="",H2803=""),"",MOD(H2803-G2803,1))</f>
        <v/>
      </c>
      <c r="J2803" s="61">
        <f>IF(OR(G2803="",H2803=""),"",ROUND(MOD(H2803-G2803,1)*24,2))</f>
        <v/>
      </c>
      <c r="K2803" s="62">
        <f>IF(E2803="","",IF(E2803="Werken","JA","NEE"))</f>
        <v/>
      </c>
      <c r="L2803" s="61">
        <f>IF(K2803="JA",N(J2803),IF(E2803="","",0))</f>
        <v/>
      </c>
      <c r="M2803" s="62">
        <f>IF(AND(A2803="",E2803=""),"",IF(E2803="","Segment ontbreekt",IF(OR(G2803="",H2803=""),"Van/tot ontbreekt",IF(N(J2803)=0,"Duur is nul",IF(N(J2803)&gt;12,"Langer dan 12 uur - controleren",IF(AND(E2803="Werken",D2803=""),"Werken zonder klant - koppelen","OK"))))))</f>
        <v/>
      </c>
    </row>
    <row r="2804" ht="15" customHeight="1" s="42">
      <c r="A2804" s="55" t="n"/>
      <c r="B2804" s="56">
        <f>IF(A2804="","",WEEKNUM(A2804,21))</f>
        <v/>
      </c>
      <c r="C2804" s="57" t="n"/>
      <c r="D2804" s="57" t="n"/>
      <c r="E2804" s="58" t="n"/>
      <c r="F2804" s="57" t="n"/>
      <c r="G2804" s="59" t="n"/>
      <c r="H2804" s="59" t="n"/>
      <c r="I2804" s="60">
        <f>IF(OR(G2804="",H2804=""),"",MOD(H2804-G2804,1))</f>
        <v/>
      </c>
      <c r="J2804" s="61">
        <f>IF(OR(G2804="",H2804=""),"",ROUND(MOD(H2804-G2804,1)*24,2))</f>
        <v/>
      </c>
      <c r="K2804" s="62">
        <f>IF(E2804="","",IF(E2804="Werken","JA","NEE"))</f>
        <v/>
      </c>
      <c r="L2804" s="61">
        <f>IF(K2804="JA",N(J2804),IF(E2804="","",0))</f>
        <v/>
      </c>
      <c r="M2804" s="62">
        <f>IF(AND(A2804="",E2804=""),"",IF(E2804="","Segment ontbreekt",IF(OR(G2804="",H2804=""),"Van/tot ontbreekt",IF(N(J2804)=0,"Duur is nul",IF(N(J2804)&gt;12,"Langer dan 12 uur - controleren",IF(AND(E2804="Werken",D2804=""),"Werken zonder klant - koppelen","OK"))))))</f>
        <v/>
      </c>
    </row>
    <row r="2805" ht="15" customHeight="1" s="42">
      <c r="A2805" s="55" t="n"/>
      <c r="B2805" s="56">
        <f>IF(A2805="","",WEEKNUM(A2805,21))</f>
        <v/>
      </c>
      <c r="C2805" s="57" t="n"/>
      <c r="D2805" s="57" t="n"/>
      <c r="E2805" s="58" t="n"/>
      <c r="F2805" s="57" t="n"/>
      <c r="G2805" s="59" t="n"/>
      <c r="H2805" s="59" t="n"/>
      <c r="I2805" s="60">
        <f>IF(OR(G2805="",H2805=""),"",MOD(H2805-G2805,1))</f>
        <v/>
      </c>
      <c r="J2805" s="61">
        <f>IF(OR(G2805="",H2805=""),"",ROUND(MOD(H2805-G2805,1)*24,2))</f>
        <v/>
      </c>
      <c r="K2805" s="62">
        <f>IF(E2805="","",IF(E2805="Werken","JA","NEE"))</f>
        <v/>
      </c>
      <c r="L2805" s="61">
        <f>IF(K2805="JA",N(J2805),IF(E2805="","",0))</f>
        <v/>
      </c>
      <c r="M2805" s="62">
        <f>IF(AND(A2805="",E2805=""),"",IF(E2805="","Segment ontbreekt",IF(OR(G2805="",H2805=""),"Van/tot ontbreekt",IF(N(J2805)=0,"Duur is nul",IF(N(J2805)&gt;12,"Langer dan 12 uur - controleren",IF(AND(E2805="Werken",D2805=""),"Werken zonder klant - koppelen","OK"))))))</f>
        <v/>
      </c>
    </row>
    <row r="2806" ht="15" customHeight="1" s="42">
      <c r="A2806" s="55" t="n"/>
      <c r="B2806" s="56">
        <f>IF(A2806="","",WEEKNUM(A2806,21))</f>
        <v/>
      </c>
      <c r="C2806" s="57" t="n"/>
      <c r="D2806" s="57" t="n"/>
      <c r="E2806" s="58" t="n"/>
      <c r="F2806" s="57" t="n"/>
      <c r="G2806" s="59" t="n"/>
      <c r="H2806" s="59" t="n"/>
      <c r="I2806" s="60">
        <f>IF(OR(G2806="",H2806=""),"",MOD(H2806-G2806,1))</f>
        <v/>
      </c>
      <c r="J2806" s="61">
        <f>IF(OR(G2806="",H2806=""),"",ROUND(MOD(H2806-G2806,1)*24,2))</f>
        <v/>
      </c>
      <c r="K2806" s="62">
        <f>IF(E2806="","",IF(E2806="Werken","JA","NEE"))</f>
        <v/>
      </c>
      <c r="L2806" s="61">
        <f>IF(K2806="JA",N(J2806),IF(E2806="","",0))</f>
        <v/>
      </c>
      <c r="M2806" s="62">
        <f>IF(AND(A2806="",E2806=""),"",IF(E2806="","Segment ontbreekt",IF(OR(G2806="",H2806=""),"Van/tot ontbreekt",IF(N(J2806)=0,"Duur is nul",IF(N(J2806)&gt;12,"Langer dan 12 uur - controleren",IF(AND(E2806="Werken",D2806=""),"Werken zonder klant - koppelen","OK"))))))</f>
        <v/>
      </c>
    </row>
    <row r="2807" ht="15" customHeight="1" s="42">
      <c r="A2807" s="55" t="n"/>
      <c r="B2807" s="56">
        <f>IF(A2807="","",WEEKNUM(A2807,21))</f>
        <v/>
      </c>
      <c r="C2807" s="57" t="n"/>
      <c r="D2807" s="57" t="n"/>
      <c r="E2807" s="58" t="n"/>
      <c r="F2807" s="57" t="n"/>
      <c r="G2807" s="59" t="n"/>
      <c r="H2807" s="59" t="n"/>
      <c r="I2807" s="60">
        <f>IF(OR(G2807="",H2807=""),"",MOD(H2807-G2807,1))</f>
        <v/>
      </c>
      <c r="J2807" s="61">
        <f>IF(OR(G2807="",H2807=""),"",ROUND(MOD(H2807-G2807,1)*24,2))</f>
        <v/>
      </c>
      <c r="K2807" s="62">
        <f>IF(E2807="","",IF(E2807="Werken","JA","NEE"))</f>
        <v/>
      </c>
      <c r="L2807" s="61">
        <f>IF(K2807="JA",N(J2807),IF(E2807="","",0))</f>
        <v/>
      </c>
      <c r="M2807" s="62">
        <f>IF(AND(A2807="",E2807=""),"",IF(E2807="","Segment ontbreekt",IF(OR(G2807="",H2807=""),"Van/tot ontbreekt",IF(N(J2807)=0,"Duur is nul",IF(N(J2807)&gt;12,"Langer dan 12 uur - controleren",IF(AND(E2807="Werken",D2807=""),"Werken zonder klant - koppelen","OK"))))))</f>
        <v/>
      </c>
    </row>
    <row r="2808" ht="15" customHeight="1" s="42">
      <c r="A2808" s="55" t="n"/>
      <c r="B2808" s="56">
        <f>IF(A2808="","",WEEKNUM(A2808,21))</f>
        <v/>
      </c>
      <c r="C2808" s="57" t="n"/>
      <c r="D2808" s="57" t="n"/>
      <c r="E2808" s="58" t="n"/>
      <c r="F2808" s="57" t="n"/>
      <c r="G2808" s="59" t="n"/>
      <c r="H2808" s="59" t="n"/>
      <c r="I2808" s="60">
        <f>IF(OR(G2808="",H2808=""),"",MOD(H2808-G2808,1))</f>
        <v/>
      </c>
      <c r="J2808" s="61">
        <f>IF(OR(G2808="",H2808=""),"",ROUND(MOD(H2808-G2808,1)*24,2))</f>
        <v/>
      </c>
      <c r="K2808" s="62">
        <f>IF(E2808="","",IF(E2808="Werken","JA","NEE"))</f>
        <v/>
      </c>
      <c r="L2808" s="61">
        <f>IF(K2808="JA",N(J2808),IF(E2808="","",0))</f>
        <v/>
      </c>
      <c r="M2808" s="62">
        <f>IF(AND(A2808="",E2808=""),"",IF(E2808="","Segment ontbreekt",IF(OR(G2808="",H2808=""),"Van/tot ontbreekt",IF(N(J2808)=0,"Duur is nul",IF(N(J2808)&gt;12,"Langer dan 12 uur - controleren",IF(AND(E2808="Werken",D2808=""),"Werken zonder klant - koppelen","OK"))))))</f>
        <v/>
      </c>
    </row>
    <row r="2809" ht="15" customHeight="1" s="42">
      <c r="A2809" s="55" t="n"/>
      <c r="B2809" s="56">
        <f>IF(A2809="","",WEEKNUM(A2809,21))</f>
        <v/>
      </c>
      <c r="C2809" s="57" t="n"/>
      <c r="D2809" s="57" t="n"/>
      <c r="E2809" s="58" t="n"/>
      <c r="F2809" s="57" t="n"/>
      <c r="G2809" s="59" t="n"/>
      <c r="H2809" s="59" t="n"/>
      <c r="I2809" s="60">
        <f>IF(OR(G2809="",H2809=""),"",MOD(H2809-G2809,1))</f>
        <v/>
      </c>
      <c r="J2809" s="61">
        <f>IF(OR(G2809="",H2809=""),"",ROUND(MOD(H2809-G2809,1)*24,2))</f>
        <v/>
      </c>
      <c r="K2809" s="62">
        <f>IF(E2809="","",IF(E2809="Werken","JA","NEE"))</f>
        <v/>
      </c>
      <c r="L2809" s="61">
        <f>IF(K2809="JA",N(J2809),IF(E2809="","",0))</f>
        <v/>
      </c>
      <c r="M2809" s="62">
        <f>IF(AND(A2809="",E2809=""),"",IF(E2809="","Segment ontbreekt",IF(OR(G2809="",H2809=""),"Van/tot ontbreekt",IF(N(J2809)=0,"Duur is nul",IF(N(J2809)&gt;12,"Langer dan 12 uur - controleren",IF(AND(E2809="Werken",D2809=""),"Werken zonder klant - koppelen","OK"))))))</f>
        <v/>
      </c>
    </row>
    <row r="2810" ht="15" customHeight="1" s="42">
      <c r="A2810" s="55" t="n"/>
      <c r="B2810" s="56">
        <f>IF(A2810="","",WEEKNUM(A2810,21))</f>
        <v/>
      </c>
      <c r="C2810" s="57" t="n"/>
      <c r="D2810" s="57" t="n"/>
      <c r="E2810" s="58" t="n"/>
      <c r="F2810" s="57" t="n"/>
      <c r="G2810" s="59" t="n"/>
      <c r="H2810" s="59" t="n"/>
      <c r="I2810" s="60">
        <f>IF(OR(G2810="",H2810=""),"",MOD(H2810-G2810,1))</f>
        <v/>
      </c>
      <c r="J2810" s="61">
        <f>IF(OR(G2810="",H2810=""),"",ROUND(MOD(H2810-G2810,1)*24,2))</f>
        <v/>
      </c>
      <c r="K2810" s="62">
        <f>IF(E2810="","",IF(E2810="Werken","JA","NEE"))</f>
        <v/>
      </c>
      <c r="L2810" s="61">
        <f>IF(K2810="JA",N(J2810),IF(E2810="","",0))</f>
        <v/>
      </c>
      <c r="M2810" s="62">
        <f>IF(AND(A2810="",E2810=""),"",IF(E2810="","Segment ontbreekt",IF(OR(G2810="",H2810=""),"Van/tot ontbreekt",IF(N(J2810)=0,"Duur is nul",IF(N(J2810)&gt;12,"Langer dan 12 uur - controleren",IF(AND(E2810="Werken",D2810=""),"Werken zonder klant - koppelen","OK"))))))</f>
        <v/>
      </c>
    </row>
    <row r="2811" ht="15" customHeight="1" s="42">
      <c r="A2811" s="55" t="n"/>
      <c r="B2811" s="56">
        <f>IF(A2811="","",WEEKNUM(A2811,21))</f>
        <v/>
      </c>
      <c r="C2811" s="57" t="n"/>
      <c r="D2811" s="57" t="n"/>
      <c r="E2811" s="58" t="n"/>
      <c r="F2811" s="57" t="n"/>
      <c r="G2811" s="59" t="n"/>
      <c r="H2811" s="59" t="n"/>
      <c r="I2811" s="60">
        <f>IF(OR(G2811="",H2811=""),"",MOD(H2811-G2811,1))</f>
        <v/>
      </c>
      <c r="J2811" s="61">
        <f>IF(OR(G2811="",H2811=""),"",ROUND(MOD(H2811-G2811,1)*24,2))</f>
        <v/>
      </c>
      <c r="K2811" s="62">
        <f>IF(E2811="","",IF(E2811="Werken","JA","NEE"))</f>
        <v/>
      </c>
      <c r="L2811" s="61">
        <f>IF(K2811="JA",N(J2811),IF(E2811="","",0))</f>
        <v/>
      </c>
      <c r="M2811" s="62">
        <f>IF(AND(A2811="",E2811=""),"",IF(E2811="","Segment ontbreekt",IF(OR(G2811="",H2811=""),"Van/tot ontbreekt",IF(N(J2811)=0,"Duur is nul",IF(N(J2811)&gt;12,"Langer dan 12 uur - controleren",IF(AND(E2811="Werken",D2811=""),"Werken zonder klant - koppelen","OK"))))))</f>
        <v/>
      </c>
    </row>
    <row r="2812" ht="15" customHeight="1" s="42">
      <c r="A2812" s="55" t="n"/>
      <c r="B2812" s="56">
        <f>IF(A2812="","",WEEKNUM(A2812,21))</f>
        <v/>
      </c>
      <c r="C2812" s="57" t="n"/>
      <c r="D2812" s="57" t="n"/>
      <c r="E2812" s="58" t="n"/>
      <c r="F2812" s="57" t="n"/>
      <c r="G2812" s="59" t="n"/>
      <c r="H2812" s="59" t="n"/>
      <c r="I2812" s="60">
        <f>IF(OR(G2812="",H2812=""),"",MOD(H2812-G2812,1))</f>
        <v/>
      </c>
      <c r="J2812" s="61">
        <f>IF(OR(G2812="",H2812=""),"",ROUND(MOD(H2812-G2812,1)*24,2))</f>
        <v/>
      </c>
      <c r="K2812" s="62">
        <f>IF(E2812="","",IF(E2812="Werken","JA","NEE"))</f>
        <v/>
      </c>
      <c r="L2812" s="61">
        <f>IF(K2812="JA",N(J2812),IF(E2812="","",0))</f>
        <v/>
      </c>
      <c r="M2812" s="62">
        <f>IF(AND(A2812="",E2812=""),"",IF(E2812="","Segment ontbreekt",IF(OR(G2812="",H2812=""),"Van/tot ontbreekt",IF(N(J2812)=0,"Duur is nul",IF(N(J2812)&gt;12,"Langer dan 12 uur - controleren",IF(AND(E2812="Werken",D2812=""),"Werken zonder klant - koppelen","OK"))))))</f>
        <v/>
      </c>
    </row>
    <row r="2813" ht="15" customHeight="1" s="42">
      <c r="A2813" s="55" t="n"/>
      <c r="B2813" s="56">
        <f>IF(A2813="","",WEEKNUM(A2813,21))</f>
        <v/>
      </c>
      <c r="C2813" s="57" t="n"/>
      <c r="D2813" s="57" t="n"/>
      <c r="E2813" s="58" t="n"/>
      <c r="F2813" s="57" t="n"/>
      <c r="G2813" s="59" t="n"/>
      <c r="H2813" s="59" t="n"/>
      <c r="I2813" s="60">
        <f>IF(OR(G2813="",H2813=""),"",MOD(H2813-G2813,1))</f>
        <v/>
      </c>
      <c r="J2813" s="61">
        <f>IF(OR(G2813="",H2813=""),"",ROUND(MOD(H2813-G2813,1)*24,2))</f>
        <v/>
      </c>
      <c r="K2813" s="62">
        <f>IF(E2813="","",IF(E2813="Werken","JA","NEE"))</f>
        <v/>
      </c>
      <c r="L2813" s="61">
        <f>IF(K2813="JA",N(J2813),IF(E2813="","",0))</f>
        <v/>
      </c>
      <c r="M2813" s="62">
        <f>IF(AND(A2813="",E2813=""),"",IF(E2813="","Segment ontbreekt",IF(OR(G2813="",H2813=""),"Van/tot ontbreekt",IF(N(J2813)=0,"Duur is nul",IF(N(J2813)&gt;12,"Langer dan 12 uur - controleren",IF(AND(E2813="Werken",D2813=""),"Werken zonder klant - koppelen","OK"))))))</f>
        <v/>
      </c>
    </row>
    <row r="2814" ht="15" customHeight="1" s="42">
      <c r="A2814" s="55" t="n"/>
      <c r="B2814" s="56">
        <f>IF(A2814="","",WEEKNUM(A2814,21))</f>
        <v/>
      </c>
      <c r="C2814" s="57" t="n"/>
      <c r="D2814" s="57" t="n"/>
      <c r="E2814" s="58" t="n"/>
      <c r="F2814" s="57" t="n"/>
      <c r="G2814" s="59" t="n"/>
      <c r="H2814" s="59" t="n"/>
      <c r="I2814" s="60">
        <f>IF(OR(G2814="",H2814=""),"",MOD(H2814-G2814,1))</f>
        <v/>
      </c>
      <c r="J2814" s="61">
        <f>IF(OR(G2814="",H2814=""),"",ROUND(MOD(H2814-G2814,1)*24,2))</f>
        <v/>
      </c>
      <c r="K2814" s="62">
        <f>IF(E2814="","",IF(E2814="Werken","JA","NEE"))</f>
        <v/>
      </c>
      <c r="L2814" s="61">
        <f>IF(K2814="JA",N(J2814),IF(E2814="","",0))</f>
        <v/>
      </c>
      <c r="M2814" s="62">
        <f>IF(AND(A2814="",E2814=""),"",IF(E2814="","Segment ontbreekt",IF(OR(G2814="",H2814=""),"Van/tot ontbreekt",IF(N(J2814)=0,"Duur is nul",IF(N(J2814)&gt;12,"Langer dan 12 uur - controleren",IF(AND(E2814="Werken",D2814=""),"Werken zonder klant - koppelen","OK"))))))</f>
        <v/>
      </c>
    </row>
    <row r="2815" ht="15" customHeight="1" s="42">
      <c r="A2815" s="55" t="n"/>
      <c r="B2815" s="56">
        <f>IF(A2815="","",WEEKNUM(A2815,21))</f>
        <v/>
      </c>
      <c r="C2815" s="57" t="n"/>
      <c r="D2815" s="57" t="n"/>
      <c r="E2815" s="58" t="n"/>
      <c r="F2815" s="57" t="n"/>
      <c r="G2815" s="59" t="n"/>
      <c r="H2815" s="59" t="n"/>
      <c r="I2815" s="60">
        <f>IF(OR(G2815="",H2815=""),"",MOD(H2815-G2815,1))</f>
        <v/>
      </c>
      <c r="J2815" s="61">
        <f>IF(OR(G2815="",H2815=""),"",ROUND(MOD(H2815-G2815,1)*24,2))</f>
        <v/>
      </c>
      <c r="K2815" s="62">
        <f>IF(E2815="","",IF(E2815="Werken","JA","NEE"))</f>
        <v/>
      </c>
      <c r="L2815" s="61">
        <f>IF(K2815="JA",N(J2815),IF(E2815="","",0))</f>
        <v/>
      </c>
      <c r="M2815" s="62">
        <f>IF(AND(A2815="",E2815=""),"",IF(E2815="","Segment ontbreekt",IF(OR(G2815="",H2815=""),"Van/tot ontbreekt",IF(N(J2815)=0,"Duur is nul",IF(N(J2815)&gt;12,"Langer dan 12 uur - controleren",IF(AND(E2815="Werken",D2815=""),"Werken zonder klant - koppelen","OK"))))))</f>
        <v/>
      </c>
    </row>
    <row r="2816" ht="15" customHeight="1" s="42">
      <c r="A2816" s="55" t="n"/>
      <c r="B2816" s="56">
        <f>IF(A2816="","",WEEKNUM(A2816,21))</f>
        <v/>
      </c>
      <c r="C2816" s="57" t="n"/>
      <c r="D2816" s="57" t="n"/>
      <c r="E2816" s="58" t="n"/>
      <c r="F2816" s="57" t="n"/>
      <c r="G2816" s="59" t="n"/>
      <c r="H2816" s="59" t="n"/>
      <c r="I2816" s="60">
        <f>IF(OR(G2816="",H2816=""),"",MOD(H2816-G2816,1))</f>
        <v/>
      </c>
      <c r="J2816" s="61">
        <f>IF(OR(G2816="",H2816=""),"",ROUND(MOD(H2816-G2816,1)*24,2))</f>
        <v/>
      </c>
      <c r="K2816" s="62">
        <f>IF(E2816="","",IF(E2816="Werken","JA","NEE"))</f>
        <v/>
      </c>
      <c r="L2816" s="61">
        <f>IF(K2816="JA",N(J2816),IF(E2816="","",0))</f>
        <v/>
      </c>
      <c r="M2816" s="62">
        <f>IF(AND(A2816="",E2816=""),"",IF(E2816="","Segment ontbreekt",IF(OR(G2816="",H2816=""),"Van/tot ontbreekt",IF(N(J2816)=0,"Duur is nul",IF(N(J2816)&gt;12,"Langer dan 12 uur - controleren",IF(AND(E2816="Werken",D2816=""),"Werken zonder klant - koppelen","OK"))))))</f>
        <v/>
      </c>
    </row>
    <row r="2817" ht="15" customHeight="1" s="42">
      <c r="A2817" s="55" t="n"/>
      <c r="B2817" s="56">
        <f>IF(A2817="","",WEEKNUM(A2817,21))</f>
        <v/>
      </c>
      <c r="C2817" s="57" t="n"/>
      <c r="D2817" s="57" t="n"/>
      <c r="E2817" s="58" t="n"/>
      <c r="F2817" s="57" t="n"/>
      <c r="G2817" s="59" t="n"/>
      <c r="H2817" s="59" t="n"/>
      <c r="I2817" s="60">
        <f>IF(OR(G2817="",H2817=""),"",MOD(H2817-G2817,1))</f>
        <v/>
      </c>
      <c r="J2817" s="61">
        <f>IF(OR(G2817="",H2817=""),"",ROUND(MOD(H2817-G2817,1)*24,2))</f>
        <v/>
      </c>
      <c r="K2817" s="62">
        <f>IF(E2817="","",IF(E2817="Werken","JA","NEE"))</f>
        <v/>
      </c>
      <c r="L2817" s="61">
        <f>IF(K2817="JA",N(J2817),IF(E2817="","",0))</f>
        <v/>
      </c>
      <c r="M2817" s="62">
        <f>IF(AND(A2817="",E2817=""),"",IF(E2817="","Segment ontbreekt",IF(OR(G2817="",H2817=""),"Van/tot ontbreekt",IF(N(J2817)=0,"Duur is nul",IF(N(J2817)&gt;12,"Langer dan 12 uur - controleren",IF(AND(E2817="Werken",D2817=""),"Werken zonder klant - koppelen","OK"))))))</f>
        <v/>
      </c>
    </row>
    <row r="2818" ht="15" customHeight="1" s="42">
      <c r="A2818" s="55" t="n"/>
      <c r="B2818" s="56">
        <f>IF(A2818="","",WEEKNUM(A2818,21))</f>
        <v/>
      </c>
      <c r="C2818" s="57" t="n"/>
      <c r="D2818" s="57" t="n"/>
      <c r="E2818" s="58" t="n"/>
      <c r="F2818" s="57" t="n"/>
      <c r="G2818" s="59" t="n"/>
      <c r="H2818" s="59" t="n"/>
      <c r="I2818" s="60">
        <f>IF(OR(G2818="",H2818=""),"",MOD(H2818-G2818,1))</f>
        <v/>
      </c>
      <c r="J2818" s="61">
        <f>IF(OR(G2818="",H2818=""),"",ROUND(MOD(H2818-G2818,1)*24,2))</f>
        <v/>
      </c>
      <c r="K2818" s="62">
        <f>IF(E2818="","",IF(E2818="Werken","JA","NEE"))</f>
        <v/>
      </c>
      <c r="L2818" s="61">
        <f>IF(K2818="JA",N(J2818),IF(E2818="","",0))</f>
        <v/>
      </c>
      <c r="M2818" s="62">
        <f>IF(AND(A2818="",E2818=""),"",IF(E2818="","Segment ontbreekt",IF(OR(G2818="",H2818=""),"Van/tot ontbreekt",IF(N(J2818)=0,"Duur is nul",IF(N(J2818)&gt;12,"Langer dan 12 uur - controleren",IF(AND(E2818="Werken",D2818=""),"Werken zonder klant - koppelen","OK"))))))</f>
        <v/>
      </c>
    </row>
    <row r="2819" ht="15" customHeight="1" s="42">
      <c r="A2819" s="55" t="n"/>
      <c r="B2819" s="56">
        <f>IF(A2819="","",WEEKNUM(A2819,21))</f>
        <v/>
      </c>
      <c r="C2819" s="57" t="n"/>
      <c r="D2819" s="57" t="n"/>
      <c r="E2819" s="58" t="n"/>
      <c r="F2819" s="57" t="n"/>
      <c r="G2819" s="59" t="n"/>
      <c r="H2819" s="59" t="n"/>
      <c r="I2819" s="60">
        <f>IF(OR(G2819="",H2819=""),"",MOD(H2819-G2819,1))</f>
        <v/>
      </c>
      <c r="J2819" s="61">
        <f>IF(OR(G2819="",H2819=""),"",ROUND(MOD(H2819-G2819,1)*24,2))</f>
        <v/>
      </c>
      <c r="K2819" s="62">
        <f>IF(E2819="","",IF(E2819="Werken","JA","NEE"))</f>
        <v/>
      </c>
      <c r="L2819" s="61">
        <f>IF(K2819="JA",N(J2819),IF(E2819="","",0))</f>
        <v/>
      </c>
      <c r="M2819" s="62">
        <f>IF(AND(A2819="",E2819=""),"",IF(E2819="","Segment ontbreekt",IF(OR(G2819="",H2819=""),"Van/tot ontbreekt",IF(N(J2819)=0,"Duur is nul",IF(N(J2819)&gt;12,"Langer dan 12 uur - controleren",IF(AND(E2819="Werken",D2819=""),"Werken zonder klant - koppelen","OK"))))))</f>
        <v/>
      </c>
    </row>
    <row r="2820" ht="15" customHeight="1" s="42">
      <c r="A2820" s="55" t="n"/>
      <c r="B2820" s="56">
        <f>IF(A2820="","",WEEKNUM(A2820,21))</f>
        <v/>
      </c>
      <c r="C2820" s="57" t="n"/>
      <c r="D2820" s="57" t="n"/>
      <c r="E2820" s="58" t="n"/>
      <c r="F2820" s="57" t="n"/>
      <c r="G2820" s="59" t="n"/>
      <c r="H2820" s="59" t="n"/>
      <c r="I2820" s="60">
        <f>IF(OR(G2820="",H2820=""),"",MOD(H2820-G2820,1))</f>
        <v/>
      </c>
      <c r="J2820" s="61">
        <f>IF(OR(G2820="",H2820=""),"",ROUND(MOD(H2820-G2820,1)*24,2))</f>
        <v/>
      </c>
      <c r="K2820" s="62">
        <f>IF(E2820="","",IF(E2820="Werken","JA","NEE"))</f>
        <v/>
      </c>
      <c r="L2820" s="61">
        <f>IF(K2820="JA",N(J2820),IF(E2820="","",0))</f>
        <v/>
      </c>
      <c r="M2820" s="62">
        <f>IF(AND(A2820="",E2820=""),"",IF(E2820="","Segment ontbreekt",IF(OR(G2820="",H2820=""),"Van/tot ontbreekt",IF(N(J2820)=0,"Duur is nul",IF(N(J2820)&gt;12,"Langer dan 12 uur - controleren",IF(AND(E2820="Werken",D2820=""),"Werken zonder klant - koppelen","OK"))))))</f>
        <v/>
      </c>
    </row>
    <row r="2821" ht="15" customHeight="1" s="42">
      <c r="A2821" s="55" t="n"/>
      <c r="B2821" s="56">
        <f>IF(A2821="","",WEEKNUM(A2821,21))</f>
        <v/>
      </c>
      <c r="C2821" s="57" t="n"/>
      <c r="D2821" s="57" t="n"/>
      <c r="E2821" s="58" t="n"/>
      <c r="F2821" s="57" t="n"/>
      <c r="G2821" s="59" t="n"/>
      <c r="H2821" s="59" t="n"/>
      <c r="I2821" s="60">
        <f>IF(OR(G2821="",H2821=""),"",MOD(H2821-G2821,1))</f>
        <v/>
      </c>
      <c r="J2821" s="61">
        <f>IF(OR(G2821="",H2821=""),"",ROUND(MOD(H2821-G2821,1)*24,2))</f>
        <v/>
      </c>
      <c r="K2821" s="62">
        <f>IF(E2821="","",IF(E2821="Werken","JA","NEE"))</f>
        <v/>
      </c>
      <c r="L2821" s="61">
        <f>IF(K2821="JA",N(J2821),IF(E2821="","",0))</f>
        <v/>
      </c>
      <c r="M2821" s="62">
        <f>IF(AND(A2821="",E2821=""),"",IF(E2821="","Segment ontbreekt",IF(OR(G2821="",H2821=""),"Van/tot ontbreekt",IF(N(J2821)=0,"Duur is nul",IF(N(J2821)&gt;12,"Langer dan 12 uur - controleren",IF(AND(E2821="Werken",D2821=""),"Werken zonder klant - koppelen","OK"))))))</f>
        <v/>
      </c>
    </row>
    <row r="2822" ht="15" customHeight="1" s="42">
      <c r="A2822" s="55" t="n"/>
      <c r="B2822" s="56">
        <f>IF(A2822="","",WEEKNUM(A2822,21))</f>
        <v/>
      </c>
      <c r="C2822" s="57" t="n"/>
      <c r="D2822" s="57" t="n"/>
      <c r="E2822" s="58" t="n"/>
      <c r="F2822" s="57" t="n"/>
      <c r="G2822" s="59" t="n"/>
      <c r="H2822" s="59" t="n"/>
      <c r="I2822" s="60">
        <f>IF(OR(G2822="",H2822=""),"",MOD(H2822-G2822,1))</f>
        <v/>
      </c>
      <c r="J2822" s="61">
        <f>IF(OR(G2822="",H2822=""),"",ROUND(MOD(H2822-G2822,1)*24,2))</f>
        <v/>
      </c>
      <c r="K2822" s="62">
        <f>IF(E2822="","",IF(E2822="Werken","JA","NEE"))</f>
        <v/>
      </c>
      <c r="L2822" s="61">
        <f>IF(K2822="JA",N(J2822),IF(E2822="","",0))</f>
        <v/>
      </c>
      <c r="M2822" s="62">
        <f>IF(AND(A2822="",E2822=""),"",IF(E2822="","Segment ontbreekt",IF(OR(G2822="",H2822=""),"Van/tot ontbreekt",IF(N(J2822)=0,"Duur is nul",IF(N(J2822)&gt;12,"Langer dan 12 uur - controleren",IF(AND(E2822="Werken",D2822=""),"Werken zonder klant - koppelen","OK"))))))</f>
        <v/>
      </c>
    </row>
    <row r="2823" ht="15" customHeight="1" s="42">
      <c r="A2823" s="55" t="n"/>
      <c r="B2823" s="56">
        <f>IF(A2823="","",WEEKNUM(A2823,21))</f>
        <v/>
      </c>
      <c r="C2823" s="57" t="n"/>
      <c r="D2823" s="57" t="n"/>
      <c r="E2823" s="58" t="n"/>
      <c r="F2823" s="57" t="n"/>
      <c r="G2823" s="59" t="n"/>
      <c r="H2823" s="59" t="n"/>
      <c r="I2823" s="60">
        <f>IF(OR(G2823="",H2823=""),"",MOD(H2823-G2823,1))</f>
        <v/>
      </c>
      <c r="J2823" s="61">
        <f>IF(OR(G2823="",H2823=""),"",ROUND(MOD(H2823-G2823,1)*24,2))</f>
        <v/>
      </c>
      <c r="K2823" s="62">
        <f>IF(E2823="","",IF(E2823="Werken","JA","NEE"))</f>
        <v/>
      </c>
      <c r="L2823" s="61">
        <f>IF(K2823="JA",N(J2823),IF(E2823="","",0))</f>
        <v/>
      </c>
      <c r="M2823" s="62">
        <f>IF(AND(A2823="",E2823=""),"",IF(E2823="","Segment ontbreekt",IF(OR(G2823="",H2823=""),"Van/tot ontbreekt",IF(N(J2823)=0,"Duur is nul",IF(N(J2823)&gt;12,"Langer dan 12 uur - controleren",IF(AND(E2823="Werken",D2823=""),"Werken zonder klant - koppelen","OK"))))))</f>
        <v/>
      </c>
    </row>
    <row r="2824" ht="15" customHeight="1" s="42">
      <c r="A2824" s="55" t="n"/>
      <c r="B2824" s="56">
        <f>IF(A2824="","",WEEKNUM(A2824,21))</f>
        <v/>
      </c>
      <c r="C2824" s="57" t="n"/>
      <c r="D2824" s="57" t="n"/>
      <c r="E2824" s="58" t="n"/>
      <c r="F2824" s="57" t="n"/>
      <c r="G2824" s="59" t="n"/>
      <c r="H2824" s="59" t="n"/>
      <c r="I2824" s="60">
        <f>IF(OR(G2824="",H2824=""),"",MOD(H2824-G2824,1))</f>
        <v/>
      </c>
      <c r="J2824" s="61">
        <f>IF(OR(G2824="",H2824=""),"",ROUND(MOD(H2824-G2824,1)*24,2))</f>
        <v/>
      </c>
      <c r="K2824" s="62">
        <f>IF(E2824="","",IF(E2824="Werken","JA","NEE"))</f>
        <v/>
      </c>
      <c r="L2824" s="61">
        <f>IF(K2824="JA",N(J2824),IF(E2824="","",0))</f>
        <v/>
      </c>
      <c r="M2824" s="62">
        <f>IF(AND(A2824="",E2824=""),"",IF(E2824="","Segment ontbreekt",IF(OR(G2824="",H2824=""),"Van/tot ontbreekt",IF(N(J2824)=0,"Duur is nul",IF(N(J2824)&gt;12,"Langer dan 12 uur - controleren",IF(AND(E2824="Werken",D2824=""),"Werken zonder klant - koppelen","OK"))))))</f>
        <v/>
      </c>
    </row>
    <row r="2825" ht="15" customHeight="1" s="42">
      <c r="A2825" s="55" t="n"/>
      <c r="B2825" s="56">
        <f>IF(A2825="","",WEEKNUM(A2825,21))</f>
        <v/>
      </c>
      <c r="C2825" s="57" t="n"/>
      <c r="D2825" s="57" t="n"/>
      <c r="E2825" s="58" t="n"/>
      <c r="F2825" s="57" t="n"/>
      <c r="G2825" s="59" t="n"/>
      <c r="H2825" s="59" t="n"/>
      <c r="I2825" s="60">
        <f>IF(OR(G2825="",H2825=""),"",MOD(H2825-G2825,1))</f>
        <v/>
      </c>
      <c r="J2825" s="61">
        <f>IF(OR(G2825="",H2825=""),"",ROUND(MOD(H2825-G2825,1)*24,2))</f>
        <v/>
      </c>
      <c r="K2825" s="62">
        <f>IF(E2825="","",IF(E2825="Werken","JA","NEE"))</f>
        <v/>
      </c>
      <c r="L2825" s="61">
        <f>IF(K2825="JA",N(J2825),IF(E2825="","",0))</f>
        <v/>
      </c>
      <c r="M2825" s="62">
        <f>IF(AND(A2825="",E2825=""),"",IF(E2825="","Segment ontbreekt",IF(OR(G2825="",H2825=""),"Van/tot ontbreekt",IF(N(J2825)=0,"Duur is nul",IF(N(J2825)&gt;12,"Langer dan 12 uur - controleren",IF(AND(E2825="Werken",D2825=""),"Werken zonder klant - koppelen","OK"))))))</f>
        <v/>
      </c>
    </row>
    <row r="2826" ht="15" customHeight="1" s="42">
      <c r="A2826" s="55" t="n"/>
      <c r="B2826" s="56">
        <f>IF(A2826="","",WEEKNUM(A2826,21))</f>
        <v/>
      </c>
      <c r="C2826" s="57" t="n"/>
      <c r="D2826" s="57" t="n"/>
      <c r="E2826" s="58" t="n"/>
      <c r="F2826" s="57" t="n"/>
      <c r="G2826" s="59" t="n"/>
      <c r="H2826" s="59" t="n"/>
      <c r="I2826" s="60">
        <f>IF(OR(G2826="",H2826=""),"",MOD(H2826-G2826,1))</f>
        <v/>
      </c>
      <c r="J2826" s="61">
        <f>IF(OR(G2826="",H2826=""),"",ROUND(MOD(H2826-G2826,1)*24,2))</f>
        <v/>
      </c>
      <c r="K2826" s="62">
        <f>IF(E2826="","",IF(E2826="Werken","JA","NEE"))</f>
        <v/>
      </c>
      <c r="L2826" s="61">
        <f>IF(K2826="JA",N(J2826),IF(E2826="","",0))</f>
        <v/>
      </c>
      <c r="M2826" s="62">
        <f>IF(AND(A2826="",E2826=""),"",IF(E2826="","Segment ontbreekt",IF(OR(G2826="",H2826=""),"Van/tot ontbreekt",IF(N(J2826)=0,"Duur is nul",IF(N(J2826)&gt;12,"Langer dan 12 uur - controleren",IF(AND(E2826="Werken",D2826=""),"Werken zonder klant - koppelen","OK"))))))</f>
        <v/>
      </c>
    </row>
    <row r="2827" ht="15" customHeight="1" s="42">
      <c r="A2827" s="55" t="n"/>
      <c r="B2827" s="56">
        <f>IF(A2827="","",WEEKNUM(A2827,21))</f>
        <v/>
      </c>
      <c r="C2827" s="57" t="n"/>
      <c r="D2827" s="57" t="n"/>
      <c r="E2827" s="58" t="n"/>
      <c r="F2827" s="57" t="n"/>
      <c r="G2827" s="59" t="n"/>
      <c r="H2827" s="59" t="n"/>
      <c r="I2827" s="60">
        <f>IF(OR(G2827="",H2827=""),"",MOD(H2827-G2827,1))</f>
        <v/>
      </c>
      <c r="J2827" s="61">
        <f>IF(OR(G2827="",H2827=""),"",ROUND(MOD(H2827-G2827,1)*24,2))</f>
        <v/>
      </c>
      <c r="K2827" s="62">
        <f>IF(E2827="","",IF(E2827="Werken","JA","NEE"))</f>
        <v/>
      </c>
      <c r="L2827" s="61">
        <f>IF(K2827="JA",N(J2827),IF(E2827="","",0))</f>
        <v/>
      </c>
      <c r="M2827" s="62">
        <f>IF(AND(A2827="",E2827=""),"",IF(E2827="","Segment ontbreekt",IF(OR(G2827="",H2827=""),"Van/tot ontbreekt",IF(N(J2827)=0,"Duur is nul",IF(N(J2827)&gt;12,"Langer dan 12 uur - controleren",IF(AND(E2827="Werken",D2827=""),"Werken zonder klant - koppelen","OK"))))))</f>
        <v/>
      </c>
    </row>
    <row r="2828" ht="15" customHeight="1" s="42">
      <c r="A2828" s="55" t="n"/>
      <c r="B2828" s="56">
        <f>IF(A2828="","",WEEKNUM(A2828,21))</f>
        <v/>
      </c>
      <c r="C2828" s="57" t="n"/>
      <c r="D2828" s="57" t="n"/>
      <c r="E2828" s="58" t="n"/>
      <c r="F2828" s="57" t="n"/>
      <c r="G2828" s="59" t="n"/>
      <c r="H2828" s="59" t="n"/>
      <c r="I2828" s="60">
        <f>IF(OR(G2828="",H2828=""),"",MOD(H2828-G2828,1))</f>
        <v/>
      </c>
      <c r="J2828" s="61">
        <f>IF(OR(G2828="",H2828=""),"",ROUND(MOD(H2828-G2828,1)*24,2))</f>
        <v/>
      </c>
      <c r="K2828" s="62">
        <f>IF(E2828="","",IF(E2828="Werken","JA","NEE"))</f>
        <v/>
      </c>
      <c r="L2828" s="61">
        <f>IF(K2828="JA",N(J2828),IF(E2828="","",0))</f>
        <v/>
      </c>
      <c r="M2828" s="62">
        <f>IF(AND(A2828="",E2828=""),"",IF(E2828="","Segment ontbreekt",IF(OR(G2828="",H2828=""),"Van/tot ontbreekt",IF(N(J2828)=0,"Duur is nul",IF(N(J2828)&gt;12,"Langer dan 12 uur - controleren",IF(AND(E2828="Werken",D2828=""),"Werken zonder klant - koppelen","OK"))))))</f>
        <v/>
      </c>
    </row>
    <row r="2829" ht="15" customHeight="1" s="42">
      <c r="A2829" s="55" t="n"/>
      <c r="B2829" s="56">
        <f>IF(A2829="","",WEEKNUM(A2829,21))</f>
        <v/>
      </c>
      <c r="C2829" s="57" t="n"/>
      <c r="D2829" s="57" t="n"/>
      <c r="E2829" s="58" t="n"/>
      <c r="F2829" s="57" t="n"/>
      <c r="G2829" s="59" t="n"/>
      <c r="H2829" s="59" t="n"/>
      <c r="I2829" s="60">
        <f>IF(OR(G2829="",H2829=""),"",MOD(H2829-G2829,1))</f>
        <v/>
      </c>
      <c r="J2829" s="61">
        <f>IF(OR(G2829="",H2829=""),"",ROUND(MOD(H2829-G2829,1)*24,2))</f>
        <v/>
      </c>
      <c r="K2829" s="62">
        <f>IF(E2829="","",IF(E2829="Werken","JA","NEE"))</f>
        <v/>
      </c>
      <c r="L2829" s="61">
        <f>IF(K2829="JA",N(J2829),IF(E2829="","",0))</f>
        <v/>
      </c>
      <c r="M2829" s="62">
        <f>IF(AND(A2829="",E2829=""),"",IF(E2829="","Segment ontbreekt",IF(OR(G2829="",H2829=""),"Van/tot ontbreekt",IF(N(J2829)=0,"Duur is nul",IF(N(J2829)&gt;12,"Langer dan 12 uur - controleren",IF(AND(E2829="Werken",D2829=""),"Werken zonder klant - koppelen","OK"))))))</f>
        <v/>
      </c>
    </row>
    <row r="2830" ht="15" customHeight="1" s="42">
      <c r="A2830" s="55" t="n"/>
      <c r="B2830" s="56">
        <f>IF(A2830="","",WEEKNUM(A2830,21))</f>
        <v/>
      </c>
      <c r="C2830" s="57" t="n"/>
      <c r="D2830" s="57" t="n"/>
      <c r="E2830" s="58" t="n"/>
      <c r="F2830" s="57" t="n"/>
      <c r="G2830" s="59" t="n"/>
      <c r="H2830" s="59" t="n"/>
      <c r="I2830" s="60">
        <f>IF(OR(G2830="",H2830=""),"",MOD(H2830-G2830,1))</f>
        <v/>
      </c>
      <c r="J2830" s="61">
        <f>IF(OR(G2830="",H2830=""),"",ROUND(MOD(H2830-G2830,1)*24,2))</f>
        <v/>
      </c>
      <c r="K2830" s="62">
        <f>IF(E2830="","",IF(E2830="Werken","JA","NEE"))</f>
        <v/>
      </c>
      <c r="L2830" s="61">
        <f>IF(K2830="JA",N(J2830),IF(E2830="","",0))</f>
        <v/>
      </c>
      <c r="M2830" s="62">
        <f>IF(AND(A2830="",E2830=""),"",IF(E2830="","Segment ontbreekt",IF(OR(G2830="",H2830=""),"Van/tot ontbreekt",IF(N(J2830)=0,"Duur is nul",IF(N(J2830)&gt;12,"Langer dan 12 uur - controleren",IF(AND(E2830="Werken",D2830=""),"Werken zonder klant - koppelen","OK"))))))</f>
        <v/>
      </c>
    </row>
    <row r="2831" ht="15" customHeight="1" s="42">
      <c r="A2831" s="55" t="n"/>
      <c r="B2831" s="56">
        <f>IF(A2831="","",WEEKNUM(A2831,21))</f>
        <v/>
      </c>
      <c r="C2831" s="57" t="n"/>
      <c r="D2831" s="57" t="n"/>
      <c r="E2831" s="58" t="n"/>
      <c r="F2831" s="57" t="n"/>
      <c r="G2831" s="59" t="n"/>
      <c r="H2831" s="59" t="n"/>
      <c r="I2831" s="60">
        <f>IF(OR(G2831="",H2831=""),"",MOD(H2831-G2831,1))</f>
        <v/>
      </c>
      <c r="J2831" s="61">
        <f>IF(OR(G2831="",H2831=""),"",ROUND(MOD(H2831-G2831,1)*24,2))</f>
        <v/>
      </c>
      <c r="K2831" s="62">
        <f>IF(E2831="","",IF(E2831="Werken","JA","NEE"))</f>
        <v/>
      </c>
      <c r="L2831" s="61">
        <f>IF(K2831="JA",N(J2831),IF(E2831="","",0))</f>
        <v/>
      </c>
      <c r="M2831" s="62">
        <f>IF(AND(A2831="",E2831=""),"",IF(E2831="","Segment ontbreekt",IF(OR(G2831="",H2831=""),"Van/tot ontbreekt",IF(N(J2831)=0,"Duur is nul",IF(N(J2831)&gt;12,"Langer dan 12 uur - controleren",IF(AND(E2831="Werken",D2831=""),"Werken zonder klant - koppelen","OK"))))))</f>
        <v/>
      </c>
    </row>
    <row r="2832" ht="15" customHeight="1" s="42">
      <c r="A2832" s="55" t="n"/>
      <c r="B2832" s="56">
        <f>IF(A2832="","",WEEKNUM(A2832,21))</f>
        <v/>
      </c>
      <c r="C2832" s="57" t="n"/>
      <c r="D2832" s="57" t="n"/>
      <c r="E2832" s="58" t="n"/>
      <c r="F2832" s="57" t="n"/>
      <c r="G2832" s="59" t="n"/>
      <c r="H2832" s="59" t="n"/>
      <c r="I2832" s="60">
        <f>IF(OR(G2832="",H2832=""),"",MOD(H2832-G2832,1))</f>
        <v/>
      </c>
      <c r="J2832" s="61">
        <f>IF(OR(G2832="",H2832=""),"",ROUND(MOD(H2832-G2832,1)*24,2))</f>
        <v/>
      </c>
      <c r="K2832" s="62">
        <f>IF(E2832="","",IF(E2832="Werken","JA","NEE"))</f>
        <v/>
      </c>
      <c r="L2832" s="61">
        <f>IF(K2832="JA",N(J2832),IF(E2832="","",0))</f>
        <v/>
      </c>
      <c r="M2832" s="62">
        <f>IF(AND(A2832="",E2832=""),"",IF(E2832="","Segment ontbreekt",IF(OR(G2832="",H2832=""),"Van/tot ontbreekt",IF(N(J2832)=0,"Duur is nul",IF(N(J2832)&gt;12,"Langer dan 12 uur - controleren",IF(AND(E2832="Werken",D2832=""),"Werken zonder klant - koppelen","OK"))))))</f>
        <v/>
      </c>
    </row>
    <row r="2833" ht="15" customHeight="1" s="42">
      <c r="A2833" s="55" t="n"/>
      <c r="B2833" s="56">
        <f>IF(A2833="","",WEEKNUM(A2833,21))</f>
        <v/>
      </c>
      <c r="C2833" s="57" t="n"/>
      <c r="D2833" s="57" t="n"/>
      <c r="E2833" s="58" t="n"/>
      <c r="F2833" s="57" t="n"/>
      <c r="G2833" s="59" t="n"/>
      <c r="H2833" s="59" t="n"/>
      <c r="I2833" s="60">
        <f>IF(OR(G2833="",H2833=""),"",MOD(H2833-G2833,1))</f>
        <v/>
      </c>
      <c r="J2833" s="61">
        <f>IF(OR(G2833="",H2833=""),"",ROUND(MOD(H2833-G2833,1)*24,2))</f>
        <v/>
      </c>
      <c r="K2833" s="62">
        <f>IF(E2833="","",IF(E2833="Werken","JA","NEE"))</f>
        <v/>
      </c>
      <c r="L2833" s="61">
        <f>IF(K2833="JA",N(J2833),IF(E2833="","",0))</f>
        <v/>
      </c>
      <c r="M2833" s="62">
        <f>IF(AND(A2833="",E2833=""),"",IF(E2833="","Segment ontbreekt",IF(OR(G2833="",H2833=""),"Van/tot ontbreekt",IF(N(J2833)=0,"Duur is nul",IF(N(J2833)&gt;12,"Langer dan 12 uur - controleren",IF(AND(E2833="Werken",D2833=""),"Werken zonder klant - koppelen","OK"))))))</f>
        <v/>
      </c>
    </row>
    <row r="2834" ht="15" customHeight="1" s="42">
      <c r="A2834" s="55" t="n"/>
      <c r="B2834" s="56">
        <f>IF(A2834="","",WEEKNUM(A2834,21))</f>
        <v/>
      </c>
      <c r="C2834" s="57" t="n"/>
      <c r="D2834" s="57" t="n"/>
      <c r="E2834" s="58" t="n"/>
      <c r="F2834" s="57" t="n"/>
      <c r="G2834" s="59" t="n"/>
      <c r="H2834" s="59" t="n"/>
      <c r="I2834" s="60">
        <f>IF(OR(G2834="",H2834=""),"",MOD(H2834-G2834,1))</f>
        <v/>
      </c>
      <c r="J2834" s="61">
        <f>IF(OR(G2834="",H2834=""),"",ROUND(MOD(H2834-G2834,1)*24,2))</f>
        <v/>
      </c>
      <c r="K2834" s="62">
        <f>IF(E2834="","",IF(E2834="Werken","JA","NEE"))</f>
        <v/>
      </c>
      <c r="L2834" s="61">
        <f>IF(K2834="JA",N(J2834),IF(E2834="","",0))</f>
        <v/>
      </c>
      <c r="M2834" s="62">
        <f>IF(AND(A2834="",E2834=""),"",IF(E2834="","Segment ontbreekt",IF(OR(G2834="",H2834=""),"Van/tot ontbreekt",IF(N(J2834)=0,"Duur is nul",IF(N(J2834)&gt;12,"Langer dan 12 uur - controleren",IF(AND(E2834="Werken",D2834=""),"Werken zonder klant - koppelen","OK"))))))</f>
        <v/>
      </c>
    </row>
    <row r="2835" ht="15" customHeight="1" s="42">
      <c r="A2835" s="55" t="n"/>
      <c r="B2835" s="56">
        <f>IF(A2835="","",WEEKNUM(A2835,21))</f>
        <v/>
      </c>
      <c r="C2835" s="57" t="n"/>
      <c r="D2835" s="57" t="n"/>
      <c r="E2835" s="58" t="n"/>
      <c r="F2835" s="57" t="n"/>
      <c r="G2835" s="59" t="n"/>
      <c r="H2835" s="59" t="n"/>
      <c r="I2835" s="60">
        <f>IF(OR(G2835="",H2835=""),"",MOD(H2835-G2835,1))</f>
        <v/>
      </c>
      <c r="J2835" s="61">
        <f>IF(OR(G2835="",H2835=""),"",ROUND(MOD(H2835-G2835,1)*24,2))</f>
        <v/>
      </c>
      <c r="K2835" s="62">
        <f>IF(E2835="","",IF(E2835="Werken","JA","NEE"))</f>
        <v/>
      </c>
      <c r="L2835" s="61">
        <f>IF(K2835="JA",N(J2835),IF(E2835="","",0))</f>
        <v/>
      </c>
      <c r="M2835" s="62">
        <f>IF(AND(A2835="",E2835=""),"",IF(E2835="","Segment ontbreekt",IF(OR(G2835="",H2835=""),"Van/tot ontbreekt",IF(N(J2835)=0,"Duur is nul",IF(N(J2835)&gt;12,"Langer dan 12 uur - controleren",IF(AND(E2835="Werken",D2835=""),"Werken zonder klant - koppelen","OK"))))))</f>
        <v/>
      </c>
    </row>
    <row r="2836" ht="15" customHeight="1" s="42">
      <c r="A2836" s="55" t="n"/>
      <c r="B2836" s="56">
        <f>IF(A2836="","",WEEKNUM(A2836,21))</f>
        <v/>
      </c>
      <c r="C2836" s="57" t="n"/>
      <c r="D2836" s="57" t="n"/>
      <c r="E2836" s="58" t="n"/>
      <c r="F2836" s="57" t="n"/>
      <c r="G2836" s="59" t="n"/>
      <c r="H2836" s="59" t="n"/>
      <c r="I2836" s="60">
        <f>IF(OR(G2836="",H2836=""),"",MOD(H2836-G2836,1))</f>
        <v/>
      </c>
      <c r="J2836" s="61">
        <f>IF(OR(G2836="",H2836=""),"",ROUND(MOD(H2836-G2836,1)*24,2))</f>
        <v/>
      </c>
      <c r="K2836" s="62">
        <f>IF(E2836="","",IF(E2836="Werken","JA","NEE"))</f>
        <v/>
      </c>
      <c r="L2836" s="61">
        <f>IF(K2836="JA",N(J2836),IF(E2836="","",0))</f>
        <v/>
      </c>
      <c r="M2836" s="62">
        <f>IF(AND(A2836="",E2836=""),"",IF(E2836="","Segment ontbreekt",IF(OR(G2836="",H2836=""),"Van/tot ontbreekt",IF(N(J2836)=0,"Duur is nul",IF(N(J2836)&gt;12,"Langer dan 12 uur - controleren",IF(AND(E2836="Werken",D2836=""),"Werken zonder klant - koppelen","OK"))))))</f>
        <v/>
      </c>
    </row>
    <row r="2837" ht="15" customHeight="1" s="42">
      <c r="A2837" s="55" t="n"/>
      <c r="B2837" s="56">
        <f>IF(A2837="","",WEEKNUM(A2837,21))</f>
        <v/>
      </c>
      <c r="C2837" s="57" t="n"/>
      <c r="D2837" s="57" t="n"/>
      <c r="E2837" s="58" t="n"/>
      <c r="F2837" s="57" t="n"/>
      <c r="G2837" s="59" t="n"/>
      <c r="H2837" s="59" t="n"/>
      <c r="I2837" s="60">
        <f>IF(OR(G2837="",H2837=""),"",MOD(H2837-G2837,1))</f>
        <v/>
      </c>
      <c r="J2837" s="61">
        <f>IF(OR(G2837="",H2837=""),"",ROUND(MOD(H2837-G2837,1)*24,2))</f>
        <v/>
      </c>
      <c r="K2837" s="62">
        <f>IF(E2837="","",IF(E2837="Werken","JA","NEE"))</f>
        <v/>
      </c>
      <c r="L2837" s="61">
        <f>IF(K2837="JA",N(J2837),IF(E2837="","",0))</f>
        <v/>
      </c>
      <c r="M2837" s="62">
        <f>IF(AND(A2837="",E2837=""),"",IF(E2837="","Segment ontbreekt",IF(OR(G2837="",H2837=""),"Van/tot ontbreekt",IF(N(J2837)=0,"Duur is nul",IF(N(J2837)&gt;12,"Langer dan 12 uur - controleren",IF(AND(E2837="Werken",D2837=""),"Werken zonder klant - koppelen","OK"))))))</f>
        <v/>
      </c>
    </row>
    <row r="2838" ht="15" customHeight="1" s="42">
      <c r="A2838" s="55" t="n"/>
      <c r="B2838" s="56">
        <f>IF(A2838="","",WEEKNUM(A2838,21))</f>
        <v/>
      </c>
      <c r="C2838" s="57" t="n"/>
      <c r="D2838" s="57" t="n"/>
      <c r="E2838" s="58" t="n"/>
      <c r="F2838" s="57" t="n"/>
      <c r="G2838" s="59" t="n"/>
      <c r="H2838" s="59" t="n"/>
      <c r="I2838" s="60">
        <f>IF(OR(G2838="",H2838=""),"",MOD(H2838-G2838,1))</f>
        <v/>
      </c>
      <c r="J2838" s="61">
        <f>IF(OR(G2838="",H2838=""),"",ROUND(MOD(H2838-G2838,1)*24,2))</f>
        <v/>
      </c>
      <c r="K2838" s="62">
        <f>IF(E2838="","",IF(E2838="Werken","JA","NEE"))</f>
        <v/>
      </c>
      <c r="L2838" s="61">
        <f>IF(K2838="JA",N(J2838),IF(E2838="","",0))</f>
        <v/>
      </c>
      <c r="M2838" s="62">
        <f>IF(AND(A2838="",E2838=""),"",IF(E2838="","Segment ontbreekt",IF(OR(G2838="",H2838=""),"Van/tot ontbreekt",IF(N(J2838)=0,"Duur is nul",IF(N(J2838)&gt;12,"Langer dan 12 uur - controleren",IF(AND(E2838="Werken",D2838=""),"Werken zonder klant - koppelen","OK"))))))</f>
        <v/>
      </c>
    </row>
    <row r="2839" ht="15" customHeight="1" s="42">
      <c r="A2839" s="55" t="n"/>
      <c r="B2839" s="56">
        <f>IF(A2839="","",WEEKNUM(A2839,21))</f>
        <v/>
      </c>
      <c r="C2839" s="57" t="n"/>
      <c r="D2839" s="57" t="n"/>
      <c r="E2839" s="58" t="n"/>
      <c r="F2839" s="57" t="n"/>
      <c r="G2839" s="59" t="n"/>
      <c r="H2839" s="59" t="n"/>
      <c r="I2839" s="60">
        <f>IF(OR(G2839="",H2839=""),"",MOD(H2839-G2839,1))</f>
        <v/>
      </c>
      <c r="J2839" s="61">
        <f>IF(OR(G2839="",H2839=""),"",ROUND(MOD(H2839-G2839,1)*24,2))</f>
        <v/>
      </c>
      <c r="K2839" s="62">
        <f>IF(E2839="","",IF(E2839="Werken","JA","NEE"))</f>
        <v/>
      </c>
      <c r="L2839" s="61">
        <f>IF(K2839="JA",N(J2839),IF(E2839="","",0))</f>
        <v/>
      </c>
      <c r="M2839" s="62">
        <f>IF(AND(A2839="",E2839=""),"",IF(E2839="","Segment ontbreekt",IF(OR(G2839="",H2839=""),"Van/tot ontbreekt",IF(N(J2839)=0,"Duur is nul",IF(N(J2839)&gt;12,"Langer dan 12 uur - controleren",IF(AND(E2839="Werken",D2839=""),"Werken zonder klant - koppelen","OK"))))))</f>
        <v/>
      </c>
    </row>
    <row r="2840" ht="15" customHeight="1" s="42">
      <c r="A2840" s="55" t="n"/>
      <c r="B2840" s="56">
        <f>IF(A2840="","",WEEKNUM(A2840,21))</f>
        <v/>
      </c>
      <c r="C2840" s="57" t="n"/>
      <c r="D2840" s="57" t="n"/>
      <c r="E2840" s="58" t="n"/>
      <c r="F2840" s="57" t="n"/>
      <c r="G2840" s="59" t="n"/>
      <c r="H2840" s="59" t="n"/>
      <c r="I2840" s="60">
        <f>IF(OR(G2840="",H2840=""),"",MOD(H2840-G2840,1))</f>
        <v/>
      </c>
      <c r="J2840" s="61">
        <f>IF(OR(G2840="",H2840=""),"",ROUND(MOD(H2840-G2840,1)*24,2))</f>
        <v/>
      </c>
      <c r="K2840" s="62">
        <f>IF(E2840="","",IF(E2840="Werken","JA","NEE"))</f>
        <v/>
      </c>
      <c r="L2840" s="61">
        <f>IF(K2840="JA",N(J2840),IF(E2840="","",0))</f>
        <v/>
      </c>
      <c r="M2840" s="62">
        <f>IF(AND(A2840="",E2840=""),"",IF(E2840="","Segment ontbreekt",IF(OR(G2840="",H2840=""),"Van/tot ontbreekt",IF(N(J2840)=0,"Duur is nul",IF(N(J2840)&gt;12,"Langer dan 12 uur - controleren",IF(AND(E2840="Werken",D2840=""),"Werken zonder klant - koppelen","OK"))))))</f>
        <v/>
      </c>
    </row>
    <row r="2841" ht="15" customHeight="1" s="42">
      <c r="A2841" s="55" t="n"/>
      <c r="B2841" s="56">
        <f>IF(A2841="","",WEEKNUM(A2841,21))</f>
        <v/>
      </c>
      <c r="C2841" s="57" t="n"/>
      <c r="D2841" s="57" t="n"/>
      <c r="E2841" s="58" t="n"/>
      <c r="F2841" s="57" t="n"/>
      <c r="G2841" s="59" t="n"/>
      <c r="H2841" s="59" t="n"/>
      <c r="I2841" s="60">
        <f>IF(OR(G2841="",H2841=""),"",MOD(H2841-G2841,1))</f>
        <v/>
      </c>
      <c r="J2841" s="61">
        <f>IF(OR(G2841="",H2841=""),"",ROUND(MOD(H2841-G2841,1)*24,2))</f>
        <v/>
      </c>
      <c r="K2841" s="62">
        <f>IF(E2841="","",IF(E2841="Werken","JA","NEE"))</f>
        <v/>
      </c>
      <c r="L2841" s="61">
        <f>IF(K2841="JA",N(J2841),IF(E2841="","",0))</f>
        <v/>
      </c>
      <c r="M2841" s="62">
        <f>IF(AND(A2841="",E2841=""),"",IF(E2841="","Segment ontbreekt",IF(OR(G2841="",H2841=""),"Van/tot ontbreekt",IF(N(J2841)=0,"Duur is nul",IF(N(J2841)&gt;12,"Langer dan 12 uur - controleren",IF(AND(E2841="Werken",D2841=""),"Werken zonder klant - koppelen","OK"))))))</f>
        <v/>
      </c>
    </row>
    <row r="2842" ht="15" customHeight="1" s="42">
      <c r="A2842" s="55" t="n"/>
      <c r="B2842" s="56">
        <f>IF(A2842="","",WEEKNUM(A2842,21))</f>
        <v/>
      </c>
      <c r="C2842" s="57" t="n"/>
      <c r="D2842" s="57" t="n"/>
      <c r="E2842" s="58" t="n"/>
      <c r="F2842" s="57" t="n"/>
      <c r="G2842" s="59" t="n"/>
      <c r="H2842" s="59" t="n"/>
      <c r="I2842" s="60">
        <f>IF(OR(G2842="",H2842=""),"",MOD(H2842-G2842,1))</f>
        <v/>
      </c>
      <c r="J2842" s="61">
        <f>IF(OR(G2842="",H2842=""),"",ROUND(MOD(H2842-G2842,1)*24,2))</f>
        <v/>
      </c>
      <c r="K2842" s="62">
        <f>IF(E2842="","",IF(E2842="Werken","JA","NEE"))</f>
        <v/>
      </c>
      <c r="L2842" s="61">
        <f>IF(K2842="JA",N(J2842),IF(E2842="","",0))</f>
        <v/>
      </c>
      <c r="M2842" s="62">
        <f>IF(AND(A2842="",E2842=""),"",IF(E2842="","Segment ontbreekt",IF(OR(G2842="",H2842=""),"Van/tot ontbreekt",IF(N(J2842)=0,"Duur is nul",IF(N(J2842)&gt;12,"Langer dan 12 uur - controleren",IF(AND(E2842="Werken",D2842=""),"Werken zonder klant - koppelen","OK"))))))</f>
        <v/>
      </c>
    </row>
    <row r="2843" ht="15" customHeight="1" s="42">
      <c r="A2843" s="55" t="n"/>
      <c r="B2843" s="56">
        <f>IF(A2843="","",WEEKNUM(A2843,21))</f>
        <v/>
      </c>
      <c r="C2843" s="57" t="n"/>
      <c r="D2843" s="57" t="n"/>
      <c r="E2843" s="58" t="n"/>
      <c r="F2843" s="57" t="n"/>
      <c r="G2843" s="59" t="n"/>
      <c r="H2843" s="59" t="n"/>
      <c r="I2843" s="60">
        <f>IF(OR(G2843="",H2843=""),"",MOD(H2843-G2843,1))</f>
        <v/>
      </c>
      <c r="J2843" s="61">
        <f>IF(OR(G2843="",H2843=""),"",ROUND(MOD(H2843-G2843,1)*24,2))</f>
        <v/>
      </c>
      <c r="K2843" s="62">
        <f>IF(E2843="","",IF(E2843="Werken","JA","NEE"))</f>
        <v/>
      </c>
      <c r="L2843" s="61">
        <f>IF(K2843="JA",N(J2843),IF(E2843="","",0))</f>
        <v/>
      </c>
      <c r="M2843" s="62">
        <f>IF(AND(A2843="",E2843=""),"",IF(E2843="","Segment ontbreekt",IF(OR(G2843="",H2843=""),"Van/tot ontbreekt",IF(N(J2843)=0,"Duur is nul",IF(N(J2843)&gt;12,"Langer dan 12 uur - controleren",IF(AND(E2843="Werken",D2843=""),"Werken zonder klant - koppelen","OK"))))))</f>
        <v/>
      </c>
    </row>
    <row r="2844" ht="15" customHeight="1" s="42">
      <c r="A2844" s="55" t="n"/>
      <c r="B2844" s="56">
        <f>IF(A2844="","",WEEKNUM(A2844,21))</f>
        <v/>
      </c>
      <c r="C2844" s="57" t="n"/>
      <c r="D2844" s="57" t="n"/>
      <c r="E2844" s="58" t="n"/>
      <c r="F2844" s="57" t="n"/>
      <c r="G2844" s="59" t="n"/>
      <c r="H2844" s="59" t="n"/>
      <c r="I2844" s="60">
        <f>IF(OR(G2844="",H2844=""),"",MOD(H2844-G2844,1))</f>
        <v/>
      </c>
      <c r="J2844" s="61">
        <f>IF(OR(G2844="",H2844=""),"",ROUND(MOD(H2844-G2844,1)*24,2))</f>
        <v/>
      </c>
      <c r="K2844" s="62">
        <f>IF(E2844="","",IF(E2844="Werken","JA","NEE"))</f>
        <v/>
      </c>
      <c r="L2844" s="61">
        <f>IF(K2844="JA",N(J2844),IF(E2844="","",0))</f>
        <v/>
      </c>
      <c r="M2844" s="62">
        <f>IF(AND(A2844="",E2844=""),"",IF(E2844="","Segment ontbreekt",IF(OR(G2844="",H2844=""),"Van/tot ontbreekt",IF(N(J2844)=0,"Duur is nul",IF(N(J2844)&gt;12,"Langer dan 12 uur - controleren",IF(AND(E2844="Werken",D2844=""),"Werken zonder klant - koppelen","OK"))))))</f>
        <v/>
      </c>
    </row>
    <row r="2845" ht="15" customHeight="1" s="42">
      <c r="A2845" s="55" t="n"/>
      <c r="B2845" s="56">
        <f>IF(A2845="","",WEEKNUM(A2845,21))</f>
        <v/>
      </c>
      <c r="C2845" s="57" t="n"/>
      <c r="D2845" s="57" t="n"/>
      <c r="E2845" s="58" t="n"/>
      <c r="F2845" s="57" t="n"/>
      <c r="G2845" s="59" t="n"/>
      <c r="H2845" s="59" t="n"/>
      <c r="I2845" s="60">
        <f>IF(OR(G2845="",H2845=""),"",MOD(H2845-G2845,1))</f>
        <v/>
      </c>
      <c r="J2845" s="61">
        <f>IF(OR(G2845="",H2845=""),"",ROUND(MOD(H2845-G2845,1)*24,2))</f>
        <v/>
      </c>
      <c r="K2845" s="62">
        <f>IF(E2845="","",IF(E2845="Werken","JA","NEE"))</f>
        <v/>
      </c>
      <c r="L2845" s="61">
        <f>IF(K2845="JA",N(J2845),IF(E2845="","",0))</f>
        <v/>
      </c>
      <c r="M2845" s="62">
        <f>IF(AND(A2845="",E2845=""),"",IF(E2845="","Segment ontbreekt",IF(OR(G2845="",H2845=""),"Van/tot ontbreekt",IF(N(J2845)=0,"Duur is nul",IF(N(J2845)&gt;12,"Langer dan 12 uur - controleren",IF(AND(E2845="Werken",D2845=""),"Werken zonder klant - koppelen","OK"))))))</f>
        <v/>
      </c>
    </row>
    <row r="2846" ht="15" customHeight="1" s="42">
      <c r="A2846" s="55" t="n"/>
      <c r="B2846" s="56">
        <f>IF(A2846="","",WEEKNUM(A2846,21))</f>
        <v/>
      </c>
      <c r="C2846" s="57" t="n"/>
      <c r="D2846" s="57" t="n"/>
      <c r="E2846" s="58" t="n"/>
      <c r="F2846" s="57" t="n"/>
      <c r="G2846" s="59" t="n"/>
      <c r="H2846" s="59" t="n"/>
      <c r="I2846" s="60">
        <f>IF(OR(G2846="",H2846=""),"",MOD(H2846-G2846,1))</f>
        <v/>
      </c>
      <c r="J2846" s="61">
        <f>IF(OR(G2846="",H2846=""),"",ROUND(MOD(H2846-G2846,1)*24,2))</f>
        <v/>
      </c>
      <c r="K2846" s="62">
        <f>IF(E2846="","",IF(E2846="Werken","JA","NEE"))</f>
        <v/>
      </c>
      <c r="L2846" s="61">
        <f>IF(K2846="JA",N(J2846),IF(E2846="","",0))</f>
        <v/>
      </c>
      <c r="M2846" s="62">
        <f>IF(AND(A2846="",E2846=""),"",IF(E2846="","Segment ontbreekt",IF(OR(G2846="",H2846=""),"Van/tot ontbreekt",IF(N(J2846)=0,"Duur is nul",IF(N(J2846)&gt;12,"Langer dan 12 uur - controleren",IF(AND(E2846="Werken",D2846=""),"Werken zonder klant - koppelen","OK"))))))</f>
        <v/>
      </c>
    </row>
    <row r="2847" ht="15" customHeight="1" s="42">
      <c r="A2847" s="55" t="n"/>
      <c r="B2847" s="56">
        <f>IF(A2847="","",WEEKNUM(A2847,21))</f>
        <v/>
      </c>
      <c r="C2847" s="57" t="n"/>
      <c r="D2847" s="57" t="n"/>
      <c r="E2847" s="58" t="n"/>
      <c r="F2847" s="57" t="n"/>
      <c r="G2847" s="59" t="n"/>
      <c r="H2847" s="59" t="n"/>
      <c r="I2847" s="60">
        <f>IF(OR(G2847="",H2847=""),"",MOD(H2847-G2847,1))</f>
        <v/>
      </c>
      <c r="J2847" s="61">
        <f>IF(OR(G2847="",H2847=""),"",ROUND(MOD(H2847-G2847,1)*24,2))</f>
        <v/>
      </c>
      <c r="K2847" s="62">
        <f>IF(E2847="","",IF(E2847="Werken","JA","NEE"))</f>
        <v/>
      </c>
      <c r="L2847" s="61">
        <f>IF(K2847="JA",N(J2847),IF(E2847="","",0))</f>
        <v/>
      </c>
      <c r="M2847" s="62">
        <f>IF(AND(A2847="",E2847=""),"",IF(E2847="","Segment ontbreekt",IF(OR(G2847="",H2847=""),"Van/tot ontbreekt",IF(N(J2847)=0,"Duur is nul",IF(N(J2847)&gt;12,"Langer dan 12 uur - controleren",IF(AND(E2847="Werken",D2847=""),"Werken zonder klant - koppelen","OK"))))))</f>
        <v/>
      </c>
    </row>
    <row r="2848" ht="15" customHeight="1" s="42">
      <c r="A2848" s="55" t="n"/>
      <c r="B2848" s="56">
        <f>IF(A2848="","",WEEKNUM(A2848,21))</f>
        <v/>
      </c>
      <c r="C2848" s="57" t="n"/>
      <c r="D2848" s="57" t="n"/>
      <c r="E2848" s="58" t="n"/>
      <c r="F2848" s="57" t="n"/>
      <c r="G2848" s="59" t="n"/>
      <c r="H2848" s="59" t="n"/>
      <c r="I2848" s="60">
        <f>IF(OR(G2848="",H2848=""),"",MOD(H2848-G2848,1))</f>
        <v/>
      </c>
      <c r="J2848" s="61">
        <f>IF(OR(G2848="",H2848=""),"",ROUND(MOD(H2848-G2848,1)*24,2))</f>
        <v/>
      </c>
      <c r="K2848" s="62">
        <f>IF(E2848="","",IF(E2848="Werken","JA","NEE"))</f>
        <v/>
      </c>
      <c r="L2848" s="61">
        <f>IF(K2848="JA",N(J2848),IF(E2848="","",0))</f>
        <v/>
      </c>
      <c r="M2848" s="62">
        <f>IF(AND(A2848="",E2848=""),"",IF(E2848="","Segment ontbreekt",IF(OR(G2848="",H2848=""),"Van/tot ontbreekt",IF(N(J2848)=0,"Duur is nul",IF(N(J2848)&gt;12,"Langer dan 12 uur - controleren",IF(AND(E2848="Werken",D2848=""),"Werken zonder klant - koppelen","OK"))))))</f>
        <v/>
      </c>
    </row>
    <row r="2849" ht="15" customHeight="1" s="42">
      <c r="A2849" s="55" t="n"/>
      <c r="B2849" s="56">
        <f>IF(A2849="","",WEEKNUM(A2849,21))</f>
        <v/>
      </c>
      <c r="C2849" s="57" t="n"/>
      <c r="D2849" s="57" t="n"/>
      <c r="E2849" s="58" t="n"/>
      <c r="F2849" s="57" t="n"/>
      <c r="G2849" s="59" t="n"/>
      <c r="H2849" s="59" t="n"/>
      <c r="I2849" s="60">
        <f>IF(OR(G2849="",H2849=""),"",MOD(H2849-G2849,1))</f>
        <v/>
      </c>
      <c r="J2849" s="61">
        <f>IF(OR(G2849="",H2849=""),"",ROUND(MOD(H2849-G2849,1)*24,2))</f>
        <v/>
      </c>
      <c r="K2849" s="62">
        <f>IF(E2849="","",IF(E2849="Werken","JA","NEE"))</f>
        <v/>
      </c>
      <c r="L2849" s="61">
        <f>IF(K2849="JA",N(J2849),IF(E2849="","",0))</f>
        <v/>
      </c>
      <c r="M2849" s="62">
        <f>IF(AND(A2849="",E2849=""),"",IF(E2849="","Segment ontbreekt",IF(OR(G2849="",H2849=""),"Van/tot ontbreekt",IF(N(J2849)=0,"Duur is nul",IF(N(J2849)&gt;12,"Langer dan 12 uur - controleren",IF(AND(E2849="Werken",D2849=""),"Werken zonder klant - koppelen","OK"))))))</f>
        <v/>
      </c>
    </row>
    <row r="2850" ht="15" customHeight="1" s="42">
      <c r="A2850" s="55" t="n"/>
      <c r="B2850" s="56">
        <f>IF(A2850="","",WEEKNUM(A2850,21))</f>
        <v/>
      </c>
      <c r="C2850" s="57" t="n"/>
      <c r="D2850" s="57" t="n"/>
      <c r="E2850" s="58" t="n"/>
      <c r="F2850" s="57" t="n"/>
      <c r="G2850" s="59" t="n"/>
      <c r="H2850" s="59" t="n"/>
      <c r="I2850" s="60">
        <f>IF(OR(G2850="",H2850=""),"",MOD(H2850-G2850,1))</f>
        <v/>
      </c>
      <c r="J2850" s="61">
        <f>IF(OR(G2850="",H2850=""),"",ROUND(MOD(H2850-G2850,1)*24,2))</f>
        <v/>
      </c>
      <c r="K2850" s="62">
        <f>IF(E2850="","",IF(E2850="Werken","JA","NEE"))</f>
        <v/>
      </c>
      <c r="L2850" s="61">
        <f>IF(K2850="JA",N(J2850),IF(E2850="","",0))</f>
        <v/>
      </c>
      <c r="M2850" s="62">
        <f>IF(AND(A2850="",E2850=""),"",IF(E2850="","Segment ontbreekt",IF(OR(G2850="",H2850=""),"Van/tot ontbreekt",IF(N(J2850)=0,"Duur is nul",IF(N(J2850)&gt;12,"Langer dan 12 uur - controleren",IF(AND(E2850="Werken",D2850=""),"Werken zonder klant - koppelen","OK"))))))</f>
        <v/>
      </c>
    </row>
    <row r="2851" ht="15" customHeight="1" s="42">
      <c r="A2851" s="55" t="n"/>
      <c r="B2851" s="56">
        <f>IF(A2851="","",WEEKNUM(A2851,21))</f>
        <v/>
      </c>
      <c r="C2851" s="57" t="n"/>
      <c r="D2851" s="57" t="n"/>
      <c r="E2851" s="58" t="n"/>
      <c r="F2851" s="57" t="n"/>
      <c r="G2851" s="59" t="n"/>
      <c r="H2851" s="59" t="n"/>
      <c r="I2851" s="60">
        <f>IF(OR(G2851="",H2851=""),"",MOD(H2851-G2851,1))</f>
        <v/>
      </c>
      <c r="J2851" s="61">
        <f>IF(OR(G2851="",H2851=""),"",ROUND(MOD(H2851-G2851,1)*24,2))</f>
        <v/>
      </c>
      <c r="K2851" s="62">
        <f>IF(E2851="","",IF(E2851="Werken","JA","NEE"))</f>
        <v/>
      </c>
      <c r="L2851" s="61">
        <f>IF(K2851="JA",N(J2851),IF(E2851="","",0))</f>
        <v/>
      </c>
      <c r="M2851" s="62">
        <f>IF(AND(A2851="",E2851=""),"",IF(E2851="","Segment ontbreekt",IF(OR(G2851="",H2851=""),"Van/tot ontbreekt",IF(N(J2851)=0,"Duur is nul",IF(N(J2851)&gt;12,"Langer dan 12 uur - controleren",IF(AND(E2851="Werken",D2851=""),"Werken zonder klant - koppelen","OK"))))))</f>
        <v/>
      </c>
    </row>
    <row r="2852" ht="15" customHeight="1" s="42">
      <c r="A2852" s="55" t="n"/>
      <c r="B2852" s="56">
        <f>IF(A2852="","",WEEKNUM(A2852,21))</f>
        <v/>
      </c>
      <c r="C2852" s="57" t="n"/>
      <c r="D2852" s="57" t="n"/>
      <c r="E2852" s="58" t="n"/>
      <c r="F2852" s="57" t="n"/>
      <c r="G2852" s="59" t="n"/>
      <c r="H2852" s="59" t="n"/>
      <c r="I2852" s="60">
        <f>IF(OR(G2852="",H2852=""),"",MOD(H2852-G2852,1))</f>
        <v/>
      </c>
      <c r="J2852" s="61">
        <f>IF(OR(G2852="",H2852=""),"",ROUND(MOD(H2852-G2852,1)*24,2))</f>
        <v/>
      </c>
      <c r="K2852" s="62">
        <f>IF(E2852="","",IF(E2852="Werken","JA","NEE"))</f>
        <v/>
      </c>
      <c r="L2852" s="61">
        <f>IF(K2852="JA",N(J2852),IF(E2852="","",0))</f>
        <v/>
      </c>
      <c r="M2852" s="62">
        <f>IF(AND(A2852="",E2852=""),"",IF(E2852="","Segment ontbreekt",IF(OR(G2852="",H2852=""),"Van/tot ontbreekt",IF(N(J2852)=0,"Duur is nul",IF(N(J2852)&gt;12,"Langer dan 12 uur - controleren",IF(AND(E2852="Werken",D2852=""),"Werken zonder klant - koppelen","OK"))))))</f>
        <v/>
      </c>
    </row>
    <row r="2853" ht="15" customHeight="1" s="42">
      <c r="A2853" s="55" t="n"/>
      <c r="B2853" s="56">
        <f>IF(A2853="","",WEEKNUM(A2853,21))</f>
        <v/>
      </c>
      <c r="C2853" s="57" t="n"/>
      <c r="D2853" s="57" t="n"/>
      <c r="E2853" s="58" t="n"/>
      <c r="F2853" s="57" t="n"/>
      <c r="G2853" s="59" t="n"/>
      <c r="H2853" s="59" t="n"/>
      <c r="I2853" s="60">
        <f>IF(OR(G2853="",H2853=""),"",MOD(H2853-G2853,1))</f>
        <v/>
      </c>
      <c r="J2853" s="61">
        <f>IF(OR(G2853="",H2853=""),"",ROUND(MOD(H2853-G2853,1)*24,2))</f>
        <v/>
      </c>
      <c r="K2853" s="62">
        <f>IF(E2853="","",IF(E2853="Werken","JA","NEE"))</f>
        <v/>
      </c>
      <c r="L2853" s="61">
        <f>IF(K2853="JA",N(J2853),IF(E2853="","",0))</f>
        <v/>
      </c>
      <c r="M2853" s="62">
        <f>IF(AND(A2853="",E2853=""),"",IF(E2853="","Segment ontbreekt",IF(OR(G2853="",H2853=""),"Van/tot ontbreekt",IF(N(J2853)=0,"Duur is nul",IF(N(J2853)&gt;12,"Langer dan 12 uur - controleren",IF(AND(E2853="Werken",D2853=""),"Werken zonder klant - koppelen","OK"))))))</f>
        <v/>
      </c>
    </row>
    <row r="2854" ht="15" customHeight="1" s="42">
      <c r="A2854" s="55" t="n"/>
      <c r="B2854" s="56">
        <f>IF(A2854="","",WEEKNUM(A2854,21))</f>
        <v/>
      </c>
      <c r="C2854" s="57" t="n"/>
      <c r="D2854" s="57" t="n"/>
      <c r="E2854" s="58" t="n"/>
      <c r="F2854" s="57" t="n"/>
      <c r="G2854" s="59" t="n"/>
      <c r="H2854" s="59" t="n"/>
      <c r="I2854" s="60">
        <f>IF(OR(G2854="",H2854=""),"",MOD(H2854-G2854,1))</f>
        <v/>
      </c>
      <c r="J2854" s="61">
        <f>IF(OR(G2854="",H2854=""),"",ROUND(MOD(H2854-G2854,1)*24,2))</f>
        <v/>
      </c>
      <c r="K2854" s="62">
        <f>IF(E2854="","",IF(E2854="Werken","JA","NEE"))</f>
        <v/>
      </c>
      <c r="L2854" s="61">
        <f>IF(K2854="JA",N(J2854),IF(E2854="","",0))</f>
        <v/>
      </c>
      <c r="M2854" s="62">
        <f>IF(AND(A2854="",E2854=""),"",IF(E2854="","Segment ontbreekt",IF(OR(G2854="",H2854=""),"Van/tot ontbreekt",IF(N(J2854)=0,"Duur is nul",IF(N(J2854)&gt;12,"Langer dan 12 uur - controleren",IF(AND(E2854="Werken",D2854=""),"Werken zonder klant - koppelen","OK"))))))</f>
        <v/>
      </c>
    </row>
    <row r="2855" ht="15" customHeight="1" s="42">
      <c r="A2855" s="55" t="n"/>
      <c r="B2855" s="56">
        <f>IF(A2855="","",WEEKNUM(A2855,21))</f>
        <v/>
      </c>
      <c r="C2855" s="57" t="n"/>
      <c r="D2855" s="57" t="n"/>
      <c r="E2855" s="58" t="n"/>
      <c r="F2855" s="57" t="n"/>
      <c r="G2855" s="59" t="n"/>
      <c r="H2855" s="59" t="n"/>
      <c r="I2855" s="60">
        <f>IF(OR(G2855="",H2855=""),"",MOD(H2855-G2855,1))</f>
        <v/>
      </c>
      <c r="J2855" s="61">
        <f>IF(OR(G2855="",H2855=""),"",ROUND(MOD(H2855-G2855,1)*24,2))</f>
        <v/>
      </c>
      <c r="K2855" s="62">
        <f>IF(E2855="","",IF(E2855="Werken","JA","NEE"))</f>
        <v/>
      </c>
      <c r="L2855" s="61">
        <f>IF(K2855="JA",N(J2855),IF(E2855="","",0))</f>
        <v/>
      </c>
      <c r="M2855" s="62">
        <f>IF(AND(A2855="",E2855=""),"",IF(E2855="","Segment ontbreekt",IF(OR(G2855="",H2855=""),"Van/tot ontbreekt",IF(N(J2855)=0,"Duur is nul",IF(N(J2855)&gt;12,"Langer dan 12 uur - controleren",IF(AND(E2855="Werken",D2855=""),"Werken zonder klant - koppelen","OK"))))))</f>
        <v/>
      </c>
    </row>
    <row r="2856" ht="15" customHeight="1" s="42">
      <c r="A2856" s="55" t="n"/>
      <c r="B2856" s="56">
        <f>IF(A2856="","",WEEKNUM(A2856,21))</f>
        <v/>
      </c>
      <c r="C2856" s="57" t="n"/>
      <c r="D2856" s="57" t="n"/>
      <c r="E2856" s="58" t="n"/>
      <c r="F2856" s="57" t="n"/>
      <c r="G2856" s="59" t="n"/>
      <c r="H2856" s="59" t="n"/>
      <c r="I2856" s="60">
        <f>IF(OR(G2856="",H2856=""),"",MOD(H2856-G2856,1))</f>
        <v/>
      </c>
      <c r="J2856" s="61">
        <f>IF(OR(G2856="",H2856=""),"",ROUND(MOD(H2856-G2856,1)*24,2))</f>
        <v/>
      </c>
      <c r="K2856" s="62">
        <f>IF(E2856="","",IF(E2856="Werken","JA","NEE"))</f>
        <v/>
      </c>
      <c r="L2856" s="61">
        <f>IF(K2856="JA",N(J2856),IF(E2856="","",0))</f>
        <v/>
      </c>
      <c r="M2856" s="62">
        <f>IF(AND(A2856="",E2856=""),"",IF(E2856="","Segment ontbreekt",IF(OR(G2856="",H2856=""),"Van/tot ontbreekt",IF(N(J2856)=0,"Duur is nul",IF(N(J2856)&gt;12,"Langer dan 12 uur - controleren",IF(AND(E2856="Werken",D2856=""),"Werken zonder klant - koppelen","OK"))))))</f>
        <v/>
      </c>
    </row>
    <row r="2857" ht="15" customHeight="1" s="42">
      <c r="A2857" s="55" t="n"/>
      <c r="B2857" s="56">
        <f>IF(A2857="","",WEEKNUM(A2857,21))</f>
        <v/>
      </c>
      <c r="C2857" s="57" t="n"/>
      <c r="D2857" s="57" t="n"/>
      <c r="E2857" s="58" t="n"/>
      <c r="F2857" s="57" t="n"/>
      <c r="G2857" s="59" t="n"/>
      <c r="H2857" s="59" t="n"/>
      <c r="I2857" s="60">
        <f>IF(OR(G2857="",H2857=""),"",MOD(H2857-G2857,1))</f>
        <v/>
      </c>
      <c r="J2857" s="61">
        <f>IF(OR(G2857="",H2857=""),"",ROUND(MOD(H2857-G2857,1)*24,2))</f>
        <v/>
      </c>
      <c r="K2857" s="62">
        <f>IF(E2857="","",IF(E2857="Werken","JA","NEE"))</f>
        <v/>
      </c>
      <c r="L2857" s="61">
        <f>IF(K2857="JA",N(J2857),IF(E2857="","",0))</f>
        <v/>
      </c>
      <c r="M2857" s="62">
        <f>IF(AND(A2857="",E2857=""),"",IF(E2857="","Segment ontbreekt",IF(OR(G2857="",H2857=""),"Van/tot ontbreekt",IF(N(J2857)=0,"Duur is nul",IF(N(J2857)&gt;12,"Langer dan 12 uur - controleren",IF(AND(E2857="Werken",D2857=""),"Werken zonder klant - koppelen","OK"))))))</f>
        <v/>
      </c>
    </row>
    <row r="2858" ht="15" customHeight="1" s="42">
      <c r="A2858" s="55" t="n"/>
      <c r="B2858" s="56">
        <f>IF(A2858="","",WEEKNUM(A2858,21))</f>
        <v/>
      </c>
      <c r="C2858" s="57" t="n"/>
      <c r="D2858" s="57" t="n"/>
      <c r="E2858" s="58" t="n"/>
      <c r="F2858" s="57" t="n"/>
      <c r="G2858" s="59" t="n"/>
      <c r="H2858" s="59" t="n"/>
      <c r="I2858" s="60">
        <f>IF(OR(G2858="",H2858=""),"",MOD(H2858-G2858,1))</f>
        <v/>
      </c>
      <c r="J2858" s="61">
        <f>IF(OR(G2858="",H2858=""),"",ROUND(MOD(H2858-G2858,1)*24,2))</f>
        <v/>
      </c>
      <c r="K2858" s="62">
        <f>IF(E2858="","",IF(E2858="Werken","JA","NEE"))</f>
        <v/>
      </c>
      <c r="L2858" s="61">
        <f>IF(K2858="JA",N(J2858),IF(E2858="","",0))</f>
        <v/>
      </c>
      <c r="M2858" s="62">
        <f>IF(AND(A2858="",E2858=""),"",IF(E2858="","Segment ontbreekt",IF(OR(G2858="",H2858=""),"Van/tot ontbreekt",IF(N(J2858)=0,"Duur is nul",IF(N(J2858)&gt;12,"Langer dan 12 uur - controleren",IF(AND(E2858="Werken",D2858=""),"Werken zonder klant - koppelen","OK"))))))</f>
        <v/>
      </c>
    </row>
    <row r="2859" ht="15" customHeight="1" s="42">
      <c r="A2859" s="55" t="n"/>
      <c r="B2859" s="56">
        <f>IF(A2859="","",WEEKNUM(A2859,21))</f>
        <v/>
      </c>
      <c r="C2859" s="57" t="n"/>
      <c r="D2859" s="57" t="n"/>
      <c r="E2859" s="58" t="n"/>
      <c r="F2859" s="57" t="n"/>
      <c r="G2859" s="59" t="n"/>
      <c r="H2859" s="59" t="n"/>
      <c r="I2859" s="60">
        <f>IF(OR(G2859="",H2859=""),"",MOD(H2859-G2859,1))</f>
        <v/>
      </c>
      <c r="J2859" s="61">
        <f>IF(OR(G2859="",H2859=""),"",ROUND(MOD(H2859-G2859,1)*24,2))</f>
        <v/>
      </c>
      <c r="K2859" s="62">
        <f>IF(E2859="","",IF(E2859="Werken","JA","NEE"))</f>
        <v/>
      </c>
      <c r="L2859" s="61">
        <f>IF(K2859="JA",N(J2859),IF(E2859="","",0))</f>
        <v/>
      </c>
      <c r="M2859" s="62">
        <f>IF(AND(A2859="",E2859=""),"",IF(E2859="","Segment ontbreekt",IF(OR(G2859="",H2859=""),"Van/tot ontbreekt",IF(N(J2859)=0,"Duur is nul",IF(N(J2859)&gt;12,"Langer dan 12 uur - controleren",IF(AND(E2859="Werken",D2859=""),"Werken zonder klant - koppelen","OK"))))))</f>
        <v/>
      </c>
    </row>
    <row r="2860" ht="15" customHeight="1" s="42">
      <c r="A2860" s="55" t="n"/>
      <c r="B2860" s="56">
        <f>IF(A2860="","",WEEKNUM(A2860,21))</f>
        <v/>
      </c>
      <c r="C2860" s="57" t="n"/>
      <c r="D2860" s="57" t="n"/>
      <c r="E2860" s="58" t="n"/>
      <c r="F2860" s="57" t="n"/>
      <c r="G2860" s="59" t="n"/>
      <c r="H2860" s="59" t="n"/>
      <c r="I2860" s="60">
        <f>IF(OR(G2860="",H2860=""),"",MOD(H2860-G2860,1))</f>
        <v/>
      </c>
      <c r="J2860" s="61">
        <f>IF(OR(G2860="",H2860=""),"",ROUND(MOD(H2860-G2860,1)*24,2))</f>
        <v/>
      </c>
      <c r="K2860" s="62">
        <f>IF(E2860="","",IF(E2860="Werken","JA","NEE"))</f>
        <v/>
      </c>
      <c r="L2860" s="61">
        <f>IF(K2860="JA",N(J2860),IF(E2860="","",0))</f>
        <v/>
      </c>
      <c r="M2860" s="62">
        <f>IF(AND(A2860="",E2860=""),"",IF(E2860="","Segment ontbreekt",IF(OR(G2860="",H2860=""),"Van/tot ontbreekt",IF(N(J2860)=0,"Duur is nul",IF(N(J2860)&gt;12,"Langer dan 12 uur - controleren",IF(AND(E2860="Werken",D2860=""),"Werken zonder klant - koppelen","OK"))))))</f>
        <v/>
      </c>
    </row>
    <row r="2861" ht="15" customHeight="1" s="42">
      <c r="A2861" s="55" t="n"/>
      <c r="B2861" s="56">
        <f>IF(A2861="","",WEEKNUM(A2861,21))</f>
        <v/>
      </c>
      <c r="C2861" s="57" t="n"/>
      <c r="D2861" s="57" t="n"/>
      <c r="E2861" s="58" t="n"/>
      <c r="F2861" s="57" t="n"/>
      <c r="G2861" s="59" t="n"/>
      <c r="H2861" s="59" t="n"/>
      <c r="I2861" s="60">
        <f>IF(OR(G2861="",H2861=""),"",MOD(H2861-G2861,1))</f>
        <v/>
      </c>
      <c r="J2861" s="61">
        <f>IF(OR(G2861="",H2861=""),"",ROUND(MOD(H2861-G2861,1)*24,2))</f>
        <v/>
      </c>
      <c r="K2861" s="62">
        <f>IF(E2861="","",IF(E2861="Werken","JA","NEE"))</f>
        <v/>
      </c>
      <c r="L2861" s="61">
        <f>IF(K2861="JA",N(J2861),IF(E2861="","",0))</f>
        <v/>
      </c>
      <c r="M2861" s="62">
        <f>IF(AND(A2861="",E2861=""),"",IF(E2861="","Segment ontbreekt",IF(OR(G2861="",H2861=""),"Van/tot ontbreekt",IF(N(J2861)=0,"Duur is nul",IF(N(J2861)&gt;12,"Langer dan 12 uur - controleren",IF(AND(E2861="Werken",D2861=""),"Werken zonder klant - koppelen","OK"))))))</f>
        <v/>
      </c>
    </row>
    <row r="2862" ht="15" customHeight="1" s="42">
      <c r="A2862" s="55" t="n"/>
      <c r="B2862" s="56">
        <f>IF(A2862="","",WEEKNUM(A2862,21))</f>
        <v/>
      </c>
      <c r="C2862" s="57" t="n"/>
      <c r="D2862" s="57" t="n"/>
      <c r="E2862" s="58" t="n"/>
      <c r="F2862" s="57" t="n"/>
      <c r="G2862" s="59" t="n"/>
      <c r="H2862" s="59" t="n"/>
      <c r="I2862" s="60">
        <f>IF(OR(G2862="",H2862=""),"",MOD(H2862-G2862,1))</f>
        <v/>
      </c>
      <c r="J2862" s="61">
        <f>IF(OR(G2862="",H2862=""),"",ROUND(MOD(H2862-G2862,1)*24,2))</f>
        <v/>
      </c>
      <c r="K2862" s="62">
        <f>IF(E2862="","",IF(E2862="Werken","JA","NEE"))</f>
        <v/>
      </c>
      <c r="L2862" s="61">
        <f>IF(K2862="JA",N(J2862),IF(E2862="","",0))</f>
        <v/>
      </c>
      <c r="M2862" s="62">
        <f>IF(AND(A2862="",E2862=""),"",IF(E2862="","Segment ontbreekt",IF(OR(G2862="",H2862=""),"Van/tot ontbreekt",IF(N(J2862)=0,"Duur is nul",IF(N(J2862)&gt;12,"Langer dan 12 uur - controleren",IF(AND(E2862="Werken",D2862=""),"Werken zonder klant - koppelen","OK"))))))</f>
        <v/>
      </c>
    </row>
    <row r="2863" ht="15" customHeight="1" s="42">
      <c r="A2863" s="55" t="n"/>
      <c r="B2863" s="56">
        <f>IF(A2863="","",WEEKNUM(A2863,21))</f>
        <v/>
      </c>
      <c r="C2863" s="57" t="n"/>
      <c r="D2863" s="57" t="n"/>
      <c r="E2863" s="58" t="n"/>
      <c r="F2863" s="57" t="n"/>
      <c r="G2863" s="59" t="n"/>
      <c r="H2863" s="59" t="n"/>
      <c r="I2863" s="60">
        <f>IF(OR(G2863="",H2863=""),"",MOD(H2863-G2863,1))</f>
        <v/>
      </c>
      <c r="J2863" s="61">
        <f>IF(OR(G2863="",H2863=""),"",ROUND(MOD(H2863-G2863,1)*24,2))</f>
        <v/>
      </c>
      <c r="K2863" s="62">
        <f>IF(E2863="","",IF(E2863="Werken","JA","NEE"))</f>
        <v/>
      </c>
      <c r="L2863" s="61">
        <f>IF(K2863="JA",N(J2863),IF(E2863="","",0))</f>
        <v/>
      </c>
      <c r="M2863" s="62">
        <f>IF(AND(A2863="",E2863=""),"",IF(E2863="","Segment ontbreekt",IF(OR(G2863="",H2863=""),"Van/tot ontbreekt",IF(N(J2863)=0,"Duur is nul",IF(N(J2863)&gt;12,"Langer dan 12 uur - controleren",IF(AND(E2863="Werken",D2863=""),"Werken zonder klant - koppelen","OK"))))))</f>
        <v/>
      </c>
    </row>
    <row r="2864" ht="15" customHeight="1" s="42">
      <c r="A2864" s="55" t="n"/>
      <c r="B2864" s="56">
        <f>IF(A2864="","",WEEKNUM(A2864,21))</f>
        <v/>
      </c>
      <c r="C2864" s="57" t="n"/>
      <c r="D2864" s="57" t="n"/>
      <c r="E2864" s="58" t="n"/>
      <c r="F2864" s="57" t="n"/>
      <c r="G2864" s="59" t="n"/>
      <c r="H2864" s="59" t="n"/>
      <c r="I2864" s="60">
        <f>IF(OR(G2864="",H2864=""),"",MOD(H2864-G2864,1))</f>
        <v/>
      </c>
      <c r="J2864" s="61">
        <f>IF(OR(G2864="",H2864=""),"",ROUND(MOD(H2864-G2864,1)*24,2))</f>
        <v/>
      </c>
      <c r="K2864" s="62">
        <f>IF(E2864="","",IF(E2864="Werken","JA","NEE"))</f>
        <v/>
      </c>
      <c r="L2864" s="61">
        <f>IF(K2864="JA",N(J2864),IF(E2864="","",0))</f>
        <v/>
      </c>
      <c r="M2864" s="62">
        <f>IF(AND(A2864="",E2864=""),"",IF(E2864="","Segment ontbreekt",IF(OR(G2864="",H2864=""),"Van/tot ontbreekt",IF(N(J2864)=0,"Duur is nul",IF(N(J2864)&gt;12,"Langer dan 12 uur - controleren",IF(AND(E2864="Werken",D2864=""),"Werken zonder klant - koppelen","OK"))))))</f>
        <v/>
      </c>
    </row>
    <row r="2865" ht="15" customHeight="1" s="42">
      <c r="A2865" s="55" t="n"/>
      <c r="B2865" s="56">
        <f>IF(A2865="","",WEEKNUM(A2865,21))</f>
        <v/>
      </c>
      <c r="C2865" s="57" t="n"/>
      <c r="D2865" s="57" t="n"/>
      <c r="E2865" s="58" t="n"/>
      <c r="F2865" s="57" t="n"/>
      <c r="G2865" s="59" t="n"/>
      <c r="H2865" s="59" t="n"/>
      <c r="I2865" s="60">
        <f>IF(OR(G2865="",H2865=""),"",MOD(H2865-G2865,1))</f>
        <v/>
      </c>
      <c r="J2865" s="61">
        <f>IF(OR(G2865="",H2865=""),"",ROUND(MOD(H2865-G2865,1)*24,2))</f>
        <v/>
      </c>
      <c r="K2865" s="62">
        <f>IF(E2865="","",IF(E2865="Werken","JA","NEE"))</f>
        <v/>
      </c>
      <c r="L2865" s="61">
        <f>IF(K2865="JA",N(J2865),IF(E2865="","",0))</f>
        <v/>
      </c>
      <c r="M2865" s="62">
        <f>IF(AND(A2865="",E2865=""),"",IF(E2865="","Segment ontbreekt",IF(OR(G2865="",H2865=""),"Van/tot ontbreekt",IF(N(J2865)=0,"Duur is nul",IF(N(J2865)&gt;12,"Langer dan 12 uur - controleren",IF(AND(E2865="Werken",D2865=""),"Werken zonder klant - koppelen","OK"))))))</f>
        <v/>
      </c>
    </row>
    <row r="2866" ht="15" customHeight="1" s="42">
      <c r="A2866" s="55" t="n"/>
      <c r="B2866" s="56">
        <f>IF(A2866="","",WEEKNUM(A2866,21))</f>
        <v/>
      </c>
      <c r="C2866" s="57" t="n"/>
      <c r="D2866" s="57" t="n"/>
      <c r="E2866" s="58" t="n"/>
      <c r="F2866" s="57" t="n"/>
      <c r="G2866" s="59" t="n"/>
      <c r="H2866" s="59" t="n"/>
      <c r="I2866" s="60">
        <f>IF(OR(G2866="",H2866=""),"",MOD(H2866-G2866,1))</f>
        <v/>
      </c>
      <c r="J2866" s="61">
        <f>IF(OR(G2866="",H2866=""),"",ROUND(MOD(H2866-G2866,1)*24,2))</f>
        <v/>
      </c>
      <c r="K2866" s="62">
        <f>IF(E2866="","",IF(E2866="Werken","JA","NEE"))</f>
        <v/>
      </c>
      <c r="L2866" s="61">
        <f>IF(K2866="JA",N(J2866),IF(E2866="","",0))</f>
        <v/>
      </c>
      <c r="M2866" s="62">
        <f>IF(AND(A2866="",E2866=""),"",IF(E2866="","Segment ontbreekt",IF(OR(G2866="",H2866=""),"Van/tot ontbreekt",IF(N(J2866)=0,"Duur is nul",IF(N(J2866)&gt;12,"Langer dan 12 uur - controleren",IF(AND(E2866="Werken",D2866=""),"Werken zonder klant - koppelen","OK"))))))</f>
        <v/>
      </c>
    </row>
    <row r="2867" ht="15" customHeight="1" s="42">
      <c r="A2867" s="55" t="n"/>
      <c r="B2867" s="56">
        <f>IF(A2867="","",WEEKNUM(A2867,21))</f>
        <v/>
      </c>
      <c r="C2867" s="57" t="n"/>
      <c r="D2867" s="57" t="n"/>
      <c r="E2867" s="58" t="n"/>
      <c r="F2867" s="57" t="n"/>
      <c r="G2867" s="59" t="n"/>
      <c r="H2867" s="59" t="n"/>
      <c r="I2867" s="60">
        <f>IF(OR(G2867="",H2867=""),"",MOD(H2867-G2867,1))</f>
        <v/>
      </c>
      <c r="J2867" s="61">
        <f>IF(OR(G2867="",H2867=""),"",ROUND(MOD(H2867-G2867,1)*24,2))</f>
        <v/>
      </c>
      <c r="K2867" s="62">
        <f>IF(E2867="","",IF(E2867="Werken","JA","NEE"))</f>
        <v/>
      </c>
      <c r="L2867" s="61">
        <f>IF(K2867="JA",N(J2867),IF(E2867="","",0))</f>
        <v/>
      </c>
      <c r="M2867" s="62">
        <f>IF(AND(A2867="",E2867=""),"",IF(E2867="","Segment ontbreekt",IF(OR(G2867="",H2867=""),"Van/tot ontbreekt",IF(N(J2867)=0,"Duur is nul",IF(N(J2867)&gt;12,"Langer dan 12 uur - controleren",IF(AND(E2867="Werken",D2867=""),"Werken zonder klant - koppelen","OK"))))))</f>
        <v/>
      </c>
    </row>
    <row r="2868" ht="15" customHeight="1" s="42">
      <c r="A2868" s="55" t="n"/>
      <c r="B2868" s="56">
        <f>IF(A2868="","",WEEKNUM(A2868,21))</f>
        <v/>
      </c>
      <c r="C2868" s="57" t="n"/>
      <c r="D2868" s="57" t="n"/>
      <c r="E2868" s="58" t="n"/>
      <c r="F2868" s="57" t="n"/>
      <c r="G2868" s="59" t="n"/>
      <c r="H2868" s="59" t="n"/>
      <c r="I2868" s="60">
        <f>IF(OR(G2868="",H2868=""),"",MOD(H2868-G2868,1))</f>
        <v/>
      </c>
      <c r="J2868" s="61">
        <f>IF(OR(G2868="",H2868=""),"",ROUND(MOD(H2868-G2868,1)*24,2))</f>
        <v/>
      </c>
      <c r="K2868" s="62">
        <f>IF(E2868="","",IF(E2868="Werken","JA","NEE"))</f>
        <v/>
      </c>
      <c r="L2868" s="61">
        <f>IF(K2868="JA",N(J2868),IF(E2868="","",0))</f>
        <v/>
      </c>
      <c r="M2868" s="62">
        <f>IF(AND(A2868="",E2868=""),"",IF(E2868="","Segment ontbreekt",IF(OR(G2868="",H2868=""),"Van/tot ontbreekt",IF(N(J2868)=0,"Duur is nul",IF(N(J2868)&gt;12,"Langer dan 12 uur - controleren",IF(AND(E2868="Werken",D2868=""),"Werken zonder klant - koppelen","OK"))))))</f>
        <v/>
      </c>
    </row>
    <row r="2869" ht="15" customHeight="1" s="42">
      <c r="A2869" s="55" t="n"/>
      <c r="B2869" s="56">
        <f>IF(A2869="","",WEEKNUM(A2869,21))</f>
        <v/>
      </c>
      <c r="C2869" s="57" t="n"/>
      <c r="D2869" s="57" t="n"/>
      <c r="E2869" s="58" t="n"/>
      <c r="F2869" s="57" t="n"/>
      <c r="G2869" s="59" t="n"/>
      <c r="H2869" s="59" t="n"/>
      <c r="I2869" s="60">
        <f>IF(OR(G2869="",H2869=""),"",MOD(H2869-G2869,1))</f>
        <v/>
      </c>
      <c r="J2869" s="61">
        <f>IF(OR(G2869="",H2869=""),"",ROUND(MOD(H2869-G2869,1)*24,2))</f>
        <v/>
      </c>
      <c r="K2869" s="62">
        <f>IF(E2869="","",IF(E2869="Werken","JA","NEE"))</f>
        <v/>
      </c>
      <c r="L2869" s="61">
        <f>IF(K2869="JA",N(J2869),IF(E2869="","",0))</f>
        <v/>
      </c>
      <c r="M2869" s="62">
        <f>IF(AND(A2869="",E2869=""),"",IF(E2869="","Segment ontbreekt",IF(OR(G2869="",H2869=""),"Van/tot ontbreekt",IF(N(J2869)=0,"Duur is nul",IF(N(J2869)&gt;12,"Langer dan 12 uur - controleren",IF(AND(E2869="Werken",D2869=""),"Werken zonder klant - koppelen","OK"))))))</f>
        <v/>
      </c>
    </row>
    <row r="2870" ht="15" customHeight="1" s="42">
      <c r="A2870" s="55" t="n"/>
      <c r="B2870" s="56">
        <f>IF(A2870="","",WEEKNUM(A2870,21))</f>
        <v/>
      </c>
      <c r="C2870" s="57" t="n"/>
      <c r="D2870" s="57" t="n"/>
      <c r="E2870" s="58" t="n"/>
      <c r="F2870" s="57" t="n"/>
      <c r="G2870" s="59" t="n"/>
      <c r="H2870" s="59" t="n"/>
      <c r="I2870" s="60">
        <f>IF(OR(G2870="",H2870=""),"",MOD(H2870-G2870,1))</f>
        <v/>
      </c>
      <c r="J2870" s="61">
        <f>IF(OR(G2870="",H2870=""),"",ROUND(MOD(H2870-G2870,1)*24,2))</f>
        <v/>
      </c>
      <c r="K2870" s="62">
        <f>IF(E2870="","",IF(E2870="Werken","JA","NEE"))</f>
        <v/>
      </c>
      <c r="L2870" s="61">
        <f>IF(K2870="JA",N(J2870),IF(E2870="","",0))</f>
        <v/>
      </c>
      <c r="M2870" s="62">
        <f>IF(AND(A2870="",E2870=""),"",IF(E2870="","Segment ontbreekt",IF(OR(G2870="",H2870=""),"Van/tot ontbreekt",IF(N(J2870)=0,"Duur is nul",IF(N(J2870)&gt;12,"Langer dan 12 uur - controleren",IF(AND(E2870="Werken",D2870=""),"Werken zonder klant - koppelen","OK"))))))</f>
        <v/>
      </c>
    </row>
    <row r="2871" ht="15" customHeight="1" s="42">
      <c r="A2871" s="55" t="n"/>
      <c r="B2871" s="56">
        <f>IF(A2871="","",WEEKNUM(A2871,21))</f>
        <v/>
      </c>
      <c r="C2871" s="57" t="n"/>
      <c r="D2871" s="57" t="n"/>
      <c r="E2871" s="58" t="n"/>
      <c r="F2871" s="57" t="n"/>
      <c r="G2871" s="59" t="n"/>
      <c r="H2871" s="59" t="n"/>
      <c r="I2871" s="60">
        <f>IF(OR(G2871="",H2871=""),"",MOD(H2871-G2871,1))</f>
        <v/>
      </c>
      <c r="J2871" s="61">
        <f>IF(OR(G2871="",H2871=""),"",ROUND(MOD(H2871-G2871,1)*24,2))</f>
        <v/>
      </c>
      <c r="K2871" s="62">
        <f>IF(E2871="","",IF(E2871="Werken","JA","NEE"))</f>
        <v/>
      </c>
      <c r="L2871" s="61">
        <f>IF(K2871="JA",N(J2871),IF(E2871="","",0))</f>
        <v/>
      </c>
      <c r="M2871" s="62">
        <f>IF(AND(A2871="",E2871=""),"",IF(E2871="","Segment ontbreekt",IF(OR(G2871="",H2871=""),"Van/tot ontbreekt",IF(N(J2871)=0,"Duur is nul",IF(N(J2871)&gt;12,"Langer dan 12 uur - controleren",IF(AND(E2871="Werken",D2871=""),"Werken zonder klant - koppelen","OK"))))))</f>
        <v/>
      </c>
    </row>
    <row r="2872" ht="15" customHeight="1" s="42">
      <c r="A2872" s="55" t="n"/>
      <c r="B2872" s="56">
        <f>IF(A2872="","",WEEKNUM(A2872,21))</f>
        <v/>
      </c>
      <c r="C2872" s="57" t="n"/>
      <c r="D2872" s="57" t="n"/>
      <c r="E2872" s="58" t="n"/>
      <c r="F2872" s="57" t="n"/>
      <c r="G2872" s="59" t="n"/>
      <c r="H2872" s="59" t="n"/>
      <c r="I2872" s="60">
        <f>IF(OR(G2872="",H2872=""),"",MOD(H2872-G2872,1))</f>
        <v/>
      </c>
      <c r="J2872" s="61">
        <f>IF(OR(G2872="",H2872=""),"",ROUND(MOD(H2872-G2872,1)*24,2))</f>
        <v/>
      </c>
      <c r="K2872" s="62">
        <f>IF(E2872="","",IF(E2872="Werken","JA","NEE"))</f>
        <v/>
      </c>
      <c r="L2872" s="61">
        <f>IF(K2872="JA",N(J2872),IF(E2872="","",0))</f>
        <v/>
      </c>
      <c r="M2872" s="62">
        <f>IF(AND(A2872="",E2872=""),"",IF(E2872="","Segment ontbreekt",IF(OR(G2872="",H2872=""),"Van/tot ontbreekt",IF(N(J2872)=0,"Duur is nul",IF(N(J2872)&gt;12,"Langer dan 12 uur - controleren",IF(AND(E2872="Werken",D2872=""),"Werken zonder klant - koppelen","OK"))))))</f>
        <v/>
      </c>
    </row>
    <row r="2873" ht="15" customHeight="1" s="42">
      <c r="A2873" s="55" t="n"/>
      <c r="B2873" s="56">
        <f>IF(A2873="","",WEEKNUM(A2873,21))</f>
        <v/>
      </c>
      <c r="C2873" s="57" t="n"/>
      <c r="D2873" s="57" t="n"/>
      <c r="E2873" s="58" t="n"/>
      <c r="F2873" s="57" t="n"/>
      <c r="G2873" s="59" t="n"/>
      <c r="H2873" s="59" t="n"/>
      <c r="I2873" s="60">
        <f>IF(OR(G2873="",H2873=""),"",MOD(H2873-G2873,1))</f>
        <v/>
      </c>
      <c r="J2873" s="61">
        <f>IF(OR(G2873="",H2873=""),"",ROUND(MOD(H2873-G2873,1)*24,2))</f>
        <v/>
      </c>
      <c r="K2873" s="62">
        <f>IF(E2873="","",IF(E2873="Werken","JA","NEE"))</f>
        <v/>
      </c>
      <c r="L2873" s="61">
        <f>IF(K2873="JA",N(J2873),IF(E2873="","",0))</f>
        <v/>
      </c>
      <c r="M2873" s="62">
        <f>IF(AND(A2873="",E2873=""),"",IF(E2873="","Segment ontbreekt",IF(OR(G2873="",H2873=""),"Van/tot ontbreekt",IF(N(J2873)=0,"Duur is nul",IF(N(J2873)&gt;12,"Langer dan 12 uur - controleren",IF(AND(E2873="Werken",D2873=""),"Werken zonder klant - koppelen","OK"))))))</f>
        <v/>
      </c>
    </row>
    <row r="2874" ht="15" customHeight="1" s="42">
      <c r="A2874" s="55" t="n"/>
      <c r="B2874" s="56">
        <f>IF(A2874="","",WEEKNUM(A2874,21))</f>
        <v/>
      </c>
      <c r="C2874" s="57" t="n"/>
      <c r="D2874" s="57" t="n"/>
      <c r="E2874" s="58" t="n"/>
      <c r="F2874" s="57" t="n"/>
      <c r="G2874" s="59" t="n"/>
      <c r="H2874" s="59" t="n"/>
      <c r="I2874" s="60">
        <f>IF(OR(G2874="",H2874=""),"",MOD(H2874-G2874,1))</f>
        <v/>
      </c>
      <c r="J2874" s="61">
        <f>IF(OR(G2874="",H2874=""),"",ROUND(MOD(H2874-G2874,1)*24,2))</f>
        <v/>
      </c>
      <c r="K2874" s="62">
        <f>IF(E2874="","",IF(E2874="Werken","JA","NEE"))</f>
        <v/>
      </c>
      <c r="L2874" s="61">
        <f>IF(K2874="JA",N(J2874),IF(E2874="","",0))</f>
        <v/>
      </c>
      <c r="M2874" s="62">
        <f>IF(AND(A2874="",E2874=""),"",IF(E2874="","Segment ontbreekt",IF(OR(G2874="",H2874=""),"Van/tot ontbreekt",IF(N(J2874)=0,"Duur is nul",IF(N(J2874)&gt;12,"Langer dan 12 uur - controleren",IF(AND(E2874="Werken",D2874=""),"Werken zonder klant - koppelen","OK"))))))</f>
        <v/>
      </c>
    </row>
    <row r="2875" ht="15" customHeight="1" s="42">
      <c r="A2875" s="55" t="n"/>
      <c r="B2875" s="56">
        <f>IF(A2875="","",WEEKNUM(A2875,21))</f>
        <v/>
      </c>
      <c r="C2875" s="57" t="n"/>
      <c r="D2875" s="57" t="n"/>
      <c r="E2875" s="58" t="n"/>
      <c r="F2875" s="57" t="n"/>
      <c r="G2875" s="59" t="n"/>
      <c r="H2875" s="59" t="n"/>
      <c r="I2875" s="60">
        <f>IF(OR(G2875="",H2875=""),"",MOD(H2875-G2875,1))</f>
        <v/>
      </c>
      <c r="J2875" s="61">
        <f>IF(OR(G2875="",H2875=""),"",ROUND(MOD(H2875-G2875,1)*24,2))</f>
        <v/>
      </c>
      <c r="K2875" s="62">
        <f>IF(E2875="","",IF(E2875="Werken","JA","NEE"))</f>
        <v/>
      </c>
      <c r="L2875" s="61">
        <f>IF(K2875="JA",N(J2875),IF(E2875="","",0))</f>
        <v/>
      </c>
      <c r="M2875" s="62">
        <f>IF(AND(A2875="",E2875=""),"",IF(E2875="","Segment ontbreekt",IF(OR(G2875="",H2875=""),"Van/tot ontbreekt",IF(N(J2875)=0,"Duur is nul",IF(N(J2875)&gt;12,"Langer dan 12 uur - controleren",IF(AND(E2875="Werken",D2875=""),"Werken zonder klant - koppelen","OK"))))))</f>
        <v/>
      </c>
    </row>
    <row r="2876" ht="15" customHeight="1" s="42">
      <c r="A2876" s="55" t="n"/>
      <c r="B2876" s="56">
        <f>IF(A2876="","",WEEKNUM(A2876,21))</f>
        <v/>
      </c>
      <c r="C2876" s="57" t="n"/>
      <c r="D2876" s="57" t="n"/>
      <c r="E2876" s="58" t="n"/>
      <c r="F2876" s="57" t="n"/>
      <c r="G2876" s="59" t="n"/>
      <c r="H2876" s="59" t="n"/>
      <c r="I2876" s="60">
        <f>IF(OR(G2876="",H2876=""),"",MOD(H2876-G2876,1))</f>
        <v/>
      </c>
      <c r="J2876" s="61">
        <f>IF(OR(G2876="",H2876=""),"",ROUND(MOD(H2876-G2876,1)*24,2))</f>
        <v/>
      </c>
      <c r="K2876" s="62">
        <f>IF(E2876="","",IF(E2876="Werken","JA","NEE"))</f>
        <v/>
      </c>
      <c r="L2876" s="61">
        <f>IF(K2876="JA",N(J2876),IF(E2876="","",0))</f>
        <v/>
      </c>
      <c r="M2876" s="62">
        <f>IF(AND(A2876="",E2876=""),"",IF(E2876="","Segment ontbreekt",IF(OR(G2876="",H2876=""),"Van/tot ontbreekt",IF(N(J2876)=0,"Duur is nul",IF(N(J2876)&gt;12,"Langer dan 12 uur - controleren",IF(AND(E2876="Werken",D2876=""),"Werken zonder klant - koppelen","OK"))))))</f>
        <v/>
      </c>
    </row>
    <row r="2877" ht="15" customHeight="1" s="42">
      <c r="A2877" s="55" t="n"/>
      <c r="B2877" s="56">
        <f>IF(A2877="","",WEEKNUM(A2877,21))</f>
        <v/>
      </c>
      <c r="C2877" s="57" t="n"/>
      <c r="D2877" s="57" t="n"/>
      <c r="E2877" s="58" t="n"/>
      <c r="F2877" s="57" t="n"/>
      <c r="G2877" s="59" t="n"/>
      <c r="H2877" s="59" t="n"/>
      <c r="I2877" s="60">
        <f>IF(OR(G2877="",H2877=""),"",MOD(H2877-G2877,1))</f>
        <v/>
      </c>
      <c r="J2877" s="61">
        <f>IF(OR(G2877="",H2877=""),"",ROUND(MOD(H2877-G2877,1)*24,2))</f>
        <v/>
      </c>
      <c r="K2877" s="62">
        <f>IF(E2877="","",IF(E2877="Werken","JA","NEE"))</f>
        <v/>
      </c>
      <c r="L2877" s="61">
        <f>IF(K2877="JA",N(J2877),IF(E2877="","",0))</f>
        <v/>
      </c>
      <c r="M2877" s="62">
        <f>IF(AND(A2877="",E2877=""),"",IF(E2877="","Segment ontbreekt",IF(OR(G2877="",H2877=""),"Van/tot ontbreekt",IF(N(J2877)=0,"Duur is nul",IF(N(J2877)&gt;12,"Langer dan 12 uur - controleren",IF(AND(E2877="Werken",D2877=""),"Werken zonder klant - koppelen","OK"))))))</f>
        <v/>
      </c>
    </row>
    <row r="2878" ht="15" customHeight="1" s="42">
      <c r="A2878" s="55" t="n"/>
      <c r="B2878" s="56">
        <f>IF(A2878="","",WEEKNUM(A2878,21))</f>
        <v/>
      </c>
      <c r="C2878" s="57" t="n"/>
      <c r="D2878" s="57" t="n"/>
      <c r="E2878" s="58" t="n"/>
      <c r="F2878" s="57" t="n"/>
      <c r="G2878" s="59" t="n"/>
      <c r="H2878" s="59" t="n"/>
      <c r="I2878" s="60">
        <f>IF(OR(G2878="",H2878=""),"",MOD(H2878-G2878,1))</f>
        <v/>
      </c>
      <c r="J2878" s="61">
        <f>IF(OR(G2878="",H2878=""),"",ROUND(MOD(H2878-G2878,1)*24,2))</f>
        <v/>
      </c>
      <c r="K2878" s="62">
        <f>IF(E2878="","",IF(E2878="Werken","JA","NEE"))</f>
        <v/>
      </c>
      <c r="L2878" s="61">
        <f>IF(K2878="JA",N(J2878),IF(E2878="","",0))</f>
        <v/>
      </c>
      <c r="M2878" s="62">
        <f>IF(AND(A2878="",E2878=""),"",IF(E2878="","Segment ontbreekt",IF(OR(G2878="",H2878=""),"Van/tot ontbreekt",IF(N(J2878)=0,"Duur is nul",IF(N(J2878)&gt;12,"Langer dan 12 uur - controleren",IF(AND(E2878="Werken",D2878=""),"Werken zonder klant - koppelen","OK"))))))</f>
        <v/>
      </c>
    </row>
    <row r="2879" ht="15" customHeight="1" s="42">
      <c r="A2879" s="55" t="n"/>
      <c r="B2879" s="56">
        <f>IF(A2879="","",WEEKNUM(A2879,21))</f>
        <v/>
      </c>
      <c r="C2879" s="57" t="n"/>
      <c r="D2879" s="57" t="n"/>
      <c r="E2879" s="58" t="n"/>
      <c r="F2879" s="57" t="n"/>
      <c r="G2879" s="59" t="n"/>
      <c r="H2879" s="59" t="n"/>
      <c r="I2879" s="60">
        <f>IF(OR(G2879="",H2879=""),"",MOD(H2879-G2879,1))</f>
        <v/>
      </c>
      <c r="J2879" s="61">
        <f>IF(OR(G2879="",H2879=""),"",ROUND(MOD(H2879-G2879,1)*24,2))</f>
        <v/>
      </c>
      <c r="K2879" s="62">
        <f>IF(E2879="","",IF(E2879="Werken","JA","NEE"))</f>
        <v/>
      </c>
      <c r="L2879" s="61">
        <f>IF(K2879="JA",N(J2879),IF(E2879="","",0))</f>
        <v/>
      </c>
      <c r="M2879" s="62">
        <f>IF(AND(A2879="",E2879=""),"",IF(E2879="","Segment ontbreekt",IF(OR(G2879="",H2879=""),"Van/tot ontbreekt",IF(N(J2879)=0,"Duur is nul",IF(N(J2879)&gt;12,"Langer dan 12 uur - controleren",IF(AND(E2879="Werken",D2879=""),"Werken zonder klant - koppelen","OK"))))))</f>
        <v/>
      </c>
    </row>
    <row r="2880" ht="15" customHeight="1" s="42">
      <c r="A2880" s="55" t="n"/>
      <c r="B2880" s="56">
        <f>IF(A2880="","",WEEKNUM(A2880,21))</f>
        <v/>
      </c>
      <c r="C2880" s="57" t="n"/>
      <c r="D2880" s="57" t="n"/>
      <c r="E2880" s="58" t="n"/>
      <c r="F2880" s="57" t="n"/>
      <c r="G2880" s="59" t="n"/>
      <c r="H2880" s="59" t="n"/>
      <c r="I2880" s="60">
        <f>IF(OR(G2880="",H2880=""),"",MOD(H2880-G2880,1))</f>
        <v/>
      </c>
      <c r="J2880" s="61">
        <f>IF(OR(G2880="",H2880=""),"",ROUND(MOD(H2880-G2880,1)*24,2))</f>
        <v/>
      </c>
      <c r="K2880" s="62">
        <f>IF(E2880="","",IF(E2880="Werken","JA","NEE"))</f>
        <v/>
      </c>
      <c r="L2880" s="61">
        <f>IF(K2880="JA",N(J2880),IF(E2880="","",0))</f>
        <v/>
      </c>
      <c r="M2880" s="62">
        <f>IF(AND(A2880="",E2880=""),"",IF(E2880="","Segment ontbreekt",IF(OR(G2880="",H2880=""),"Van/tot ontbreekt",IF(N(J2880)=0,"Duur is nul",IF(N(J2880)&gt;12,"Langer dan 12 uur - controleren",IF(AND(E2880="Werken",D2880=""),"Werken zonder klant - koppelen","OK"))))))</f>
        <v/>
      </c>
    </row>
    <row r="2881" ht="15" customHeight="1" s="42">
      <c r="A2881" s="55" t="n"/>
      <c r="B2881" s="56">
        <f>IF(A2881="","",WEEKNUM(A2881,21))</f>
        <v/>
      </c>
      <c r="C2881" s="57" t="n"/>
      <c r="D2881" s="57" t="n"/>
      <c r="E2881" s="58" t="n"/>
      <c r="F2881" s="57" t="n"/>
      <c r="G2881" s="59" t="n"/>
      <c r="H2881" s="59" t="n"/>
      <c r="I2881" s="60">
        <f>IF(OR(G2881="",H2881=""),"",MOD(H2881-G2881,1))</f>
        <v/>
      </c>
      <c r="J2881" s="61">
        <f>IF(OR(G2881="",H2881=""),"",ROUND(MOD(H2881-G2881,1)*24,2))</f>
        <v/>
      </c>
      <c r="K2881" s="62">
        <f>IF(E2881="","",IF(E2881="Werken","JA","NEE"))</f>
        <v/>
      </c>
      <c r="L2881" s="61">
        <f>IF(K2881="JA",N(J2881),IF(E2881="","",0))</f>
        <v/>
      </c>
      <c r="M2881" s="62">
        <f>IF(AND(A2881="",E2881=""),"",IF(E2881="","Segment ontbreekt",IF(OR(G2881="",H2881=""),"Van/tot ontbreekt",IF(N(J2881)=0,"Duur is nul",IF(N(J2881)&gt;12,"Langer dan 12 uur - controleren",IF(AND(E2881="Werken",D2881=""),"Werken zonder klant - koppelen","OK"))))))</f>
        <v/>
      </c>
    </row>
    <row r="2882" ht="15" customHeight="1" s="42">
      <c r="A2882" s="55" t="n"/>
      <c r="B2882" s="56">
        <f>IF(A2882="","",WEEKNUM(A2882,21))</f>
        <v/>
      </c>
      <c r="C2882" s="57" t="n"/>
      <c r="D2882" s="57" t="n"/>
      <c r="E2882" s="58" t="n"/>
      <c r="F2882" s="57" t="n"/>
      <c r="G2882" s="59" t="n"/>
      <c r="H2882" s="59" t="n"/>
      <c r="I2882" s="60">
        <f>IF(OR(G2882="",H2882=""),"",MOD(H2882-G2882,1))</f>
        <v/>
      </c>
      <c r="J2882" s="61">
        <f>IF(OR(G2882="",H2882=""),"",ROUND(MOD(H2882-G2882,1)*24,2))</f>
        <v/>
      </c>
      <c r="K2882" s="62">
        <f>IF(E2882="","",IF(E2882="Werken","JA","NEE"))</f>
        <v/>
      </c>
      <c r="L2882" s="61">
        <f>IF(K2882="JA",N(J2882),IF(E2882="","",0))</f>
        <v/>
      </c>
      <c r="M2882" s="62">
        <f>IF(AND(A2882="",E2882=""),"",IF(E2882="","Segment ontbreekt",IF(OR(G2882="",H2882=""),"Van/tot ontbreekt",IF(N(J2882)=0,"Duur is nul",IF(N(J2882)&gt;12,"Langer dan 12 uur - controleren",IF(AND(E2882="Werken",D2882=""),"Werken zonder klant - koppelen","OK"))))))</f>
        <v/>
      </c>
    </row>
    <row r="2883" ht="15" customHeight="1" s="42">
      <c r="A2883" s="55" t="n"/>
      <c r="B2883" s="56">
        <f>IF(A2883="","",WEEKNUM(A2883,21))</f>
        <v/>
      </c>
      <c r="C2883" s="57" t="n"/>
      <c r="D2883" s="57" t="n"/>
      <c r="E2883" s="58" t="n"/>
      <c r="F2883" s="57" t="n"/>
      <c r="G2883" s="59" t="n"/>
      <c r="H2883" s="59" t="n"/>
      <c r="I2883" s="60">
        <f>IF(OR(G2883="",H2883=""),"",MOD(H2883-G2883,1))</f>
        <v/>
      </c>
      <c r="J2883" s="61">
        <f>IF(OR(G2883="",H2883=""),"",ROUND(MOD(H2883-G2883,1)*24,2))</f>
        <v/>
      </c>
      <c r="K2883" s="62">
        <f>IF(E2883="","",IF(E2883="Werken","JA","NEE"))</f>
        <v/>
      </c>
      <c r="L2883" s="61">
        <f>IF(K2883="JA",N(J2883),IF(E2883="","",0))</f>
        <v/>
      </c>
      <c r="M2883" s="62">
        <f>IF(AND(A2883="",E2883=""),"",IF(E2883="","Segment ontbreekt",IF(OR(G2883="",H2883=""),"Van/tot ontbreekt",IF(N(J2883)=0,"Duur is nul",IF(N(J2883)&gt;12,"Langer dan 12 uur - controleren",IF(AND(E2883="Werken",D2883=""),"Werken zonder klant - koppelen","OK"))))))</f>
        <v/>
      </c>
    </row>
    <row r="2884" ht="15" customHeight="1" s="42">
      <c r="A2884" s="55" t="n"/>
      <c r="B2884" s="56">
        <f>IF(A2884="","",WEEKNUM(A2884,21))</f>
        <v/>
      </c>
      <c r="C2884" s="57" t="n"/>
      <c r="D2884" s="57" t="n"/>
      <c r="E2884" s="58" t="n"/>
      <c r="F2884" s="57" t="n"/>
      <c r="G2884" s="59" t="n"/>
      <c r="H2884" s="59" t="n"/>
      <c r="I2884" s="60">
        <f>IF(OR(G2884="",H2884=""),"",MOD(H2884-G2884,1))</f>
        <v/>
      </c>
      <c r="J2884" s="61">
        <f>IF(OR(G2884="",H2884=""),"",ROUND(MOD(H2884-G2884,1)*24,2))</f>
        <v/>
      </c>
      <c r="K2884" s="62">
        <f>IF(E2884="","",IF(E2884="Werken","JA","NEE"))</f>
        <v/>
      </c>
      <c r="L2884" s="61">
        <f>IF(K2884="JA",N(J2884),IF(E2884="","",0))</f>
        <v/>
      </c>
      <c r="M2884" s="62">
        <f>IF(AND(A2884="",E2884=""),"",IF(E2884="","Segment ontbreekt",IF(OR(G2884="",H2884=""),"Van/tot ontbreekt",IF(N(J2884)=0,"Duur is nul",IF(N(J2884)&gt;12,"Langer dan 12 uur - controleren",IF(AND(E2884="Werken",D2884=""),"Werken zonder klant - koppelen","OK"))))))</f>
        <v/>
      </c>
    </row>
    <row r="2885" ht="15" customHeight="1" s="42">
      <c r="A2885" s="55" t="n"/>
      <c r="B2885" s="56">
        <f>IF(A2885="","",WEEKNUM(A2885,21))</f>
        <v/>
      </c>
      <c r="C2885" s="57" t="n"/>
      <c r="D2885" s="57" t="n"/>
      <c r="E2885" s="58" t="n"/>
      <c r="F2885" s="57" t="n"/>
      <c r="G2885" s="59" t="n"/>
      <c r="H2885" s="59" t="n"/>
      <c r="I2885" s="60">
        <f>IF(OR(G2885="",H2885=""),"",MOD(H2885-G2885,1))</f>
        <v/>
      </c>
      <c r="J2885" s="61">
        <f>IF(OR(G2885="",H2885=""),"",ROUND(MOD(H2885-G2885,1)*24,2))</f>
        <v/>
      </c>
      <c r="K2885" s="62">
        <f>IF(E2885="","",IF(E2885="Werken","JA","NEE"))</f>
        <v/>
      </c>
      <c r="L2885" s="61">
        <f>IF(K2885="JA",N(J2885),IF(E2885="","",0))</f>
        <v/>
      </c>
      <c r="M2885" s="62">
        <f>IF(AND(A2885="",E2885=""),"",IF(E2885="","Segment ontbreekt",IF(OR(G2885="",H2885=""),"Van/tot ontbreekt",IF(N(J2885)=0,"Duur is nul",IF(N(J2885)&gt;12,"Langer dan 12 uur - controleren",IF(AND(E2885="Werken",D2885=""),"Werken zonder klant - koppelen","OK"))))))</f>
        <v/>
      </c>
    </row>
    <row r="2886" ht="15" customHeight="1" s="42">
      <c r="A2886" s="55" t="n"/>
      <c r="B2886" s="56">
        <f>IF(A2886="","",WEEKNUM(A2886,21))</f>
        <v/>
      </c>
      <c r="C2886" s="57" t="n"/>
      <c r="D2886" s="57" t="n"/>
      <c r="E2886" s="58" t="n"/>
      <c r="F2886" s="57" t="n"/>
      <c r="G2886" s="59" t="n"/>
      <c r="H2886" s="59" t="n"/>
      <c r="I2886" s="60">
        <f>IF(OR(G2886="",H2886=""),"",MOD(H2886-G2886,1))</f>
        <v/>
      </c>
      <c r="J2886" s="61">
        <f>IF(OR(G2886="",H2886=""),"",ROUND(MOD(H2886-G2886,1)*24,2))</f>
        <v/>
      </c>
      <c r="K2886" s="62">
        <f>IF(E2886="","",IF(E2886="Werken","JA","NEE"))</f>
        <v/>
      </c>
      <c r="L2886" s="61">
        <f>IF(K2886="JA",N(J2886),IF(E2886="","",0))</f>
        <v/>
      </c>
      <c r="M2886" s="62">
        <f>IF(AND(A2886="",E2886=""),"",IF(E2886="","Segment ontbreekt",IF(OR(G2886="",H2886=""),"Van/tot ontbreekt",IF(N(J2886)=0,"Duur is nul",IF(N(J2886)&gt;12,"Langer dan 12 uur - controleren",IF(AND(E2886="Werken",D2886=""),"Werken zonder klant - koppelen","OK"))))))</f>
        <v/>
      </c>
    </row>
    <row r="2887" ht="15" customHeight="1" s="42">
      <c r="A2887" s="55" t="n"/>
      <c r="B2887" s="56">
        <f>IF(A2887="","",WEEKNUM(A2887,21))</f>
        <v/>
      </c>
      <c r="C2887" s="57" t="n"/>
      <c r="D2887" s="57" t="n"/>
      <c r="E2887" s="58" t="n"/>
      <c r="F2887" s="57" t="n"/>
      <c r="G2887" s="59" t="n"/>
      <c r="H2887" s="59" t="n"/>
      <c r="I2887" s="60">
        <f>IF(OR(G2887="",H2887=""),"",MOD(H2887-G2887,1))</f>
        <v/>
      </c>
      <c r="J2887" s="61">
        <f>IF(OR(G2887="",H2887=""),"",ROUND(MOD(H2887-G2887,1)*24,2))</f>
        <v/>
      </c>
      <c r="K2887" s="62">
        <f>IF(E2887="","",IF(E2887="Werken","JA","NEE"))</f>
        <v/>
      </c>
      <c r="L2887" s="61">
        <f>IF(K2887="JA",N(J2887),IF(E2887="","",0))</f>
        <v/>
      </c>
      <c r="M2887" s="62">
        <f>IF(AND(A2887="",E2887=""),"",IF(E2887="","Segment ontbreekt",IF(OR(G2887="",H2887=""),"Van/tot ontbreekt",IF(N(J2887)=0,"Duur is nul",IF(N(J2887)&gt;12,"Langer dan 12 uur - controleren",IF(AND(E2887="Werken",D2887=""),"Werken zonder klant - koppelen","OK"))))))</f>
        <v/>
      </c>
    </row>
    <row r="2888" ht="15" customHeight="1" s="42">
      <c r="A2888" s="55" t="n"/>
      <c r="B2888" s="56">
        <f>IF(A2888="","",WEEKNUM(A2888,21))</f>
        <v/>
      </c>
      <c r="C2888" s="57" t="n"/>
      <c r="D2888" s="57" t="n"/>
      <c r="E2888" s="58" t="n"/>
      <c r="F2888" s="57" t="n"/>
      <c r="G2888" s="59" t="n"/>
      <c r="H2888" s="59" t="n"/>
      <c r="I2888" s="60">
        <f>IF(OR(G2888="",H2888=""),"",MOD(H2888-G2888,1))</f>
        <v/>
      </c>
      <c r="J2888" s="61">
        <f>IF(OR(G2888="",H2888=""),"",ROUND(MOD(H2888-G2888,1)*24,2))</f>
        <v/>
      </c>
      <c r="K2888" s="62">
        <f>IF(E2888="","",IF(E2888="Werken","JA","NEE"))</f>
        <v/>
      </c>
      <c r="L2888" s="61">
        <f>IF(K2888="JA",N(J2888),IF(E2888="","",0))</f>
        <v/>
      </c>
      <c r="M2888" s="62">
        <f>IF(AND(A2888="",E2888=""),"",IF(E2888="","Segment ontbreekt",IF(OR(G2888="",H2888=""),"Van/tot ontbreekt",IF(N(J2888)=0,"Duur is nul",IF(N(J2888)&gt;12,"Langer dan 12 uur - controleren",IF(AND(E2888="Werken",D2888=""),"Werken zonder klant - koppelen","OK"))))))</f>
        <v/>
      </c>
    </row>
    <row r="2889" ht="15" customHeight="1" s="42">
      <c r="A2889" s="55" t="n"/>
      <c r="B2889" s="56">
        <f>IF(A2889="","",WEEKNUM(A2889,21))</f>
        <v/>
      </c>
      <c r="C2889" s="57" t="n"/>
      <c r="D2889" s="57" t="n"/>
      <c r="E2889" s="58" t="n"/>
      <c r="F2889" s="57" t="n"/>
      <c r="G2889" s="59" t="n"/>
      <c r="H2889" s="59" t="n"/>
      <c r="I2889" s="60">
        <f>IF(OR(G2889="",H2889=""),"",MOD(H2889-G2889,1))</f>
        <v/>
      </c>
      <c r="J2889" s="61">
        <f>IF(OR(G2889="",H2889=""),"",ROUND(MOD(H2889-G2889,1)*24,2))</f>
        <v/>
      </c>
      <c r="K2889" s="62">
        <f>IF(E2889="","",IF(E2889="Werken","JA","NEE"))</f>
        <v/>
      </c>
      <c r="L2889" s="61">
        <f>IF(K2889="JA",N(J2889),IF(E2889="","",0))</f>
        <v/>
      </c>
      <c r="M2889" s="62">
        <f>IF(AND(A2889="",E2889=""),"",IF(E2889="","Segment ontbreekt",IF(OR(G2889="",H2889=""),"Van/tot ontbreekt",IF(N(J2889)=0,"Duur is nul",IF(N(J2889)&gt;12,"Langer dan 12 uur - controleren",IF(AND(E2889="Werken",D2889=""),"Werken zonder klant - koppelen","OK"))))))</f>
        <v/>
      </c>
    </row>
    <row r="2890" ht="15" customHeight="1" s="42">
      <c r="A2890" s="55" t="n"/>
      <c r="B2890" s="56">
        <f>IF(A2890="","",WEEKNUM(A2890,21))</f>
        <v/>
      </c>
      <c r="C2890" s="57" t="n"/>
      <c r="D2890" s="57" t="n"/>
      <c r="E2890" s="58" t="n"/>
      <c r="F2890" s="57" t="n"/>
      <c r="G2890" s="59" t="n"/>
      <c r="H2890" s="59" t="n"/>
      <c r="I2890" s="60">
        <f>IF(OR(G2890="",H2890=""),"",MOD(H2890-G2890,1))</f>
        <v/>
      </c>
      <c r="J2890" s="61">
        <f>IF(OR(G2890="",H2890=""),"",ROUND(MOD(H2890-G2890,1)*24,2))</f>
        <v/>
      </c>
      <c r="K2890" s="62">
        <f>IF(E2890="","",IF(E2890="Werken","JA","NEE"))</f>
        <v/>
      </c>
      <c r="L2890" s="61">
        <f>IF(K2890="JA",N(J2890),IF(E2890="","",0))</f>
        <v/>
      </c>
      <c r="M2890" s="62">
        <f>IF(AND(A2890="",E2890=""),"",IF(E2890="","Segment ontbreekt",IF(OR(G2890="",H2890=""),"Van/tot ontbreekt",IF(N(J2890)=0,"Duur is nul",IF(N(J2890)&gt;12,"Langer dan 12 uur - controleren",IF(AND(E2890="Werken",D2890=""),"Werken zonder klant - koppelen","OK"))))))</f>
        <v/>
      </c>
    </row>
    <row r="2891" ht="15" customHeight="1" s="42">
      <c r="A2891" s="55" t="n"/>
      <c r="B2891" s="56">
        <f>IF(A2891="","",WEEKNUM(A2891,21))</f>
        <v/>
      </c>
      <c r="C2891" s="57" t="n"/>
      <c r="D2891" s="57" t="n"/>
      <c r="E2891" s="58" t="n"/>
      <c r="F2891" s="57" t="n"/>
      <c r="G2891" s="59" t="n"/>
      <c r="H2891" s="59" t="n"/>
      <c r="I2891" s="60">
        <f>IF(OR(G2891="",H2891=""),"",MOD(H2891-G2891,1))</f>
        <v/>
      </c>
      <c r="J2891" s="61">
        <f>IF(OR(G2891="",H2891=""),"",ROUND(MOD(H2891-G2891,1)*24,2))</f>
        <v/>
      </c>
      <c r="K2891" s="62">
        <f>IF(E2891="","",IF(E2891="Werken","JA","NEE"))</f>
        <v/>
      </c>
      <c r="L2891" s="61">
        <f>IF(K2891="JA",N(J2891),IF(E2891="","",0))</f>
        <v/>
      </c>
      <c r="M2891" s="62">
        <f>IF(AND(A2891="",E2891=""),"",IF(E2891="","Segment ontbreekt",IF(OR(G2891="",H2891=""),"Van/tot ontbreekt",IF(N(J2891)=0,"Duur is nul",IF(N(J2891)&gt;12,"Langer dan 12 uur - controleren",IF(AND(E2891="Werken",D2891=""),"Werken zonder klant - koppelen","OK"))))))</f>
        <v/>
      </c>
    </row>
    <row r="2892" ht="15" customHeight="1" s="42">
      <c r="A2892" s="55" t="n"/>
      <c r="B2892" s="56">
        <f>IF(A2892="","",WEEKNUM(A2892,21))</f>
        <v/>
      </c>
      <c r="C2892" s="57" t="n"/>
      <c r="D2892" s="57" t="n"/>
      <c r="E2892" s="58" t="n"/>
      <c r="F2892" s="57" t="n"/>
      <c r="G2892" s="59" t="n"/>
      <c r="H2892" s="59" t="n"/>
      <c r="I2892" s="60">
        <f>IF(OR(G2892="",H2892=""),"",MOD(H2892-G2892,1))</f>
        <v/>
      </c>
      <c r="J2892" s="61">
        <f>IF(OR(G2892="",H2892=""),"",ROUND(MOD(H2892-G2892,1)*24,2))</f>
        <v/>
      </c>
      <c r="K2892" s="62">
        <f>IF(E2892="","",IF(E2892="Werken","JA","NEE"))</f>
        <v/>
      </c>
      <c r="L2892" s="61">
        <f>IF(K2892="JA",N(J2892),IF(E2892="","",0))</f>
        <v/>
      </c>
      <c r="M2892" s="62">
        <f>IF(AND(A2892="",E2892=""),"",IF(E2892="","Segment ontbreekt",IF(OR(G2892="",H2892=""),"Van/tot ontbreekt",IF(N(J2892)=0,"Duur is nul",IF(N(J2892)&gt;12,"Langer dan 12 uur - controleren",IF(AND(E2892="Werken",D2892=""),"Werken zonder klant - koppelen","OK"))))))</f>
        <v/>
      </c>
    </row>
    <row r="2893" ht="15" customHeight="1" s="42">
      <c r="A2893" s="55" t="n"/>
      <c r="B2893" s="56">
        <f>IF(A2893="","",WEEKNUM(A2893,21))</f>
        <v/>
      </c>
      <c r="C2893" s="57" t="n"/>
      <c r="D2893" s="57" t="n"/>
      <c r="E2893" s="58" t="n"/>
      <c r="F2893" s="57" t="n"/>
      <c r="G2893" s="59" t="n"/>
      <c r="H2893" s="59" t="n"/>
      <c r="I2893" s="60">
        <f>IF(OR(G2893="",H2893=""),"",MOD(H2893-G2893,1))</f>
        <v/>
      </c>
      <c r="J2893" s="61">
        <f>IF(OR(G2893="",H2893=""),"",ROUND(MOD(H2893-G2893,1)*24,2))</f>
        <v/>
      </c>
      <c r="K2893" s="62">
        <f>IF(E2893="","",IF(E2893="Werken","JA","NEE"))</f>
        <v/>
      </c>
      <c r="L2893" s="61">
        <f>IF(K2893="JA",N(J2893),IF(E2893="","",0))</f>
        <v/>
      </c>
      <c r="M2893" s="62">
        <f>IF(AND(A2893="",E2893=""),"",IF(E2893="","Segment ontbreekt",IF(OR(G2893="",H2893=""),"Van/tot ontbreekt",IF(N(J2893)=0,"Duur is nul",IF(N(J2893)&gt;12,"Langer dan 12 uur - controleren",IF(AND(E2893="Werken",D2893=""),"Werken zonder klant - koppelen","OK"))))))</f>
        <v/>
      </c>
    </row>
    <row r="2894" ht="15" customHeight="1" s="42">
      <c r="A2894" s="55" t="n"/>
      <c r="B2894" s="56">
        <f>IF(A2894="","",WEEKNUM(A2894,21))</f>
        <v/>
      </c>
      <c r="C2894" s="57" t="n"/>
      <c r="D2894" s="57" t="n"/>
      <c r="E2894" s="58" t="n"/>
      <c r="F2894" s="57" t="n"/>
      <c r="G2894" s="59" t="n"/>
      <c r="H2894" s="59" t="n"/>
      <c r="I2894" s="60">
        <f>IF(OR(G2894="",H2894=""),"",MOD(H2894-G2894,1))</f>
        <v/>
      </c>
      <c r="J2894" s="61">
        <f>IF(OR(G2894="",H2894=""),"",ROUND(MOD(H2894-G2894,1)*24,2))</f>
        <v/>
      </c>
      <c r="K2894" s="62">
        <f>IF(E2894="","",IF(E2894="Werken","JA","NEE"))</f>
        <v/>
      </c>
      <c r="L2894" s="61">
        <f>IF(K2894="JA",N(J2894),IF(E2894="","",0))</f>
        <v/>
      </c>
      <c r="M2894" s="62">
        <f>IF(AND(A2894="",E2894=""),"",IF(E2894="","Segment ontbreekt",IF(OR(G2894="",H2894=""),"Van/tot ontbreekt",IF(N(J2894)=0,"Duur is nul",IF(N(J2894)&gt;12,"Langer dan 12 uur - controleren",IF(AND(E2894="Werken",D2894=""),"Werken zonder klant - koppelen","OK"))))))</f>
        <v/>
      </c>
    </row>
    <row r="2895" ht="15" customHeight="1" s="42">
      <c r="A2895" s="55" t="n"/>
      <c r="B2895" s="56">
        <f>IF(A2895="","",WEEKNUM(A2895,21))</f>
        <v/>
      </c>
      <c r="C2895" s="57" t="n"/>
      <c r="D2895" s="57" t="n"/>
      <c r="E2895" s="58" t="n"/>
      <c r="F2895" s="57" t="n"/>
      <c r="G2895" s="59" t="n"/>
      <c r="H2895" s="59" t="n"/>
      <c r="I2895" s="60">
        <f>IF(OR(G2895="",H2895=""),"",MOD(H2895-G2895,1))</f>
        <v/>
      </c>
      <c r="J2895" s="61">
        <f>IF(OR(G2895="",H2895=""),"",ROUND(MOD(H2895-G2895,1)*24,2))</f>
        <v/>
      </c>
      <c r="K2895" s="62">
        <f>IF(E2895="","",IF(E2895="Werken","JA","NEE"))</f>
        <v/>
      </c>
      <c r="L2895" s="61">
        <f>IF(K2895="JA",N(J2895),IF(E2895="","",0))</f>
        <v/>
      </c>
      <c r="M2895" s="62">
        <f>IF(AND(A2895="",E2895=""),"",IF(E2895="","Segment ontbreekt",IF(OR(G2895="",H2895=""),"Van/tot ontbreekt",IF(N(J2895)=0,"Duur is nul",IF(N(J2895)&gt;12,"Langer dan 12 uur - controleren",IF(AND(E2895="Werken",D2895=""),"Werken zonder klant - koppelen","OK"))))))</f>
        <v/>
      </c>
    </row>
    <row r="2896" ht="15" customHeight="1" s="42">
      <c r="A2896" s="55" t="n"/>
      <c r="B2896" s="56">
        <f>IF(A2896="","",WEEKNUM(A2896,21))</f>
        <v/>
      </c>
      <c r="C2896" s="57" t="n"/>
      <c r="D2896" s="57" t="n"/>
      <c r="E2896" s="58" t="n"/>
      <c r="F2896" s="57" t="n"/>
      <c r="G2896" s="59" t="n"/>
      <c r="H2896" s="59" t="n"/>
      <c r="I2896" s="60">
        <f>IF(OR(G2896="",H2896=""),"",MOD(H2896-G2896,1))</f>
        <v/>
      </c>
      <c r="J2896" s="61">
        <f>IF(OR(G2896="",H2896=""),"",ROUND(MOD(H2896-G2896,1)*24,2))</f>
        <v/>
      </c>
      <c r="K2896" s="62">
        <f>IF(E2896="","",IF(E2896="Werken","JA","NEE"))</f>
        <v/>
      </c>
      <c r="L2896" s="61">
        <f>IF(K2896="JA",N(J2896),IF(E2896="","",0))</f>
        <v/>
      </c>
      <c r="M2896" s="62">
        <f>IF(AND(A2896="",E2896=""),"",IF(E2896="","Segment ontbreekt",IF(OR(G2896="",H2896=""),"Van/tot ontbreekt",IF(N(J2896)=0,"Duur is nul",IF(N(J2896)&gt;12,"Langer dan 12 uur - controleren",IF(AND(E2896="Werken",D2896=""),"Werken zonder klant - koppelen","OK"))))))</f>
        <v/>
      </c>
    </row>
    <row r="2897" ht="15" customHeight="1" s="42">
      <c r="A2897" s="55" t="n"/>
      <c r="B2897" s="56">
        <f>IF(A2897="","",WEEKNUM(A2897,21))</f>
        <v/>
      </c>
      <c r="C2897" s="57" t="n"/>
      <c r="D2897" s="57" t="n"/>
      <c r="E2897" s="58" t="n"/>
      <c r="F2897" s="57" t="n"/>
      <c r="G2897" s="59" t="n"/>
      <c r="H2897" s="59" t="n"/>
      <c r="I2897" s="60">
        <f>IF(OR(G2897="",H2897=""),"",MOD(H2897-G2897,1))</f>
        <v/>
      </c>
      <c r="J2897" s="61">
        <f>IF(OR(G2897="",H2897=""),"",ROUND(MOD(H2897-G2897,1)*24,2))</f>
        <v/>
      </c>
      <c r="K2897" s="62">
        <f>IF(E2897="","",IF(E2897="Werken","JA","NEE"))</f>
        <v/>
      </c>
      <c r="L2897" s="61">
        <f>IF(K2897="JA",N(J2897),IF(E2897="","",0))</f>
        <v/>
      </c>
      <c r="M2897" s="62">
        <f>IF(AND(A2897="",E2897=""),"",IF(E2897="","Segment ontbreekt",IF(OR(G2897="",H2897=""),"Van/tot ontbreekt",IF(N(J2897)=0,"Duur is nul",IF(N(J2897)&gt;12,"Langer dan 12 uur - controleren",IF(AND(E2897="Werken",D2897=""),"Werken zonder klant - koppelen","OK"))))))</f>
        <v/>
      </c>
    </row>
    <row r="2898" ht="15" customHeight="1" s="42">
      <c r="A2898" s="55" t="n"/>
      <c r="B2898" s="56">
        <f>IF(A2898="","",WEEKNUM(A2898,21))</f>
        <v/>
      </c>
      <c r="C2898" s="57" t="n"/>
      <c r="D2898" s="57" t="n"/>
      <c r="E2898" s="58" t="n"/>
      <c r="F2898" s="57" t="n"/>
      <c r="G2898" s="59" t="n"/>
      <c r="H2898" s="59" t="n"/>
      <c r="I2898" s="60">
        <f>IF(OR(G2898="",H2898=""),"",MOD(H2898-G2898,1))</f>
        <v/>
      </c>
      <c r="J2898" s="61">
        <f>IF(OR(G2898="",H2898=""),"",ROUND(MOD(H2898-G2898,1)*24,2))</f>
        <v/>
      </c>
      <c r="K2898" s="62">
        <f>IF(E2898="","",IF(E2898="Werken","JA","NEE"))</f>
        <v/>
      </c>
      <c r="L2898" s="61">
        <f>IF(K2898="JA",N(J2898),IF(E2898="","",0))</f>
        <v/>
      </c>
      <c r="M2898" s="62">
        <f>IF(AND(A2898="",E2898=""),"",IF(E2898="","Segment ontbreekt",IF(OR(G2898="",H2898=""),"Van/tot ontbreekt",IF(N(J2898)=0,"Duur is nul",IF(N(J2898)&gt;12,"Langer dan 12 uur - controleren",IF(AND(E2898="Werken",D2898=""),"Werken zonder klant - koppelen","OK"))))))</f>
        <v/>
      </c>
    </row>
    <row r="2899" ht="15" customHeight="1" s="42">
      <c r="A2899" s="55" t="n"/>
      <c r="B2899" s="56">
        <f>IF(A2899="","",WEEKNUM(A2899,21))</f>
        <v/>
      </c>
      <c r="C2899" s="57" t="n"/>
      <c r="D2899" s="57" t="n"/>
      <c r="E2899" s="58" t="n"/>
      <c r="F2899" s="57" t="n"/>
      <c r="G2899" s="59" t="n"/>
      <c r="H2899" s="59" t="n"/>
      <c r="I2899" s="60">
        <f>IF(OR(G2899="",H2899=""),"",MOD(H2899-G2899,1))</f>
        <v/>
      </c>
      <c r="J2899" s="61">
        <f>IF(OR(G2899="",H2899=""),"",ROUND(MOD(H2899-G2899,1)*24,2))</f>
        <v/>
      </c>
      <c r="K2899" s="62">
        <f>IF(E2899="","",IF(E2899="Werken","JA","NEE"))</f>
        <v/>
      </c>
      <c r="L2899" s="61">
        <f>IF(K2899="JA",N(J2899),IF(E2899="","",0))</f>
        <v/>
      </c>
      <c r="M2899" s="62">
        <f>IF(AND(A2899="",E2899=""),"",IF(E2899="","Segment ontbreekt",IF(OR(G2899="",H2899=""),"Van/tot ontbreekt",IF(N(J2899)=0,"Duur is nul",IF(N(J2899)&gt;12,"Langer dan 12 uur - controleren",IF(AND(E2899="Werken",D2899=""),"Werken zonder klant - koppelen","OK"))))))</f>
        <v/>
      </c>
    </row>
    <row r="2900" ht="15" customHeight="1" s="42">
      <c r="A2900" s="55" t="n"/>
      <c r="B2900" s="56">
        <f>IF(A2900="","",WEEKNUM(A2900,21))</f>
        <v/>
      </c>
      <c r="C2900" s="57" t="n"/>
      <c r="D2900" s="57" t="n"/>
      <c r="E2900" s="58" t="n"/>
      <c r="F2900" s="57" t="n"/>
      <c r="G2900" s="59" t="n"/>
      <c r="H2900" s="59" t="n"/>
      <c r="I2900" s="60">
        <f>IF(OR(G2900="",H2900=""),"",MOD(H2900-G2900,1))</f>
        <v/>
      </c>
      <c r="J2900" s="61">
        <f>IF(OR(G2900="",H2900=""),"",ROUND(MOD(H2900-G2900,1)*24,2))</f>
        <v/>
      </c>
      <c r="K2900" s="62">
        <f>IF(E2900="","",IF(E2900="Werken","JA","NEE"))</f>
        <v/>
      </c>
      <c r="L2900" s="61">
        <f>IF(K2900="JA",N(J2900),IF(E2900="","",0))</f>
        <v/>
      </c>
      <c r="M2900" s="62">
        <f>IF(AND(A2900="",E2900=""),"",IF(E2900="","Segment ontbreekt",IF(OR(G2900="",H2900=""),"Van/tot ontbreekt",IF(N(J2900)=0,"Duur is nul",IF(N(J2900)&gt;12,"Langer dan 12 uur - controleren",IF(AND(E2900="Werken",D2900=""),"Werken zonder klant - koppelen","OK"))))))</f>
        <v/>
      </c>
    </row>
    <row r="2901" ht="15" customHeight="1" s="42">
      <c r="A2901" s="55" t="n"/>
      <c r="B2901" s="56">
        <f>IF(A2901="","",WEEKNUM(A2901,21))</f>
        <v/>
      </c>
      <c r="C2901" s="57" t="n"/>
      <c r="D2901" s="57" t="n"/>
      <c r="E2901" s="58" t="n"/>
      <c r="F2901" s="57" t="n"/>
      <c r="G2901" s="59" t="n"/>
      <c r="H2901" s="59" t="n"/>
      <c r="I2901" s="60">
        <f>IF(OR(G2901="",H2901=""),"",MOD(H2901-G2901,1))</f>
        <v/>
      </c>
      <c r="J2901" s="61">
        <f>IF(OR(G2901="",H2901=""),"",ROUND(MOD(H2901-G2901,1)*24,2))</f>
        <v/>
      </c>
      <c r="K2901" s="62">
        <f>IF(E2901="","",IF(E2901="Werken","JA","NEE"))</f>
        <v/>
      </c>
      <c r="L2901" s="61">
        <f>IF(K2901="JA",N(J2901),IF(E2901="","",0))</f>
        <v/>
      </c>
      <c r="M2901" s="62">
        <f>IF(AND(A2901="",E2901=""),"",IF(E2901="","Segment ontbreekt",IF(OR(G2901="",H2901=""),"Van/tot ontbreekt",IF(N(J2901)=0,"Duur is nul",IF(N(J2901)&gt;12,"Langer dan 12 uur - controleren",IF(AND(E2901="Werken",D2901=""),"Werken zonder klant - koppelen","OK"))))))</f>
        <v/>
      </c>
    </row>
    <row r="2902" ht="15" customHeight="1" s="42">
      <c r="A2902" s="55" t="n"/>
      <c r="B2902" s="56">
        <f>IF(A2902="","",WEEKNUM(A2902,21))</f>
        <v/>
      </c>
      <c r="C2902" s="57" t="n"/>
      <c r="D2902" s="57" t="n"/>
      <c r="E2902" s="58" t="n"/>
      <c r="F2902" s="57" t="n"/>
      <c r="G2902" s="59" t="n"/>
      <c r="H2902" s="59" t="n"/>
      <c r="I2902" s="60">
        <f>IF(OR(G2902="",H2902=""),"",MOD(H2902-G2902,1))</f>
        <v/>
      </c>
      <c r="J2902" s="61">
        <f>IF(OR(G2902="",H2902=""),"",ROUND(MOD(H2902-G2902,1)*24,2))</f>
        <v/>
      </c>
      <c r="K2902" s="62">
        <f>IF(E2902="","",IF(E2902="Werken","JA","NEE"))</f>
        <v/>
      </c>
      <c r="L2902" s="61">
        <f>IF(K2902="JA",N(J2902),IF(E2902="","",0))</f>
        <v/>
      </c>
      <c r="M2902" s="62">
        <f>IF(AND(A2902="",E2902=""),"",IF(E2902="","Segment ontbreekt",IF(OR(G2902="",H2902=""),"Van/tot ontbreekt",IF(N(J2902)=0,"Duur is nul",IF(N(J2902)&gt;12,"Langer dan 12 uur - controleren",IF(AND(E2902="Werken",D2902=""),"Werken zonder klant - koppelen","OK"))))))</f>
        <v/>
      </c>
    </row>
    <row r="2903" ht="15" customHeight="1" s="42">
      <c r="A2903" s="55" t="n"/>
      <c r="B2903" s="56">
        <f>IF(A2903="","",WEEKNUM(A2903,21))</f>
        <v/>
      </c>
      <c r="C2903" s="57" t="n"/>
      <c r="D2903" s="57" t="n"/>
      <c r="E2903" s="58" t="n"/>
      <c r="F2903" s="57" t="n"/>
      <c r="G2903" s="59" t="n"/>
      <c r="H2903" s="59" t="n"/>
      <c r="I2903" s="60">
        <f>IF(OR(G2903="",H2903=""),"",MOD(H2903-G2903,1))</f>
        <v/>
      </c>
      <c r="J2903" s="61">
        <f>IF(OR(G2903="",H2903=""),"",ROUND(MOD(H2903-G2903,1)*24,2))</f>
        <v/>
      </c>
      <c r="K2903" s="62">
        <f>IF(E2903="","",IF(E2903="Werken","JA","NEE"))</f>
        <v/>
      </c>
      <c r="L2903" s="61">
        <f>IF(K2903="JA",N(J2903),IF(E2903="","",0))</f>
        <v/>
      </c>
      <c r="M2903" s="62">
        <f>IF(AND(A2903="",E2903=""),"",IF(E2903="","Segment ontbreekt",IF(OR(G2903="",H2903=""),"Van/tot ontbreekt",IF(N(J2903)=0,"Duur is nul",IF(N(J2903)&gt;12,"Langer dan 12 uur - controleren",IF(AND(E2903="Werken",D2903=""),"Werken zonder klant - koppelen","OK"))))))</f>
        <v/>
      </c>
    </row>
    <row r="2904" ht="15" customHeight="1" s="42">
      <c r="A2904" s="55" t="n"/>
      <c r="B2904" s="56">
        <f>IF(A2904="","",WEEKNUM(A2904,21))</f>
        <v/>
      </c>
      <c r="C2904" s="57" t="n"/>
      <c r="D2904" s="57" t="n"/>
      <c r="E2904" s="58" t="n"/>
      <c r="F2904" s="57" t="n"/>
      <c r="G2904" s="59" t="n"/>
      <c r="H2904" s="59" t="n"/>
      <c r="I2904" s="60">
        <f>IF(OR(G2904="",H2904=""),"",MOD(H2904-G2904,1))</f>
        <v/>
      </c>
      <c r="J2904" s="61">
        <f>IF(OR(G2904="",H2904=""),"",ROUND(MOD(H2904-G2904,1)*24,2))</f>
        <v/>
      </c>
      <c r="K2904" s="62">
        <f>IF(E2904="","",IF(E2904="Werken","JA","NEE"))</f>
        <v/>
      </c>
      <c r="L2904" s="61">
        <f>IF(K2904="JA",N(J2904),IF(E2904="","",0))</f>
        <v/>
      </c>
      <c r="M2904" s="62">
        <f>IF(AND(A2904="",E2904=""),"",IF(E2904="","Segment ontbreekt",IF(OR(G2904="",H2904=""),"Van/tot ontbreekt",IF(N(J2904)=0,"Duur is nul",IF(N(J2904)&gt;12,"Langer dan 12 uur - controleren",IF(AND(E2904="Werken",D2904=""),"Werken zonder klant - koppelen","OK"))))))</f>
        <v/>
      </c>
    </row>
    <row r="2905" ht="15" customHeight="1" s="42">
      <c r="A2905" s="55" t="n"/>
      <c r="B2905" s="56">
        <f>IF(A2905="","",WEEKNUM(A2905,21))</f>
        <v/>
      </c>
      <c r="C2905" s="57" t="n"/>
      <c r="D2905" s="57" t="n"/>
      <c r="E2905" s="58" t="n"/>
      <c r="F2905" s="57" t="n"/>
      <c r="G2905" s="59" t="n"/>
      <c r="H2905" s="59" t="n"/>
      <c r="I2905" s="60">
        <f>IF(OR(G2905="",H2905=""),"",MOD(H2905-G2905,1))</f>
        <v/>
      </c>
      <c r="J2905" s="61">
        <f>IF(OR(G2905="",H2905=""),"",ROUND(MOD(H2905-G2905,1)*24,2))</f>
        <v/>
      </c>
      <c r="K2905" s="62">
        <f>IF(E2905="","",IF(E2905="Werken","JA","NEE"))</f>
        <v/>
      </c>
      <c r="L2905" s="61">
        <f>IF(K2905="JA",N(J2905),IF(E2905="","",0))</f>
        <v/>
      </c>
      <c r="M2905" s="62">
        <f>IF(AND(A2905="",E2905=""),"",IF(E2905="","Segment ontbreekt",IF(OR(G2905="",H2905=""),"Van/tot ontbreekt",IF(N(J2905)=0,"Duur is nul",IF(N(J2905)&gt;12,"Langer dan 12 uur - controleren",IF(AND(E2905="Werken",D2905=""),"Werken zonder klant - koppelen","OK"))))))</f>
        <v/>
      </c>
    </row>
    <row r="2906" ht="15" customHeight="1" s="42">
      <c r="A2906" s="55" t="n"/>
      <c r="B2906" s="56">
        <f>IF(A2906="","",WEEKNUM(A2906,21))</f>
        <v/>
      </c>
      <c r="C2906" s="57" t="n"/>
      <c r="D2906" s="57" t="n"/>
      <c r="E2906" s="58" t="n"/>
      <c r="F2906" s="57" t="n"/>
      <c r="G2906" s="59" t="n"/>
      <c r="H2906" s="59" t="n"/>
      <c r="I2906" s="60">
        <f>IF(OR(G2906="",H2906=""),"",MOD(H2906-G2906,1))</f>
        <v/>
      </c>
      <c r="J2906" s="61">
        <f>IF(OR(G2906="",H2906=""),"",ROUND(MOD(H2906-G2906,1)*24,2))</f>
        <v/>
      </c>
      <c r="K2906" s="62">
        <f>IF(E2906="","",IF(E2906="Werken","JA","NEE"))</f>
        <v/>
      </c>
      <c r="L2906" s="61">
        <f>IF(K2906="JA",N(J2906),IF(E2906="","",0))</f>
        <v/>
      </c>
      <c r="M2906" s="62">
        <f>IF(AND(A2906="",E2906=""),"",IF(E2906="","Segment ontbreekt",IF(OR(G2906="",H2906=""),"Van/tot ontbreekt",IF(N(J2906)=0,"Duur is nul",IF(N(J2906)&gt;12,"Langer dan 12 uur - controleren",IF(AND(E2906="Werken",D2906=""),"Werken zonder klant - koppelen","OK"))))))</f>
        <v/>
      </c>
    </row>
    <row r="2907" ht="15" customHeight="1" s="42">
      <c r="A2907" s="55" t="n"/>
      <c r="B2907" s="56">
        <f>IF(A2907="","",WEEKNUM(A2907,21))</f>
        <v/>
      </c>
      <c r="C2907" s="57" t="n"/>
      <c r="D2907" s="57" t="n"/>
      <c r="E2907" s="58" t="n"/>
      <c r="F2907" s="57" t="n"/>
      <c r="G2907" s="59" t="n"/>
      <c r="H2907" s="59" t="n"/>
      <c r="I2907" s="60">
        <f>IF(OR(G2907="",H2907=""),"",MOD(H2907-G2907,1))</f>
        <v/>
      </c>
      <c r="J2907" s="61">
        <f>IF(OR(G2907="",H2907=""),"",ROUND(MOD(H2907-G2907,1)*24,2))</f>
        <v/>
      </c>
      <c r="K2907" s="62">
        <f>IF(E2907="","",IF(E2907="Werken","JA","NEE"))</f>
        <v/>
      </c>
      <c r="L2907" s="61">
        <f>IF(K2907="JA",N(J2907),IF(E2907="","",0))</f>
        <v/>
      </c>
      <c r="M2907" s="62">
        <f>IF(AND(A2907="",E2907=""),"",IF(E2907="","Segment ontbreekt",IF(OR(G2907="",H2907=""),"Van/tot ontbreekt",IF(N(J2907)=0,"Duur is nul",IF(N(J2907)&gt;12,"Langer dan 12 uur - controleren",IF(AND(E2907="Werken",D2907=""),"Werken zonder klant - koppelen","OK"))))))</f>
        <v/>
      </c>
    </row>
    <row r="2908" ht="15" customHeight="1" s="42">
      <c r="A2908" s="55" t="n"/>
      <c r="B2908" s="56">
        <f>IF(A2908="","",WEEKNUM(A2908,21))</f>
        <v/>
      </c>
      <c r="C2908" s="57" t="n"/>
      <c r="D2908" s="57" t="n"/>
      <c r="E2908" s="58" t="n"/>
      <c r="F2908" s="57" t="n"/>
      <c r="G2908" s="59" t="n"/>
      <c r="H2908" s="59" t="n"/>
      <c r="I2908" s="60">
        <f>IF(OR(G2908="",H2908=""),"",MOD(H2908-G2908,1))</f>
        <v/>
      </c>
      <c r="J2908" s="61">
        <f>IF(OR(G2908="",H2908=""),"",ROUND(MOD(H2908-G2908,1)*24,2))</f>
        <v/>
      </c>
      <c r="K2908" s="62">
        <f>IF(E2908="","",IF(E2908="Werken","JA","NEE"))</f>
        <v/>
      </c>
      <c r="L2908" s="61">
        <f>IF(K2908="JA",N(J2908),IF(E2908="","",0))</f>
        <v/>
      </c>
      <c r="M2908" s="62">
        <f>IF(AND(A2908="",E2908=""),"",IF(E2908="","Segment ontbreekt",IF(OR(G2908="",H2908=""),"Van/tot ontbreekt",IF(N(J2908)=0,"Duur is nul",IF(N(J2908)&gt;12,"Langer dan 12 uur - controleren",IF(AND(E2908="Werken",D2908=""),"Werken zonder klant - koppelen","OK"))))))</f>
        <v/>
      </c>
    </row>
    <row r="2909" ht="15" customHeight="1" s="42">
      <c r="A2909" s="55" t="n"/>
      <c r="B2909" s="56">
        <f>IF(A2909="","",WEEKNUM(A2909,21))</f>
        <v/>
      </c>
      <c r="C2909" s="57" t="n"/>
      <c r="D2909" s="57" t="n"/>
      <c r="E2909" s="58" t="n"/>
      <c r="F2909" s="57" t="n"/>
      <c r="G2909" s="59" t="n"/>
      <c r="H2909" s="59" t="n"/>
      <c r="I2909" s="60">
        <f>IF(OR(G2909="",H2909=""),"",MOD(H2909-G2909,1))</f>
        <v/>
      </c>
      <c r="J2909" s="61">
        <f>IF(OR(G2909="",H2909=""),"",ROUND(MOD(H2909-G2909,1)*24,2))</f>
        <v/>
      </c>
      <c r="K2909" s="62">
        <f>IF(E2909="","",IF(E2909="Werken","JA","NEE"))</f>
        <v/>
      </c>
      <c r="L2909" s="61">
        <f>IF(K2909="JA",N(J2909),IF(E2909="","",0))</f>
        <v/>
      </c>
      <c r="M2909" s="62">
        <f>IF(AND(A2909="",E2909=""),"",IF(E2909="","Segment ontbreekt",IF(OR(G2909="",H2909=""),"Van/tot ontbreekt",IF(N(J2909)=0,"Duur is nul",IF(N(J2909)&gt;12,"Langer dan 12 uur - controleren",IF(AND(E2909="Werken",D2909=""),"Werken zonder klant - koppelen","OK"))))))</f>
        <v/>
      </c>
    </row>
    <row r="2910" ht="15" customHeight="1" s="42">
      <c r="A2910" s="55" t="n"/>
      <c r="B2910" s="56">
        <f>IF(A2910="","",WEEKNUM(A2910,21))</f>
        <v/>
      </c>
      <c r="C2910" s="57" t="n"/>
      <c r="D2910" s="57" t="n"/>
      <c r="E2910" s="58" t="n"/>
      <c r="F2910" s="57" t="n"/>
      <c r="G2910" s="59" t="n"/>
      <c r="H2910" s="59" t="n"/>
      <c r="I2910" s="60">
        <f>IF(OR(G2910="",H2910=""),"",MOD(H2910-G2910,1))</f>
        <v/>
      </c>
      <c r="J2910" s="61">
        <f>IF(OR(G2910="",H2910=""),"",ROUND(MOD(H2910-G2910,1)*24,2))</f>
        <v/>
      </c>
      <c r="K2910" s="62">
        <f>IF(E2910="","",IF(E2910="Werken","JA","NEE"))</f>
        <v/>
      </c>
      <c r="L2910" s="61">
        <f>IF(K2910="JA",N(J2910),IF(E2910="","",0))</f>
        <v/>
      </c>
      <c r="M2910" s="62">
        <f>IF(AND(A2910="",E2910=""),"",IF(E2910="","Segment ontbreekt",IF(OR(G2910="",H2910=""),"Van/tot ontbreekt",IF(N(J2910)=0,"Duur is nul",IF(N(J2910)&gt;12,"Langer dan 12 uur - controleren",IF(AND(E2910="Werken",D2910=""),"Werken zonder klant - koppelen","OK"))))))</f>
        <v/>
      </c>
    </row>
    <row r="2911" ht="15" customHeight="1" s="42">
      <c r="A2911" s="55" t="n"/>
      <c r="B2911" s="56">
        <f>IF(A2911="","",WEEKNUM(A2911,21))</f>
        <v/>
      </c>
      <c r="C2911" s="57" t="n"/>
      <c r="D2911" s="57" t="n"/>
      <c r="E2911" s="58" t="n"/>
      <c r="F2911" s="57" t="n"/>
      <c r="G2911" s="59" t="n"/>
      <c r="H2911" s="59" t="n"/>
      <c r="I2911" s="60">
        <f>IF(OR(G2911="",H2911=""),"",MOD(H2911-G2911,1))</f>
        <v/>
      </c>
      <c r="J2911" s="61">
        <f>IF(OR(G2911="",H2911=""),"",ROUND(MOD(H2911-G2911,1)*24,2))</f>
        <v/>
      </c>
      <c r="K2911" s="62">
        <f>IF(E2911="","",IF(E2911="Werken","JA","NEE"))</f>
        <v/>
      </c>
      <c r="L2911" s="61">
        <f>IF(K2911="JA",N(J2911),IF(E2911="","",0))</f>
        <v/>
      </c>
      <c r="M2911" s="62">
        <f>IF(AND(A2911="",E2911=""),"",IF(E2911="","Segment ontbreekt",IF(OR(G2911="",H2911=""),"Van/tot ontbreekt",IF(N(J2911)=0,"Duur is nul",IF(N(J2911)&gt;12,"Langer dan 12 uur - controleren",IF(AND(E2911="Werken",D2911=""),"Werken zonder klant - koppelen","OK"))))))</f>
        <v/>
      </c>
    </row>
    <row r="2912" ht="15" customHeight="1" s="42">
      <c r="A2912" s="55" t="n"/>
      <c r="B2912" s="56">
        <f>IF(A2912="","",WEEKNUM(A2912,21))</f>
        <v/>
      </c>
      <c r="C2912" s="57" t="n"/>
      <c r="D2912" s="57" t="n"/>
      <c r="E2912" s="58" t="n"/>
      <c r="F2912" s="57" t="n"/>
      <c r="G2912" s="59" t="n"/>
      <c r="H2912" s="59" t="n"/>
      <c r="I2912" s="60">
        <f>IF(OR(G2912="",H2912=""),"",MOD(H2912-G2912,1))</f>
        <v/>
      </c>
      <c r="J2912" s="61">
        <f>IF(OR(G2912="",H2912=""),"",ROUND(MOD(H2912-G2912,1)*24,2))</f>
        <v/>
      </c>
      <c r="K2912" s="62">
        <f>IF(E2912="","",IF(E2912="Werken","JA","NEE"))</f>
        <v/>
      </c>
      <c r="L2912" s="61">
        <f>IF(K2912="JA",N(J2912),IF(E2912="","",0))</f>
        <v/>
      </c>
      <c r="M2912" s="62">
        <f>IF(AND(A2912="",E2912=""),"",IF(E2912="","Segment ontbreekt",IF(OR(G2912="",H2912=""),"Van/tot ontbreekt",IF(N(J2912)=0,"Duur is nul",IF(N(J2912)&gt;12,"Langer dan 12 uur - controleren",IF(AND(E2912="Werken",D2912=""),"Werken zonder klant - koppelen","OK"))))))</f>
        <v/>
      </c>
    </row>
    <row r="2913" ht="15" customHeight="1" s="42">
      <c r="A2913" s="55" t="n"/>
      <c r="B2913" s="56">
        <f>IF(A2913="","",WEEKNUM(A2913,21))</f>
        <v/>
      </c>
      <c r="C2913" s="57" t="n"/>
      <c r="D2913" s="57" t="n"/>
      <c r="E2913" s="58" t="n"/>
      <c r="F2913" s="57" t="n"/>
      <c r="G2913" s="59" t="n"/>
      <c r="H2913" s="59" t="n"/>
      <c r="I2913" s="60">
        <f>IF(OR(G2913="",H2913=""),"",MOD(H2913-G2913,1))</f>
        <v/>
      </c>
      <c r="J2913" s="61">
        <f>IF(OR(G2913="",H2913=""),"",ROUND(MOD(H2913-G2913,1)*24,2))</f>
        <v/>
      </c>
      <c r="K2913" s="62">
        <f>IF(E2913="","",IF(E2913="Werken","JA","NEE"))</f>
        <v/>
      </c>
      <c r="L2913" s="61">
        <f>IF(K2913="JA",N(J2913),IF(E2913="","",0))</f>
        <v/>
      </c>
      <c r="M2913" s="62">
        <f>IF(AND(A2913="",E2913=""),"",IF(E2913="","Segment ontbreekt",IF(OR(G2913="",H2913=""),"Van/tot ontbreekt",IF(N(J2913)=0,"Duur is nul",IF(N(J2913)&gt;12,"Langer dan 12 uur - controleren",IF(AND(E2913="Werken",D2913=""),"Werken zonder klant - koppelen","OK"))))))</f>
        <v/>
      </c>
    </row>
    <row r="2914" ht="15" customHeight="1" s="42">
      <c r="A2914" s="55" t="n"/>
      <c r="B2914" s="56">
        <f>IF(A2914="","",WEEKNUM(A2914,21))</f>
        <v/>
      </c>
      <c r="C2914" s="57" t="n"/>
      <c r="D2914" s="57" t="n"/>
      <c r="E2914" s="58" t="n"/>
      <c r="F2914" s="57" t="n"/>
      <c r="G2914" s="59" t="n"/>
      <c r="H2914" s="59" t="n"/>
      <c r="I2914" s="60">
        <f>IF(OR(G2914="",H2914=""),"",MOD(H2914-G2914,1))</f>
        <v/>
      </c>
      <c r="J2914" s="61">
        <f>IF(OR(G2914="",H2914=""),"",ROUND(MOD(H2914-G2914,1)*24,2))</f>
        <v/>
      </c>
      <c r="K2914" s="62">
        <f>IF(E2914="","",IF(E2914="Werken","JA","NEE"))</f>
        <v/>
      </c>
      <c r="L2914" s="61">
        <f>IF(K2914="JA",N(J2914),IF(E2914="","",0))</f>
        <v/>
      </c>
      <c r="M2914" s="62">
        <f>IF(AND(A2914="",E2914=""),"",IF(E2914="","Segment ontbreekt",IF(OR(G2914="",H2914=""),"Van/tot ontbreekt",IF(N(J2914)=0,"Duur is nul",IF(N(J2914)&gt;12,"Langer dan 12 uur - controleren",IF(AND(E2914="Werken",D2914=""),"Werken zonder klant - koppelen","OK"))))))</f>
        <v/>
      </c>
    </row>
    <row r="2915" ht="15" customHeight="1" s="42">
      <c r="A2915" s="55" t="n"/>
      <c r="B2915" s="56">
        <f>IF(A2915="","",WEEKNUM(A2915,21))</f>
        <v/>
      </c>
      <c r="C2915" s="57" t="n"/>
      <c r="D2915" s="57" t="n"/>
      <c r="E2915" s="58" t="n"/>
      <c r="F2915" s="57" t="n"/>
      <c r="G2915" s="59" t="n"/>
      <c r="H2915" s="59" t="n"/>
      <c r="I2915" s="60">
        <f>IF(OR(G2915="",H2915=""),"",MOD(H2915-G2915,1))</f>
        <v/>
      </c>
      <c r="J2915" s="61">
        <f>IF(OR(G2915="",H2915=""),"",ROUND(MOD(H2915-G2915,1)*24,2))</f>
        <v/>
      </c>
      <c r="K2915" s="62">
        <f>IF(E2915="","",IF(E2915="Werken","JA","NEE"))</f>
        <v/>
      </c>
      <c r="L2915" s="61">
        <f>IF(K2915="JA",N(J2915),IF(E2915="","",0))</f>
        <v/>
      </c>
      <c r="M2915" s="62">
        <f>IF(AND(A2915="",E2915=""),"",IF(E2915="","Segment ontbreekt",IF(OR(G2915="",H2915=""),"Van/tot ontbreekt",IF(N(J2915)=0,"Duur is nul",IF(N(J2915)&gt;12,"Langer dan 12 uur - controleren",IF(AND(E2915="Werken",D2915=""),"Werken zonder klant - koppelen","OK"))))))</f>
        <v/>
      </c>
    </row>
    <row r="2916" ht="15" customHeight="1" s="42">
      <c r="A2916" s="55" t="n"/>
      <c r="B2916" s="56">
        <f>IF(A2916="","",WEEKNUM(A2916,21))</f>
        <v/>
      </c>
      <c r="C2916" s="57" t="n"/>
      <c r="D2916" s="57" t="n"/>
      <c r="E2916" s="58" t="n"/>
      <c r="F2916" s="57" t="n"/>
      <c r="G2916" s="59" t="n"/>
      <c r="H2916" s="59" t="n"/>
      <c r="I2916" s="60">
        <f>IF(OR(G2916="",H2916=""),"",MOD(H2916-G2916,1))</f>
        <v/>
      </c>
      <c r="J2916" s="61">
        <f>IF(OR(G2916="",H2916=""),"",ROUND(MOD(H2916-G2916,1)*24,2))</f>
        <v/>
      </c>
      <c r="K2916" s="62">
        <f>IF(E2916="","",IF(E2916="Werken","JA","NEE"))</f>
        <v/>
      </c>
      <c r="L2916" s="61">
        <f>IF(K2916="JA",N(J2916),IF(E2916="","",0))</f>
        <v/>
      </c>
      <c r="M2916" s="62">
        <f>IF(AND(A2916="",E2916=""),"",IF(E2916="","Segment ontbreekt",IF(OR(G2916="",H2916=""),"Van/tot ontbreekt",IF(N(J2916)=0,"Duur is nul",IF(N(J2916)&gt;12,"Langer dan 12 uur - controleren",IF(AND(E2916="Werken",D2916=""),"Werken zonder klant - koppelen","OK"))))))</f>
        <v/>
      </c>
    </row>
    <row r="2917" ht="15" customHeight="1" s="42">
      <c r="A2917" s="55" t="n"/>
      <c r="B2917" s="56">
        <f>IF(A2917="","",WEEKNUM(A2917,21))</f>
        <v/>
      </c>
      <c r="C2917" s="57" t="n"/>
      <c r="D2917" s="57" t="n"/>
      <c r="E2917" s="58" t="n"/>
      <c r="F2917" s="57" t="n"/>
      <c r="G2917" s="59" t="n"/>
      <c r="H2917" s="59" t="n"/>
      <c r="I2917" s="60">
        <f>IF(OR(G2917="",H2917=""),"",MOD(H2917-G2917,1))</f>
        <v/>
      </c>
      <c r="J2917" s="61">
        <f>IF(OR(G2917="",H2917=""),"",ROUND(MOD(H2917-G2917,1)*24,2))</f>
        <v/>
      </c>
      <c r="K2917" s="62">
        <f>IF(E2917="","",IF(E2917="Werken","JA","NEE"))</f>
        <v/>
      </c>
      <c r="L2917" s="61">
        <f>IF(K2917="JA",N(J2917),IF(E2917="","",0))</f>
        <v/>
      </c>
      <c r="M2917" s="62">
        <f>IF(AND(A2917="",E2917=""),"",IF(E2917="","Segment ontbreekt",IF(OR(G2917="",H2917=""),"Van/tot ontbreekt",IF(N(J2917)=0,"Duur is nul",IF(N(J2917)&gt;12,"Langer dan 12 uur - controleren",IF(AND(E2917="Werken",D2917=""),"Werken zonder klant - koppelen","OK"))))))</f>
        <v/>
      </c>
    </row>
    <row r="2918" ht="15" customHeight="1" s="42">
      <c r="A2918" s="55" t="n"/>
      <c r="B2918" s="56">
        <f>IF(A2918="","",WEEKNUM(A2918,21))</f>
        <v/>
      </c>
      <c r="C2918" s="57" t="n"/>
      <c r="D2918" s="57" t="n"/>
      <c r="E2918" s="58" t="n"/>
      <c r="F2918" s="57" t="n"/>
      <c r="G2918" s="59" t="n"/>
      <c r="H2918" s="59" t="n"/>
      <c r="I2918" s="60">
        <f>IF(OR(G2918="",H2918=""),"",MOD(H2918-G2918,1))</f>
        <v/>
      </c>
      <c r="J2918" s="61">
        <f>IF(OR(G2918="",H2918=""),"",ROUND(MOD(H2918-G2918,1)*24,2))</f>
        <v/>
      </c>
      <c r="K2918" s="62">
        <f>IF(E2918="","",IF(E2918="Werken","JA","NEE"))</f>
        <v/>
      </c>
      <c r="L2918" s="61">
        <f>IF(K2918="JA",N(J2918),IF(E2918="","",0))</f>
        <v/>
      </c>
      <c r="M2918" s="62">
        <f>IF(AND(A2918="",E2918=""),"",IF(E2918="","Segment ontbreekt",IF(OR(G2918="",H2918=""),"Van/tot ontbreekt",IF(N(J2918)=0,"Duur is nul",IF(N(J2918)&gt;12,"Langer dan 12 uur - controleren",IF(AND(E2918="Werken",D2918=""),"Werken zonder klant - koppelen","OK"))))))</f>
        <v/>
      </c>
    </row>
    <row r="2919" ht="15" customHeight="1" s="42">
      <c r="A2919" s="55" t="n"/>
      <c r="B2919" s="56">
        <f>IF(A2919="","",WEEKNUM(A2919,21))</f>
        <v/>
      </c>
      <c r="C2919" s="57" t="n"/>
      <c r="D2919" s="57" t="n"/>
      <c r="E2919" s="58" t="n"/>
      <c r="F2919" s="57" t="n"/>
      <c r="G2919" s="59" t="n"/>
      <c r="H2919" s="59" t="n"/>
      <c r="I2919" s="60">
        <f>IF(OR(G2919="",H2919=""),"",MOD(H2919-G2919,1))</f>
        <v/>
      </c>
      <c r="J2919" s="61">
        <f>IF(OR(G2919="",H2919=""),"",ROUND(MOD(H2919-G2919,1)*24,2))</f>
        <v/>
      </c>
      <c r="K2919" s="62">
        <f>IF(E2919="","",IF(E2919="Werken","JA","NEE"))</f>
        <v/>
      </c>
      <c r="L2919" s="61">
        <f>IF(K2919="JA",N(J2919),IF(E2919="","",0))</f>
        <v/>
      </c>
      <c r="M2919" s="62">
        <f>IF(AND(A2919="",E2919=""),"",IF(E2919="","Segment ontbreekt",IF(OR(G2919="",H2919=""),"Van/tot ontbreekt",IF(N(J2919)=0,"Duur is nul",IF(N(J2919)&gt;12,"Langer dan 12 uur - controleren",IF(AND(E2919="Werken",D2919=""),"Werken zonder klant - koppelen","OK"))))))</f>
        <v/>
      </c>
    </row>
    <row r="2920" ht="15" customHeight="1" s="42">
      <c r="A2920" s="55" t="n"/>
      <c r="B2920" s="56">
        <f>IF(A2920="","",WEEKNUM(A2920,21))</f>
        <v/>
      </c>
      <c r="C2920" s="57" t="n"/>
      <c r="D2920" s="57" t="n"/>
      <c r="E2920" s="58" t="n"/>
      <c r="F2920" s="57" t="n"/>
      <c r="G2920" s="59" t="n"/>
      <c r="H2920" s="59" t="n"/>
      <c r="I2920" s="60">
        <f>IF(OR(G2920="",H2920=""),"",MOD(H2920-G2920,1))</f>
        <v/>
      </c>
      <c r="J2920" s="61">
        <f>IF(OR(G2920="",H2920=""),"",ROUND(MOD(H2920-G2920,1)*24,2))</f>
        <v/>
      </c>
      <c r="K2920" s="62">
        <f>IF(E2920="","",IF(E2920="Werken","JA","NEE"))</f>
        <v/>
      </c>
      <c r="L2920" s="61">
        <f>IF(K2920="JA",N(J2920),IF(E2920="","",0))</f>
        <v/>
      </c>
      <c r="M2920" s="62">
        <f>IF(AND(A2920="",E2920=""),"",IF(E2920="","Segment ontbreekt",IF(OR(G2920="",H2920=""),"Van/tot ontbreekt",IF(N(J2920)=0,"Duur is nul",IF(N(J2920)&gt;12,"Langer dan 12 uur - controleren",IF(AND(E2920="Werken",D2920=""),"Werken zonder klant - koppelen","OK"))))))</f>
        <v/>
      </c>
    </row>
    <row r="2921" ht="15" customHeight="1" s="42">
      <c r="A2921" s="55" t="n"/>
      <c r="B2921" s="56">
        <f>IF(A2921="","",WEEKNUM(A2921,21))</f>
        <v/>
      </c>
      <c r="C2921" s="57" t="n"/>
      <c r="D2921" s="57" t="n"/>
      <c r="E2921" s="58" t="n"/>
      <c r="F2921" s="57" t="n"/>
      <c r="G2921" s="59" t="n"/>
      <c r="H2921" s="59" t="n"/>
      <c r="I2921" s="60">
        <f>IF(OR(G2921="",H2921=""),"",MOD(H2921-G2921,1))</f>
        <v/>
      </c>
      <c r="J2921" s="61">
        <f>IF(OR(G2921="",H2921=""),"",ROUND(MOD(H2921-G2921,1)*24,2))</f>
        <v/>
      </c>
      <c r="K2921" s="62">
        <f>IF(E2921="","",IF(E2921="Werken","JA","NEE"))</f>
        <v/>
      </c>
      <c r="L2921" s="61">
        <f>IF(K2921="JA",N(J2921),IF(E2921="","",0))</f>
        <v/>
      </c>
      <c r="M2921" s="62">
        <f>IF(AND(A2921="",E2921=""),"",IF(E2921="","Segment ontbreekt",IF(OR(G2921="",H2921=""),"Van/tot ontbreekt",IF(N(J2921)=0,"Duur is nul",IF(N(J2921)&gt;12,"Langer dan 12 uur - controleren",IF(AND(E2921="Werken",D2921=""),"Werken zonder klant - koppelen","OK"))))))</f>
        <v/>
      </c>
    </row>
    <row r="2922" ht="15" customHeight="1" s="42">
      <c r="A2922" s="55" t="n"/>
      <c r="B2922" s="56">
        <f>IF(A2922="","",WEEKNUM(A2922,21))</f>
        <v/>
      </c>
      <c r="C2922" s="57" t="n"/>
      <c r="D2922" s="57" t="n"/>
      <c r="E2922" s="58" t="n"/>
      <c r="F2922" s="57" t="n"/>
      <c r="G2922" s="59" t="n"/>
      <c r="H2922" s="59" t="n"/>
      <c r="I2922" s="60">
        <f>IF(OR(G2922="",H2922=""),"",MOD(H2922-G2922,1))</f>
        <v/>
      </c>
      <c r="J2922" s="61">
        <f>IF(OR(G2922="",H2922=""),"",ROUND(MOD(H2922-G2922,1)*24,2))</f>
        <v/>
      </c>
      <c r="K2922" s="62">
        <f>IF(E2922="","",IF(E2922="Werken","JA","NEE"))</f>
        <v/>
      </c>
      <c r="L2922" s="61">
        <f>IF(K2922="JA",N(J2922),IF(E2922="","",0))</f>
        <v/>
      </c>
      <c r="M2922" s="62">
        <f>IF(AND(A2922="",E2922=""),"",IF(E2922="","Segment ontbreekt",IF(OR(G2922="",H2922=""),"Van/tot ontbreekt",IF(N(J2922)=0,"Duur is nul",IF(N(J2922)&gt;12,"Langer dan 12 uur - controleren",IF(AND(E2922="Werken",D2922=""),"Werken zonder klant - koppelen","OK"))))))</f>
        <v/>
      </c>
    </row>
    <row r="2923" ht="15" customHeight="1" s="42">
      <c r="A2923" s="55" t="n"/>
      <c r="B2923" s="56">
        <f>IF(A2923="","",WEEKNUM(A2923,21))</f>
        <v/>
      </c>
      <c r="C2923" s="57" t="n"/>
      <c r="D2923" s="57" t="n"/>
      <c r="E2923" s="58" t="n"/>
      <c r="F2923" s="57" t="n"/>
      <c r="G2923" s="59" t="n"/>
      <c r="H2923" s="59" t="n"/>
      <c r="I2923" s="60">
        <f>IF(OR(G2923="",H2923=""),"",MOD(H2923-G2923,1))</f>
        <v/>
      </c>
      <c r="J2923" s="61">
        <f>IF(OR(G2923="",H2923=""),"",ROUND(MOD(H2923-G2923,1)*24,2))</f>
        <v/>
      </c>
      <c r="K2923" s="62">
        <f>IF(E2923="","",IF(E2923="Werken","JA","NEE"))</f>
        <v/>
      </c>
      <c r="L2923" s="61">
        <f>IF(K2923="JA",N(J2923),IF(E2923="","",0))</f>
        <v/>
      </c>
      <c r="M2923" s="62">
        <f>IF(AND(A2923="",E2923=""),"",IF(E2923="","Segment ontbreekt",IF(OR(G2923="",H2923=""),"Van/tot ontbreekt",IF(N(J2923)=0,"Duur is nul",IF(N(J2923)&gt;12,"Langer dan 12 uur - controleren",IF(AND(E2923="Werken",D2923=""),"Werken zonder klant - koppelen","OK"))))))</f>
        <v/>
      </c>
    </row>
    <row r="2924" ht="15" customHeight="1" s="42">
      <c r="A2924" s="55" t="n"/>
      <c r="B2924" s="56">
        <f>IF(A2924="","",WEEKNUM(A2924,21))</f>
        <v/>
      </c>
      <c r="C2924" s="57" t="n"/>
      <c r="D2924" s="57" t="n"/>
      <c r="E2924" s="58" t="n"/>
      <c r="F2924" s="57" t="n"/>
      <c r="G2924" s="59" t="n"/>
      <c r="H2924" s="59" t="n"/>
      <c r="I2924" s="60">
        <f>IF(OR(G2924="",H2924=""),"",MOD(H2924-G2924,1))</f>
        <v/>
      </c>
      <c r="J2924" s="61">
        <f>IF(OR(G2924="",H2924=""),"",ROUND(MOD(H2924-G2924,1)*24,2))</f>
        <v/>
      </c>
      <c r="K2924" s="62">
        <f>IF(E2924="","",IF(E2924="Werken","JA","NEE"))</f>
        <v/>
      </c>
      <c r="L2924" s="61">
        <f>IF(K2924="JA",N(J2924),IF(E2924="","",0))</f>
        <v/>
      </c>
      <c r="M2924" s="62">
        <f>IF(AND(A2924="",E2924=""),"",IF(E2924="","Segment ontbreekt",IF(OR(G2924="",H2924=""),"Van/tot ontbreekt",IF(N(J2924)=0,"Duur is nul",IF(N(J2924)&gt;12,"Langer dan 12 uur - controleren",IF(AND(E2924="Werken",D2924=""),"Werken zonder klant - koppelen","OK"))))))</f>
        <v/>
      </c>
    </row>
    <row r="2925" ht="15" customHeight="1" s="42">
      <c r="A2925" s="55" t="n"/>
      <c r="B2925" s="56">
        <f>IF(A2925="","",WEEKNUM(A2925,21))</f>
        <v/>
      </c>
      <c r="C2925" s="57" t="n"/>
      <c r="D2925" s="57" t="n"/>
      <c r="E2925" s="58" t="n"/>
      <c r="F2925" s="57" t="n"/>
      <c r="G2925" s="59" t="n"/>
      <c r="H2925" s="59" t="n"/>
      <c r="I2925" s="60">
        <f>IF(OR(G2925="",H2925=""),"",MOD(H2925-G2925,1))</f>
        <v/>
      </c>
      <c r="J2925" s="61">
        <f>IF(OR(G2925="",H2925=""),"",ROUND(MOD(H2925-G2925,1)*24,2))</f>
        <v/>
      </c>
      <c r="K2925" s="62">
        <f>IF(E2925="","",IF(E2925="Werken","JA","NEE"))</f>
        <v/>
      </c>
      <c r="L2925" s="61">
        <f>IF(K2925="JA",N(J2925),IF(E2925="","",0))</f>
        <v/>
      </c>
      <c r="M2925" s="62">
        <f>IF(AND(A2925="",E2925=""),"",IF(E2925="","Segment ontbreekt",IF(OR(G2925="",H2925=""),"Van/tot ontbreekt",IF(N(J2925)=0,"Duur is nul",IF(N(J2925)&gt;12,"Langer dan 12 uur - controleren",IF(AND(E2925="Werken",D2925=""),"Werken zonder klant - koppelen","OK"))))))</f>
        <v/>
      </c>
    </row>
    <row r="2926" ht="15" customHeight="1" s="42">
      <c r="A2926" s="55" t="n"/>
      <c r="B2926" s="56">
        <f>IF(A2926="","",WEEKNUM(A2926,21))</f>
        <v/>
      </c>
      <c r="C2926" s="57" t="n"/>
      <c r="D2926" s="57" t="n"/>
      <c r="E2926" s="58" t="n"/>
      <c r="F2926" s="57" t="n"/>
      <c r="G2926" s="59" t="n"/>
      <c r="H2926" s="59" t="n"/>
      <c r="I2926" s="60">
        <f>IF(OR(G2926="",H2926=""),"",MOD(H2926-G2926,1))</f>
        <v/>
      </c>
      <c r="J2926" s="61">
        <f>IF(OR(G2926="",H2926=""),"",ROUND(MOD(H2926-G2926,1)*24,2))</f>
        <v/>
      </c>
      <c r="K2926" s="62">
        <f>IF(E2926="","",IF(E2926="Werken","JA","NEE"))</f>
        <v/>
      </c>
      <c r="L2926" s="61">
        <f>IF(K2926="JA",N(J2926),IF(E2926="","",0))</f>
        <v/>
      </c>
      <c r="M2926" s="62">
        <f>IF(AND(A2926="",E2926=""),"",IF(E2926="","Segment ontbreekt",IF(OR(G2926="",H2926=""),"Van/tot ontbreekt",IF(N(J2926)=0,"Duur is nul",IF(N(J2926)&gt;12,"Langer dan 12 uur - controleren",IF(AND(E2926="Werken",D2926=""),"Werken zonder klant - koppelen","OK"))))))</f>
        <v/>
      </c>
    </row>
    <row r="2927" ht="15" customHeight="1" s="42">
      <c r="A2927" s="55" t="n"/>
      <c r="B2927" s="56">
        <f>IF(A2927="","",WEEKNUM(A2927,21))</f>
        <v/>
      </c>
      <c r="C2927" s="57" t="n"/>
      <c r="D2927" s="57" t="n"/>
      <c r="E2927" s="58" t="n"/>
      <c r="F2927" s="57" t="n"/>
      <c r="G2927" s="59" t="n"/>
      <c r="H2927" s="59" t="n"/>
      <c r="I2927" s="60">
        <f>IF(OR(G2927="",H2927=""),"",MOD(H2927-G2927,1))</f>
        <v/>
      </c>
      <c r="J2927" s="61">
        <f>IF(OR(G2927="",H2927=""),"",ROUND(MOD(H2927-G2927,1)*24,2))</f>
        <v/>
      </c>
      <c r="K2927" s="62">
        <f>IF(E2927="","",IF(E2927="Werken","JA","NEE"))</f>
        <v/>
      </c>
      <c r="L2927" s="61">
        <f>IF(K2927="JA",N(J2927),IF(E2927="","",0))</f>
        <v/>
      </c>
      <c r="M2927" s="62">
        <f>IF(AND(A2927="",E2927=""),"",IF(E2927="","Segment ontbreekt",IF(OR(G2927="",H2927=""),"Van/tot ontbreekt",IF(N(J2927)=0,"Duur is nul",IF(N(J2927)&gt;12,"Langer dan 12 uur - controleren",IF(AND(E2927="Werken",D2927=""),"Werken zonder klant - koppelen","OK"))))))</f>
        <v/>
      </c>
    </row>
    <row r="2928" ht="15" customHeight="1" s="42">
      <c r="A2928" s="55" t="n"/>
      <c r="B2928" s="56">
        <f>IF(A2928="","",WEEKNUM(A2928,21))</f>
        <v/>
      </c>
      <c r="C2928" s="57" t="n"/>
      <c r="D2928" s="57" t="n"/>
      <c r="E2928" s="58" t="n"/>
      <c r="F2928" s="57" t="n"/>
      <c r="G2928" s="59" t="n"/>
      <c r="H2928" s="59" t="n"/>
      <c r="I2928" s="60">
        <f>IF(OR(G2928="",H2928=""),"",MOD(H2928-G2928,1))</f>
        <v/>
      </c>
      <c r="J2928" s="61">
        <f>IF(OR(G2928="",H2928=""),"",ROUND(MOD(H2928-G2928,1)*24,2))</f>
        <v/>
      </c>
      <c r="K2928" s="62">
        <f>IF(E2928="","",IF(E2928="Werken","JA","NEE"))</f>
        <v/>
      </c>
      <c r="L2928" s="61">
        <f>IF(K2928="JA",N(J2928),IF(E2928="","",0))</f>
        <v/>
      </c>
      <c r="M2928" s="62">
        <f>IF(AND(A2928="",E2928=""),"",IF(E2928="","Segment ontbreekt",IF(OR(G2928="",H2928=""),"Van/tot ontbreekt",IF(N(J2928)=0,"Duur is nul",IF(N(J2928)&gt;12,"Langer dan 12 uur - controleren",IF(AND(E2928="Werken",D2928=""),"Werken zonder klant - koppelen","OK"))))))</f>
        <v/>
      </c>
    </row>
    <row r="2929" ht="15" customHeight="1" s="42">
      <c r="A2929" s="55" t="n"/>
      <c r="B2929" s="56">
        <f>IF(A2929="","",WEEKNUM(A2929,21))</f>
        <v/>
      </c>
      <c r="C2929" s="57" t="n"/>
      <c r="D2929" s="57" t="n"/>
      <c r="E2929" s="58" t="n"/>
      <c r="F2929" s="57" t="n"/>
      <c r="G2929" s="59" t="n"/>
      <c r="H2929" s="59" t="n"/>
      <c r="I2929" s="60">
        <f>IF(OR(G2929="",H2929=""),"",MOD(H2929-G2929,1))</f>
        <v/>
      </c>
      <c r="J2929" s="61">
        <f>IF(OR(G2929="",H2929=""),"",ROUND(MOD(H2929-G2929,1)*24,2))</f>
        <v/>
      </c>
      <c r="K2929" s="62">
        <f>IF(E2929="","",IF(E2929="Werken","JA","NEE"))</f>
        <v/>
      </c>
      <c r="L2929" s="61">
        <f>IF(K2929="JA",N(J2929),IF(E2929="","",0))</f>
        <v/>
      </c>
      <c r="M2929" s="62">
        <f>IF(AND(A2929="",E2929=""),"",IF(E2929="","Segment ontbreekt",IF(OR(G2929="",H2929=""),"Van/tot ontbreekt",IF(N(J2929)=0,"Duur is nul",IF(N(J2929)&gt;12,"Langer dan 12 uur - controleren",IF(AND(E2929="Werken",D2929=""),"Werken zonder klant - koppelen","OK"))))))</f>
        <v/>
      </c>
    </row>
    <row r="2930" ht="15" customHeight="1" s="42">
      <c r="A2930" s="55" t="n"/>
      <c r="B2930" s="56">
        <f>IF(A2930="","",WEEKNUM(A2930,21))</f>
        <v/>
      </c>
      <c r="C2930" s="57" t="n"/>
      <c r="D2930" s="57" t="n"/>
      <c r="E2930" s="58" t="n"/>
      <c r="F2930" s="57" t="n"/>
      <c r="G2930" s="59" t="n"/>
      <c r="H2930" s="59" t="n"/>
      <c r="I2930" s="60">
        <f>IF(OR(G2930="",H2930=""),"",MOD(H2930-G2930,1))</f>
        <v/>
      </c>
      <c r="J2930" s="61">
        <f>IF(OR(G2930="",H2930=""),"",ROUND(MOD(H2930-G2930,1)*24,2))</f>
        <v/>
      </c>
      <c r="K2930" s="62">
        <f>IF(E2930="","",IF(E2930="Werken","JA","NEE"))</f>
        <v/>
      </c>
      <c r="L2930" s="61">
        <f>IF(K2930="JA",N(J2930),IF(E2930="","",0))</f>
        <v/>
      </c>
      <c r="M2930" s="62">
        <f>IF(AND(A2930="",E2930=""),"",IF(E2930="","Segment ontbreekt",IF(OR(G2930="",H2930=""),"Van/tot ontbreekt",IF(N(J2930)=0,"Duur is nul",IF(N(J2930)&gt;12,"Langer dan 12 uur - controleren",IF(AND(E2930="Werken",D2930=""),"Werken zonder klant - koppelen","OK"))))))</f>
        <v/>
      </c>
    </row>
    <row r="2931" ht="15" customHeight="1" s="42">
      <c r="A2931" s="55" t="n"/>
      <c r="B2931" s="56">
        <f>IF(A2931="","",WEEKNUM(A2931,21))</f>
        <v/>
      </c>
      <c r="C2931" s="57" t="n"/>
      <c r="D2931" s="57" t="n"/>
      <c r="E2931" s="58" t="n"/>
      <c r="F2931" s="57" t="n"/>
      <c r="G2931" s="59" t="n"/>
      <c r="H2931" s="59" t="n"/>
      <c r="I2931" s="60">
        <f>IF(OR(G2931="",H2931=""),"",MOD(H2931-G2931,1))</f>
        <v/>
      </c>
      <c r="J2931" s="61">
        <f>IF(OR(G2931="",H2931=""),"",ROUND(MOD(H2931-G2931,1)*24,2))</f>
        <v/>
      </c>
      <c r="K2931" s="62">
        <f>IF(E2931="","",IF(E2931="Werken","JA","NEE"))</f>
        <v/>
      </c>
      <c r="L2931" s="61">
        <f>IF(K2931="JA",N(J2931),IF(E2931="","",0))</f>
        <v/>
      </c>
      <c r="M2931" s="62">
        <f>IF(AND(A2931="",E2931=""),"",IF(E2931="","Segment ontbreekt",IF(OR(G2931="",H2931=""),"Van/tot ontbreekt",IF(N(J2931)=0,"Duur is nul",IF(N(J2931)&gt;12,"Langer dan 12 uur - controleren",IF(AND(E2931="Werken",D2931=""),"Werken zonder klant - koppelen","OK"))))))</f>
        <v/>
      </c>
    </row>
    <row r="2932" ht="15" customHeight="1" s="42">
      <c r="A2932" s="55" t="n"/>
      <c r="B2932" s="56">
        <f>IF(A2932="","",WEEKNUM(A2932,21))</f>
        <v/>
      </c>
      <c r="C2932" s="57" t="n"/>
      <c r="D2932" s="57" t="n"/>
      <c r="E2932" s="58" t="n"/>
      <c r="F2932" s="57" t="n"/>
      <c r="G2932" s="59" t="n"/>
      <c r="H2932" s="59" t="n"/>
      <c r="I2932" s="60">
        <f>IF(OR(G2932="",H2932=""),"",MOD(H2932-G2932,1))</f>
        <v/>
      </c>
      <c r="J2932" s="61">
        <f>IF(OR(G2932="",H2932=""),"",ROUND(MOD(H2932-G2932,1)*24,2))</f>
        <v/>
      </c>
      <c r="K2932" s="62">
        <f>IF(E2932="","",IF(E2932="Werken","JA","NEE"))</f>
        <v/>
      </c>
      <c r="L2932" s="61">
        <f>IF(K2932="JA",N(J2932),IF(E2932="","",0))</f>
        <v/>
      </c>
      <c r="M2932" s="62">
        <f>IF(AND(A2932="",E2932=""),"",IF(E2932="","Segment ontbreekt",IF(OR(G2932="",H2932=""),"Van/tot ontbreekt",IF(N(J2932)=0,"Duur is nul",IF(N(J2932)&gt;12,"Langer dan 12 uur - controleren",IF(AND(E2932="Werken",D2932=""),"Werken zonder klant - koppelen","OK"))))))</f>
        <v/>
      </c>
    </row>
    <row r="2933" ht="15" customHeight="1" s="42">
      <c r="A2933" s="55" t="n"/>
      <c r="B2933" s="56">
        <f>IF(A2933="","",WEEKNUM(A2933,21))</f>
        <v/>
      </c>
      <c r="C2933" s="57" t="n"/>
      <c r="D2933" s="57" t="n"/>
      <c r="E2933" s="58" t="n"/>
      <c r="F2933" s="57" t="n"/>
      <c r="G2933" s="59" t="n"/>
      <c r="H2933" s="59" t="n"/>
      <c r="I2933" s="60">
        <f>IF(OR(G2933="",H2933=""),"",MOD(H2933-G2933,1))</f>
        <v/>
      </c>
      <c r="J2933" s="61">
        <f>IF(OR(G2933="",H2933=""),"",ROUND(MOD(H2933-G2933,1)*24,2))</f>
        <v/>
      </c>
      <c r="K2933" s="62">
        <f>IF(E2933="","",IF(E2933="Werken","JA","NEE"))</f>
        <v/>
      </c>
      <c r="L2933" s="61">
        <f>IF(K2933="JA",N(J2933),IF(E2933="","",0))</f>
        <v/>
      </c>
      <c r="M2933" s="62">
        <f>IF(AND(A2933="",E2933=""),"",IF(E2933="","Segment ontbreekt",IF(OR(G2933="",H2933=""),"Van/tot ontbreekt",IF(N(J2933)=0,"Duur is nul",IF(N(J2933)&gt;12,"Langer dan 12 uur - controleren",IF(AND(E2933="Werken",D2933=""),"Werken zonder klant - koppelen","OK"))))))</f>
        <v/>
      </c>
    </row>
    <row r="2934" ht="15" customHeight="1" s="42">
      <c r="A2934" s="55" t="n"/>
      <c r="B2934" s="56">
        <f>IF(A2934="","",WEEKNUM(A2934,21))</f>
        <v/>
      </c>
      <c r="C2934" s="57" t="n"/>
      <c r="D2934" s="57" t="n"/>
      <c r="E2934" s="58" t="n"/>
      <c r="F2934" s="57" t="n"/>
      <c r="G2934" s="59" t="n"/>
      <c r="H2934" s="59" t="n"/>
      <c r="I2934" s="60">
        <f>IF(OR(G2934="",H2934=""),"",MOD(H2934-G2934,1))</f>
        <v/>
      </c>
      <c r="J2934" s="61">
        <f>IF(OR(G2934="",H2934=""),"",ROUND(MOD(H2934-G2934,1)*24,2))</f>
        <v/>
      </c>
      <c r="K2934" s="62">
        <f>IF(E2934="","",IF(E2934="Werken","JA","NEE"))</f>
        <v/>
      </c>
      <c r="L2934" s="61">
        <f>IF(K2934="JA",N(J2934),IF(E2934="","",0))</f>
        <v/>
      </c>
      <c r="M2934" s="62">
        <f>IF(AND(A2934="",E2934=""),"",IF(E2934="","Segment ontbreekt",IF(OR(G2934="",H2934=""),"Van/tot ontbreekt",IF(N(J2934)=0,"Duur is nul",IF(N(J2934)&gt;12,"Langer dan 12 uur - controleren",IF(AND(E2934="Werken",D2934=""),"Werken zonder klant - koppelen","OK"))))))</f>
        <v/>
      </c>
    </row>
    <row r="2935" ht="15" customHeight="1" s="42">
      <c r="A2935" s="55" t="n"/>
      <c r="B2935" s="56">
        <f>IF(A2935="","",WEEKNUM(A2935,21))</f>
        <v/>
      </c>
      <c r="C2935" s="57" t="n"/>
      <c r="D2935" s="57" t="n"/>
      <c r="E2935" s="58" t="n"/>
      <c r="F2935" s="57" t="n"/>
      <c r="G2935" s="59" t="n"/>
      <c r="H2935" s="59" t="n"/>
      <c r="I2935" s="60">
        <f>IF(OR(G2935="",H2935=""),"",MOD(H2935-G2935,1))</f>
        <v/>
      </c>
      <c r="J2935" s="61">
        <f>IF(OR(G2935="",H2935=""),"",ROUND(MOD(H2935-G2935,1)*24,2))</f>
        <v/>
      </c>
      <c r="K2935" s="62">
        <f>IF(E2935="","",IF(E2935="Werken","JA","NEE"))</f>
        <v/>
      </c>
      <c r="L2935" s="61">
        <f>IF(K2935="JA",N(J2935),IF(E2935="","",0))</f>
        <v/>
      </c>
      <c r="M2935" s="62">
        <f>IF(AND(A2935="",E2935=""),"",IF(E2935="","Segment ontbreekt",IF(OR(G2935="",H2935=""),"Van/tot ontbreekt",IF(N(J2935)=0,"Duur is nul",IF(N(J2935)&gt;12,"Langer dan 12 uur - controleren",IF(AND(E2935="Werken",D2935=""),"Werken zonder klant - koppelen","OK"))))))</f>
        <v/>
      </c>
    </row>
    <row r="2936" ht="15" customHeight="1" s="42">
      <c r="A2936" s="55" t="n"/>
      <c r="B2936" s="56">
        <f>IF(A2936="","",WEEKNUM(A2936,21))</f>
        <v/>
      </c>
      <c r="C2936" s="57" t="n"/>
      <c r="D2936" s="57" t="n"/>
      <c r="E2936" s="58" t="n"/>
      <c r="F2936" s="57" t="n"/>
      <c r="G2936" s="59" t="n"/>
      <c r="H2936" s="59" t="n"/>
      <c r="I2936" s="60">
        <f>IF(OR(G2936="",H2936=""),"",MOD(H2936-G2936,1))</f>
        <v/>
      </c>
      <c r="J2936" s="61">
        <f>IF(OR(G2936="",H2936=""),"",ROUND(MOD(H2936-G2936,1)*24,2))</f>
        <v/>
      </c>
      <c r="K2936" s="62">
        <f>IF(E2936="","",IF(E2936="Werken","JA","NEE"))</f>
        <v/>
      </c>
      <c r="L2936" s="61">
        <f>IF(K2936="JA",N(J2936),IF(E2936="","",0))</f>
        <v/>
      </c>
      <c r="M2936" s="62">
        <f>IF(AND(A2936="",E2936=""),"",IF(E2936="","Segment ontbreekt",IF(OR(G2936="",H2936=""),"Van/tot ontbreekt",IF(N(J2936)=0,"Duur is nul",IF(N(J2936)&gt;12,"Langer dan 12 uur - controleren",IF(AND(E2936="Werken",D2936=""),"Werken zonder klant - koppelen","OK"))))))</f>
        <v/>
      </c>
    </row>
    <row r="2937" ht="15" customHeight="1" s="42">
      <c r="A2937" s="55" t="n"/>
      <c r="B2937" s="56">
        <f>IF(A2937="","",WEEKNUM(A2937,21))</f>
        <v/>
      </c>
      <c r="C2937" s="57" t="n"/>
      <c r="D2937" s="57" t="n"/>
      <c r="E2937" s="58" t="n"/>
      <c r="F2937" s="57" t="n"/>
      <c r="G2937" s="59" t="n"/>
      <c r="H2937" s="59" t="n"/>
      <c r="I2937" s="60">
        <f>IF(OR(G2937="",H2937=""),"",MOD(H2937-G2937,1))</f>
        <v/>
      </c>
      <c r="J2937" s="61">
        <f>IF(OR(G2937="",H2937=""),"",ROUND(MOD(H2937-G2937,1)*24,2))</f>
        <v/>
      </c>
      <c r="K2937" s="62">
        <f>IF(E2937="","",IF(E2937="Werken","JA","NEE"))</f>
        <v/>
      </c>
      <c r="L2937" s="61">
        <f>IF(K2937="JA",N(J2937),IF(E2937="","",0))</f>
        <v/>
      </c>
      <c r="M2937" s="62">
        <f>IF(AND(A2937="",E2937=""),"",IF(E2937="","Segment ontbreekt",IF(OR(G2937="",H2937=""),"Van/tot ontbreekt",IF(N(J2937)=0,"Duur is nul",IF(N(J2937)&gt;12,"Langer dan 12 uur - controleren",IF(AND(E2937="Werken",D2937=""),"Werken zonder klant - koppelen","OK"))))))</f>
        <v/>
      </c>
    </row>
    <row r="2938" ht="15" customHeight="1" s="42">
      <c r="A2938" s="55" t="n"/>
      <c r="B2938" s="56">
        <f>IF(A2938="","",WEEKNUM(A2938,21))</f>
        <v/>
      </c>
      <c r="C2938" s="57" t="n"/>
      <c r="D2938" s="57" t="n"/>
      <c r="E2938" s="58" t="n"/>
      <c r="F2938" s="57" t="n"/>
      <c r="G2938" s="59" t="n"/>
      <c r="H2938" s="59" t="n"/>
      <c r="I2938" s="60">
        <f>IF(OR(G2938="",H2938=""),"",MOD(H2938-G2938,1))</f>
        <v/>
      </c>
      <c r="J2938" s="61">
        <f>IF(OR(G2938="",H2938=""),"",ROUND(MOD(H2938-G2938,1)*24,2))</f>
        <v/>
      </c>
      <c r="K2938" s="62">
        <f>IF(E2938="","",IF(E2938="Werken","JA","NEE"))</f>
        <v/>
      </c>
      <c r="L2938" s="61">
        <f>IF(K2938="JA",N(J2938),IF(E2938="","",0))</f>
        <v/>
      </c>
      <c r="M2938" s="62">
        <f>IF(AND(A2938="",E2938=""),"",IF(E2938="","Segment ontbreekt",IF(OR(G2938="",H2938=""),"Van/tot ontbreekt",IF(N(J2938)=0,"Duur is nul",IF(N(J2938)&gt;12,"Langer dan 12 uur - controleren",IF(AND(E2938="Werken",D2938=""),"Werken zonder klant - koppelen","OK"))))))</f>
        <v/>
      </c>
    </row>
    <row r="2939" ht="15" customHeight="1" s="42">
      <c r="A2939" s="55" t="n"/>
      <c r="B2939" s="56">
        <f>IF(A2939="","",WEEKNUM(A2939,21))</f>
        <v/>
      </c>
      <c r="C2939" s="57" t="n"/>
      <c r="D2939" s="57" t="n"/>
      <c r="E2939" s="58" t="n"/>
      <c r="F2939" s="57" t="n"/>
      <c r="G2939" s="59" t="n"/>
      <c r="H2939" s="59" t="n"/>
      <c r="I2939" s="60">
        <f>IF(OR(G2939="",H2939=""),"",MOD(H2939-G2939,1))</f>
        <v/>
      </c>
      <c r="J2939" s="61">
        <f>IF(OR(G2939="",H2939=""),"",ROUND(MOD(H2939-G2939,1)*24,2))</f>
        <v/>
      </c>
      <c r="K2939" s="62">
        <f>IF(E2939="","",IF(E2939="Werken","JA","NEE"))</f>
        <v/>
      </c>
      <c r="L2939" s="61">
        <f>IF(K2939="JA",N(J2939),IF(E2939="","",0))</f>
        <v/>
      </c>
      <c r="M2939" s="62">
        <f>IF(AND(A2939="",E2939=""),"",IF(E2939="","Segment ontbreekt",IF(OR(G2939="",H2939=""),"Van/tot ontbreekt",IF(N(J2939)=0,"Duur is nul",IF(N(J2939)&gt;12,"Langer dan 12 uur - controleren",IF(AND(E2939="Werken",D2939=""),"Werken zonder klant - koppelen","OK"))))))</f>
        <v/>
      </c>
    </row>
    <row r="2940" ht="15" customHeight="1" s="42">
      <c r="A2940" s="55" t="n"/>
      <c r="B2940" s="56">
        <f>IF(A2940="","",WEEKNUM(A2940,21))</f>
        <v/>
      </c>
      <c r="C2940" s="57" t="n"/>
      <c r="D2940" s="57" t="n"/>
      <c r="E2940" s="58" t="n"/>
      <c r="F2940" s="57" t="n"/>
      <c r="G2940" s="59" t="n"/>
      <c r="H2940" s="59" t="n"/>
      <c r="I2940" s="60">
        <f>IF(OR(G2940="",H2940=""),"",MOD(H2940-G2940,1))</f>
        <v/>
      </c>
      <c r="J2940" s="61">
        <f>IF(OR(G2940="",H2940=""),"",ROUND(MOD(H2940-G2940,1)*24,2))</f>
        <v/>
      </c>
      <c r="K2940" s="62">
        <f>IF(E2940="","",IF(E2940="Werken","JA","NEE"))</f>
        <v/>
      </c>
      <c r="L2940" s="61">
        <f>IF(K2940="JA",N(J2940),IF(E2940="","",0))</f>
        <v/>
      </c>
      <c r="M2940" s="62">
        <f>IF(AND(A2940="",E2940=""),"",IF(E2940="","Segment ontbreekt",IF(OR(G2940="",H2940=""),"Van/tot ontbreekt",IF(N(J2940)=0,"Duur is nul",IF(N(J2940)&gt;12,"Langer dan 12 uur - controleren",IF(AND(E2940="Werken",D2940=""),"Werken zonder klant - koppelen","OK"))))))</f>
        <v/>
      </c>
    </row>
    <row r="2941" ht="15" customHeight="1" s="42">
      <c r="A2941" s="55" t="n"/>
      <c r="B2941" s="56">
        <f>IF(A2941="","",WEEKNUM(A2941,21))</f>
        <v/>
      </c>
      <c r="C2941" s="57" t="n"/>
      <c r="D2941" s="57" t="n"/>
      <c r="E2941" s="58" t="n"/>
      <c r="F2941" s="57" t="n"/>
      <c r="G2941" s="59" t="n"/>
      <c r="H2941" s="59" t="n"/>
      <c r="I2941" s="60">
        <f>IF(OR(G2941="",H2941=""),"",MOD(H2941-G2941,1))</f>
        <v/>
      </c>
      <c r="J2941" s="61">
        <f>IF(OR(G2941="",H2941=""),"",ROUND(MOD(H2941-G2941,1)*24,2))</f>
        <v/>
      </c>
      <c r="K2941" s="62">
        <f>IF(E2941="","",IF(E2941="Werken","JA","NEE"))</f>
        <v/>
      </c>
      <c r="L2941" s="61">
        <f>IF(K2941="JA",N(J2941),IF(E2941="","",0))</f>
        <v/>
      </c>
      <c r="M2941" s="62">
        <f>IF(AND(A2941="",E2941=""),"",IF(E2941="","Segment ontbreekt",IF(OR(G2941="",H2941=""),"Van/tot ontbreekt",IF(N(J2941)=0,"Duur is nul",IF(N(J2941)&gt;12,"Langer dan 12 uur - controleren",IF(AND(E2941="Werken",D2941=""),"Werken zonder klant - koppelen","OK"))))))</f>
        <v/>
      </c>
    </row>
    <row r="2942" ht="15" customHeight="1" s="42">
      <c r="A2942" s="55" t="n"/>
      <c r="B2942" s="56">
        <f>IF(A2942="","",WEEKNUM(A2942,21))</f>
        <v/>
      </c>
      <c r="C2942" s="57" t="n"/>
      <c r="D2942" s="57" t="n"/>
      <c r="E2942" s="58" t="n"/>
      <c r="F2942" s="57" t="n"/>
      <c r="G2942" s="59" t="n"/>
      <c r="H2942" s="59" t="n"/>
      <c r="I2942" s="60">
        <f>IF(OR(G2942="",H2942=""),"",MOD(H2942-G2942,1))</f>
        <v/>
      </c>
      <c r="J2942" s="61">
        <f>IF(OR(G2942="",H2942=""),"",ROUND(MOD(H2942-G2942,1)*24,2))</f>
        <v/>
      </c>
      <c r="K2942" s="62">
        <f>IF(E2942="","",IF(E2942="Werken","JA","NEE"))</f>
        <v/>
      </c>
      <c r="L2942" s="61">
        <f>IF(K2942="JA",N(J2942),IF(E2942="","",0))</f>
        <v/>
      </c>
      <c r="M2942" s="62">
        <f>IF(AND(A2942="",E2942=""),"",IF(E2942="","Segment ontbreekt",IF(OR(G2942="",H2942=""),"Van/tot ontbreekt",IF(N(J2942)=0,"Duur is nul",IF(N(J2942)&gt;12,"Langer dan 12 uur - controleren",IF(AND(E2942="Werken",D2942=""),"Werken zonder klant - koppelen","OK"))))))</f>
        <v/>
      </c>
    </row>
    <row r="2943" ht="15" customHeight="1" s="42">
      <c r="A2943" s="55" t="n"/>
      <c r="B2943" s="56">
        <f>IF(A2943="","",WEEKNUM(A2943,21))</f>
        <v/>
      </c>
      <c r="C2943" s="57" t="n"/>
      <c r="D2943" s="57" t="n"/>
      <c r="E2943" s="58" t="n"/>
      <c r="F2943" s="57" t="n"/>
      <c r="G2943" s="59" t="n"/>
      <c r="H2943" s="59" t="n"/>
      <c r="I2943" s="60">
        <f>IF(OR(G2943="",H2943=""),"",MOD(H2943-G2943,1))</f>
        <v/>
      </c>
      <c r="J2943" s="61">
        <f>IF(OR(G2943="",H2943=""),"",ROUND(MOD(H2943-G2943,1)*24,2))</f>
        <v/>
      </c>
      <c r="K2943" s="62">
        <f>IF(E2943="","",IF(E2943="Werken","JA","NEE"))</f>
        <v/>
      </c>
      <c r="L2943" s="61">
        <f>IF(K2943="JA",N(J2943),IF(E2943="","",0))</f>
        <v/>
      </c>
      <c r="M2943" s="62">
        <f>IF(AND(A2943="",E2943=""),"",IF(E2943="","Segment ontbreekt",IF(OR(G2943="",H2943=""),"Van/tot ontbreekt",IF(N(J2943)=0,"Duur is nul",IF(N(J2943)&gt;12,"Langer dan 12 uur - controleren",IF(AND(E2943="Werken",D2943=""),"Werken zonder klant - koppelen","OK"))))))</f>
        <v/>
      </c>
    </row>
    <row r="2944" ht="15" customHeight="1" s="42">
      <c r="A2944" s="55" t="n"/>
      <c r="B2944" s="56">
        <f>IF(A2944="","",WEEKNUM(A2944,21))</f>
        <v/>
      </c>
      <c r="C2944" s="57" t="n"/>
      <c r="D2944" s="57" t="n"/>
      <c r="E2944" s="58" t="n"/>
      <c r="F2944" s="57" t="n"/>
      <c r="G2944" s="59" t="n"/>
      <c r="H2944" s="59" t="n"/>
      <c r="I2944" s="60">
        <f>IF(OR(G2944="",H2944=""),"",MOD(H2944-G2944,1))</f>
        <v/>
      </c>
      <c r="J2944" s="61">
        <f>IF(OR(G2944="",H2944=""),"",ROUND(MOD(H2944-G2944,1)*24,2))</f>
        <v/>
      </c>
      <c r="K2944" s="62">
        <f>IF(E2944="","",IF(E2944="Werken","JA","NEE"))</f>
        <v/>
      </c>
      <c r="L2944" s="61">
        <f>IF(K2944="JA",N(J2944),IF(E2944="","",0))</f>
        <v/>
      </c>
      <c r="M2944" s="62">
        <f>IF(AND(A2944="",E2944=""),"",IF(E2944="","Segment ontbreekt",IF(OR(G2944="",H2944=""),"Van/tot ontbreekt",IF(N(J2944)=0,"Duur is nul",IF(N(J2944)&gt;12,"Langer dan 12 uur - controleren",IF(AND(E2944="Werken",D2944=""),"Werken zonder klant - koppelen","OK"))))))</f>
        <v/>
      </c>
    </row>
    <row r="2945" ht="15" customHeight="1" s="42">
      <c r="A2945" s="55" t="n"/>
      <c r="B2945" s="56">
        <f>IF(A2945="","",WEEKNUM(A2945,21))</f>
        <v/>
      </c>
      <c r="C2945" s="57" t="n"/>
      <c r="D2945" s="57" t="n"/>
      <c r="E2945" s="58" t="n"/>
      <c r="F2945" s="57" t="n"/>
      <c r="G2945" s="59" t="n"/>
      <c r="H2945" s="59" t="n"/>
      <c r="I2945" s="60">
        <f>IF(OR(G2945="",H2945=""),"",MOD(H2945-G2945,1))</f>
        <v/>
      </c>
      <c r="J2945" s="61">
        <f>IF(OR(G2945="",H2945=""),"",ROUND(MOD(H2945-G2945,1)*24,2))</f>
        <v/>
      </c>
      <c r="K2945" s="62">
        <f>IF(E2945="","",IF(E2945="Werken","JA","NEE"))</f>
        <v/>
      </c>
      <c r="L2945" s="61">
        <f>IF(K2945="JA",N(J2945),IF(E2945="","",0))</f>
        <v/>
      </c>
      <c r="M2945" s="62">
        <f>IF(AND(A2945="",E2945=""),"",IF(E2945="","Segment ontbreekt",IF(OR(G2945="",H2945=""),"Van/tot ontbreekt",IF(N(J2945)=0,"Duur is nul",IF(N(J2945)&gt;12,"Langer dan 12 uur - controleren",IF(AND(E2945="Werken",D2945=""),"Werken zonder klant - koppelen","OK"))))))</f>
        <v/>
      </c>
    </row>
    <row r="2946" ht="15" customHeight="1" s="42">
      <c r="A2946" s="55" t="n"/>
      <c r="B2946" s="56">
        <f>IF(A2946="","",WEEKNUM(A2946,21))</f>
        <v/>
      </c>
      <c r="C2946" s="57" t="n"/>
      <c r="D2946" s="57" t="n"/>
      <c r="E2946" s="58" t="n"/>
      <c r="F2946" s="57" t="n"/>
      <c r="G2946" s="59" t="n"/>
      <c r="H2946" s="59" t="n"/>
      <c r="I2946" s="60">
        <f>IF(OR(G2946="",H2946=""),"",MOD(H2946-G2946,1))</f>
        <v/>
      </c>
      <c r="J2946" s="61">
        <f>IF(OR(G2946="",H2946=""),"",ROUND(MOD(H2946-G2946,1)*24,2))</f>
        <v/>
      </c>
      <c r="K2946" s="62">
        <f>IF(E2946="","",IF(E2946="Werken","JA","NEE"))</f>
        <v/>
      </c>
      <c r="L2946" s="61">
        <f>IF(K2946="JA",N(J2946),IF(E2946="","",0))</f>
        <v/>
      </c>
      <c r="M2946" s="62">
        <f>IF(AND(A2946="",E2946=""),"",IF(E2946="","Segment ontbreekt",IF(OR(G2946="",H2946=""),"Van/tot ontbreekt",IF(N(J2946)=0,"Duur is nul",IF(N(J2946)&gt;12,"Langer dan 12 uur - controleren",IF(AND(E2946="Werken",D2946=""),"Werken zonder klant - koppelen","OK"))))))</f>
        <v/>
      </c>
    </row>
    <row r="2947" ht="15" customHeight="1" s="42">
      <c r="A2947" s="55" t="n"/>
      <c r="B2947" s="56">
        <f>IF(A2947="","",WEEKNUM(A2947,21))</f>
        <v/>
      </c>
      <c r="C2947" s="57" t="n"/>
      <c r="D2947" s="57" t="n"/>
      <c r="E2947" s="58" t="n"/>
      <c r="F2947" s="57" t="n"/>
      <c r="G2947" s="59" t="n"/>
      <c r="H2947" s="59" t="n"/>
      <c r="I2947" s="60">
        <f>IF(OR(G2947="",H2947=""),"",MOD(H2947-G2947,1))</f>
        <v/>
      </c>
      <c r="J2947" s="61">
        <f>IF(OR(G2947="",H2947=""),"",ROUND(MOD(H2947-G2947,1)*24,2))</f>
        <v/>
      </c>
      <c r="K2947" s="62">
        <f>IF(E2947="","",IF(E2947="Werken","JA","NEE"))</f>
        <v/>
      </c>
      <c r="L2947" s="61">
        <f>IF(K2947="JA",N(J2947),IF(E2947="","",0))</f>
        <v/>
      </c>
      <c r="M2947" s="62">
        <f>IF(AND(A2947="",E2947=""),"",IF(E2947="","Segment ontbreekt",IF(OR(G2947="",H2947=""),"Van/tot ontbreekt",IF(N(J2947)=0,"Duur is nul",IF(N(J2947)&gt;12,"Langer dan 12 uur - controleren",IF(AND(E2947="Werken",D2947=""),"Werken zonder klant - koppelen","OK"))))))</f>
        <v/>
      </c>
    </row>
    <row r="2948" ht="15" customHeight="1" s="42">
      <c r="A2948" s="55" t="n"/>
      <c r="B2948" s="56">
        <f>IF(A2948="","",WEEKNUM(A2948,21))</f>
        <v/>
      </c>
      <c r="C2948" s="57" t="n"/>
      <c r="D2948" s="57" t="n"/>
      <c r="E2948" s="58" t="n"/>
      <c r="F2948" s="57" t="n"/>
      <c r="G2948" s="59" t="n"/>
      <c r="H2948" s="59" t="n"/>
      <c r="I2948" s="60">
        <f>IF(OR(G2948="",H2948=""),"",MOD(H2948-G2948,1))</f>
        <v/>
      </c>
      <c r="J2948" s="61">
        <f>IF(OR(G2948="",H2948=""),"",ROUND(MOD(H2948-G2948,1)*24,2))</f>
        <v/>
      </c>
      <c r="K2948" s="62">
        <f>IF(E2948="","",IF(E2948="Werken","JA","NEE"))</f>
        <v/>
      </c>
      <c r="L2948" s="61">
        <f>IF(K2948="JA",N(J2948),IF(E2948="","",0))</f>
        <v/>
      </c>
      <c r="M2948" s="62">
        <f>IF(AND(A2948="",E2948=""),"",IF(E2948="","Segment ontbreekt",IF(OR(G2948="",H2948=""),"Van/tot ontbreekt",IF(N(J2948)=0,"Duur is nul",IF(N(J2948)&gt;12,"Langer dan 12 uur - controleren",IF(AND(E2948="Werken",D2948=""),"Werken zonder klant - koppelen","OK"))))))</f>
        <v/>
      </c>
    </row>
    <row r="2949" ht="15" customHeight="1" s="42">
      <c r="A2949" s="55" t="n"/>
      <c r="B2949" s="56">
        <f>IF(A2949="","",WEEKNUM(A2949,21))</f>
        <v/>
      </c>
      <c r="C2949" s="57" t="n"/>
      <c r="D2949" s="57" t="n"/>
      <c r="E2949" s="58" t="n"/>
      <c r="F2949" s="57" t="n"/>
      <c r="G2949" s="59" t="n"/>
      <c r="H2949" s="59" t="n"/>
      <c r="I2949" s="60">
        <f>IF(OR(G2949="",H2949=""),"",MOD(H2949-G2949,1))</f>
        <v/>
      </c>
      <c r="J2949" s="61">
        <f>IF(OR(G2949="",H2949=""),"",ROUND(MOD(H2949-G2949,1)*24,2))</f>
        <v/>
      </c>
      <c r="K2949" s="62">
        <f>IF(E2949="","",IF(E2949="Werken","JA","NEE"))</f>
        <v/>
      </c>
      <c r="L2949" s="61">
        <f>IF(K2949="JA",N(J2949),IF(E2949="","",0))</f>
        <v/>
      </c>
      <c r="M2949" s="62">
        <f>IF(AND(A2949="",E2949=""),"",IF(E2949="","Segment ontbreekt",IF(OR(G2949="",H2949=""),"Van/tot ontbreekt",IF(N(J2949)=0,"Duur is nul",IF(N(J2949)&gt;12,"Langer dan 12 uur - controleren",IF(AND(E2949="Werken",D2949=""),"Werken zonder klant - koppelen","OK"))))))</f>
        <v/>
      </c>
    </row>
    <row r="2950" ht="15" customHeight="1" s="42">
      <c r="A2950" s="55" t="n"/>
      <c r="B2950" s="56">
        <f>IF(A2950="","",WEEKNUM(A2950,21))</f>
        <v/>
      </c>
      <c r="C2950" s="57" t="n"/>
      <c r="D2950" s="57" t="n"/>
      <c r="E2950" s="58" t="n"/>
      <c r="F2950" s="57" t="n"/>
      <c r="G2950" s="59" t="n"/>
      <c r="H2950" s="59" t="n"/>
      <c r="I2950" s="60">
        <f>IF(OR(G2950="",H2950=""),"",MOD(H2950-G2950,1))</f>
        <v/>
      </c>
      <c r="J2950" s="61">
        <f>IF(OR(G2950="",H2950=""),"",ROUND(MOD(H2950-G2950,1)*24,2))</f>
        <v/>
      </c>
      <c r="K2950" s="62">
        <f>IF(E2950="","",IF(E2950="Werken","JA","NEE"))</f>
        <v/>
      </c>
      <c r="L2950" s="61">
        <f>IF(K2950="JA",N(J2950),IF(E2950="","",0))</f>
        <v/>
      </c>
      <c r="M2950" s="62">
        <f>IF(AND(A2950="",E2950=""),"",IF(E2950="","Segment ontbreekt",IF(OR(G2950="",H2950=""),"Van/tot ontbreekt",IF(N(J2950)=0,"Duur is nul",IF(N(J2950)&gt;12,"Langer dan 12 uur - controleren",IF(AND(E2950="Werken",D2950=""),"Werken zonder klant - koppelen","OK"))))))</f>
        <v/>
      </c>
    </row>
    <row r="2951" ht="15" customHeight="1" s="42">
      <c r="A2951" s="55" t="n"/>
      <c r="B2951" s="56">
        <f>IF(A2951="","",WEEKNUM(A2951,21))</f>
        <v/>
      </c>
      <c r="C2951" s="57" t="n"/>
      <c r="D2951" s="57" t="n"/>
      <c r="E2951" s="58" t="n"/>
      <c r="F2951" s="57" t="n"/>
      <c r="G2951" s="59" t="n"/>
      <c r="H2951" s="59" t="n"/>
      <c r="I2951" s="60">
        <f>IF(OR(G2951="",H2951=""),"",MOD(H2951-G2951,1))</f>
        <v/>
      </c>
      <c r="J2951" s="61">
        <f>IF(OR(G2951="",H2951=""),"",ROUND(MOD(H2951-G2951,1)*24,2))</f>
        <v/>
      </c>
      <c r="K2951" s="62">
        <f>IF(E2951="","",IF(E2951="Werken","JA","NEE"))</f>
        <v/>
      </c>
      <c r="L2951" s="61">
        <f>IF(K2951="JA",N(J2951),IF(E2951="","",0))</f>
        <v/>
      </c>
      <c r="M2951" s="62">
        <f>IF(AND(A2951="",E2951=""),"",IF(E2951="","Segment ontbreekt",IF(OR(G2951="",H2951=""),"Van/tot ontbreekt",IF(N(J2951)=0,"Duur is nul",IF(N(J2951)&gt;12,"Langer dan 12 uur - controleren",IF(AND(E2951="Werken",D2951=""),"Werken zonder klant - koppelen","OK"))))))</f>
        <v/>
      </c>
    </row>
    <row r="2952" ht="15" customHeight="1" s="42">
      <c r="A2952" s="55" t="n"/>
      <c r="B2952" s="56">
        <f>IF(A2952="","",WEEKNUM(A2952,21))</f>
        <v/>
      </c>
      <c r="C2952" s="57" t="n"/>
      <c r="D2952" s="57" t="n"/>
      <c r="E2952" s="58" t="n"/>
      <c r="F2952" s="57" t="n"/>
      <c r="G2952" s="59" t="n"/>
      <c r="H2952" s="59" t="n"/>
      <c r="I2952" s="60">
        <f>IF(OR(G2952="",H2952=""),"",MOD(H2952-G2952,1))</f>
        <v/>
      </c>
      <c r="J2952" s="61">
        <f>IF(OR(G2952="",H2952=""),"",ROUND(MOD(H2952-G2952,1)*24,2))</f>
        <v/>
      </c>
      <c r="K2952" s="62">
        <f>IF(E2952="","",IF(E2952="Werken","JA","NEE"))</f>
        <v/>
      </c>
      <c r="L2952" s="61">
        <f>IF(K2952="JA",N(J2952),IF(E2952="","",0))</f>
        <v/>
      </c>
      <c r="M2952" s="62">
        <f>IF(AND(A2952="",E2952=""),"",IF(E2952="","Segment ontbreekt",IF(OR(G2952="",H2952=""),"Van/tot ontbreekt",IF(N(J2952)=0,"Duur is nul",IF(N(J2952)&gt;12,"Langer dan 12 uur - controleren",IF(AND(E2952="Werken",D2952=""),"Werken zonder klant - koppelen","OK"))))))</f>
        <v/>
      </c>
    </row>
    <row r="2953" ht="15" customHeight="1" s="42">
      <c r="A2953" s="55" t="n"/>
      <c r="B2953" s="56">
        <f>IF(A2953="","",WEEKNUM(A2953,21))</f>
        <v/>
      </c>
      <c r="C2953" s="57" t="n"/>
      <c r="D2953" s="57" t="n"/>
      <c r="E2953" s="58" t="n"/>
      <c r="F2953" s="57" t="n"/>
      <c r="G2953" s="59" t="n"/>
      <c r="H2953" s="59" t="n"/>
      <c r="I2953" s="60">
        <f>IF(OR(G2953="",H2953=""),"",MOD(H2953-G2953,1))</f>
        <v/>
      </c>
      <c r="J2953" s="61">
        <f>IF(OR(G2953="",H2953=""),"",ROUND(MOD(H2953-G2953,1)*24,2))</f>
        <v/>
      </c>
      <c r="K2953" s="62">
        <f>IF(E2953="","",IF(E2953="Werken","JA","NEE"))</f>
        <v/>
      </c>
      <c r="L2953" s="61">
        <f>IF(K2953="JA",N(J2953),IF(E2953="","",0))</f>
        <v/>
      </c>
      <c r="M2953" s="62">
        <f>IF(AND(A2953="",E2953=""),"",IF(E2953="","Segment ontbreekt",IF(OR(G2953="",H2953=""),"Van/tot ontbreekt",IF(N(J2953)=0,"Duur is nul",IF(N(J2953)&gt;12,"Langer dan 12 uur - controleren",IF(AND(E2953="Werken",D2953=""),"Werken zonder klant - koppelen","OK"))))))</f>
        <v/>
      </c>
    </row>
    <row r="2954" ht="15" customHeight="1" s="42">
      <c r="A2954" s="55" t="n"/>
      <c r="B2954" s="56">
        <f>IF(A2954="","",WEEKNUM(A2954,21))</f>
        <v/>
      </c>
      <c r="C2954" s="57" t="n"/>
      <c r="D2954" s="57" t="n"/>
      <c r="E2954" s="58" t="n"/>
      <c r="F2954" s="57" t="n"/>
      <c r="G2954" s="59" t="n"/>
      <c r="H2954" s="59" t="n"/>
      <c r="I2954" s="60">
        <f>IF(OR(G2954="",H2954=""),"",MOD(H2954-G2954,1))</f>
        <v/>
      </c>
      <c r="J2954" s="61">
        <f>IF(OR(G2954="",H2954=""),"",ROUND(MOD(H2954-G2954,1)*24,2))</f>
        <v/>
      </c>
      <c r="K2954" s="62">
        <f>IF(E2954="","",IF(E2954="Werken","JA","NEE"))</f>
        <v/>
      </c>
      <c r="L2954" s="61">
        <f>IF(K2954="JA",N(J2954),IF(E2954="","",0))</f>
        <v/>
      </c>
      <c r="M2954" s="62">
        <f>IF(AND(A2954="",E2954=""),"",IF(E2954="","Segment ontbreekt",IF(OR(G2954="",H2954=""),"Van/tot ontbreekt",IF(N(J2954)=0,"Duur is nul",IF(N(J2954)&gt;12,"Langer dan 12 uur - controleren",IF(AND(E2954="Werken",D2954=""),"Werken zonder klant - koppelen","OK"))))))</f>
        <v/>
      </c>
    </row>
    <row r="2955" ht="15" customHeight="1" s="42">
      <c r="A2955" s="55" t="n"/>
      <c r="B2955" s="56">
        <f>IF(A2955="","",WEEKNUM(A2955,21))</f>
        <v/>
      </c>
      <c r="C2955" s="57" t="n"/>
      <c r="D2955" s="57" t="n"/>
      <c r="E2955" s="58" t="n"/>
      <c r="F2955" s="57" t="n"/>
      <c r="G2955" s="59" t="n"/>
      <c r="H2955" s="59" t="n"/>
      <c r="I2955" s="60">
        <f>IF(OR(G2955="",H2955=""),"",MOD(H2955-G2955,1))</f>
        <v/>
      </c>
      <c r="J2955" s="61">
        <f>IF(OR(G2955="",H2955=""),"",ROUND(MOD(H2955-G2955,1)*24,2))</f>
        <v/>
      </c>
      <c r="K2955" s="62">
        <f>IF(E2955="","",IF(E2955="Werken","JA","NEE"))</f>
        <v/>
      </c>
      <c r="L2955" s="61">
        <f>IF(K2955="JA",N(J2955),IF(E2955="","",0))</f>
        <v/>
      </c>
      <c r="M2955" s="62">
        <f>IF(AND(A2955="",E2955=""),"",IF(E2955="","Segment ontbreekt",IF(OR(G2955="",H2955=""),"Van/tot ontbreekt",IF(N(J2955)=0,"Duur is nul",IF(N(J2955)&gt;12,"Langer dan 12 uur - controleren",IF(AND(E2955="Werken",D2955=""),"Werken zonder klant - koppelen","OK"))))))</f>
        <v/>
      </c>
    </row>
    <row r="2956" ht="15" customHeight="1" s="42">
      <c r="A2956" s="55" t="n"/>
      <c r="B2956" s="56">
        <f>IF(A2956="","",WEEKNUM(A2956,21))</f>
        <v/>
      </c>
      <c r="C2956" s="57" t="n"/>
      <c r="D2956" s="57" t="n"/>
      <c r="E2956" s="58" t="n"/>
      <c r="F2956" s="57" t="n"/>
      <c r="G2956" s="59" t="n"/>
      <c r="H2956" s="59" t="n"/>
      <c r="I2956" s="60">
        <f>IF(OR(G2956="",H2956=""),"",MOD(H2956-G2956,1))</f>
        <v/>
      </c>
      <c r="J2956" s="61">
        <f>IF(OR(G2956="",H2956=""),"",ROUND(MOD(H2956-G2956,1)*24,2))</f>
        <v/>
      </c>
      <c r="K2956" s="62">
        <f>IF(E2956="","",IF(E2956="Werken","JA","NEE"))</f>
        <v/>
      </c>
      <c r="L2956" s="61">
        <f>IF(K2956="JA",N(J2956),IF(E2956="","",0))</f>
        <v/>
      </c>
      <c r="M2956" s="62">
        <f>IF(AND(A2956="",E2956=""),"",IF(E2956="","Segment ontbreekt",IF(OR(G2956="",H2956=""),"Van/tot ontbreekt",IF(N(J2956)=0,"Duur is nul",IF(N(J2956)&gt;12,"Langer dan 12 uur - controleren",IF(AND(E2956="Werken",D2956=""),"Werken zonder klant - koppelen","OK"))))))</f>
        <v/>
      </c>
    </row>
    <row r="2957" ht="15" customHeight="1" s="42">
      <c r="A2957" s="55" t="n"/>
      <c r="B2957" s="56">
        <f>IF(A2957="","",WEEKNUM(A2957,21))</f>
        <v/>
      </c>
      <c r="C2957" s="57" t="n"/>
      <c r="D2957" s="57" t="n"/>
      <c r="E2957" s="58" t="n"/>
      <c r="F2957" s="57" t="n"/>
      <c r="G2957" s="59" t="n"/>
      <c r="H2957" s="59" t="n"/>
      <c r="I2957" s="60">
        <f>IF(OR(G2957="",H2957=""),"",MOD(H2957-G2957,1))</f>
        <v/>
      </c>
      <c r="J2957" s="61">
        <f>IF(OR(G2957="",H2957=""),"",ROUND(MOD(H2957-G2957,1)*24,2))</f>
        <v/>
      </c>
      <c r="K2957" s="62">
        <f>IF(E2957="","",IF(E2957="Werken","JA","NEE"))</f>
        <v/>
      </c>
      <c r="L2957" s="61">
        <f>IF(K2957="JA",N(J2957),IF(E2957="","",0))</f>
        <v/>
      </c>
      <c r="M2957" s="62">
        <f>IF(AND(A2957="",E2957=""),"",IF(E2957="","Segment ontbreekt",IF(OR(G2957="",H2957=""),"Van/tot ontbreekt",IF(N(J2957)=0,"Duur is nul",IF(N(J2957)&gt;12,"Langer dan 12 uur - controleren",IF(AND(E2957="Werken",D2957=""),"Werken zonder klant - koppelen","OK"))))))</f>
        <v/>
      </c>
    </row>
    <row r="2958" ht="15" customHeight="1" s="42">
      <c r="A2958" s="55" t="n"/>
      <c r="B2958" s="56">
        <f>IF(A2958="","",WEEKNUM(A2958,21))</f>
        <v/>
      </c>
      <c r="C2958" s="57" t="n"/>
      <c r="D2958" s="57" t="n"/>
      <c r="E2958" s="58" t="n"/>
      <c r="F2958" s="57" t="n"/>
      <c r="G2958" s="59" t="n"/>
      <c r="H2958" s="59" t="n"/>
      <c r="I2958" s="60">
        <f>IF(OR(G2958="",H2958=""),"",MOD(H2958-G2958,1))</f>
        <v/>
      </c>
      <c r="J2958" s="61">
        <f>IF(OR(G2958="",H2958=""),"",ROUND(MOD(H2958-G2958,1)*24,2))</f>
        <v/>
      </c>
      <c r="K2958" s="62">
        <f>IF(E2958="","",IF(E2958="Werken","JA","NEE"))</f>
        <v/>
      </c>
      <c r="L2958" s="61">
        <f>IF(K2958="JA",N(J2958),IF(E2958="","",0))</f>
        <v/>
      </c>
      <c r="M2958" s="62">
        <f>IF(AND(A2958="",E2958=""),"",IF(E2958="","Segment ontbreekt",IF(OR(G2958="",H2958=""),"Van/tot ontbreekt",IF(N(J2958)=0,"Duur is nul",IF(N(J2958)&gt;12,"Langer dan 12 uur - controleren",IF(AND(E2958="Werken",D2958=""),"Werken zonder klant - koppelen","OK"))))))</f>
        <v/>
      </c>
    </row>
    <row r="2959" ht="15" customHeight="1" s="42">
      <c r="A2959" s="55" t="n"/>
      <c r="B2959" s="56">
        <f>IF(A2959="","",WEEKNUM(A2959,21))</f>
        <v/>
      </c>
      <c r="C2959" s="57" t="n"/>
      <c r="D2959" s="57" t="n"/>
      <c r="E2959" s="58" t="n"/>
      <c r="F2959" s="57" t="n"/>
      <c r="G2959" s="59" t="n"/>
      <c r="H2959" s="59" t="n"/>
      <c r="I2959" s="60">
        <f>IF(OR(G2959="",H2959=""),"",MOD(H2959-G2959,1))</f>
        <v/>
      </c>
      <c r="J2959" s="61">
        <f>IF(OR(G2959="",H2959=""),"",ROUND(MOD(H2959-G2959,1)*24,2))</f>
        <v/>
      </c>
      <c r="K2959" s="62">
        <f>IF(E2959="","",IF(E2959="Werken","JA","NEE"))</f>
        <v/>
      </c>
      <c r="L2959" s="61">
        <f>IF(K2959="JA",N(J2959),IF(E2959="","",0))</f>
        <v/>
      </c>
      <c r="M2959" s="62">
        <f>IF(AND(A2959="",E2959=""),"",IF(E2959="","Segment ontbreekt",IF(OR(G2959="",H2959=""),"Van/tot ontbreekt",IF(N(J2959)=0,"Duur is nul",IF(N(J2959)&gt;12,"Langer dan 12 uur - controleren",IF(AND(E2959="Werken",D2959=""),"Werken zonder klant - koppelen","OK"))))))</f>
        <v/>
      </c>
    </row>
    <row r="2960" ht="15" customHeight="1" s="42">
      <c r="A2960" s="55" t="n"/>
      <c r="B2960" s="56">
        <f>IF(A2960="","",WEEKNUM(A2960,21))</f>
        <v/>
      </c>
      <c r="C2960" s="57" t="n"/>
      <c r="D2960" s="57" t="n"/>
      <c r="E2960" s="58" t="n"/>
      <c r="F2960" s="57" t="n"/>
      <c r="G2960" s="59" t="n"/>
      <c r="H2960" s="59" t="n"/>
      <c r="I2960" s="60">
        <f>IF(OR(G2960="",H2960=""),"",MOD(H2960-G2960,1))</f>
        <v/>
      </c>
      <c r="J2960" s="61">
        <f>IF(OR(G2960="",H2960=""),"",ROUND(MOD(H2960-G2960,1)*24,2))</f>
        <v/>
      </c>
      <c r="K2960" s="62">
        <f>IF(E2960="","",IF(E2960="Werken","JA","NEE"))</f>
        <v/>
      </c>
      <c r="L2960" s="61">
        <f>IF(K2960="JA",N(J2960),IF(E2960="","",0))</f>
        <v/>
      </c>
      <c r="M2960" s="62">
        <f>IF(AND(A2960="",E2960=""),"",IF(E2960="","Segment ontbreekt",IF(OR(G2960="",H2960=""),"Van/tot ontbreekt",IF(N(J2960)=0,"Duur is nul",IF(N(J2960)&gt;12,"Langer dan 12 uur - controleren",IF(AND(E2960="Werken",D2960=""),"Werken zonder klant - koppelen","OK"))))))</f>
        <v/>
      </c>
    </row>
    <row r="2961" ht="15" customHeight="1" s="42">
      <c r="A2961" s="55" t="n"/>
      <c r="B2961" s="56">
        <f>IF(A2961="","",WEEKNUM(A2961,21))</f>
        <v/>
      </c>
      <c r="C2961" s="57" t="n"/>
      <c r="D2961" s="57" t="n"/>
      <c r="E2961" s="58" t="n"/>
      <c r="F2961" s="57" t="n"/>
      <c r="G2961" s="59" t="n"/>
      <c r="H2961" s="59" t="n"/>
      <c r="I2961" s="60">
        <f>IF(OR(G2961="",H2961=""),"",MOD(H2961-G2961,1))</f>
        <v/>
      </c>
      <c r="J2961" s="61">
        <f>IF(OR(G2961="",H2961=""),"",ROUND(MOD(H2961-G2961,1)*24,2))</f>
        <v/>
      </c>
      <c r="K2961" s="62">
        <f>IF(E2961="","",IF(E2961="Werken","JA","NEE"))</f>
        <v/>
      </c>
      <c r="L2961" s="61">
        <f>IF(K2961="JA",N(J2961),IF(E2961="","",0))</f>
        <v/>
      </c>
      <c r="M2961" s="62">
        <f>IF(AND(A2961="",E2961=""),"",IF(E2961="","Segment ontbreekt",IF(OR(G2961="",H2961=""),"Van/tot ontbreekt",IF(N(J2961)=0,"Duur is nul",IF(N(J2961)&gt;12,"Langer dan 12 uur - controleren",IF(AND(E2961="Werken",D2961=""),"Werken zonder klant - koppelen","OK"))))))</f>
        <v/>
      </c>
    </row>
    <row r="2962" ht="15" customHeight="1" s="42">
      <c r="A2962" s="55" t="n"/>
      <c r="B2962" s="56">
        <f>IF(A2962="","",WEEKNUM(A2962,21))</f>
        <v/>
      </c>
      <c r="C2962" s="57" t="n"/>
      <c r="D2962" s="57" t="n"/>
      <c r="E2962" s="58" t="n"/>
      <c r="F2962" s="57" t="n"/>
      <c r="G2962" s="59" t="n"/>
      <c r="H2962" s="59" t="n"/>
      <c r="I2962" s="60">
        <f>IF(OR(G2962="",H2962=""),"",MOD(H2962-G2962,1))</f>
        <v/>
      </c>
      <c r="J2962" s="61">
        <f>IF(OR(G2962="",H2962=""),"",ROUND(MOD(H2962-G2962,1)*24,2))</f>
        <v/>
      </c>
      <c r="K2962" s="62">
        <f>IF(E2962="","",IF(E2962="Werken","JA","NEE"))</f>
        <v/>
      </c>
      <c r="L2962" s="61">
        <f>IF(K2962="JA",N(J2962),IF(E2962="","",0))</f>
        <v/>
      </c>
      <c r="M2962" s="62">
        <f>IF(AND(A2962="",E2962=""),"",IF(E2962="","Segment ontbreekt",IF(OR(G2962="",H2962=""),"Van/tot ontbreekt",IF(N(J2962)=0,"Duur is nul",IF(N(J2962)&gt;12,"Langer dan 12 uur - controleren",IF(AND(E2962="Werken",D2962=""),"Werken zonder klant - koppelen","OK"))))))</f>
        <v/>
      </c>
    </row>
    <row r="2963" ht="15" customHeight="1" s="42">
      <c r="A2963" s="55" t="n"/>
      <c r="B2963" s="56">
        <f>IF(A2963="","",WEEKNUM(A2963,21))</f>
        <v/>
      </c>
      <c r="C2963" s="57" t="n"/>
      <c r="D2963" s="57" t="n"/>
      <c r="E2963" s="58" t="n"/>
      <c r="F2963" s="57" t="n"/>
      <c r="G2963" s="59" t="n"/>
      <c r="H2963" s="59" t="n"/>
      <c r="I2963" s="60">
        <f>IF(OR(G2963="",H2963=""),"",MOD(H2963-G2963,1))</f>
        <v/>
      </c>
      <c r="J2963" s="61">
        <f>IF(OR(G2963="",H2963=""),"",ROUND(MOD(H2963-G2963,1)*24,2))</f>
        <v/>
      </c>
      <c r="K2963" s="62">
        <f>IF(E2963="","",IF(E2963="Werken","JA","NEE"))</f>
        <v/>
      </c>
      <c r="L2963" s="61">
        <f>IF(K2963="JA",N(J2963),IF(E2963="","",0))</f>
        <v/>
      </c>
      <c r="M2963" s="62">
        <f>IF(AND(A2963="",E2963=""),"",IF(E2963="","Segment ontbreekt",IF(OR(G2963="",H2963=""),"Van/tot ontbreekt",IF(N(J2963)=0,"Duur is nul",IF(N(J2963)&gt;12,"Langer dan 12 uur - controleren",IF(AND(E2963="Werken",D2963=""),"Werken zonder klant - koppelen","OK"))))))</f>
        <v/>
      </c>
    </row>
    <row r="2964" ht="15" customHeight="1" s="42">
      <c r="A2964" s="55" t="n"/>
      <c r="B2964" s="56">
        <f>IF(A2964="","",WEEKNUM(A2964,21))</f>
        <v/>
      </c>
      <c r="C2964" s="57" t="n"/>
      <c r="D2964" s="57" t="n"/>
      <c r="E2964" s="58" t="n"/>
      <c r="F2964" s="57" t="n"/>
      <c r="G2964" s="59" t="n"/>
      <c r="H2964" s="59" t="n"/>
      <c r="I2964" s="60">
        <f>IF(OR(G2964="",H2964=""),"",MOD(H2964-G2964,1))</f>
        <v/>
      </c>
      <c r="J2964" s="61">
        <f>IF(OR(G2964="",H2964=""),"",ROUND(MOD(H2964-G2964,1)*24,2))</f>
        <v/>
      </c>
      <c r="K2964" s="62">
        <f>IF(E2964="","",IF(E2964="Werken","JA","NEE"))</f>
        <v/>
      </c>
      <c r="L2964" s="61">
        <f>IF(K2964="JA",N(J2964),IF(E2964="","",0))</f>
        <v/>
      </c>
      <c r="M2964" s="62">
        <f>IF(AND(A2964="",E2964=""),"",IF(E2964="","Segment ontbreekt",IF(OR(G2964="",H2964=""),"Van/tot ontbreekt",IF(N(J2964)=0,"Duur is nul",IF(N(J2964)&gt;12,"Langer dan 12 uur - controleren",IF(AND(E2964="Werken",D2964=""),"Werken zonder klant - koppelen","OK"))))))</f>
        <v/>
      </c>
    </row>
    <row r="2965" ht="15" customHeight="1" s="42">
      <c r="A2965" s="55" t="n"/>
      <c r="B2965" s="56">
        <f>IF(A2965="","",WEEKNUM(A2965,21))</f>
        <v/>
      </c>
      <c r="C2965" s="57" t="n"/>
      <c r="D2965" s="57" t="n"/>
      <c r="E2965" s="58" t="n"/>
      <c r="F2965" s="57" t="n"/>
      <c r="G2965" s="59" t="n"/>
      <c r="H2965" s="59" t="n"/>
      <c r="I2965" s="60">
        <f>IF(OR(G2965="",H2965=""),"",MOD(H2965-G2965,1))</f>
        <v/>
      </c>
      <c r="J2965" s="61">
        <f>IF(OR(G2965="",H2965=""),"",ROUND(MOD(H2965-G2965,1)*24,2))</f>
        <v/>
      </c>
      <c r="K2965" s="62">
        <f>IF(E2965="","",IF(E2965="Werken","JA","NEE"))</f>
        <v/>
      </c>
      <c r="L2965" s="61">
        <f>IF(K2965="JA",N(J2965),IF(E2965="","",0))</f>
        <v/>
      </c>
      <c r="M2965" s="62">
        <f>IF(AND(A2965="",E2965=""),"",IF(E2965="","Segment ontbreekt",IF(OR(G2965="",H2965=""),"Van/tot ontbreekt",IF(N(J2965)=0,"Duur is nul",IF(N(J2965)&gt;12,"Langer dan 12 uur - controleren",IF(AND(E2965="Werken",D2965=""),"Werken zonder klant - koppelen","OK"))))))</f>
        <v/>
      </c>
    </row>
    <row r="2966" ht="15" customHeight="1" s="42">
      <c r="A2966" s="55" t="n"/>
      <c r="B2966" s="56">
        <f>IF(A2966="","",WEEKNUM(A2966,21))</f>
        <v/>
      </c>
      <c r="C2966" s="57" t="n"/>
      <c r="D2966" s="57" t="n"/>
      <c r="E2966" s="58" t="n"/>
      <c r="F2966" s="57" t="n"/>
      <c r="G2966" s="59" t="n"/>
      <c r="H2966" s="59" t="n"/>
      <c r="I2966" s="60">
        <f>IF(OR(G2966="",H2966=""),"",MOD(H2966-G2966,1))</f>
        <v/>
      </c>
      <c r="J2966" s="61">
        <f>IF(OR(G2966="",H2966=""),"",ROUND(MOD(H2966-G2966,1)*24,2))</f>
        <v/>
      </c>
      <c r="K2966" s="62">
        <f>IF(E2966="","",IF(E2966="Werken","JA","NEE"))</f>
        <v/>
      </c>
      <c r="L2966" s="61">
        <f>IF(K2966="JA",N(J2966),IF(E2966="","",0))</f>
        <v/>
      </c>
      <c r="M2966" s="62">
        <f>IF(AND(A2966="",E2966=""),"",IF(E2966="","Segment ontbreekt",IF(OR(G2966="",H2966=""),"Van/tot ontbreekt",IF(N(J2966)=0,"Duur is nul",IF(N(J2966)&gt;12,"Langer dan 12 uur - controleren",IF(AND(E2966="Werken",D2966=""),"Werken zonder klant - koppelen","OK"))))))</f>
        <v/>
      </c>
    </row>
    <row r="2967" ht="15" customHeight="1" s="42">
      <c r="A2967" s="55" t="n"/>
      <c r="B2967" s="56">
        <f>IF(A2967="","",WEEKNUM(A2967,21))</f>
        <v/>
      </c>
      <c r="C2967" s="57" t="n"/>
      <c r="D2967" s="57" t="n"/>
      <c r="E2967" s="58" t="n"/>
      <c r="F2967" s="57" t="n"/>
      <c r="G2967" s="59" t="n"/>
      <c r="H2967" s="59" t="n"/>
      <c r="I2967" s="60">
        <f>IF(OR(G2967="",H2967=""),"",MOD(H2967-G2967,1))</f>
        <v/>
      </c>
      <c r="J2967" s="61">
        <f>IF(OR(G2967="",H2967=""),"",ROUND(MOD(H2967-G2967,1)*24,2))</f>
        <v/>
      </c>
      <c r="K2967" s="62">
        <f>IF(E2967="","",IF(E2967="Werken","JA","NEE"))</f>
        <v/>
      </c>
      <c r="L2967" s="61">
        <f>IF(K2967="JA",N(J2967),IF(E2967="","",0))</f>
        <v/>
      </c>
      <c r="M2967" s="62">
        <f>IF(AND(A2967="",E2967=""),"",IF(E2967="","Segment ontbreekt",IF(OR(G2967="",H2967=""),"Van/tot ontbreekt",IF(N(J2967)=0,"Duur is nul",IF(N(J2967)&gt;12,"Langer dan 12 uur - controleren",IF(AND(E2967="Werken",D2967=""),"Werken zonder klant - koppelen","OK"))))))</f>
        <v/>
      </c>
    </row>
    <row r="2968" ht="15" customHeight="1" s="42">
      <c r="A2968" s="55" t="n"/>
      <c r="B2968" s="56">
        <f>IF(A2968="","",WEEKNUM(A2968,21))</f>
        <v/>
      </c>
      <c r="C2968" s="57" t="n"/>
      <c r="D2968" s="57" t="n"/>
      <c r="E2968" s="58" t="n"/>
      <c r="F2968" s="57" t="n"/>
      <c r="G2968" s="59" t="n"/>
      <c r="H2968" s="59" t="n"/>
      <c r="I2968" s="60">
        <f>IF(OR(G2968="",H2968=""),"",MOD(H2968-G2968,1))</f>
        <v/>
      </c>
      <c r="J2968" s="61">
        <f>IF(OR(G2968="",H2968=""),"",ROUND(MOD(H2968-G2968,1)*24,2))</f>
        <v/>
      </c>
      <c r="K2968" s="62">
        <f>IF(E2968="","",IF(E2968="Werken","JA","NEE"))</f>
        <v/>
      </c>
      <c r="L2968" s="61">
        <f>IF(K2968="JA",N(J2968),IF(E2968="","",0))</f>
        <v/>
      </c>
      <c r="M2968" s="62">
        <f>IF(AND(A2968="",E2968=""),"",IF(E2968="","Segment ontbreekt",IF(OR(G2968="",H2968=""),"Van/tot ontbreekt",IF(N(J2968)=0,"Duur is nul",IF(N(J2968)&gt;12,"Langer dan 12 uur - controleren",IF(AND(E2968="Werken",D2968=""),"Werken zonder klant - koppelen","OK"))))))</f>
        <v/>
      </c>
    </row>
    <row r="2969" ht="15" customHeight="1" s="42">
      <c r="A2969" s="55" t="n"/>
      <c r="B2969" s="56">
        <f>IF(A2969="","",WEEKNUM(A2969,21))</f>
        <v/>
      </c>
      <c r="C2969" s="57" t="n"/>
      <c r="D2969" s="57" t="n"/>
      <c r="E2969" s="58" t="n"/>
      <c r="F2969" s="57" t="n"/>
      <c r="G2969" s="59" t="n"/>
      <c r="H2969" s="59" t="n"/>
      <c r="I2969" s="60">
        <f>IF(OR(G2969="",H2969=""),"",MOD(H2969-G2969,1))</f>
        <v/>
      </c>
      <c r="J2969" s="61">
        <f>IF(OR(G2969="",H2969=""),"",ROUND(MOD(H2969-G2969,1)*24,2))</f>
        <v/>
      </c>
      <c r="K2969" s="62">
        <f>IF(E2969="","",IF(E2969="Werken","JA","NEE"))</f>
        <v/>
      </c>
      <c r="L2969" s="61">
        <f>IF(K2969="JA",N(J2969),IF(E2969="","",0))</f>
        <v/>
      </c>
      <c r="M2969" s="62">
        <f>IF(AND(A2969="",E2969=""),"",IF(E2969="","Segment ontbreekt",IF(OR(G2969="",H2969=""),"Van/tot ontbreekt",IF(N(J2969)=0,"Duur is nul",IF(N(J2969)&gt;12,"Langer dan 12 uur - controleren",IF(AND(E2969="Werken",D2969=""),"Werken zonder klant - koppelen","OK"))))))</f>
        <v/>
      </c>
    </row>
    <row r="2970" ht="15" customHeight="1" s="42">
      <c r="A2970" s="55" t="n"/>
      <c r="B2970" s="56">
        <f>IF(A2970="","",WEEKNUM(A2970,21))</f>
        <v/>
      </c>
      <c r="C2970" s="57" t="n"/>
      <c r="D2970" s="57" t="n"/>
      <c r="E2970" s="58" t="n"/>
      <c r="F2970" s="57" t="n"/>
      <c r="G2970" s="59" t="n"/>
      <c r="H2970" s="59" t="n"/>
      <c r="I2970" s="60">
        <f>IF(OR(G2970="",H2970=""),"",MOD(H2970-G2970,1))</f>
        <v/>
      </c>
      <c r="J2970" s="61">
        <f>IF(OR(G2970="",H2970=""),"",ROUND(MOD(H2970-G2970,1)*24,2))</f>
        <v/>
      </c>
      <c r="K2970" s="62">
        <f>IF(E2970="","",IF(E2970="Werken","JA","NEE"))</f>
        <v/>
      </c>
      <c r="L2970" s="61">
        <f>IF(K2970="JA",N(J2970),IF(E2970="","",0))</f>
        <v/>
      </c>
      <c r="M2970" s="62">
        <f>IF(AND(A2970="",E2970=""),"",IF(E2970="","Segment ontbreekt",IF(OR(G2970="",H2970=""),"Van/tot ontbreekt",IF(N(J2970)=0,"Duur is nul",IF(N(J2970)&gt;12,"Langer dan 12 uur - controleren",IF(AND(E2970="Werken",D2970=""),"Werken zonder klant - koppelen","OK"))))))</f>
        <v/>
      </c>
    </row>
    <row r="2971" ht="15" customHeight="1" s="42">
      <c r="A2971" s="55" t="n"/>
      <c r="B2971" s="56">
        <f>IF(A2971="","",WEEKNUM(A2971,21))</f>
        <v/>
      </c>
      <c r="C2971" s="57" t="n"/>
      <c r="D2971" s="57" t="n"/>
      <c r="E2971" s="58" t="n"/>
      <c r="F2971" s="57" t="n"/>
      <c r="G2971" s="59" t="n"/>
      <c r="H2971" s="59" t="n"/>
      <c r="I2971" s="60">
        <f>IF(OR(G2971="",H2971=""),"",MOD(H2971-G2971,1))</f>
        <v/>
      </c>
      <c r="J2971" s="61">
        <f>IF(OR(G2971="",H2971=""),"",ROUND(MOD(H2971-G2971,1)*24,2))</f>
        <v/>
      </c>
      <c r="K2971" s="62">
        <f>IF(E2971="","",IF(E2971="Werken","JA","NEE"))</f>
        <v/>
      </c>
      <c r="L2971" s="61">
        <f>IF(K2971="JA",N(J2971),IF(E2971="","",0))</f>
        <v/>
      </c>
      <c r="M2971" s="62">
        <f>IF(AND(A2971="",E2971=""),"",IF(E2971="","Segment ontbreekt",IF(OR(G2971="",H2971=""),"Van/tot ontbreekt",IF(N(J2971)=0,"Duur is nul",IF(N(J2971)&gt;12,"Langer dan 12 uur - controleren",IF(AND(E2971="Werken",D2971=""),"Werken zonder klant - koppelen","OK"))))))</f>
        <v/>
      </c>
    </row>
    <row r="2972" ht="15" customHeight="1" s="42">
      <c r="A2972" s="55" t="n"/>
      <c r="B2972" s="56">
        <f>IF(A2972="","",WEEKNUM(A2972,21))</f>
        <v/>
      </c>
      <c r="C2972" s="57" t="n"/>
      <c r="D2972" s="57" t="n"/>
      <c r="E2972" s="58" t="n"/>
      <c r="F2972" s="57" t="n"/>
      <c r="G2972" s="59" t="n"/>
      <c r="H2972" s="59" t="n"/>
      <c r="I2972" s="60">
        <f>IF(OR(G2972="",H2972=""),"",MOD(H2972-G2972,1))</f>
        <v/>
      </c>
      <c r="J2972" s="61">
        <f>IF(OR(G2972="",H2972=""),"",ROUND(MOD(H2972-G2972,1)*24,2))</f>
        <v/>
      </c>
      <c r="K2972" s="62">
        <f>IF(E2972="","",IF(E2972="Werken","JA","NEE"))</f>
        <v/>
      </c>
      <c r="L2972" s="61">
        <f>IF(K2972="JA",N(J2972),IF(E2972="","",0))</f>
        <v/>
      </c>
      <c r="M2972" s="62">
        <f>IF(AND(A2972="",E2972=""),"",IF(E2972="","Segment ontbreekt",IF(OR(G2972="",H2972=""),"Van/tot ontbreekt",IF(N(J2972)=0,"Duur is nul",IF(N(J2972)&gt;12,"Langer dan 12 uur - controleren",IF(AND(E2972="Werken",D2972=""),"Werken zonder klant - koppelen","OK"))))))</f>
        <v/>
      </c>
    </row>
    <row r="2973" ht="15" customHeight="1" s="42">
      <c r="A2973" s="55" t="n"/>
      <c r="B2973" s="56">
        <f>IF(A2973="","",WEEKNUM(A2973,21))</f>
        <v/>
      </c>
      <c r="C2973" s="57" t="n"/>
      <c r="D2973" s="57" t="n"/>
      <c r="E2973" s="58" t="n"/>
      <c r="F2973" s="57" t="n"/>
      <c r="G2973" s="59" t="n"/>
      <c r="H2973" s="59" t="n"/>
      <c r="I2973" s="60">
        <f>IF(OR(G2973="",H2973=""),"",MOD(H2973-G2973,1))</f>
        <v/>
      </c>
      <c r="J2973" s="61">
        <f>IF(OR(G2973="",H2973=""),"",ROUND(MOD(H2973-G2973,1)*24,2))</f>
        <v/>
      </c>
      <c r="K2973" s="62">
        <f>IF(E2973="","",IF(E2973="Werken","JA","NEE"))</f>
        <v/>
      </c>
      <c r="L2973" s="61">
        <f>IF(K2973="JA",N(J2973),IF(E2973="","",0))</f>
        <v/>
      </c>
      <c r="M2973" s="62">
        <f>IF(AND(A2973="",E2973=""),"",IF(E2973="","Segment ontbreekt",IF(OR(G2973="",H2973=""),"Van/tot ontbreekt",IF(N(J2973)=0,"Duur is nul",IF(N(J2973)&gt;12,"Langer dan 12 uur - controleren",IF(AND(E2973="Werken",D2973=""),"Werken zonder klant - koppelen","OK"))))))</f>
        <v/>
      </c>
    </row>
    <row r="2974" ht="15" customHeight="1" s="42">
      <c r="A2974" s="55" t="n"/>
      <c r="B2974" s="56">
        <f>IF(A2974="","",WEEKNUM(A2974,21))</f>
        <v/>
      </c>
      <c r="C2974" s="57" t="n"/>
      <c r="D2974" s="57" t="n"/>
      <c r="E2974" s="58" t="n"/>
      <c r="F2974" s="57" t="n"/>
      <c r="G2974" s="59" t="n"/>
      <c r="H2974" s="59" t="n"/>
      <c r="I2974" s="60">
        <f>IF(OR(G2974="",H2974=""),"",MOD(H2974-G2974,1))</f>
        <v/>
      </c>
      <c r="J2974" s="61">
        <f>IF(OR(G2974="",H2974=""),"",ROUND(MOD(H2974-G2974,1)*24,2))</f>
        <v/>
      </c>
      <c r="K2974" s="62">
        <f>IF(E2974="","",IF(E2974="Werken","JA","NEE"))</f>
        <v/>
      </c>
      <c r="L2974" s="61">
        <f>IF(K2974="JA",N(J2974),IF(E2974="","",0))</f>
        <v/>
      </c>
      <c r="M2974" s="62">
        <f>IF(AND(A2974="",E2974=""),"",IF(E2974="","Segment ontbreekt",IF(OR(G2974="",H2974=""),"Van/tot ontbreekt",IF(N(J2974)=0,"Duur is nul",IF(N(J2974)&gt;12,"Langer dan 12 uur - controleren",IF(AND(E2974="Werken",D2974=""),"Werken zonder klant - koppelen","OK"))))))</f>
        <v/>
      </c>
    </row>
    <row r="2975" ht="15" customHeight="1" s="42">
      <c r="A2975" s="55" t="n"/>
      <c r="B2975" s="56">
        <f>IF(A2975="","",WEEKNUM(A2975,21))</f>
        <v/>
      </c>
      <c r="C2975" s="57" t="n"/>
      <c r="D2975" s="57" t="n"/>
      <c r="E2975" s="58" t="n"/>
      <c r="F2975" s="57" t="n"/>
      <c r="G2975" s="59" t="n"/>
      <c r="H2975" s="59" t="n"/>
      <c r="I2975" s="60">
        <f>IF(OR(G2975="",H2975=""),"",MOD(H2975-G2975,1))</f>
        <v/>
      </c>
      <c r="J2975" s="61">
        <f>IF(OR(G2975="",H2975=""),"",ROUND(MOD(H2975-G2975,1)*24,2))</f>
        <v/>
      </c>
      <c r="K2975" s="62">
        <f>IF(E2975="","",IF(E2975="Werken","JA","NEE"))</f>
        <v/>
      </c>
      <c r="L2975" s="61">
        <f>IF(K2975="JA",N(J2975),IF(E2975="","",0))</f>
        <v/>
      </c>
      <c r="M2975" s="62">
        <f>IF(AND(A2975="",E2975=""),"",IF(E2975="","Segment ontbreekt",IF(OR(G2975="",H2975=""),"Van/tot ontbreekt",IF(N(J2975)=0,"Duur is nul",IF(N(J2975)&gt;12,"Langer dan 12 uur - controleren",IF(AND(E2975="Werken",D2975=""),"Werken zonder klant - koppelen","OK"))))))</f>
        <v/>
      </c>
    </row>
    <row r="2976" ht="15" customHeight="1" s="42">
      <c r="A2976" s="55" t="n"/>
      <c r="B2976" s="56">
        <f>IF(A2976="","",WEEKNUM(A2976,21))</f>
        <v/>
      </c>
      <c r="C2976" s="57" t="n"/>
      <c r="D2976" s="57" t="n"/>
      <c r="E2976" s="58" t="n"/>
      <c r="F2976" s="57" t="n"/>
      <c r="G2976" s="59" t="n"/>
      <c r="H2976" s="59" t="n"/>
      <c r="I2976" s="60">
        <f>IF(OR(G2976="",H2976=""),"",MOD(H2976-G2976,1))</f>
        <v/>
      </c>
      <c r="J2976" s="61">
        <f>IF(OR(G2976="",H2976=""),"",ROUND(MOD(H2976-G2976,1)*24,2))</f>
        <v/>
      </c>
      <c r="K2976" s="62">
        <f>IF(E2976="","",IF(E2976="Werken","JA","NEE"))</f>
        <v/>
      </c>
      <c r="L2976" s="61">
        <f>IF(K2976="JA",N(J2976),IF(E2976="","",0))</f>
        <v/>
      </c>
      <c r="M2976" s="62">
        <f>IF(AND(A2976="",E2976=""),"",IF(E2976="","Segment ontbreekt",IF(OR(G2976="",H2976=""),"Van/tot ontbreekt",IF(N(J2976)=0,"Duur is nul",IF(N(J2976)&gt;12,"Langer dan 12 uur - controleren",IF(AND(E2976="Werken",D2976=""),"Werken zonder klant - koppelen","OK"))))))</f>
        <v/>
      </c>
    </row>
    <row r="2977" ht="15" customHeight="1" s="42">
      <c r="A2977" s="55" t="n"/>
      <c r="B2977" s="56">
        <f>IF(A2977="","",WEEKNUM(A2977,21))</f>
        <v/>
      </c>
      <c r="C2977" s="57" t="n"/>
      <c r="D2977" s="57" t="n"/>
      <c r="E2977" s="58" t="n"/>
      <c r="F2977" s="57" t="n"/>
      <c r="G2977" s="59" t="n"/>
      <c r="H2977" s="59" t="n"/>
      <c r="I2977" s="60">
        <f>IF(OR(G2977="",H2977=""),"",MOD(H2977-G2977,1))</f>
        <v/>
      </c>
      <c r="J2977" s="61">
        <f>IF(OR(G2977="",H2977=""),"",ROUND(MOD(H2977-G2977,1)*24,2))</f>
        <v/>
      </c>
      <c r="K2977" s="62">
        <f>IF(E2977="","",IF(E2977="Werken","JA","NEE"))</f>
        <v/>
      </c>
      <c r="L2977" s="61">
        <f>IF(K2977="JA",N(J2977),IF(E2977="","",0))</f>
        <v/>
      </c>
      <c r="M2977" s="62">
        <f>IF(AND(A2977="",E2977=""),"",IF(E2977="","Segment ontbreekt",IF(OR(G2977="",H2977=""),"Van/tot ontbreekt",IF(N(J2977)=0,"Duur is nul",IF(N(J2977)&gt;12,"Langer dan 12 uur - controleren",IF(AND(E2977="Werken",D2977=""),"Werken zonder klant - koppelen","OK"))))))</f>
        <v/>
      </c>
    </row>
    <row r="2978" ht="15" customHeight="1" s="42">
      <c r="A2978" s="55" t="n"/>
      <c r="B2978" s="56">
        <f>IF(A2978="","",WEEKNUM(A2978,21))</f>
        <v/>
      </c>
      <c r="C2978" s="57" t="n"/>
      <c r="D2978" s="57" t="n"/>
      <c r="E2978" s="58" t="n"/>
      <c r="F2978" s="57" t="n"/>
      <c r="G2978" s="59" t="n"/>
      <c r="H2978" s="59" t="n"/>
      <c r="I2978" s="60">
        <f>IF(OR(G2978="",H2978=""),"",MOD(H2978-G2978,1))</f>
        <v/>
      </c>
      <c r="J2978" s="61">
        <f>IF(OR(G2978="",H2978=""),"",ROUND(MOD(H2978-G2978,1)*24,2))</f>
        <v/>
      </c>
      <c r="K2978" s="62">
        <f>IF(E2978="","",IF(E2978="Werken","JA","NEE"))</f>
        <v/>
      </c>
      <c r="L2978" s="61">
        <f>IF(K2978="JA",N(J2978),IF(E2978="","",0))</f>
        <v/>
      </c>
      <c r="M2978" s="62">
        <f>IF(AND(A2978="",E2978=""),"",IF(E2978="","Segment ontbreekt",IF(OR(G2978="",H2978=""),"Van/tot ontbreekt",IF(N(J2978)=0,"Duur is nul",IF(N(J2978)&gt;12,"Langer dan 12 uur - controleren",IF(AND(E2978="Werken",D2978=""),"Werken zonder klant - koppelen","OK"))))))</f>
        <v/>
      </c>
    </row>
    <row r="2979" ht="15" customHeight="1" s="42">
      <c r="A2979" s="55" t="n"/>
      <c r="B2979" s="56">
        <f>IF(A2979="","",WEEKNUM(A2979,21))</f>
        <v/>
      </c>
      <c r="C2979" s="57" t="n"/>
      <c r="D2979" s="57" t="n"/>
      <c r="E2979" s="58" t="n"/>
      <c r="F2979" s="57" t="n"/>
      <c r="G2979" s="59" t="n"/>
      <c r="H2979" s="59" t="n"/>
      <c r="I2979" s="60">
        <f>IF(OR(G2979="",H2979=""),"",MOD(H2979-G2979,1))</f>
        <v/>
      </c>
      <c r="J2979" s="61">
        <f>IF(OR(G2979="",H2979=""),"",ROUND(MOD(H2979-G2979,1)*24,2))</f>
        <v/>
      </c>
      <c r="K2979" s="62">
        <f>IF(E2979="","",IF(E2979="Werken","JA","NEE"))</f>
        <v/>
      </c>
      <c r="L2979" s="61">
        <f>IF(K2979="JA",N(J2979),IF(E2979="","",0))</f>
        <v/>
      </c>
      <c r="M2979" s="62">
        <f>IF(AND(A2979="",E2979=""),"",IF(E2979="","Segment ontbreekt",IF(OR(G2979="",H2979=""),"Van/tot ontbreekt",IF(N(J2979)=0,"Duur is nul",IF(N(J2979)&gt;12,"Langer dan 12 uur - controleren",IF(AND(E2979="Werken",D2979=""),"Werken zonder klant - koppelen","OK"))))))</f>
        <v/>
      </c>
    </row>
    <row r="2980" ht="15" customHeight="1" s="42">
      <c r="A2980" s="55" t="n"/>
      <c r="B2980" s="56">
        <f>IF(A2980="","",WEEKNUM(A2980,21))</f>
        <v/>
      </c>
      <c r="C2980" s="57" t="n"/>
      <c r="D2980" s="57" t="n"/>
      <c r="E2980" s="58" t="n"/>
      <c r="F2980" s="57" t="n"/>
      <c r="G2980" s="59" t="n"/>
      <c r="H2980" s="59" t="n"/>
      <c r="I2980" s="60">
        <f>IF(OR(G2980="",H2980=""),"",MOD(H2980-G2980,1))</f>
        <v/>
      </c>
      <c r="J2980" s="61">
        <f>IF(OR(G2980="",H2980=""),"",ROUND(MOD(H2980-G2980,1)*24,2))</f>
        <v/>
      </c>
      <c r="K2980" s="62">
        <f>IF(E2980="","",IF(E2980="Werken","JA","NEE"))</f>
        <v/>
      </c>
      <c r="L2980" s="61">
        <f>IF(K2980="JA",N(J2980),IF(E2980="","",0))</f>
        <v/>
      </c>
      <c r="M2980" s="62">
        <f>IF(AND(A2980="",E2980=""),"",IF(E2980="","Segment ontbreekt",IF(OR(G2980="",H2980=""),"Van/tot ontbreekt",IF(N(J2980)=0,"Duur is nul",IF(N(J2980)&gt;12,"Langer dan 12 uur - controleren",IF(AND(E2980="Werken",D2980=""),"Werken zonder klant - koppelen","OK"))))))</f>
        <v/>
      </c>
    </row>
    <row r="2981" ht="15" customHeight="1" s="42">
      <c r="A2981" s="55" t="n"/>
      <c r="B2981" s="56">
        <f>IF(A2981="","",WEEKNUM(A2981,21))</f>
        <v/>
      </c>
      <c r="C2981" s="57" t="n"/>
      <c r="D2981" s="57" t="n"/>
      <c r="E2981" s="58" t="n"/>
      <c r="F2981" s="57" t="n"/>
      <c r="G2981" s="59" t="n"/>
      <c r="H2981" s="59" t="n"/>
      <c r="I2981" s="60">
        <f>IF(OR(G2981="",H2981=""),"",MOD(H2981-G2981,1))</f>
        <v/>
      </c>
      <c r="J2981" s="61">
        <f>IF(OR(G2981="",H2981=""),"",ROUND(MOD(H2981-G2981,1)*24,2))</f>
        <v/>
      </c>
      <c r="K2981" s="62">
        <f>IF(E2981="","",IF(E2981="Werken","JA","NEE"))</f>
        <v/>
      </c>
      <c r="L2981" s="61">
        <f>IF(K2981="JA",N(J2981),IF(E2981="","",0))</f>
        <v/>
      </c>
      <c r="M2981" s="62">
        <f>IF(AND(A2981="",E2981=""),"",IF(E2981="","Segment ontbreekt",IF(OR(G2981="",H2981=""),"Van/tot ontbreekt",IF(N(J2981)=0,"Duur is nul",IF(N(J2981)&gt;12,"Langer dan 12 uur - controleren",IF(AND(E2981="Werken",D2981=""),"Werken zonder klant - koppelen","OK"))))))</f>
        <v/>
      </c>
    </row>
    <row r="2982" ht="15" customHeight="1" s="42">
      <c r="A2982" s="55" t="n"/>
      <c r="B2982" s="56">
        <f>IF(A2982="","",WEEKNUM(A2982,21))</f>
        <v/>
      </c>
      <c r="C2982" s="57" t="n"/>
      <c r="D2982" s="57" t="n"/>
      <c r="E2982" s="58" t="n"/>
      <c r="F2982" s="57" t="n"/>
      <c r="G2982" s="59" t="n"/>
      <c r="H2982" s="59" t="n"/>
      <c r="I2982" s="60">
        <f>IF(OR(G2982="",H2982=""),"",MOD(H2982-G2982,1))</f>
        <v/>
      </c>
      <c r="J2982" s="61">
        <f>IF(OR(G2982="",H2982=""),"",ROUND(MOD(H2982-G2982,1)*24,2))</f>
        <v/>
      </c>
      <c r="K2982" s="62">
        <f>IF(E2982="","",IF(E2982="Werken","JA","NEE"))</f>
        <v/>
      </c>
      <c r="L2982" s="61">
        <f>IF(K2982="JA",N(J2982),IF(E2982="","",0))</f>
        <v/>
      </c>
      <c r="M2982" s="62">
        <f>IF(AND(A2982="",E2982=""),"",IF(E2982="","Segment ontbreekt",IF(OR(G2982="",H2982=""),"Van/tot ontbreekt",IF(N(J2982)=0,"Duur is nul",IF(N(J2982)&gt;12,"Langer dan 12 uur - controleren",IF(AND(E2982="Werken",D2982=""),"Werken zonder klant - koppelen","OK"))))))</f>
        <v/>
      </c>
    </row>
    <row r="2983" ht="15" customHeight="1" s="42">
      <c r="A2983" s="55" t="n"/>
      <c r="B2983" s="56">
        <f>IF(A2983="","",WEEKNUM(A2983,21))</f>
        <v/>
      </c>
      <c r="C2983" s="57" t="n"/>
      <c r="D2983" s="57" t="n"/>
      <c r="E2983" s="58" t="n"/>
      <c r="F2983" s="57" t="n"/>
      <c r="G2983" s="59" t="n"/>
      <c r="H2983" s="59" t="n"/>
      <c r="I2983" s="60">
        <f>IF(OR(G2983="",H2983=""),"",MOD(H2983-G2983,1))</f>
        <v/>
      </c>
      <c r="J2983" s="61">
        <f>IF(OR(G2983="",H2983=""),"",ROUND(MOD(H2983-G2983,1)*24,2))</f>
        <v/>
      </c>
      <c r="K2983" s="62">
        <f>IF(E2983="","",IF(E2983="Werken","JA","NEE"))</f>
        <v/>
      </c>
      <c r="L2983" s="61">
        <f>IF(K2983="JA",N(J2983),IF(E2983="","",0))</f>
        <v/>
      </c>
      <c r="M2983" s="62">
        <f>IF(AND(A2983="",E2983=""),"",IF(E2983="","Segment ontbreekt",IF(OR(G2983="",H2983=""),"Van/tot ontbreekt",IF(N(J2983)=0,"Duur is nul",IF(N(J2983)&gt;12,"Langer dan 12 uur - controleren",IF(AND(E2983="Werken",D2983=""),"Werken zonder klant - koppelen","OK"))))))</f>
        <v/>
      </c>
    </row>
    <row r="2984" ht="15" customHeight="1" s="42">
      <c r="A2984" s="55" t="n"/>
      <c r="B2984" s="56">
        <f>IF(A2984="","",WEEKNUM(A2984,21))</f>
        <v/>
      </c>
      <c r="C2984" s="57" t="n"/>
      <c r="D2984" s="57" t="n"/>
      <c r="E2984" s="58" t="n"/>
      <c r="F2984" s="57" t="n"/>
      <c r="G2984" s="59" t="n"/>
      <c r="H2984" s="59" t="n"/>
      <c r="I2984" s="60">
        <f>IF(OR(G2984="",H2984=""),"",MOD(H2984-G2984,1))</f>
        <v/>
      </c>
      <c r="J2984" s="61">
        <f>IF(OR(G2984="",H2984=""),"",ROUND(MOD(H2984-G2984,1)*24,2))</f>
        <v/>
      </c>
      <c r="K2984" s="62">
        <f>IF(E2984="","",IF(E2984="Werken","JA","NEE"))</f>
        <v/>
      </c>
      <c r="L2984" s="61">
        <f>IF(K2984="JA",N(J2984),IF(E2984="","",0))</f>
        <v/>
      </c>
      <c r="M2984" s="62">
        <f>IF(AND(A2984="",E2984=""),"",IF(E2984="","Segment ontbreekt",IF(OR(G2984="",H2984=""),"Van/tot ontbreekt",IF(N(J2984)=0,"Duur is nul",IF(N(J2984)&gt;12,"Langer dan 12 uur - controleren",IF(AND(E2984="Werken",D2984=""),"Werken zonder klant - koppelen","OK"))))))</f>
        <v/>
      </c>
    </row>
    <row r="2985" ht="15" customHeight="1" s="42">
      <c r="A2985" s="55" t="n"/>
      <c r="B2985" s="56">
        <f>IF(A2985="","",WEEKNUM(A2985,21))</f>
        <v/>
      </c>
      <c r="C2985" s="57" t="n"/>
      <c r="D2985" s="57" t="n"/>
      <c r="E2985" s="58" t="n"/>
      <c r="F2985" s="57" t="n"/>
      <c r="G2985" s="59" t="n"/>
      <c r="H2985" s="59" t="n"/>
      <c r="I2985" s="60">
        <f>IF(OR(G2985="",H2985=""),"",MOD(H2985-G2985,1))</f>
        <v/>
      </c>
      <c r="J2985" s="61">
        <f>IF(OR(G2985="",H2985=""),"",ROUND(MOD(H2985-G2985,1)*24,2))</f>
        <v/>
      </c>
      <c r="K2985" s="62">
        <f>IF(E2985="","",IF(E2985="Werken","JA","NEE"))</f>
        <v/>
      </c>
      <c r="L2985" s="61">
        <f>IF(K2985="JA",N(J2985),IF(E2985="","",0))</f>
        <v/>
      </c>
      <c r="M2985" s="62">
        <f>IF(AND(A2985="",E2985=""),"",IF(E2985="","Segment ontbreekt",IF(OR(G2985="",H2985=""),"Van/tot ontbreekt",IF(N(J2985)=0,"Duur is nul",IF(N(J2985)&gt;12,"Langer dan 12 uur - controleren",IF(AND(E2985="Werken",D2985=""),"Werken zonder klant - koppelen","OK"))))))</f>
        <v/>
      </c>
    </row>
    <row r="2986" ht="15" customHeight="1" s="42">
      <c r="A2986" s="55" t="n"/>
      <c r="B2986" s="56">
        <f>IF(A2986="","",WEEKNUM(A2986,21))</f>
        <v/>
      </c>
      <c r="C2986" s="57" t="n"/>
      <c r="D2986" s="57" t="n"/>
      <c r="E2986" s="58" t="n"/>
      <c r="F2986" s="57" t="n"/>
      <c r="G2986" s="59" t="n"/>
      <c r="H2986" s="59" t="n"/>
      <c r="I2986" s="60">
        <f>IF(OR(G2986="",H2986=""),"",MOD(H2986-G2986,1))</f>
        <v/>
      </c>
      <c r="J2986" s="61">
        <f>IF(OR(G2986="",H2986=""),"",ROUND(MOD(H2986-G2986,1)*24,2))</f>
        <v/>
      </c>
      <c r="K2986" s="62">
        <f>IF(E2986="","",IF(E2986="Werken","JA","NEE"))</f>
        <v/>
      </c>
      <c r="L2986" s="61">
        <f>IF(K2986="JA",N(J2986),IF(E2986="","",0))</f>
        <v/>
      </c>
      <c r="M2986" s="62">
        <f>IF(AND(A2986="",E2986=""),"",IF(E2986="","Segment ontbreekt",IF(OR(G2986="",H2986=""),"Van/tot ontbreekt",IF(N(J2986)=0,"Duur is nul",IF(N(J2986)&gt;12,"Langer dan 12 uur - controleren",IF(AND(E2986="Werken",D2986=""),"Werken zonder klant - koppelen","OK"))))))</f>
        <v/>
      </c>
    </row>
    <row r="2987" ht="15" customHeight="1" s="42">
      <c r="A2987" s="55" t="n"/>
      <c r="B2987" s="56">
        <f>IF(A2987="","",WEEKNUM(A2987,21))</f>
        <v/>
      </c>
      <c r="C2987" s="57" t="n"/>
      <c r="D2987" s="57" t="n"/>
      <c r="E2987" s="58" t="n"/>
      <c r="F2987" s="57" t="n"/>
      <c r="G2987" s="59" t="n"/>
      <c r="H2987" s="59" t="n"/>
      <c r="I2987" s="60">
        <f>IF(OR(G2987="",H2987=""),"",MOD(H2987-G2987,1))</f>
        <v/>
      </c>
      <c r="J2987" s="61">
        <f>IF(OR(G2987="",H2987=""),"",ROUND(MOD(H2987-G2987,1)*24,2))</f>
        <v/>
      </c>
      <c r="K2987" s="62">
        <f>IF(E2987="","",IF(E2987="Werken","JA","NEE"))</f>
        <v/>
      </c>
      <c r="L2987" s="61">
        <f>IF(K2987="JA",N(J2987),IF(E2987="","",0))</f>
        <v/>
      </c>
      <c r="M2987" s="62">
        <f>IF(AND(A2987="",E2987=""),"",IF(E2987="","Segment ontbreekt",IF(OR(G2987="",H2987=""),"Van/tot ontbreekt",IF(N(J2987)=0,"Duur is nul",IF(N(J2987)&gt;12,"Langer dan 12 uur - controleren",IF(AND(E2987="Werken",D2987=""),"Werken zonder klant - koppelen","OK"))))))</f>
        <v/>
      </c>
    </row>
    <row r="2988" ht="15" customHeight="1" s="42">
      <c r="A2988" s="55" t="n"/>
      <c r="B2988" s="56">
        <f>IF(A2988="","",WEEKNUM(A2988,21))</f>
        <v/>
      </c>
      <c r="C2988" s="57" t="n"/>
      <c r="D2988" s="57" t="n"/>
      <c r="E2988" s="58" t="n"/>
      <c r="F2988" s="57" t="n"/>
      <c r="G2988" s="59" t="n"/>
      <c r="H2988" s="59" t="n"/>
      <c r="I2988" s="60">
        <f>IF(OR(G2988="",H2988=""),"",MOD(H2988-G2988,1))</f>
        <v/>
      </c>
      <c r="J2988" s="61">
        <f>IF(OR(G2988="",H2988=""),"",ROUND(MOD(H2988-G2988,1)*24,2))</f>
        <v/>
      </c>
      <c r="K2988" s="62">
        <f>IF(E2988="","",IF(E2988="Werken","JA","NEE"))</f>
        <v/>
      </c>
      <c r="L2988" s="61">
        <f>IF(K2988="JA",N(J2988),IF(E2988="","",0))</f>
        <v/>
      </c>
      <c r="M2988" s="62">
        <f>IF(AND(A2988="",E2988=""),"",IF(E2988="","Segment ontbreekt",IF(OR(G2988="",H2988=""),"Van/tot ontbreekt",IF(N(J2988)=0,"Duur is nul",IF(N(J2988)&gt;12,"Langer dan 12 uur - controleren",IF(AND(E2988="Werken",D2988=""),"Werken zonder klant - koppelen","OK"))))))</f>
        <v/>
      </c>
    </row>
    <row r="2989" ht="15" customHeight="1" s="42">
      <c r="A2989" s="55" t="n"/>
      <c r="B2989" s="56">
        <f>IF(A2989="","",WEEKNUM(A2989,21))</f>
        <v/>
      </c>
      <c r="C2989" s="57" t="n"/>
      <c r="D2989" s="57" t="n"/>
      <c r="E2989" s="58" t="n"/>
      <c r="F2989" s="57" t="n"/>
      <c r="G2989" s="59" t="n"/>
      <c r="H2989" s="59" t="n"/>
      <c r="I2989" s="60">
        <f>IF(OR(G2989="",H2989=""),"",MOD(H2989-G2989,1))</f>
        <v/>
      </c>
      <c r="J2989" s="61">
        <f>IF(OR(G2989="",H2989=""),"",ROUND(MOD(H2989-G2989,1)*24,2))</f>
        <v/>
      </c>
      <c r="K2989" s="62">
        <f>IF(E2989="","",IF(E2989="Werken","JA","NEE"))</f>
        <v/>
      </c>
      <c r="L2989" s="61">
        <f>IF(K2989="JA",N(J2989),IF(E2989="","",0))</f>
        <v/>
      </c>
      <c r="M2989" s="62">
        <f>IF(AND(A2989="",E2989=""),"",IF(E2989="","Segment ontbreekt",IF(OR(G2989="",H2989=""),"Van/tot ontbreekt",IF(N(J2989)=0,"Duur is nul",IF(N(J2989)&gt;12,"Langer dan 12 uur - controleren",IF(AND(E2989="Werken",D2989=""),"Werken zonder klant - koppelen","OK"))))))</f>
        <v/>
      </c>
    </row>
    <row r="2990" ht="15" customHeight="1" s="42">
      <c r="A2990" s="55" t="n"/>
      <c r="B2990" s="56">
        <f>IF(A2990="","",WEEKNUM(A2990,21))</f>
        <v/>
      </c>
      <c r="C2990" s="57" t="n"/>
      <c r="D2990" s="57" t="n"/>
      <c r="E2990" s="58" t="n"/>
      <c r="F2990" s="57" t="n"/>
      <c r="G2990" s="59" t="n"/>
      <c r="H2990" s="59" t="n"/>
      <c r="I2990" s="60">
        <f>IF(OR(G2990="",H2990=""),"",MOD(H2990-G2990,1))</f>
        <v/>
      </c>
      <c r="J2990" s="61">
        <f>IF(OR(G2990="",H2990=""),"",ROUND(MOD(H2990-G2990,1)*24,2))</f>
        <v/>
      </c>
      <c r="K2990" s="62">
        <f>IF(E2990="","",IF(E2990="Werken","JA","NEE"))</f>
        <v/>
      </c>
      <c r="L2990" s="61">
        <f>IF(K2990="JA",N(J2990),IF(E2990="","",0))</f>
        <v/>
      </c>
      <c r="M2990" s="62">
        <f>IF(AND(A2990="",E2990=""),"",IF(E2990="","Segment ontbreekt",IF(OR(G2990="",H2990=""),"Van/tot ontbreekt",IF(N(J2990)=0,"Duur is nul",IF(N(J2990)&gt;12,"Langer dan 12 uur - controleren",IF(AND(E2990="Werken",D2990=""),"Werken zonder klant - koppelen","OK"))))))</f>
        <v/>
      </c>
    </row>
    <row r="2991" ht="15" customHeight="1" s="42">
      <c r="A2991" s="55" t="n"/>
      <c r="B2991" s="56">
        <f>IF(A2991="","",WEEKNUM(A2991,21))</f>
        <v/>
      </c>
      <c r="C2991" s="57" t="n"/>
      <c r="D2991" s="57" t="n"/>
      <c r="E2991" s="58" t="n"/>
      <c r="F2991" s="57" t="n"/>
      <c r="G2991" s="59" t="n"/>
      <c r="H2991" s="59" t="n"/>
      <c r="I2991" s="60">
        <f>IF(OR(G2991="",H2991=""),"",MOD(H2991-G2991,1))</f>
        <v/>
      </c>
      <c r="J2991" s="61">
        <f>IF(OR(G2991="",H2991=""),"",ROUND(MOD(H2991-G2991,1)*24,2))</f>
        <v/>
      </c>
      <c r="K2991" s="62">
        <f>IF(E2991="","",IF(E2991="Werken","JA","NEE"))</f>
        <v/>
      </c>
      <c r="L2991" s="61">
        <f>IF(K2991="JA",N(J2991),IF(E2991="","",0))</f>
        <v/>
      </c>
      <c r="M2991" s="62">
        <f>IF(AND(A2991="",E2991=""),"",IF(E2991="","Segment ontbreekt",IF(OR(G2991="",H2991=""),"Van/tot ontbreekt",IF(N(J2991)=0,"Duur is nul",IF(N(J2991)&gt;12,"Langer dan 12 uur - controleren",IF(AND(E2991="Werken",D2991=""),"Werken zonder klant - koppelen","OK"))))))</f>
        <v/>
      </c>
    </row>
    <row r="2992" ht="15" customHeight="1" s="42">
      <c r="A2992" s="55" t="n"/>
      <c r="B2992" s="56">
        <f>IF(A2992="","",WEEKNUM(A2992,21))</f>
        <v/>
      </c>
      <c r="C2992" s="57" t="n"/>
      <c r="D2992" s="57" t="n"/>
      <c r="E2992" s="58" t="n"/>
      <c r="F2992" s="57" t="n"/>
      <c r="G2992" s="59" t="n"/>
      <c r="H2992" s="59" t="n"/>
      <c r="I2992" s="60">
        <f>IF(OR(G2992="",H2992=""),"",MOD(H2992-G2992,1))</f>
        <v/>
      </c>
      <c r="J2992" s="61">
        <f>IF(OR(G2992="",H2992=""),"",ROUND(MOD(H2992-G2992,1)*24,2))</f>
        <v/>
      </c>
      <c r="K2992" s="62">
        <f>IF(E2992="","",IF(E2992="Werken","JA","NEE"))</f>
        <v/>
      </c>
      <c r="L2992" s="61">
        <f>IF(K2992="JA",N(J2992),IF(E2992="","",0))</f>
        <v/>
      </c>
      <c r="M2992" s="62">
        <f>IF(AND(A2992="",E2992=""),"",IF(E2992="","Segment ontbreekt",IF(OR(G2992="",H2992=""),"Van/tot ontbreekt",IF(N(J2992)=0,"Duur is nul",IF(N(J2992)&gt;12,"Langer dan 12 uur - controleren",IF(AND(E2992="Werken",D2992=""),"Werken zonder klant - koppelen","OK"))))))</f>
        <v/>
      </c>
    </row>
    <row r="2993" ht="15" customHeight="1" s="42">
      <c r="A2993" s="55" t="n"/>
      <c r="B2993" s="56">
        <f>IF(A2993="","",WEEKNUM(A2993,21))</f>
        <v/>
      </c>
      <c r="C2993" s="57" t="n"/>
      <c r="D2993" s="57" t="n"/>
      <c r="E2993" s="58" t="n"/>
      <c r="F2993" s="57" t="n"/>
      <c r="G2993" s="59" t="n"/>
      <c r="H2993" s="59" t="n"/>
      <c r="I2993" s="60">
        <f>IF(OR(G2993="",H2993=""),"",MOD(H2993-G2993,1))</f>
        <v/>
      </c>
      <c r="J2993" s="61">
        <f>IF(OR(G2993="",H2993=""),"",ROUND(MOD(H2993-G2993,1)*24,2))</f>
        <v/>
      </c>
      <c r="K2993" s="62">
        <f>IF(E2993="","",IF(E2993="Werken","JA","NEE"))</f>
        <v/>
      </c>
      <c r="L2993" s="61">
        <f>IF(K2993="JA",N(J2993),IF(E2993="","",0))</f>
        <v/>
      </c>
      <c r="M2993" s="62">
        <f>IF(AND(A2993="",E2993=""),"",IF(E2993="","Segment ontbreekt",IF(OR(G2993="",H2993=""),"Van/tot ontbreekt",IF(N(J2993)=0,"Duur is nul",IF(N(J2993)&gt;12,"Langer dan 12 uur - controleren",IF(AND(E2993="Werken",D2993=""),"Werken zonder klant - koppelen","OK"))))))</f>
        <v/>
      </c>
    </row>
    <row r="2994" ht="15" customHeight="1" s="42">
      <c r="A2994" s="55" t="n"/>
      <c r="B2994" s="56">
        <f>IF(A2994="","",WEEKNUM(A2994,21))</f>
        <v/>
      </c>
      <c r="C2994" s="57" t="n"/>
      <c r="D2994" s="57" t="n"/>
      <c r="E2994" s="58" t="n"/>
      <c r="F2994" s="57" t="n"/>
      <c r="G2994" s="59" t="n"/>
      <c r="H2994" s="59" t="n"/>
      <c r="I2994" s="60">
        <f>IF(OR(G2994="",H2994=""),"",MOD(H2994-G2994,1))</f>
        <v/>
      </c>
      <c r="J2994" s="61">
        <f>IF(OR(G2994="",H2994=""),"",ROUND(MOD(H2994-G2994,1)*24,2))</f>
        <v/>
      </c>
      <c r="K2994" s="62">
        <f>IF(E2994="","",IF(E2994="Werken","JA","NEE"))</f>
        <v/>
      </c>
      <c r="L2994" s="61">
        <f>IF(K2994="JA",N(J2994),IF(E2994="","",0))</f>
        <v/>
      </c>
      <c r="M2994" s="62">
        <f>IF(AND(A2994="",E2994=""),"",IF(E2994="","Segment ontbreekt",IF(OR(G2994="",H2994=""),"Van/tot ontbreekt",IF(N(J2994)=0,"Duur is nul",IF(N(J2994)&gt;12,"Langer dan 12 uur - controleren",IF(AND(E2994="Werken",D2994=""),"Werken zonder klant - koppelen","OK"))))))</f>
        <v/>
      </c>
    </row>
    <row r="2995" ht="15" customHeight="1" s="42">
      <c r="A2995" s="55" t="n"/>
      <c r="B2995" s="56">
        <f>IF(A2995="","",WEEKNUM(A2995,21))</f>
        <v/>
      </c>
      <c r="C2995" s="57" t="n"/>
      <c r="D2995" s="57" t="n"/>
      <c r="E2995" s="58" t="n"/>
      <c r="F2995" s="57" t="n"/>
      <c r="G2995" s="59" t="n"/>
      <c r="H2995" s="59" t="n"/>
      <c r="I2995" s="60">
        <f>IF(OR(G2995="",H2995=""),"",MOD(H2995-G2995,1))</f>
        <v/>
      </c>
      <c r="J2995" s="61">
        <f>IF(OR(G2995="",H2995=""),"",ROUND(MOD(H2995-G2995,1)*24,2))</f>
        <v/>
      </c>
      <c r="K2995" s="62">
        <f>IF(E2995="","",IF(E2995="Werken","JA","NEE"))</f>
        <v/>
      </c>
      <c r="L2995" s="61">
        <f>IF(K2995="JA",N(J2995),IF(E2995="","",0))</f>
        <v/>
      </c>
      <c r="M2995" s="62">
        <f>IF(AND(A2995="",E2995=""),"",IF(E2995="","Segment ontbreekt",IF(OR(G2995="",H2995=""),"Van/tot ontbreekt",IF(N(J2995)=0,"Duur is nul",IF(N(J2995)&gt;12,"Langer dan 12 uur - controleren",IF(AND(E2995="Werken",D2995=""),"Werken zonder klant - koppelen","OK"))))))</f>
        <v/>
      </c>
    </row>
    <row r="2996" ht="15" customHeight="1" s="42">
      <c r="A2996" s="55" t="n"/>
      <c r="B2996" s="56">
        <f>IF(A2996="","",WEEKNUM(A2996,21))</f>
        <v/>
      </c>
      <c r="C2996" s="57" t="n"/>
      <c r="D2996" s="57" t="n"/>
      <c r="E2996" s="58" t="n"/>
      <c r="F2996" s="57" t="n"/>
      <c r="G2996" s="59" t="n"/>
      <c r="H2996" s="59" t="n"/>
      <c r="I2996" s="60">
        <f>IF(OR(G2996="",H2996=""),"",MOD(H2996-G2996,1))</f>
        <v/>
      </c>
      <c r="J2996" s="61">
        <f>IF(OR(G2996="",H2996=""),"",ROUND(MOD(H2996-G2996,1)*24,2))</f>
        <v/>
      </c>
      <c r="K2996" s="62">
        <f>IF(E2996="","",IF(E2996="Werken","JA","NEE"))</f>
        <v/>
      </c>
      <c r="L2996" s="61">
        <f>IF(K2996="JA",N(J2996),IF(E2996="","",0))</f>
        <v/>
      </c>
      <c r="M2996" s="62">
        <f>IF(AND(A2996="",E2996=""),"",IF(E2996="","Segment ontbreekt",IF(OR(G2996="",H2996=""),"Van/tot ontbreekt",IF(N(J2996)=0,"Duur is nul",IF(N(J2996)&gt;12,"Langer dan 12 uur - controleren",IF(AND(E2996="Werken",D2996=""),"Werken zonder klant - koppelen","OK"))))))</f>
        <v/>
      </c>
    </row>
    <row r="2997" ht="15" customHeight="1" s="42">
      <c r="A2997" s="55" t="n"/>
      <c r="B2997" s="56">
        <f>IF(A2997="","",WEEKNUM(A2997,21))</f>
        <v/>
      </c>
      <c r="C2997" s="57" t="n"/>
      <c r="D2997" s="57" t="n"/>
      <c r="E2997" s="58" t="n"/>
      <c r="F2997" s="57" t="n"/>
      <c r="G2997" s="59" t="n"/>
      <c r="H2997" s="59" t="n"/>
      <c r="I2997" s="60">
        <f>IF(OR(G2997="",H2997=""),"",MOD(H2997-G2997,1))</f>
        <v/>
      </c>
      <c r="J2997" s="61">
        <f>IF(OR(G2997="",H2997=""),"",ROUND(MOD(H2997-G2997,1)*24,2))</f>
        <v/>
      </c>
      <c r="K2997" s="62">
        <f>IF(E2997="","",IF(E2997="Werken","JA","NEE"))</f>
        <v/>
      </c>
      <c r="L2997" s="61">
        <f>IF(K2997="JA",N(J2997),IF(E2997="","",0))</f>
        <v/>
      </c>
      <c r="M2997" s="62">
        <f>IF(AND(A2997="",E2997=""),"",IF(E2997="","Segment ontbreekt",IF(OR(G2997="",H2997=""),"Van/tot ontbreekt",IF(N(J2997)=0,"Duur is nul",IF(N(J2997)&gt;12,"Langer dan 12 uur - controleren",IF(AND(E2997="Werken",D2997=""),"Werken zonder klant - koppelen","OK"))))))</f>
        <v/>
      </c>
    </row>
    <row r="2998" ht="15" customHeight="1" s="42">
      <c r="A2998" s="55" t="n"/>
      <c r="B2998" s="56">
        <f>IF(A2998="","",WEEKNUM(A2998,21))</f>
        <v/>
      </c>
      <c r="C2998" s="57" t="n"/>
      <c r="D2998" s="57" t="n"/>
      <c r="E2998" s="58" t="n"/>
      <c r="F2998" s="57" t="n"/>
      <c r="G2998" s="59" t="n"/>
      <c r="H2998" s="59" t="n"/>
      <c r="I2998" s="60">
        <f>IF(OR(G2998="",H2998=""),"",MOD(H2998-G2998,1))</f>
        <v/>
      </c>
      <c r="J2998" s="61">
        <f>IF(OR(G2998="",H2998=""),"",ROUND(MOD(H2998-G2998,1)*24,2))</f>
        <v/>
      </c>
      <c r="K2998" s="62">
        <f>IF(E2998="","",IF(E2998="Werken","JA","NEE"))</f>
        <v/>
      </c>
      <c r="L2998" s="61">
        <f>IF(K2998="JA",N(J2998),IF(E2998="","",0))</f>
        <v/>
      </c>
      <c r="M2998" s="62">
        <f>IF(AND(A2998="",E2998=""),"",IF(E2998="","Segment ontbreekt",IF(OR(G2998="",H2998=""),"Van/tot ontbreekt",IF(N(J2998)=0,"Duur is nul",IF(N(J2998)&gt;12,"Langer dan 12 uur - controleren",IF(AND(E2998="Werken",D2998=""),"Werken zonder klant - koppelen","OK"))))))</f>
        <v/>
      </c>
    </row>
    <row r="2999" ht="15" customHeight="1" s="42">
      <c r="A2999" s="55" t="n"/>
      <c r="B2999" s="56">
        <f>IF(A2999="","",WEEKNUM(A2999,21))</f>
        <v/>
      </c>
      <c r="C2999" s="57" t="n"/>
      <c r="D2999" s="57" t="n"/>
      <c r="E2999" s="58" t="n"/>
      <c r="F2999" s="57" t="n"/>
      <c r="G2999" s="59" t="n"/>
      <c r="H2999" s="59" t="n"/>
      <c r="I2999" s="60">
        <f>IF(OR(G2999="",H2999=""),"",MOD(H2999-G2999,1))</f>
        <v/>
      </c>
      <c r="J2999" s="61">
        <f>IF(OR(G2999="",H2999=""),"",ROUND(MOD(H2999-G2999,1)*24,2))</f>
        <v/>
      </c>
      <c r="K2999" s="62">
        <f>IF(E2999="","",IF(E2999="Werken","JA","NEE"))</f>
        <v/>
      </c>
      <c r="L2999" s="61">
        <f>IF(K2999="JA",N(J2999),IF(E2999="","",0))</f>
        <v/>
      </c>
      <c r="M2999" s="62">
        <f>IF(AND(A2999="",E2999=""),"",IF(E2999="","Segment ontbreekt",IF(OR(G2999="",H2999=""),"Van/tot ontbreekt",IF(N(J2999)=0,"Duur is nul",IF(N(J2999)&gt;12,"Langer dan 12 uur - controleren",IF(AND(E2999="Werken",D2999=""),"Werken zonder klant - koppelen","OK"))))))</f>
        <v/>
      </c>
    </row>
    <row r="3000" ht="15" customHeight="1" s="42">
      <c r="A3000" s="55" t="n"/>
      <c r="B3000" s="56">
        <f>IF(A3000="","",WEEKNUM(A3000,21))</f>
        <v/>
      </c>
      <c r="C3000" s="57" t="n"/>
      <c r="D3000" s="57" t="n"/>
      <c r="E3000" s="58" t="n"/>
      <c r="F3000" s="57" t="n"/>
      <c r="G3000" s="59" t="n"/>
      <c r="H3000" s="59" t="n"/>
      <c r="I3000" s="60">
        <f>IF(OR(G3000="",H3000=""),"",MOD(H3000-G3000,1))</f>
        <v/>
      </c>
      <c r="J3000" s="61">
        <f>IF(OR(G3000="",H3000=""),"",ROUND(MOD(H3000-G3000,1)*24,2))</f>
        <v/>
      </c>
      <c r="K3000" s="62">
        <f>IF(E3000="","",IF(E3000="Werken","JA","NEE"))</f>
        <v/>
      </c>
      <c r="L3000" s="61">
        <f>IF(K3000="JA",N(J3000),IF(E3000="","",0))</f>
        <v/>
      </c>
      <c r="M3000" s="62">
        <f>IF(AND(A3000="",E3000=""),"",IF(E3000="","Segment ontbreekt",IF(OR(G3000="",H3000=""),"Van/tot ontbreekt",IF(N(J3000)=0,"Duur is nul",IF(N(J3000)&gt;12,"Langer dan 12 uur - controleren",IF(AND(E3000="Werken",D3000=""),"Werken zonder klant - koppelen","OK"))))))</f>
        <v/>
      </c>
    </row>
    <row r="3001" ht="15" customHeight="1" s="42">
      <c r="A3001" s="55" t="n"/>
      <c r="B3001" s="56">
        <f>IF(A3001="","",WEEKNUM(A3001,21))</f>
        <v/>
      </c>
      <c r="C3001" s="57" t="n"/>
      <c r="D3001" s="57" t="n"/>
      <c r="E3001" s="58" t="n"/>
      <c r="F3001" s="57" t="n"/>
      <c r="G3001" s="59" t="n"/>
      <c r="H3001" s="59" t="n"/>
      <c r="I3001" s="60">
        <f>IF(OR(G3001="",H3001=""),"",MOD(H3001-G3001,1))</f>
        <v/>
      </c>
      <c r="J3001" s="61">
        <f>IF(OR(G3001="",H3001=""),"",ROUND(MOD(H3001-G3001,1)*24,2))</f>
        <v/>
      </c>
      <c r="K3001" s="62">
        <f>IF(E3001="","",IF(E3001="Werken","JA","NEE"))</f>
        <v/>
      </c>
      <c r="L3001" s="61">
        <f>IF(K3001="JA",N(J3001),IF(E3001="","",0))</f>
        <v/>
      </c>
      <c r="M3001" s="62">
        <f>IF(AND(A3001="",E3001=""),"",IF(E3001="","Segment ontbreekt",IF(OR(G3001="",H3001=""),"Van/tot ontbreekt",IF(N(J3001)=0,"Duur is nul",IF(N(J3001)&gt;12,"Langer dan 12 uur - controleren",IF(AND(E3001="Werken",D3001=""),"Werken zonder klant - koppelen","OK"))))))</f>
        <v/>
      </c>
    </row>
    <row r="3002" ht="15" customHeight="1" s="42">
      <c r="A3002" s="55" t="n"/>
      <c r="B3002" s="56">
        <f>IF(A3002="","",WEEKNUM(A3002,21))</f>
        <v/>
      </c>
      <c r="C3002" s="57" t="n"/>
      <c r="D3002" s="57" t="n"/>
      <c r="E3002" s="58" t="n"/>
      <c r="F3002" s="57" t="n"/>
      <c r="G3002" s="59" t="n"/>
      <c r="H3002" s="59" t="n"/>
      <c r="I3002" s="60">
        <f>IF(OR(G3002="",H3002=""),"",MOD(H3002-G3002,1))</f>
        <v/>
      </c>
      <c r="J3002" s="61">
        <f>IF(OR(G3002="",H3002=""),"",ROUND(MOD(H3002-G3002,1)*24,2))</f>
        <v/>
      </c>
      <c r="K3002" s="62">
        <f>IF(E3002="","",IF(E3002="Werken","JA","NEE"))</f>
        <v/>
      </c>
      <c r="L3002" s="61">
        <f>IF(K3002="JA",N(J3002),IF(E3002="","",0))</f>
        <v/>
      </c>
      <c r="M3002" s="62">
        <f>IF(AND(A3002="",E3002=""),"",IF(E3002="","Segment ontbreekt",IF(OR(G3002="",H3002=""),"Van/tot ontbreekt",IF(N(J3002)=0,"Duur is nul",IF(N(J3002)&gt;12,"Langer dan 12 uur - controleren",IF(AND(E3002="Werken",D3002=""),"Werken zonder klant - koppelen","OK"))))))</f>
        <v/>
      </c>
    </row>
    <row r="3003" ht="15" customHeight="1" s="42">
      <c r="A3003" s="55" t="n"/>
      <c r="B3003" s="56">
        <f>IF(A3003="","",WEEKNUM(A3003,21))</f>
        <v/>
      </c>
      <c r="C3003" s="57" t="n"/>
      <c r="D3003" s="57" t="n"/>
      <c r="E3003" s="58" t="n"/>
      <c r="F3003" s="57" t="n"/>
      <c r="G3003" s="59" t="n"/>
      <c r="H3003" s="59" t="n"/>
      <c r="I3003" s="60">
        <f>IF(OR(G3003="",H3003=""),"",MOD(H3003-G3003,1))</f>
        <v/>
      </c>
      <c r="J3003" s="61">
        <f>IF(OR(G3003="",H3003=""),"",ROUND(MOD(H3003-G3003,1)*24,2))</f>
        <v/>
      </c>
      <c r="K3003" s="62">
        <f>IF(E3003="","",IF(E3003="Werken","JA","NEE"))</f>
        <v/>
      </c>
      <c r="L3003" s="61">
        <f>IF(K3003="JA",N(J3003),IF(E3003="","",0))</f>
        <v/>
      </c>
      <c r="M3003" s="62">
        <f>IF(AND(A3003="",E3003=""),"",IF(E3003="","Segment ontbreekt",IF(OR(G3003="",H3003=""),"Van/tot ontbreekt",IF(N(J3003)=0,"Duur is nul",IF(N(J3003)&gt;12,"Langer dan 12 uur - controleren",IF(AND(E3003="Werken",D3003=""),"Werken zonder klant - koppelen","OK"))))))</f>
        <v/>
      </c>
    </row>
    <row r="3004" ht="15" customHeight="1" s="42">
      <c r="A3004" s="55" t="n"/>
      <c r="B3004" s="56">
        <f>IF(A3004="","",WEEKNUM(A3004,21))</f>
        <v/>
      </c>
      <c r="C3004" s="57" t="n"/>
      <c r="D3004" s="57" t="n"/>
      <c r="E3004" s="58" t="n"/>
      <c r="F3004" s="57" t="n"/>
      <c r="G3004" s="59" t="n"/>
      <c r="H3004" s="59" t="n"/>
      <c r="I3004" s="60">
        <f>IF(OR(G3004="",H3004=""),"",MOD(H3004-G3004,1))</f>
        <v/>
      </c>
      <c r="J3004" s="61">
        <f>IF(OR(G3004="",H3004=""),"",ROUND(MOD(H3004-G3004,1)*24,2))</f>
        <v/>
      </c>
      <c r="K3004" s="62">
        <f>IF(E3004="","",IF(E3004="Werken","JA","NEE"))</f>
        <v/>
      </c>
      <c r="L3004" s="61">
        <f>IF(K3004="JA",N(J3004),IF(E3004="","",0))</f>
        <v/>
      </c>
      <c r="M3004" s="62">
        <f>IF(AND(A3004="",E3004=""),"",IF(E3004="","Segment ontbreekt",IF(OR(G3004="",H3004=""),"Van/tot ontbreekt",IF(N(J3004)=0,"Duur is nul",IF(N(J3004)&gt;12,"Langer dan 12 uur - controleren",IF(AND(E3004="Werken",D3004=""),"Werken zonder klant - koppelen","OK"))))))</f>
        <v/>
      </c>
    </row>
  </sheetData>
  <sheetProtection selectLockedCells="1" selectUnlockedCells="1" sheet="1" objects="0" insertRows="1" insertHyperlinks="1" autoFilter="0" scenarios="0" formatColumns="1" deleteColumns="1" insertColumns="1" pivotTables="1" deleteRows="1" formatCells="0" formatRows="1" sort="1"/>
  <autoFilter ref="A4:M3004"/>
  <mergeCells count="5">
    <mergeCell ref="K2:M2"/>
    <mergeCell ref="G3:J3"/>
    <mergeCell ref="A3:D3"/>
    <mergeCell ref="E3:F3"/>
    <mergeCell ref="K3:L3"/>
  </mergeCells>
  <conditionalFormatting sqref="K5:K3004">
    <cfRule type="cellIs" rank="0" priority="2" equalAverage="0" operator="equal" aboveAverage="0" dxfId="5" text="" percent="0" bottom="0">
      <formula>"JA"</formula>
    </cfRule>
    <cfRule type="cellIs" rank="0" priority="3" equalAverage="0" operator="equal" aboveAverage="0" dxfId="6" text="" percent="0" bottom="0">
      <formula>"NEE"</formula>
    </cfRule>
  </conditionalFormatting>
  <conditionalFormatting sqref="M5:M3004">
    <cfRule type="expression" rank="0" priority="4" equalAverage="0" aboveAverage="0" dxfId="7" text="" percent="0" bottom="0">
      <formula>AND($M5&lt;&gt;"",$M5&lt;&gt;"OK")</formula>
    </cfRule>
    <cfRule type="expression" rank="0" priority="5" equalAverage="0" aboveAverage="0" dxfId="8" text="" percent="0" bottom="0">
      <formula>$M5="OK"</formula>
    </cfRule>
  </conditionalFormatting>
  <conditionalFormatting sqref="K2">
    <cfRule type="expression" rank="0" priority="6" equalAverage="0" aboveAverage="0" dxfId="7" text="" percent="0" bottom="0">
      <formula>LEFT(K2,6)="LET OP"</formula>
    </cfRule>
    <cfRule type="expression" rank="0" priority="7" equalAverage="0" aboveAverage="0" dxfId="5" text="" percent="0" bottom="0">
      <formula>LEFT(K2,2)="OK"</formula>
    </cfRule>
  </conditionalFormatting>
  <dataValidations count="1">
    <dataValidation sqref="E5:E3004" showDropDown="0" showInputMessage="1" showErrorMessage="0" allowBlank="1" promptTitle="Segment" prompt="Alleen &quot;Werken&quot; is factureerbaar aan de klant." type="list">
      <formula1>"Werken,Pauze,Reistijd,Laden,Lossen,Teammeeting,Onderhoud materiaal,Anders"</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20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41" min="1" max="1"/>
    <col width="12" customWidth="1" style="41" min="2" max="4"/>
    <col width="13" customWidth="1" style="41" min="5" max="5"/>
    <col width="46" customWidth="1" style="41" min="6" max="6"/>
    <col width="24" customWidth="1" style="41" min="7" max="7"/>
  </cols>
  <sheetData>
    <row r="1" ht="15" customHeight="1" s="42">
      <c r="A1" s="54" t="inlineStr">
        <is>
          <t>Klant</t>
        </is>
      </c>
      <c r="B1" s="54" t="inlineStr">
        <is>
          <t>Prijstype</t>
        </is>
      </c>
      <c r="C1" s="54" t="inlineStr">
        <is>
          <t>Uurtarief</t>
        </is>
      </c>
      <c r="D1" s="54" t="inlineStr">
        <is>
          <t>Vaste prijs</t>
        </is>
      </c>
      <c r="E1" s="54" t="inlineStr">
        <is>
          <t>Afvoerkosten</t>
        </is>
      </c>
      <c r="F1" s="54" t="inlineStr">
        <is>
          <t>Bijzonderheden</t>
        </is>
      </c>
      <c r="G1" s="54" t="inlineStr">
        <is>
          <t>Controle</t>
        </is>
      </c>
    </row>
    <row r="2" ht="15" customHeight="1" s="42">
      <c r="A2" s="63" t="n"/>
      <c r="B2" s="64" t="n"/>
      <c r="C2" s="65" t="n"/>
      <c r="D2" s="65" t="n"/>
      <c r="E2" s="65" t="n"/>
      <c r="F2" s="63" t="n"/>
      <c r="G2" s="62">
        <f>IF(A2="","",IF(COUNTIF($A$2:$A$200,A2)&gt;1,"Klant staat dubbel",IF(B2="","Prijstype ontbreekt",IF(AND(OR(B2="Per uur",B2="Beide"),N(C2)=0),"Uurtarief ontbreekt",IF(AND(OR(B2="Vaste prijs",B2="Beide"),N(D2)=0),"Vaste prijs ontbreekt","OK")))))</f>
        <v/>
      </c>
    </row>
    <row r="3" ht="15" customHeight="1" s="42">
      <c r="A3" s="63" t="n"/>
      <c r="B3" s="64" t="n"/>
      <c r="C3" s="65" t="n"/>
      <c r="D3" s="65" t="n"/>
      <c r="E3" s="65" t="n"/>
      <c r="F3" s="63" t="n"/>
      <c r="G3" s="62">
        <f>IF(A3="","",IF(COUNTIF($A$2:$A$200,A3)&gt;1,"Klant staat dubbel",IF(B3="","Prijstype ontbreekt",IF(AND(OR(B3="Per uur",B3="Beide"),N(C3)=0),"Uurtarief ontbreekt",IF(AND(OR(B3="Vaste prijs",B3="Beide"),N(D3)=0),"Vaste prijs ontbreekt","OK")))))</f>
        <v/>
      </c>
    </row>
    <row r="4" ht="15" customHeight="1" s="42">
      <c r="A4" s="63" t="n"/>
      <c r="B4" s="64" t="n"/>
      <c r="C4" s="65" t="n"/>
      <c r="D4" s="65" t="n"/>
      <c r="E4" s="65" t="n"/>
      <c r="F4" s="63" t="n"/>
      <c r="G4" s="62">
        <f>IF(A4="","",IF(COUNTIF($A$2:$A$200,A4)&gt;1,"Klant staat dubbel",IF(B4="","Prijstype ontbreekt",IF(AND(OR(B4="Per uur",B4="Beide"),N(C4)=0),"Uurtarief ontbreekt",IF(AND(OR(B4="Vaste prijs",B4="Beide"),N(D4)=0),"Vaste prijs ontbreekt","OK")))))</f>
        <v/>
      </c>
    </row>
    <row r="5" ht="15" customHeight="1" s="42">
      <c r="A5" s="63" t="n"/>
      <c r="B5" s="64" t="n"/>
      <c r="C5" s="65" t="n"/>
      <c r="D5" s="65" t="n"/>
      <c r="E5" s="65" t="n"/>
      <c r="F5" s="63" t="n"/>
      <c r="G5" s="62">
        <f>IF(A5="","",IF(COUNTIF($A$2:$A$200,A5)&gt;1,"Klant staat dubbel",IF(B5="","Prijstype ontbreekt",IF(AND(OR(B5="Per uur",B5="Beide"),N(C5)=0),"Uurtarief ontbreekt",IF(AND(OR(B5="Vaste prijs",B5="Beide"),N(D5)=0),"Vaste prijs ontbreekt","OK")))))</f>
        <v/>
      </c>
    </row>
    <row r="6" ht="15" customHeight="1" s="42">
      <c r="A6" s="63" t="n"/>
      <c r="B6" s="64" t="n"/>
      <c r="C6" s="65" t="n"/>
      <c r="D6" s="65" t="n"/>
      <c r="E6" s="65" t="n"/>
      <c r="F6" s="63" t="n"/>
      <c r="G6" s="62">
        <f>IF(A6="","",IF(COUNTIF($A$2:$A$200,A6)&gt;1,"Klant staat dubbel",IF(B6="","Prijstype ontbreekt",IF(AND(OR(B6="Per uur",B6="Beide"),N(C6)=0),"Uurtarief ontbreekt",IF(AND(OR(B6="Vaste prijs",B6="Beide"),N(D6)=0),"Vaste prijs ontbreekt","OK")))))</f>
        <v/>
      </c>
    </row>
    <row r="7" ht="15" customHeight="1" s="42">
      <c r="A7" s="63" t="n"/>
      <c r="B7" s="64" t="n"/>
      <c r="C7" s="65" t="n"/>
      <c r="D7" s="65" t="n"/>
      <c r="E7" s="65" t="n"/>
      <c r="F7" s="63" t="n"/>
      <c r="G7" s="62">
        <f>IF(A7="","",IF(COUNTIF($A$2:$A$200,A7)&gt;1,"Klant staat dubbel",IF(B7="","Prijstype ontbreekt",IF(AND(OR(B7="Per uur",B7="Beide"),N(C7)=0),"Uurtarief ontbreekt",IF(AND(OR(B7="Vaste prijs",B7="Beide"),N(D7)=0),"Vaste prijs ontbreekt","OK")))))</f>
        <v/>
      </c>
    </row>
    <row r="8" ht="15" customHeight="1" s="42">
      <c r="A8" s="63" t="n"/>
      <c r="B8" s="64" t="n"/>
      <c r="C8" s="65" t="n"/>
      <c r="D8" s="65" t="n"/>
      <c r="E8" s="65" t="n"/>
      <c r="F8" s="63" t="n"/>
      <c r="G8" s="62">
        <f>IF(A8="","",IF(COUNTIF($A$2:$A$200,A8)&gt;1,"Klant staat dubbel",IF(B8="","Prijstype ontbreekt",IF(AND(OR(B8="Per uur",B8="Beide"),N(C8)=0),"Uurtarief ontbreekt",IF(AND(OR(B8="Vaste prijs",B8="Beide"),N(D8)=0),"Vaste prijs ontbreekt","OK")))))</f>
        <v/>
      </c>
    </row>
    <row r="9" ht="15" customHeight="1" s="42">
      <c r="A9" s="63" t="n"/>
      <c r="B9" s="64" t="n"/>
      <c r="C9" s="65" t="n"/>
      <c r="D9" s="65" t="n"/>
      <c r="E9" s="65" t="n"/>
      <c r="F9" s="63" t="n"/>
      <c r="G9" s="62">
        <f>IF(A9="","",IF(COUNTIF($A$2:$A$200,A9)&gt;1,"Klant staat dubbel",IF(B9="","Prijstype ontbreekt",IF(AND(OR(B9="Per uur",B9="Beide"),N(C9)=0),"Uurtarief ontbreekt",IF(AND(OR(B9="Vaste prijs",B9="Beide"),N(D9)=0),"Vaste prijs ontbreekt","OK")))))</f>
        <v/>
      </c>
    </row>
    <row r="10" ht="15" customHeight="1" s="42">
      <c r="A10" s="63" t="n"/>
      <c r="B10" s="64" t="n"/>
      <c r="C10" s="65" t="n"/>
      <c r="D10" s="65" t="n"/>
      <c r="E10" s="65" t="n"/>
      <c r="F10" s="63" t="n"/>
      <c r="G10" s="62">
        <f>IF(A10="","",IF(COUNTIF($A$2:$A$200,A10)&gt;1,"Klant staat dubbel",IF(B10="","Prijstype ontbreekt",IF(AND(OR(B10="Per uur",B10="Beide"),N(C10)=0),"Uurtarief ontbreekt",IF(AND(OR(B10="Vaste prijs",B10="Beide"),N(D10)=0),"Vaste prijs ontbreekt","OK")))))</f>
        <v/>
      </c>
    </row>
    <row r="11" ht="15" customHeight="1" s="42">
      <c r="A11" s="63" t="n"/>
      <c r="B11" s="64" t="n"/>
      <c r="C11" s="65" t="n"/>
      <c r="D11" s="65" t="n"/>
      <c r="E11" s="65" t="n"/>
      <c r="F11" s="63" t="n"/>
      <c r="G11" s="62">
        <f>IF(A11="","",IF(COUNTIF($A$2:$A$200,A11)&gt;1,"Klant staat dubbel",IF(B11="","Prijstype ontbreekt",IF(AND(OR(B11="Per uur",B11="Beide"),N(C11)=0),"Uurtarief ontbreekt",IF(AND(OR(B11="Vaste prijs",B11="Beide"),N(D11)=0),"Vaste prijs ontbreekt","OK")))))</f>
        <v/>
      </c>
    </row>
    <row r="12" ht="15" customHeight="1" s="42">
      <c r="A12" s="63" t="n"/>
      <c r="B12" s="64" t="n"/>
      <c r="C12" s="65" t="n"/>
      <c r="D12" s="65" t="n"/>
      <c r="E12" s="65" t="n"/>
      <c r="F12" s="63" t="n"/>
      <c r="G12" s="62">
        <f>IF(A12="","",IF(COUNTIF($A$2:$A$200,A12)&gt;1,"Klant staat dubbel",IF(B12="","Prijstype ontbreekt",IF(AND(OR(B12="Per uur",B12="Beide"),N(C12)=0),"Uurtarief ontbreekt",IF(AND(OR(B12="Vaste prijs",B12="Beide"),N(D12)=0),"Vaste prijs ontbreekt","OK")))))</f>
        <v/>
      </c>
    </row>
    <row r="13" ht="15" customHeight="1" s="42">
      <c r="A13" s="63" t="n"/>
      <c r="B13" s="64" t="n"/>
      <c r="C13" s="65" t="n"/>
      <c r="D13" s="65" t="n"/>
      <c r="E13" s="65" t="n"/>
      <c r="F13" s="63" t="n"/>
      <c r="G13" s="62">
        <f>IF(A13="","",IF(COUNTIF($A$2:$A$200,A13)&gt;1,"Klant staat dubbel",IF(B13="","Prijstype ontbreekt",IF(AND(OR(B13="Per uur",B13="Beide"),N(C13)=0),"Uurtarief ontbreekt",IF(AND(OR(B13="Vaste prijs",B13="Beide"),N(D13)=0),"Vaste prijs ontbreekt","OK")))))</f>
        <v/>
      </c>
    </row>
    <row r="14" ht="15" customHeight="1" s="42">
      <c r="A14" s="63" t="n"/>
      <c r="B14" s="64" t="n"/>
      <c r="C14" s="65" t="n"/>
      <c r="D14" s="65" t="n"/>
      <c r="E14" s="65" t="n"/>
      <c r="F14" s="63" t="n"/>
      <c r="G14" s="62">
        <f>IF(A14="","",IF(COUNTIF($A$2:$A$200,A14)&gt;1,"Klant staat dubbel",IF(B14="","Prijstype ontbreekt",IF(AND(OR(B14="Per uur",B14="Beide"),N(C14)=0),"Uurtarief ontbreekt",IF(AND(OR(B14="Vaste prijs",B14="Beide"),N(D14)=0),"Vaste prijs ontbreekt","OK")))))</f>
        <v/>
      </c>
    </row>
    <row r="15" ht="15" customHeight="1" s="42">
      <c r="A15" s="63" t="n"/>
      <c r="B15" s="64" t="n"/>
      <c r="C15" s="65" t="n"/>
      <c r="D15" s="65" t="n"/>
      <c r="E15" s="65" t="n"/>
      <c r="F15" s="63" t="n"/>
      <c r="G15" s="62">
        <f>IF(A15="","",IF(COUNTIF($A$2:$A$200,A15)&gt;1,"Klant staat dubbel",IF(B15="","Prijstype ontbreekt",IF(AND(OR(B15="Per uur",B15="Beide"),N(C15)=0),"Uurtarief ontbreekt",IF(AND(OR(B15="Vaste prijs",B15="Beide"),N(D15)=0),"Vaste prijs ontbreekt","OK")))))</f>
        <v/>
      </c>
    </row>
    <row r="16" ht="15" customHeight="1" s="42">
      <c r="A16" s="63" t="n"/>
      <c r="B16" s="64" t="n"/>
      <c r="C16" s="65" t="n"/>
      <c r="D16" s="65" t="n"/>
      <c r="E16" s="65" t="n"/>
      <c r="F16" s="63" t="n"/>
      <c r="G16" s="62">
        <f>IF(A16="","",IF(COUNTIF($A$2:$A$200,A16)&gt;1,"Klant staat dubbel",IF(B16="","Prijstype ontbreekt",IF(AND(OR(B16="Per uur",B16="Beide"),N(C16)=0),"Uurtarief ontbreekt",IF(AND(OR(B16="Vaste prijs",B16="Beide"),N(D16)=0),"Vaste prijs ontbreekt","OK")))))</f>
        <v/>
      </c>
    </row>
    <row r="17" ht="15" customHeight="1" s="42">
      <c r="A17" s="63" t="n"/>
      <c r="B17" s="64" t="n"/>
      <c r="C17" s="65" t="n"/>
      <c r="D17" s="65" t="n"/>
      <c r="E17" s="65" t="n"/>
      <c r="F17" s="63" t="n"/>
      <c r="G17" s="62">
        <f>IF(A17="","",IF(COUNTIF($A$2:$A$200,A17)&gt;1,"Klant staat dubbel",IF(B17="","Prijstype ontbreekt",IF(AND(OR(B17="Per uur",B17="Beide"),N(C17)=0),"Uurtarief ontbreekt",IF(AND(OR(B17="Vaste prijs",B17="Beide"),N(D17)=0),"Vaste prijs ontbreekt","OK")))))</f>
        <v/>
      </c>
    </row>
    <row r="18" ht="15" customHeight="1" s="42">
      <c r="A18" s="63" t="n"/>
      <c r="B18" s="64" t="n"/>
      <c r="C18" s="65" t="n"/>
      <c r="D18" s="65" t="n"/>
      <c r="E18" s="65" t="n"/>
      <c r="F18" s="63" t="n"/>
      <c r="G18" s="62">
        <f>IF(A18="","",IF(COUNTIF($A$2:$A$200,A18)&gt;1,"Klant staat dubbel",IF(B18="","Prijstype ontbreekt",IF(AND(OR(B18="Per uur",B18="Beide"),N(C18)=0),"Uurtarief ontbreekt",IF(AND(OR(B18="Vaste prijs",B18="Beide"),N(D18)=0),"Vaste prijs ontbreekt","OK")))))</f>
        <v/>
      </c>
    </row>
    <row r="19" ht="15" customHeight="1" s="42">
      <c r="A19" s="63" t="n"/>
      <c r="B19" s="64" t="n"/>
      <c r="C19" s="65" t="n"/>
      <c r="D19" s="65" t="n"/>
      <c r="E19" s="65" t="n"/>
      <c r="F19" s="63" t="n"/>
      <c r="G19" s="62">
        <f>IF(A19="","",IF(COUNTIF($A$2:$A$200,A19)&gt;1,"Klant staat dubbel",IF(B19="","Prijstype ontbreekt",IF(AND(OR(B19="Per uur",B19="Beide"),N(C19)=0),"Uurtarief ontbreekt",IF(AND(OR(B19="Vaste prijs",B19="Beide"),N(D19)=0),"Vaste prijs ontbreekt","OK")))))</f>
        <v/>
      </c>
    </row>
    <row r="20" ht="15" customHeight="1" s="42">
      <c r="A20" s="63" t="n"/>
      <c r="B20" s="64" t="n"/>
      <c r="C20" s="65" t="n"/>
      <c r="D20" s="65" t="n"/>
      <c r="E20" s="65" t="n"/>
      <c r="F20" s="63" t="n"/>
      <c r="G20" s="62">
        <f>IF(A20="","",IF(COUNTIF($A$2:$A$200,A20)&gt;1,"Klant staat dubbel",IF(B20="","Prijstype ontbreekt",IF(AND(OR(B20="Per uur",B20="Beide"),N(C20)=0),"Uurtarief ontbreekt",IF(AND(OR(B20="Vaste prijs",B20="Beide"),N(D20)=0),"Vaste prijs ontbreekt","OK")))))</f>
        <v/>
      </c>
    </row>
    <row r="21" ht="15" customHeight="1" s="42">
      <c r="A21" s="63" t="n"/>
      <c r="B21" s="64" t="n"/>
      <c r="C21" s="65" t="n"/>
      <c r="D21" s="65" t="n"/>
      <c r="E21" s="65" t="n"/>
      <c r="F21" s="63" t="n"/>
      <c r="G21" s="62">
        <f>IF(A21="","",IF(COUNTIF($A$2:$A$200,A21)&gt;1,"Klant staat dubbel",IF(B21="","Prijstype ontbreekt",IF(AND(OR(B21="Per uur",B21="Beide"),N(C21)=0),"Uurtarief ontbreekt",IF(AND(OR(B21="Vaste prijs",B21="Beide"),N(D21)=0),"Vaste prijs ontbreekt","OK")))))</f>
        <v/>
      </c>
    </row>
    <row r="22" ht="15" customHeight="1" s="42">
      <c r="A22" s="63" t="n"/>
      <c r="B22" s="64" t="n"/>
      <c r="C22" s="65" t="n"/>
      <c r="D22" s="65" t="n"/>
      <c r="E22" s="65" t="n"/>
      <c r="F22" s="63" t="n"/>
      <c r="G22" s="62">
        <f>IF(A22="","",IF(COUNTIF($A$2:$A$200,A22)&gt;1,"Klant staat dubbel",IF(B22="","Prijstype ontbreekt",IF(AND(OR(B22="Per uur",B22="Beide"),N(C22)=0),"Uurtarief ontbreekt",IF(AND(OR(B22="Vaste prijs",B22="Beide"),N(D22)=0),"Vaste prijs ontbreekt","OK")))))</f>
        <v/>
      </c>
    </row>
    <row r="23" ht="15" customHeight="1" s="42">
      <c r="A23" s="63" t="n"/>
      <c r="B23" s="64" t="n"/>
      <c r="C23" s="65" t="n"/>
      <c r="D23" s="65" t="n"/>
      <c r="E23" s="65" t="n"/>
      <c r="F23" s="63" t="n"/>
      <c r="G23" s="62">
        <f>IF(A23="","",IF(COUNTIF($A$2:$A$200,A23)&gt;1,"Klant staat dubbel",IF(B23="","Prijstype ontbreekt",IF(AND(OR(B23="Per uur",B23="Beide"),N(C23)=0),"Uurtarief ontbreekt",IF(AND(OR(B23="Vaste prijs",B23="Beide"),N(D23)=0),"Vaste prijs ontbreekt","OK")))))</f>
        <v/>
      </c>
    </row>
    <row r="24" ht="15" customHeight="1" s="42">
      <c r="A24" s="63" t="n"/>
      <c r="B24" s="64" t="n"/>
      <c r="C24" s="65" t="n"/>
      <c r="D24" s="65" t="n"/>
      <c r="E24" s="65" t="n"/>
      <c r="F24" s="63" t="n"/>
      <c r="G24" s="62">
        <f>IF(A24="","",IF(COUNTIF($A$2:$A$200,A24)&gt;1,"Klant staat dubbel",IF(B24="","Prijstype ontbreekt",IF(AND(OR(B24="Per uur",B24="Beide"),N(C24)=0),"Uurtarief ontbreekt",IF(AND(OR(B24="Vaste prijs",B24="Beide"),N(D24)=0),"Vaste prijs ontbreekt","OK")))))</f>
        <v/>
      </c>
    </row>
    <row r="25" ht="15" customHeight="1" s="42">
      <c r="A25" s="63" t="n"/>
      <c r="B25" s="64" t="n"/>
      <c r="C25" s="65" t="n"/>
      <c r="D25" s="65" t="n"/>
      <c r="E25" s="65" t="n"/>
      <c r="F25" s="63" t="n"/>
      <c r="G25" s="62">
        <f>IF(A25="","",IF(COUNTIF($A$2:$A$200,A25)&gt;1,"Klant staat dubbel",IF(B25="","Prijstype ontbreekt",IF(AND(OR(B25="Per uur",B25="Beide"),N(C25)=0),"Uurtarief ontbreekt",IF(AND(OR(B25="Vaste prijs",B25="Beide"),N(D25)=0),"Vaste prijs ontbreekt","OK")))))</f>
        <v/>
      </c>
    </row>
    <row r="26" ht="15" customHeight="1" s="42">
      <c r="A26" s="63" t="n"/>
      <c r="B26" s="64" t="n"/>
      <c r="C26" s="65" t="n"/>
      <c r="D26" s="65" t="n"/>
      <c r="E26" s="65" t="n"/>
      <c r="F26" s="63" t="n"/>
      <c r="G26" s="62">
        <f>IF(A26="","",IF(COUNTIF($A$2:$A$200,A26)&gt;1,"Klant staat dubbel",IF(B26="","Prijstype ontbreekt",IF(AND(OR(B26="Per uur",B26="Beide"),N(C26)=0),"Uurtarief ontbreekt",IF(AND(OR(B26="Vaste prijs",B26="Beide"),N(D26)=0),"Vaste prijs ontbreekt","OK")))))</f>
        <v/>
      </c>
    </row>
    <row r="27" ht="15" customHeight="1" s="42">
      <c r="A27" s="63" t="n"/>
      <c r="B27" s="64" t="n"/>
      <c r="C27" s="65" t="n"/>
      <c r="D27" s="65" t="n"/>
      <c r="E27" s="65" t="n"/>
      <c r="F27" s="63" t="n"/>
      <c r="G27" s="62">
        <f>IF(A27="","",IF(COUNTIF($A$2:$A$200,A27)&gt;1,"Klant staat dubbel",IF(B27="","Prijstype ontbreekt",IF(AND(OR(B27="Per uur",B27="Beide"),N(C27)=0),"Uurtarief ontbreekt",IF(AND(OR(B27="Vaste prijs",B27="Beide"),N(D27)=0),"Vaste prijs ontbreekt","OK")))))</f>
        <v/>
      </c>
    </row>
    <row r="28" ht="15" customHeight="1" s="42">
      <c r="A28" s="63" t="n"/>
      <c r="B28" s="64" t="n"/>
      <c r="C28" s="65" t="n"/>
      <c r="D28" s="65" t="n"/>
      <c r="E28" s="65" t="n"/>
      <c r="F28" s="63" t="n"/>
      <c r="G28" s="62">
        <f>IF(A28="","",IF(COUNTIF($A$2:$A$200,A28)&gt;1,"Klant staat dubbel",IF(B28="","Prijstype ontbreekt",IF(AND(OR(B28="Per uur",B28="Beide"),N(C28)=0),"Uurtarief ontbreekt",IF(AND(OR(B28="Vaste prijs",B28="Beide"),N(D28)=0),"Vaste prijs ontbreekt","OK")))))</f>
        <v/>
      </c>
    </row>
    <row r="29" ht="15" customHeight="1" s="42">
      <c r="A29" s="63" t="n"/>
      <c r="B29" s="64" t="n"/>
      <c r="C29" s="65" t="n"/>
      <c r="D29" s="65" t="n"/>
      <c r="E29" s="65" t="n"/>
      <c r="F29" s="63" t="n"/>
      <c r="G29" s="62">
        <f>IF(A29="","",IF(COUNTIF($A$2:$A$200,A29)&gt;1,"Klant staat dubbel",IF(B29="","Prijstype ontbreekt",IF(AND(OR(B29="Per uur",B29="Beide"),N(C29)=0),"Uurtarief ontbreekt",IF(AND(OR(B29="Vaste prijs",B29="Beide"),N(D29)=0),"Vaste prijs ontbreekt","OK")))))</f>
        <v/>
      </c>
    </row>
    <row r="30" ht="15" customHeight="1" s="42">
      <c r="A30" s="63" t="n"/>
      <c r="B30" s="64" t="n"/>
      <c r="C30" s="65" t="n"/>
      <c r="D30" s="65" t="n"/>
      <c r="E30" s="65" t="n"/>
      <c r="F30" s="63" t="n"/>
      <c r="G30" s="62">
        <f>IF(A30="","",IF(COUNTIF($A$2:$A$200,A30)&gt;1,"Klant staat dubbel",IF(B30="","Prijstype ontbreekt",IF(AND(OR(B30="Per uur",B30="Beide"),N(C30)=0),"Uurtarief ontbreekt",IF(AND(OR(B30="Vaste prijs",B30="Beide"),N(D30)=0),"Vaste prijs ontbreekt","OK")))))</f>
        <v/>
      </c>
    </row>
    <row r="31" ht="15" customHeight="1" s="42">
      <c r="A31" s="63" t="n"/>
      <c r="B31" s="64" t="n"/>
      <c r="C31" s="65" t="n"/>
      <c r="D31" s="65" t="n"/>
      <c r="E31" s="65" t="n"/>
      <c r="F31" s="63" t="n"/>
      <c r="G31" s="62">
        <f>IF(A31="","",IF(COUNTIF($A$2:$A$200,A31)&gt;1,"Klant staat dubbel",IF(B31="","Prijstype ontbreekt",IF(AND(OR(B31="Per uur",B31="Beide"),N(C31)=0),"Uurtarief ontbreekt",IF(AND(OR(B31="Vaste prijs",B31="Beide"),N(D31)=0),"Vaste prijs ontbreekt","OK")))))</f>
        <v/>
      </c>
    </row>
    <row r="32" ht="15" customHeight="1" s="42">
      <c r="A32" s="63" t="n"/>
      <c r="B32" s="64" t="n"/>
      <c r="C32" s="65" t="n"/>
      <c r="D32" s="65" t="n"/>
      <c r="E32" s="65" t="n"/>
      <c r="F32" s="63" t="n"/>
      <c r="G32" s="62">
        <f>IF(A32="","",IF(COUNTIF($A$2:$A$200,A32)&gt;1,"Klant staat dubbel",IF(B32="","Prijstype ontbreekt",IF(AND(OR(B32="Per uur",B32="Beide"),N(C32)=0),"Uurtarief ontbreekt",IF(AND(OR(B32="Vaste prijs",B32="Beide"),N(D32)=0),"Vaste prijs ontbreekt","OK")))))</f>
        <v/>
      </c>
    </row>
    <row r="33" ht="15" customHeight="1" s="42">
      <c r="A33" s="63" t="n"/>
      <c r="B33" s="64" t="n"/>
      <c r="C33" s="65" t="n"/>
      <c r="D33" s="65" t="n"/>
      <c r="E33" s="65" t="n"/>
      <c r="F33" s="63" t="n"/>
      <c r="G33" s="62">
        <f>IF(A33="","",IF(COUNTIF($A$2:$A$200,A33)&gt;1,"Klant staat dubbel",IF(B33="","Prijstype ontbreekt",IF(AND(OR(B33="Per uur",B33="Beide"),N(C33)=0),"Uurtarief ontbreekt",IF(AND(OR(B33="Vaste prijs",B33="Beide"),N(D33)=0),"Vaste prijs ontbreekt","OK")))))</f>
        <v/>
      </c>
    </row>
    <row r="34" ht="15" customHeight="1" s="42">
      <c r="A34" s="63" t="n"/>
      <c r="B34" s="64" t="n"/>
      <c r="C34" s="65" t="n"/>
      <c r="D34" s="65" t="n"/>
      <c r="E34" s="65" t="n"/>
      <c r="F34" s="63" t="n"/>
      <c r="G34" s="62">
        <f>IF(A34="","",IF(COUNTIF($A$2:$A$200,A34)&gt;1,"Klant staat dubbel",IF(B34="","Prijstype ontbreekt",IF(AND(OR(B34="Per uur",B34="Beide"),N(C34)=0),"Uurtarief ontbreekt",IF(AND(OR(B34="Vaste prijs",B34="Beide"),N(D34)=0),"Vaste prijs ontbreekt","OK")))))</f>
        <v/>
      </c>
    </row>
    <row r="35" ht="15" customHeight="1" s="42">
      <c r="A35" s="63" t="n"/>
      <c r="B35" s="64" t="n"/>
      <c r="C35" s="65" t="n"/>
      <c r="D35" s="65" t="n"/>
      <c r="E35" s="65" t="n"/>
      <c r="F35" s="63" t="n"/>
      <c r="G35" s="62">
        <f>IF(A35="","",IF(COUNTIF($A$2:$A$200,A35)&gt;1,"Klant staat dubbel",IF(B35="","Prijstype ontbreekt",IF(AND(OR(B35="Per uur",B35="Beide"),N(C35)=0),"Uurtarief ontbreekt",IF(AND(OR(B35="Vaste prijs",B35="Beide"),N(D35)=0),"Vaste prijs ontbreekt","OK")))))</f>
        <v/>
      </c>
    </row>
    <row r="36" ht="15" customHeight="1" s="42">
      <c r="A36" s="63" t="n"/>
      <c r="B36" s="64" t="n"/>
      <c r="C36" s="65" t="n"/>
      <c r="D36" s="65" t="n"/>
      <c r="E36" s="65" t="n"/>
      <c r="F36" s="63" t="n"/>
      <c r="G36" s="62">
        <f>IF(A36="","",IF(COUNTIF($A$2:$A$200,A36)&gt;1,"Klant staat dubbel",IF(B36="","Prijstype ontbreekt",IF(AND(OR(B36="Per uur",B36="Beide"),N(C36)=0),"Uurtarief ontbreekt",IF(AND(OR(B36="Vaste prijs",B36="Beide"),N(D36)=0),"Vaste prijs ontbreekt","OK")))))</f>
        <v/>
      </c>
    </row>
    <row r="37" ht="15" customHeight="1" s="42">
      <c r="A37" s="63" t="n"/>
      <c r="B37" s="64" t="n"/>
      <c r="C37" s="65" t="n"/>
      <c r="D37" s="65" t="n"/>
      <c r="E37" s="65" t="n"/>
      <c r="F37" s="63" t="n"/>
      <c r="G37" s="62">
        <f>IF(A37="","",IF(COUNTIF($A$2:$A$200,A37)&gt;1,"Klant staat dubbel",IF(B37="","Prijstype ontbreekt",IF(AND(OR(B37="Per uur",B37="Beide"),N(C37)=0),"Uurtarief ontbreekt",IF(AND(OR(B37="Vaste prijs",B37="Beide"),N(D37)=0),"Vaste prijs ontbreekt","OK")))))</f>
        <v/>
      </c>
    </row>
    <row r="38" ht="15" customHeight="1" s="42">
      <c r="A38" s="63" t="n"/>
      <c r="B38" s="64" t="n"/>
      <c r="C38" s="65" t="n"/>
      <c r="D38" s="65" t="n"/>
      <c r="E38" s="65" t="n"/>
      <c r="F38" s="63" t="n"/>
      <c r="G38" s="62">
        <f>IF(A38="","",IF(COUNTIF($A$2:$A$200,A38)&gt;1,"Klant staat dubbel",IF(B38="","Prijstype ontbreekt",IF(AND(OR(B38="Per uur",B38="Beide"),N(C38)=0),"Uurtarief ontbreekt",IF(AND(OR(B38="Vaste prijs",B38="Beide"),N(D38)=0),"Vaste prijs ontbreekt","OK")))))</f>
        <v/>
      </c>
    </row>
    <row r="39" ht="15" customHeight="1" s="42">
      <c r="A39" s="63" t="n"/>
      <c r="B39" s="64" t="n"/>
      <c r="C39" s="65" t="n"/>
      <c r="D39" s="65" t="n"/>
      <c r="E39" s="65" t="n"/>
      <c r="F39" s="63" t="n"/>
      <c r="G39" s="62">
        <f>IF(A39="","",IF(COUNTIF($A$2:$A$200,A39)&gt;1,"Klant staat dubbel",IF(B39="","Prijstype ontbreekt",IF(AND(OR(B39="Per uur",B39="Beide"),N(C39)=0),"Uurtarief ontbreekt",IF(AND(OR(B39="Vaste prijs",B39="Beide"),N(D39)=0),"Vaste prijs ontbreekt","OK")))))</f>
        <v/>
      </c>
    </row>
    <row r="40" ht="15" customHeight="1" s="42">
      <c r="A40" s="63" t="n"/>
      <c r="B40" s="64" t="n"/>
      <c r="C40" s="65" t="n"/>
      <c r="D40" s="65" t="n"/>
      <c r="E40" s="65" t="n"/>
      <c r="F40" s="63" t="n"/>
      <c r="G40" s="62">
        <f>IF(A40="","",IF(COUNTIF($A$2:$A$200,A40)&gt;1,"Klant staat dubbel",IF(B40="","Prijstype ontbreekt",IF(AND(OR(B40="Per uur",B40="Beide"),N(C40)=0),"Uurtarief ontbreekt",IF(AND(OR(B40="Vaste prijs",B40="Beide"),N(D40)=0),"Vaste prijs ontbreekt","OK")))))</f>
        <v/>
      </c>
    </row>
    <row r="41" ht="15" customHeight="1" s="42">
      <c r="A41" s="63" t="n"/>
      <c r="B41" s="64" t="n"/>
      <c r="C41" s="65" t="n"/>
      <c r="D41" s="65" t="n"/>
      <c r="E41" s="65" t="n"/>
      <c r="F41" s="63" t="n"/>
      <c r="G41" s="62">
        <f>IF(A41="","",IF(COUNTIF($A$2:$A$200,A41)&gt;1,"Klant staat dubbel",IF(B41="","Prijstype ontbreekt",IF(AND(OR(B41="Per uur",B41="Beide"),N(C41)=0),"Uurtarief ontbreekt",IF(AND(OR(B41="Vaste prijs",B41="Beide"),N(D41)=0),"Vaste prijs ontbreekt","OK")))))</f>
        <v/>
      </c>
    </row>
    <row r="42" ht="15" customHeight="1" s="42">
      <c r="A42" s="63" t="n"/>
      <c r="B42" s="64" t="n"/>
      <c r="C42" s="65" t="n"/>
      <c r="D42" s="65" t="n"/>
      <c r="E42" s="65" t="n"/>
      <c r="F42" s="63" t="n"/>
      <c r="G42" s="62">
        <f>IF(A42="","",IF(COUNTIF($A$2:$A$200,A42)&gt;1,"Klant staat dubbel",IF(B42="","Prijstype ontbreekt",IF(AND(OR(B42="Per uur",B42="Beide"),N(C42)=0),"Uurtarief ontbreekt",IF(AND(OR(B42="Vaste prijs",B42="Beide"),N(D42)=0),"Vaste prijs ontbreekt","OK")))))</f>
        <v/>
      </c>
    </row>
    <row r="43" ht="15" customHeight="1" s="42">
      <c r="A43" s="63" t="n"/>
      <c r="B43" s="64" t="n"/>
      <c r="C43" s="65" t="n"/>
      <c r="D43" s="65" t="n"/>
      <c r="E43" s="65" t="n"/>
      <c r="F43" s="63" t="n"/>
      <c r="G43" s="62">
        <f>IF(A43="","",IF(COUNTIF($A$2:$A$200,A43)&gt;1,"Klant staat dubbel",IF(B43="","Prijstype ontbreekt",IF(AND(OR(B43="Per uur",B43="Beide"),N(C43)=0),"Uurtarief ontbreekt",IF(AND(OR(B43="Vaste prijs",B43="Beide"),N(D43)=0),"Vaste prijs ontbreekt","OK")))))</f>
        <v/>
      </c>
    </row>
    <row r="44" ht="15" customHeight="1" s="42">
      <c r="A44" s="63" t="n"/>
      <c r="B44" s="64" t="n"/>
      <c r="C44" s="65" t="n"/>
      <c r="D44" s="65" t="n"/>
      <c r="E44" s="65" t="n"/>
      <c r="F44" s="63" t="n"/>
      <c r="G44" s="62">
        <f>IF(A44="","",IF(COUNTIF($A$2:$A$200,A44)&gt;1,"Klant staat dubbel",IF(B44="","Prijstype ontbreekt",IF(AND(OR(B44="Per uur",B44="Beide"),N(C44)=0),"Uurtarief ontbreekt",IF(AND(OR(B44="Vaste prijs",B44="Beide"),N(D44)=0),"Vaste prijs ontbreekt","OK")))))</f>
        <v/>
      </c>
    </row>
    <row r="45" ht="15" customHeight="1" s="42">
      <c r="A45" s="63" t="n"/>
      <c r="B45" s="64" t="n"/>
      <c r="C45" s="65" t="n"/>
      <c r="D45" s="65" t="n"/>
      <c r="E45" s="65" t="n"/>
      <c r="F45" s="63" t="n"/>
      <c r="G45" s="62">
        <f>IF(A45="","",IF(COUNTIF($A$2:$A$200,A45)&gt;1,"Klant staat dubbel",IF(B45="","Prijstype ontbreekt",IF(AND(OR(B45="Per uur",B45="Beide"),N(C45)=0),"Uurtarief ontbreekt",IF(AND(OR(B45="Vaste prijs",B45="Beide"),N(D45)=0),"Vaste prijs ontbreekt","OK")))))</f>
        <v/>
      </c>
    </row>
    <row r="46" ht="15" customHeight="1" s="42">
      <c r="A46" s="63" t="n"/>
      <c r="B46" s="64" t="n"/>
      <c r="C46" s="65" t="n"/>
      <c r="D46" s="65" t="n"/>
      <c r="E46" s="65" t="n"/>
      <c r="F46" s="63" t="n"/>
      <c r="G46" s="62">
        <f>IF(A46="","",IF(COUNTIF($A$2:$A$200,A46)&gt;1,"Klant staat dubbel",IF(B46="","Prijstype ontbreekt",IF(AND(OR(B46="Per uur",B46="Beide"),N(C46)=0),"Uurtarief ontbreekt",IF(AND(OR(B46="Vaste prijs",B46="Beide"),N(D46)=0),"Vaste prijs ontbreekt","OK")))))</f>
        <v/>
      </c>
    </row>
    <row r="47" ht="15" customHeight="1" s="42">
      <c r="A47" s="63" t="n"/>
      <c r="B47" s="64" t="n"/>
      <c r="C47" s="65" t="n"/>
      <c r="D47" s="65" t="n"/>
      <c r="E47" s="65" t="n"/>
      <c r="F47" s="63" t="n"/>
      <c r="G47" s="62">
        <f>IF(A47="","",IF(COUNTIF($A$2:$A$200,A47)&gt;1,"Klant staat dubbel",IF(B47="","Prijstype ontbreekt",IF(AND(OR(B47="Per uur",B47="Beide"),N(C47)=0),"Uurtarief ontbreekt",IF(AND(OR(B47="Vaste prijs",B47="Beide"),N(D47)=0),"Vaste prijs ontbreekt","OK")))))</f>
        <v/>
      </c>
    </row>
    <row r="48" ht="15" customHeight="1" s="42">
      <c r="A48" s="63" t="n"/>
      <c r="B48" s="64" t="n"/>
      <c r="C48" s="65" t="n"/>
      <c r="D48" s="65" t="n"/>
      <c r="E48" s="65" t="n"/>
      <c r="F48" s="63" t="n"/>
      <c r="G48" s="62">
        <f>IF(A48="","",IF(COUNTIF($A$2:$A$200,A48)&gt;1,"Klant staat dubbel",IF(B48="","Prijstype ontbreekt",IF(AND(OR(B48="Per uur",B48="Beide"),N(C48)=0),"Uurtarief ontbreekt",IF(AND(OR(B48="Vaste prijs",B48="Beide"),N(D48)=0),"Vaste prijs ontbreekt","OK")))))</f>
        <v/>
      </c>
    </row>
    <row r="49" ht="15" customHeight="1" s="42">
      <c r="A49" s="63" t="n"/>
      <c r="B49" s="64" t="n"/>
      <c r="C49" s="65" t="n"/>
      <c r="D49" s="65" t="n"/>
      <c r="E49" s="65" t="n"/>
      <c r="F49" s="63" t="n"/>
      <c r="G49" s="62">
        <f>IF(A49="","",IF(COUNTIF($A$2:$A$200,A49)&gt;1,"Klant staat dubbel",IF(B49="","Prijstype ontbreekt",IF(AND(OR(B49="Per uur",B49="Beide"),N(C49)=0),"Uurtarief ontbreekt",IF(AND(OR(B49="Vaste prijs",B49="Beide"),N(D49)=0),"Vaste prijs ontbreekt","OK")))))</f>
        <v/>
      </c>
    </row>
    <row r="50" ht="15" customHeight="1" s="42">
      <c r="A50" s="63" t="n"/>
      <c r="B50" s="64" t="n"/>
      <c r="C50" s="65" t="n"/>
      <c r="D50" s="65" t="n"/>
      <c r="E50" s="65" t="n"/>
      <c r="F50" s="63" t="n"/>
      <c r="G50" s="62">
        <f>IF(A50="","",IF(COUNTIF($A$2:$A$200,A50)&gt;1,"Klant staat dubbel",IF(B50="","Prijstype ontbreekt",IF(AND(OR(B50="Per uur",B50="Beide"),N(C50)=0),"Uurtarief ontbreekt",IF(AND(OR(B50="Vaste prijs",B50="Beide"),N(D50)=0),"Vaste prijs ontbreekt","OK")))))</f>
        <v/>
      </c>
    </row>
    <row r="51" ht="15" customHeight="1" s="42">
      <c r="A51" s="63" t="n"/>
      <c r="B51" s="64" t="n"/>
      <c r="C51" s="65" t="n"/>
      <c r="D51" s="65" t="n"/>
      <c r="E51" s="65" t="n"/>
      <c r="F51" s="63" t="n"/>
      <c r="G51" s="62">
        <f>IF(A51="","",IF(COUNTIF($A$2:$A$200,A51)&gt;1,"Klant staat dubbel",IF(B51="","Prijstype ontbreekt",IF(AND(OR(B51="Per uur",B51="Beide"),N(C51)=0),"Uurtarief ontbreekt",IF(AND(OR(B51="Vaste prijs",B51="Beide"),N(D51)=0),"Vaste prijs ontbreekt","OK")))))</f>
        <v/>
      </c>
    </row>
    <row r="52" ht="15" customHeight="1" s="42">
      <c r="A52" s="63" t="n"/>
      <c r="B52" s="64" t="n"/>
      <c r="C52" s="65" t="n"/>
      <c r="D52" s="65" t="n"/>
      <c r="E52" s="65" t="n"/>
      <c r="F52" s="63" t="n"/>
      <c r="G52" s="62">
        <f>IF(A52="","",IF(COUNTIF($A$2:$A$200,A52)&gt;1,"Klant staat dubbel",IF(B52="","Prijstype ontbreekt",IF(AND(OR(B52="Per uur",B52="Beide"),N(C52)=0),"Uurtarief ontbreekt",IF(AND(OR(B52="Vaste prijs",B52="Beide"),N(D52)=0),"Vaste prijs ontbreekt","OK")))))</f>
        <v/>
      </c>
    </row>
    <row r="53" ht="15" customHeight="1" s="42">
      <c r="A53" s="63" t="n"/>
      <c r="B53" s="64" t="n"/>
      <c r="C53" s="65" t="n"/>
      <c r="D53" s="65" t="n"/>
      <c r="E53" s="65" t="n"/>
      <c r="F53" s="63" t="n"/>
      <c r="G53" s="62">
        <f>IF(A53="","",IF(COUNTIF($A$2:$A$200,A53)&gt;1,"Klant staat dubbel",IF(B53="","Prijstype ontbreekt",IF(AND(OR(B53="Per uur",B53="Beide"),N(C53)=0),"Uurtarief ontbreekt",IF(AND(OR(B53="Vaste prijs",B53="Beide"),N(D53)=0),"Vaste prijs ontbreekt","OK")))))</f>
        <v/>
      </c>
    </row>
    <row r="54" ht="15" customHeight="1" s="42">
      <c r="A54" s="63" t="n"/>
      <c r="B54" s="64" t="n"/>
      <c r="C54" s="65" t="n"/>
      <c r="D54" s="65" t="n"/>
      <c r="E54" s="65" t="n"/>
      <c r="F54" s="63" t="n"/>
      <c r="G54" s="62">
        <f>IF(A54="","",IF(COUNTIF($A$2:$A$200,A54)&gt;1,"Klant staat dubbel",IF(B54="","Prijstype ontbreekt",IF(AND(OR(B54="Per uur",B54="Beide"),N(C54)=0),"Uurtarief ontbreekt",IF(AND(OR(B54="Vaste prijs",B54="Beide"),N(D54)=0),"Vaste prijs ontbreekt","OK")))))</f>
        <v/>
      </c>
    </row>
    <row r="55" ht="15" customHeight="1" s="42">
      <c r="A55" s="63" t="n"/>
      <c r="B55" s="64" t="n"/>
      <c r="C55" s="65" t="n"/>
      <c r="D55" s="65" t="n"/>
      <c r="E55" s="65" t="n"/>
      <c r="F55" s="63" t="n"/>
      <c r="G55" s="62">
        <f>IF(A55="","",IF(COUNTIF($A$2:$A$200,A55)&gt;1,"Klant staat dubbel",IF(B55="","Prijstype ontbreekt",IF(AND(OR(B55="Per uur",B55="Beide"),N(C55)=0),"Uurtarief ontbreekt",IF(AND(OR(B55="Vaste prijs",B55="Beide"),N(D55)=0),"Vaste prijs ontbreekt","OK")))))</f>
        <v/>
      </c>
    </row>
    <row r="56" ht="15" customHeight="1" s="42">
      <c r="A56" s="63" t="n"/>
      <c r="B56" s="64" t="n"/>
      <c r="C56" s="65" t="n"/>
      <c r="D56" s="65" t="n"/>
      <c r="E56" s="65" t="n"/>
      <c r="F56" s="63" t="n"/>
      <c r="G56" s="62">
        <f>IF(A56="","",IF(COUNTIF($A$2:$A$200,A56)&gt;1,"Klant staat dubbel",IF(B56="","Prijstype ontbreekt",IF(AND(OR(B56="Per uur",B56="Beide"),N(C56)=0),"Uurtarief ontbreekt",IF(AND(OR(B56="Vaste prijs",B56="Beide"),N(D56)=0),"Vaste prijs ontbreekt","OK")))))</f>
        <v/>
      </c>
    </row>
    <row r="57" ht="15" customHeight="1" s="42">
      <c r="A57" s="63" t="n"/>
      <c r="B57" s="64" t="n"/>
      <c r="C57" s="65" t="n"/>
      <c r="D57" s="65" t="n"/>
      <c r="E57" s="65" t="n"/>
      <c r="F57" s="63" t="n"/>
      <c r="G57" s="62">
        <f>IF(A57="","",IF(COUNTIF($A$2:$A$200,A57)&gt;1,"Klant staat dubbel",IF(B57="","Prijstype ontbreekt",IF(AND(OR(B57="Per uur",B57="Beide"),N(C57)=0),"Uurtarief ontbreekt",IF(AND(OR(B57="Vaste prijs",B57="Beide"),N(D57)=0),"Vaste prijs ontbreekt","OK")))))</f>
        <v/>
      </c>
    </row>
    <row r="58" ht="15" customHeight="1" s="42">
      <c r="A58" s="63" t="n"/>
      <c r="B58" s="64" t="n"/>
      <c r="C58" s="65" t="n"/>
      <c r="D58" s="65" t="n"/>
      <c r="E58" s="65" t="n"/>
      <c r="F58" s="63" t="n"/>
      <c r="G58" s="62">
        <f>IF(A58="","",IF(COUNTIF($A$2:$A$200,A58)&gt;1,"Klant staat dubbel",IF(B58="","Prijstype ontbreekt",IF(AND(OR(B58="Per uur",B58="Beide"),N(C58)=0),"Uurtarief ontbreekt",IF(AND(OR(B58="Vaste prijs",B58="Beide"),N(D58)=0),"Vaste prijs ontbreekt","OK")))))</f>
        <v/>
      </c>
    </row>
    <row r="59" ht="15" customHeight="1" s="42">
      <c r="A59" s="63" t="n"/>
      <c r="B59" s="64" t="n"/>
      <c r="C59" s="65" t="n"/>
      <c r="D59" s="65" t="n"/>
      <c r="E59" s="65" t="n"/>
      <c r="F59" s="63" t="n"/>
      <c r="G59" s="62">
        <f>IF(A59="","",IF(COUNTIF($A$2:$A$200,A59)&gt;1,"Klant staat dubbel",IF(B59="","Prijstype ontbreekt",IF(AND(OR(B59="Per uur",B59="Beide"),N(C59)=0),"Uurtarief ontbreekt",IF(AND(OR(B59="Vaste prijs",B59="Beide"),N(D59)=0),"Vaste prijs ontbreekt","OK")))))</f>
        <v/>
      </c>
    </row>
    <row r="60" ht="15" customHeight="1" s="42">
      <c r="A60" s="63" t="n"/>
      <c r="B60" s="64" t="n"/>
      <c r="C60" s="65" t="n"/>
      <c r="D60" s="65" t="n"/>
      <c r="E60" s="65" t="n"/>
      <c r="F60" s="63" t="n"/>
      <c r="G60" s="62">
        <f>IF(A60="","",IF(COUNTIF($A$2:$A$200,A60)&gt;1,"Klant staat dubbel",IF(B60="","Prijstype ontbreekt",IF(AND(OR(B60="Per uur",B60="Beide"),N(C60)=0),"Uurtarief ontbreekt",IF(AND(OR(B60="Vaste prijs",B60="Beide"),N(D60)=0),"Vaste prijs ontbreekt","OK")))))</f>
        <v/>
      </c>
    </row>
    <row r="61" ht="15" customHeight="1" s="42">
      <c r="A61" s="63" t="n"/>
      <c r="B61" s="64" t="n"/>
      <c r="C61" s="65" t="n"/>
      <c r="D61" s="65" t="n"/>
      <c r="E61" s="65" t="n"/>
      <c r="F61" s="63" t="n"/>
      <c r="G61" s="62">
        <f>IF(A61="","",IF(COUNTIF($A$2:$A$200,A61)&gt;1,"Klant staat dubbel",IF(B61="","Prijstype ontbreekt",IF(AND(OR(B61="Per uur",B61="Beide"),N(C61)=0),"Uurtarief ontbreekt",IF(AND(OR(B61="Vaste prijs",B61="Beide"),N(D61)=0),"Vaste prijs ontbreekt","OK")))))</f>
        <v/>
      </c>
    </row>
    <row r="62" ht="15" customHeight="1" s="42">
      <c r="A62" s="63" t="n"/>
      <c r="B62" s="64" t="n"/>
      <c r="C62" s="65" t="n"/>
      <c r="D62" s="65" t="n"/>
      <c r="E62" s="65" t="n"/>
      <c r="F62" s="63" t="n"/>
      <c r="G62" s="62">
        <f>IF(A62="","",IF(COUNTIF($A$2:$A$200,A62)&gt;1,"Klant staat dubbel",IF(B62="","Prijstype ontbreekt",IF(AND(OR(B62="Per uur",B62="Beide"),N(C62)=0),"Uurtarief ontbreekt",IF(AND(OR(B62="Vaste prijs",B62="Beide"),N(D62)=0),"Vaste prijs ontbreekt","OK")))))</f>
        <v/>
      </c>
    </row>
    <row r="63" ht="15" customHeight="1" s="42">
      <c r="A63" s="63" t="n"/>
      <c r="B63" s="64" t="n"/>
      <c r="C63" s="65" t="n"/>
      <c r="D63" s="65" t="n"/>
      <c r="E63" s="65" t="n"/>
      <c r="F63" s="63" t="n"/>
      <c r="G63" s="62">
        <f>IF(A63="","",IF(COUNTIF($A$2:$A$200,A63)&gt;1,"Klant staat dubbel",IF(B63="","Prijstype ontbreekt",IF(AND(OR(B63="Per uur",B63="Beide"),N(C63)=0),"Uurtarief ontbreekt",IF(AND(OR(B63="Vaste prijs",B63="Beide"),N(D63)=0),"Vaste prijs ontbreekt","OK")))))</f>
        <v/>
      </c>
    </row>
    <row r="64" ht="15" customHeight="1" s="42">
      <c r="A64" s="63" t="n"/>
      <c r="B64" s="64" t="n"/>
      <c r="C64" s="65" t="n"/>
      <c r="D64" s="65" t="n"/>
      <c r="E64" s="65" t="n"/>
      <c r="F64" s="63" t="n"/>
      <c r="G64" s="62">
        <f>IF(A64="","",IF(COUNTIF($A$2:$A$200,A64)&gt;1,"Klant staat dubbel",IF(B64="","Prijstype ontbreekt",IF(AND(OR(B64="Per uur",B64="Beide"),N(C64)=0),"Uurtarief ontbreekt",IF(AND(OR(B64="Vaste prijs",B64="Beide"),N(D64)=0),"Vaste prijs ontbreekt","OK")))))</f>
        <v/>
      </c>
    </row>
    <row r="65" ht="15" customHeight="1" s="42">
      <c r="A65" s="63" t="n"/>
      <c r="B65" s="64" t="n"/>
      <c r="C65" s="65" t="n"/>
      <c r="D65" s="65" t="n"/>
      <c r="E65" s="65" t="n"/>
      <c r="F65" s="63" t="n"/>
      <c r="G65" s="62">
        <f>IF(A65="","",IF(COUNTIF($A$2:$A$200,A65)&gt;1,"Klant staat dubbel",IF(B65="","Prijstype ontbreekt",IF(AND(OR(B65="Per uur",B65="Beide"),N(C65)=0),"Uurtarief ontbreekt",IF(AND(OR(B65="Vaste prijs",B65="Beide"),N(D65)=0),"Vaste prijs ontbreekt","OK")))))</f>
        <v/>
      </c>
    </row>
    <row r="66" ht="15" customHeight="1" s="42">
      <c r="A66" s="63" t="n"/>
      <c r="B66" s="64" t="n"/>
      <c r="C66" s="65" t="n"/>
      <c r="D66" s="65" t="n"/>
      <c r="E66" s="65" t="n"/>
      <c r="F66" s="63" t="n"/>
      <c r="G66" s="62">
        <f>IF(A66="","",IF(COUNTIF($A$2:$A$200,A66)&gt;1,"Klant staat dubbel",IF(B66="","Prijstype ontbreekt",IF(AND(OR(B66="Per uur",B66="Beide"),N(C66)=0),"Uurtarief ontbreekt",IF(AND(OR(B66="Vaste prijs",B66="Beide"),N(D66)=0),"Vaste prijs ontbreekt","OK")))))</f>
        <v/>
      </c>
    </row>
    <row r="67" ht="15" customHeight="1" s="42">
      <c r="A67" s="63" t="n"/>
      <c r="B67" s="64" t="n"/>
      <c r="C67" s="65" t="n"/>
      <c r="D67" s="65" t="n"/>
      <c r="E67" s="65" t="n"/>
      <c r="F67" s="63" t="n"/>
      <c r="G67" s="62">
        <f>IF(A67="","",IF(COUNTIF($A$2:$A$200,A67)&gt;1,"Klant staat dubbel",IF(B67="","Prijstype ontbreekt",IF(AND(OR(B67="Per uur",B67="Beide"),N(C67)=0),"Uurtarief ontbreekt",IF(AND(OR(B67="Vaste prijs",B67="Beide"),N(D67)=0),"Vaste prijs ontbreekt","OK")))))</f>
        <v/>
      </c>
    </row>
    <row r="68" ht="15" customHeight="1" s="42">
      <c r="A68" s="63" t="n"/>
      <c r="B68" s="64" t="n"/>
      <c r="C68" s="65" t="n"/>
      <c r="D68" s="65" t="n"/>
      <c r="E68" s="65" t="n"/>
      <c r="F68" s="63" t="n"/>
      <c r="G68" s="62">
        <f>IF(A68="","",IF(COUNTIF($A$2:$A$200,A68)&gt;1,"Klant staat dubbel",IF(B68="","Prijstype ontbreekt",IF(AND(OR(B68="Per uur",B68="Beide"),N(C68)=0),"Uurtarief ontbreekt",IF(AND(OR(B68="Vaste prijs",B68="Beide"),N(D68)=0),"Vaste prijs ontbreekt","OK")))))</f>
        <v/>
      </c>
    </row>
    <row r="69" ht="15" customHeight="1" s="42">
      <c r="A69" s="63" t="n"/>
      <c r="B69" s="64" t="n"/>
      <c r="C69" s="65" t="n"/>
      <c r="D69" s="65" t="n"/>
      <c r="E69" s="65" t="n"/>
      <c r="F69" s="63" t="n"/>
      <c r="G69" s="62">
        <f>IF(A69="","",IF(COUNTIF($A$2:$A$200,A69)&gt;1,"Klant staat dubbel",IF(B69="","Prijstype ontbreekt",IF(AND(OR(B69="Per uur",B69="Beide"),N(C69)=0),"Uurtarief ontbreekt",IF(AND(OR(B69="Vaste prijs",B69="Beide"),N(D69)=0),"Vaste prijs ontbreekt","OK")))))</f>
        <v/>
      </c>
    </row>
    <row r="70" ht="15" customHeight="1" s="42">
      <c r="A70" s="63" t="n"/>
      <c r="B70" s="64" t="n"/>
      <c r="C70" s="65" t="n"/>
      <c r="D70" s="65" t="n"/>
      <c r="E70" s="65" t="n"/>
      <c r="F70" s="63" t="n"/>
      <c r="G70" s="62">
        <f>IF(A70="","",IF(COUNTIF($A$2:$A$200,A70)&gt;1,"Klant staat dubbel",IF(B70="","Prijstype ontbreekt",IF(AND(OR(B70="Per uur",B70="Beide"),N(C70)=0),"Uurtarief ontbreekt",IF(AND(OR(B70="Vaste prijs",B70="Beide"),N(D70)=0),"Vaste prijs ontbreekt","OK")))))</f>
        <v/>
      </c>
    </row>
    <row r="71" ht="15" customHeight="1" s="42">
      <c r="A71" s="63" t="n"/>
      <c r="B71" s="64" t="n"/>
      <c r="C71" s="65" t="n"/>
      <c r="D71" s="65" t="n"/>
      <c r="E71" s="65" t="n"/>
      <c r="F71" s="63" t="n"/>
      <c r="G71" s="62">
        <f>IF(A71="","",IF(COUNTIF($A$2:$A$200,A71)&gt;1,"Klant staat dubbel",IF(B71="","Prijstype ontbreekt",IF(AND(OR(B71="Per uur",B71="Beide"),N(C71)=0),"Uurtarief ontbreekt",IF(AND(OR(B71="Vaste prijs",B71="Beide"),N(D71)=0),"Vaste prijs ontbreekt","OK")))))</f>
        <v/>
      </c>
    </row>
    <row r="72" ht="15" customHeight="1" s="42">
      <c r="A72" s="63" t="n"/>
      <c r="B72" s="64" t="n"/>
      <c r="C72" s="65" t="n"/>
      <c r="D72" s="65" t="n"/>
      <c r="E72" s="65" t="n"/>
      <c r="F72" s="63" t="n"/>
      <c r="G72" s="62">
        <f>IF(A72="","",IF(COUNTIF($A$2:$A$200,A72)&gt;1,"Klant staat dubbel",IF(B72="","Prijstype ontbreekt",IF(AND(OR(B72="Per uur",B72="Beide"),N(C72)=0),"Uurtarief ontbreekt",IF(AND(OR(B72="Vaste prijs",B72="Beide"),N(D72)=0),"Vaste prijs ontbreekt","OK")))))</f>
        <v/>
      </c>
    </row>
    <row r="73" ht="15" customHeight="1" s="42">
      <c r="A73" s="63" t="n"/>
      <c r="B73" s="64" t="n"/>
      <c r="C73" s="65" t="n"/>
      <c r="D73" s="65" t="n"/>
      <c r="E73" s="65" t="n"/>
      <c r="F73" s="63" t="n"/>
      <c r="G73" s="62">
        <f>IF(A73="","",IF(COUNTIF($A$2:$A$200,A73)&gt;1,"Klant staat dubbel",IF(B73="","Prijstype ontbreekt",IF(AND(OR(B73="Per uur",B73="Beide"),N(C73)=0),"Uurtarief ontbreekt",IF(AND(OR(B73="Vaste prijs",B73="Beide"),N(D73)=0),"Vaste prijs ontbreekt","OK")))))</f>
        <v/>
      </c>
    </row>
    <row r="74" ht="15" customHeight="1" s="42">
      <c r="A74" s="63" t="n"/>
      <c r="B74" s="64" t="n"/>
      <c r="C74" s="65" t="n"/>
      <c r="D74" s="65" t="n"/>
      <c r="E74" s="65" t="n"/>
      <c r="F74" s="63" t="n"/>
      <c r="G74" s="62">
        <f>IF(A74="","",IF(COUNTIF($A$2:$A$200,A74)&gt;1,"Klant staat dubbel",IF(B74="","Prijstype ontbreekt",IF(AND(OR(B74="Per uur",B74="Beide"),N(C74)=0),"Uurtarief ontbreekt",IF(AND(OR(B74="Vaste prijs",B74="Beide"),N(D74)=0),"Vaste prijs ontbreekt","OK")))))</f>
        <v/>
      </c>
    </row>
    <row r="75" ht="15" customHeight="1" s="42">
      <c r="A75" s="63" t="n"/>
      <c r="B75" s="64" t="n"/>
      <c r="C75" s="65" t="n"/>
      <c r="D75" s="65" t="n"/>
      <c r="E75" s="65" t="n"/>
      <c r="F75" s="63" t="n"/>
      <c r="G75" s="62">
        <f>IF(A75="","",IF(COUNTIF($A$2:$A$200,A75)&gt;1,"Klant staat dubbel",IF(B75="","Prijstype ontbreekt",IF(AND(OR(B75="Per uur",B75="Beide"),N(C75)=0),"Uurtarief ontbreekt",IF(AND(OR(B75="Vaste prijs",B75="Beide"),N(D75)=0),"Vaste prijs ontbreekt","OK")))))</f>
        <v/>
      </c>
    </row>
    <row r="76" ht="15" customHeight="1" s="42">
      <c r="A76" s="63" t="n"/>
      <c r="B76" s="64" t="n"/>
      <c r="C76" s="65" t="n"/>
      <c r="D76" s="65" t="n"/>
      <c r="E76" s="65" t="n"/>
      <c r="F76" s="63" t="n"/>
      <c r="G76" s="62">
        <f>IF(A76="","",IF(COUNTIF($A$2:$A$200,A76)&gt;1,"Klant staat dubbel",IF(B76="","Prijstype ontbreekt",IF(AND(OR(B76="Per uur",B76="Beide"),N(C76)=0),"Uurtarief ontbreekt",IF(AND(OR(B76="Vaste prijs",B76="Beide"),N(D76)=0),"Vaste prijs ontbreekt","OK")))))</f>
        <v/>
      </c>
    </row>
    <row r="77" ht="15" customHeight="1" s="42">
      <c r="A77" s="63" t="n"/>
      <c r="B77" s="64" t="n"/>
      <c r="C77" s="65" t="n"/>
      <c r="D77" s="65" t="n"/>
      <c r="E77" s="65" t="n"/>
      <c r="F77" s="63" t="n"/>
      <c r="G77" s="62">
        <f>IF(A77="","",IF(COUNTIF($A$2:$A$200,A77)&gt;1,"Klant staat dubbel",IF(B77="","Prijstype ontbreekt",IF(AND(OR(B77="Per uur",B77="Beide"),N(C77)=0),"Uurtarief ontbreekt",IF(AND(OR(B77="Vaste prijs",B77="Beide"),N(D77)=0),"Vaste prijs ontbreekt","OK")))))</f>
        <v/>
      </c>
    </row>
    <row r="78" ht="15" customHeight="1" s="42">
      <c r="A78" s="63" t="n"/>
      <c r="B78" s="64" t="n"/>
      <c r="C78" s="65" t="n"/>
      <c r="D78" s="65" t="n"/>
      <c r="E78" s="65" t="n"/>
      <c r="F78" s="63" t="n"/>
      <c r="G78" s="62">
        <f>IF(A78="","",IF(COUNTIF($A$2:$A$200,A78)&gt;1,"Klant staat dubbel",IF(B78="","Prijstype ontbreekt",IF(AND(OR(B78="Per uur",B78="Beide"),N(C78)=0),"Uurtarief ontbreekt",IF(AND(OR(B78="Vaste prijs",B78="Beide"),N(D78)=0),"Vaste prijs ontbreekt","OK")))))</f>
        <v/>
      </c>
    </row>
    <row r="79" ht="15" customHeight="1" s="42">
      <c r="A79" s="63" t="n"/>
      <c r="B79" s="64" t="n"/>
      <c r="C79" s="65" t="n"/>
      <c r="D79" s="65" t="n"/>
      <c r="E79" s="65" t="n"/>
      <c r="F79" s="63" t="n"/>
      <c r="G79" s="62">
        <f>IF(A79="","",IF(COUNTIF($A$2:$A$200,A79)&gt;1,"Klant staat dubbel",IF(B79="","Prijstype ontbreekt",IF(AND(OR(B79="Per uur",B79="Beide"),N(C79)=0),"Uurtarief ontbreekt",IF(AND(OR(B79="Vaste prijs",B79="Beide"),N(D79)=0),"Vaste prijs ontbreekt","OK")))))</f>
        <v/>
      </c>
    </row>
    <row r="80" ht="15" customHeight="1" s="42">
      <c r="A80" s="63" t="n"/>
      <c r="B80" s="64" t="n"/>
      <c r="C80" s="65" t="n"/>
      <c r="D80" s="65" t="n"/>
      <c r="E80" s="65" t="n"/>
      <c r="F80" s="63" t="n"/>
      <c r="G80" s="62">
        <f>IF(A80="","",IF(COUNTIF($A$2:$A$200,A80)&gt;1,"Klant staat dubbel",IF(B80="","Prijstype ontbreekt",IF(AND(OR(B80="Per uur",B80="Beide"),N(C80)=0),"Uurtarief ontbreekt",IF(AND(OR(B80="Vaste prijs",B80="Beide"),N(D80)=0),"Vaste prijs ontbreekt","OK")))))</f>
        <v/>
      </c>
    </row>
    <row r="81" ht="15" customHeight="1" s="42">
      <c r="A81" s="63" t="n"/>
      <c r="B81" s="64" t="n"/>
      <c r="C81" s="65" t="n"/>
      <c r="D81" s="65" t="n"/>
      <c r="E81" s="65" t="n"/>
      <c r="F81" s="63" t="n"/>
      <c r="G81" s="62">
        <f>IF(A81="","",IF(COUNTIF($A$2:$A$200,A81)&gt;1,"Klant staat dubbel",IF(B81="","Prijstype ontbreekt",IF(AND(OR(B81="Per uur",B81="Beide"),N(C81)=0),"Uurtarief ontbreekt",IF(AND(OR(B81="Vaste prijs",B81="Beide"),N(D81)=0),"Vaste prijs ontbreekt","OK")))))</f>
        <v/>
      </c>
    </row>
    <row r="82" ht="15" customHeight="1" s="42">
      <c r="A82" s="63" t="n"/>
      <c r="B82" s="64" t="n"/>
      <c r="C82" s="65" t="n"/>
      <c r="D82" s="65" t="n"/>
      <c r="E82" s="65" t="n"/>
      <c r="F82" s="63" t="n"/>
      <c r="G82" s="62">
        <f>IF(A82="","",IF(COUNTIF($A$2:$A$200,A82)&gt;1,"Klant staat dubbel",IF(B82="","Prijstype ontbreekt",IF(AND(OR(B82="Per uur",B82="Beide"),N(C82)=0),"Uurtarief ontbreekt",IF(AND(OR(B82="Vaste prijs",B82="Beide"),N(D82)=0),"Vaste prijs ontbreekt","OK")))))</f>
        <v/>
      </c>
    </row>
    <row r="83" ht="15" customHeight="1" s="42">
      <c r="A83" s="63" t="n"/>
      <c r="B83" s="64" t="n"/>
      <c r="C83" s="65" t="n"/>
      <c r="D83" s="65" t="n"/>
      <c r="E83" s="65" t="n"/>
      <c r="F83" s="63" t="n"/>
      <c r="G83" s="62">
        <f>IF(A83="","",IF(COUNTIF($A$2:$A$200,A83)&gt;1,"Klant staat dubbel",IF(B83="","Prijstype ontbreekt",IF(AND(OR(B83="Per uur",B83="Beide"),N(C83)=0),"Uurtarief ontbreekt",IF(AND(OR(B83="Vaste prijs",B83="Beide"),N(D83)=0),"Vaste prijs ontbreekt","OK")))))</f>
        <v/>
      </c>
    </row>
    <row r="84" ht="15" customHeight="1" s="42">
      <c r="A84" s="63" t="n"/>
      <c r="B84" s="64" t="n"/>
      <c r="C84" s="65" t="n"/>
      <c r="D84" s="65" t="n"/>
      <c r="E84" s="65" t="n"/>
      <c r="F84" s="63" t="n"/>
      <c r="G84" s="62">
        <f>IF(A84="","",IF(COUNTIF($A$2:$A$200,A84)&gt;1,"Klant staat dubbel",IF(B84="","Prijstype ontbreekt",IF(AND(OR(B84="Per uur",B84="Beide"),N(C84)=0),"Uurtarief ontbreekt",IF(AND(OR(B84="Vaste prijs",B84="Beide"),N(D84)=0),"Vaste prijs ontbreekt","OK")))))</f>
        <v/>
      </c>
    </row>
    <row r="85" ht="15" customHeight="1" s="42">
      <c r="A85" s="63" t="n"/>
      <c r="B85" s="64" t="n"/>
      <c r="C85" s="65" t="n"/>
      <c r="D85" s="65" t="n"/>
      <c r="E85" s="65" t="n"/>
      <c r="F85" s="63" t="n"/>
      <c r="G85" s="62">
        <f>IF(A85="","",IF(COUNTIF($A$2:$A$200,A85)&gt;1,"Klant staat dubbel",IF(B85="","Prijstype ontbreekt",IF(AND(OR(B85="Per uur",B85="Beide"),N(C85)=0),"Uurtarief ontbreekt",IF(AND(OR(B85="Vaste prijs",B85="Beide"),N(D85)=0),"Vaste prijs ontbreekt","OK")))))</f>
        <v/>
      </c>
    </row>
    <row r="86" ht="15" customHeight="1" s="42">
      <c r="A86" s="63" t="n"/>
      <c r="B86" s="64" t="n"/>
      <c r="C86" s="65" t="n"/>
      <c r="D86" s="65" t="n"/>
      <c r="E86" s="65" t="n"/>
      <c r="F86" s="63" t="n"/>
      <c r="G86" s="62">
        <f>IF(A86="","",IF(COUNTIF($A$2:$A$200,A86)&gt;1,"Klant staat dubbel",IF(B86="","Prijstype ontbreekt",IF(AND(OR(B86="Per uur",B86="Beide"),N(C86)=0),"Uurtarief ontbreekt",IF(AND(OR(B86="Vaste prijs",B86="Beide"),N(D86)=0),"Vaste prijs ontbreekt","OK")))))</f>
        <v/>
      </c>
    </row>
    <row r="87" ht="15" customHeight="1" s="42">
      <c r="A87" s="63" t="n"/>
      <c r="B87" s="64" t="n"/>
      <c r="C87" s="65" t="n"/>
      <c r="D87" s="65" t="n"/>
      <c r="E87" s="65" t="n"/>
      <c r="F87" s="63" t="n"/>
      <c r="G87" s="62">
        <f>IF(A87="","",IF(COUNTIF($A$2:$A$200,A87)&gt;1,"Klant staat dubbel",IF(B87="","Prijstype ontbreekt",IF(AND(OR(B87="Per uur",B87="Beide"),N(C87)=0),"Uurtarief ontbreekt",IF(AND(OR(B87="Vaste prijs",B87="Beide"),N(D87)=0),"Vaste prijs ontbreekt","OK")))))</f>
        <v/>
      </c>
    </row>
    <row r="88" ht="15" customHeight="1" s="42">
      <c r="A88" s="63" t="n"/>
      <c r="B88" s="64" t="n"/>
      <c r="C88" s="65" t="n"/>
      <c r="D88" s="65" t="n"/>
      <c r="E88" s="65" t="n"/>
      <c r="F88" s="63" t="n"/>
      <c r="G88" s="62">
        <f>IF(A88="","",IF(COUNTIF($A$2:$A$200,A88)&gt;1,"Klant staat dubbel",IF(B88="","Prijstype ontbreekt",IF(AND(OR(B88="Per uur",B88="Beide"),N(C88)=0),"Uurtarief ontbreekt",IF(AND(OR(B88="Vaste prijs",B88="Beide"),N(D88)=0),"Vaste prijs ontbreekt","OK")))))</f>
        <v/>
      </c>
    </row>
    <row r="89" ht="15" customHeight="1" s="42">
      <c r="A89" s="63" t="n"/>
      <c r="B89" s="64" t="n"/>
      <c r="C89" s="65" t="n"/>
      <c r="D89" s="65" t="n"/>
      <c r="E89" s="65" t="n"/>
      <c r="F89" s="63" t="n"/>
      <c r="G89" s="62">
        <f>IF(A89="","",IF(COUNTIF($A$2:$A$200,A89)&gt;1,"Klant staat dubbel",IF(B89="","Prijstype ontbreekt",IF(AND(OR(B89="Per uur",B89="Beide"),N(C89)=0),"Uurtarief ontbreekt",IF(AND(OR(B89="Vaste prijs",B89="Beide"),N(D89)=0),"Vaste prijs ontbreekt","OK")))))</f>
        <v/>
      </c>
    </row>
    <row r="90" ht="15" customHeight="1" s="42">
      <c r="A90" s="63" t="n"/>
      <c r="B90" s="64" t="n"/>
      <c r="C90" s="65" t="n"/>
      <c r="D90" s="65" t="n"/>
      <c r="E90" s="65" t="n"/>
      <c r="F90" s="63" t="n"/>
      <c r="G90" s="62">
        <f>IF(A90="","",IF(COUNTIF($A$2:$A$200,A90)&gt;1,"Klant staat dubbel",IF(B90="","Prijstype ontbreekt",IF(AND(OR(B90="Per uur",B90="Beide"),N(C90)=0),"Uurtarief ontbreekt",IF(AND(OR(B90="Vaste prijs",B90="Beide"),N(D90)=0),"Vaste prijs ontbreekt","OK")))))</f>
        <v/>
      </c>
    </row>
    <row r="91" ht="15" customHeight="1" s="42">
      <c r="A91" s="63" t="n"/>
      <c r="B91" s="64" t="n"/>
      <c r="C91" s="65" t="n"/>
      <c r="D91" s="65" t="n"/>
      <c r="E91" s="65" t="n"/>
      <c r="F91" s="63" t="n"/>
      <c r="G91" s="62">
        <f>IF(A91="","",IF(COUNTIF($A$2:$A$200,A91)&gt;1,"Klant staat dubbel",IF(B91="","Prijstype ontbreekt",IF(AND(OR(B91="Per uur",B91="Beide"),N(C91)=0),"Uurtarief ontbreekt",IF(AND(OR(B91="Vaste prijs",B91="Beide"),N(D91)=0),"Vaste prijs ontbreekt","OK")))))</f>
        <v/>
      </c>
    </row>
    <row r="92" ht="15" customHeight="1" s="42">
      <c r="A92" s="63" t="n"/>
      <c r="B92" s="64" t="n"/>
      <c r="C92" s="65" t="n"/>
      <c r="D92" s="65" t="n"/>
      <c r="E92" s="65" t="n"/>
      <c r="F92" s="63" t="n"/>
      <c r="G92" s="62">
        <f>IF(A92="","",IF(COUNTIF($A$2:$A$200,A92)&gt;1,"Klant staat dubbel",IF(B92="","Prijstype ontbreekt",IF(AND(OR(B92="Per uur",B92="Beide"),N(C92)=0),"Uurtarief ontbreekt",IF(AND(OR(B92="Vaste prijs",B92="Beide"),N(D92)=0),"Vaste prijs ontbreekt","OK")))))</f>
        <v/>
      </c>
    </row>
    <row r="93" ht="15" customHeight="1" s="42">
      <c r="A93" s="63" t="n"/>
      <c r="B93" s="64" t="n"/>
      <c r="C93" s="65" t="n"/>
      <c r="D93" s="65" t="n"/>
      <c r="E93" s="65" t="n"/>
      <c r="F93" s="63" t="n"/>
      <c r="G93" s="62">
        <f>IF(A93="","",IF(COUNTIF($A$2:$A$200,A93)&gt;1,"Klant staat dubbel",IF(B93="","Prijstype ontbreekt",IF(AND(OR(B93="Per uur",B93="Beide"),N(C93)=0),"Uurtarief ontbreekt",IF(AND(OR(B93="Vaste prijs",B93="Beide"),N(D93)=0),"Vaste prijs ontbreekt","OK")))))</f>
        <v/>
      </c>
    </row>
    <row r="94" ht="15" customHeight="1" s="42">
      <c r="A94" s="63" t="n"/>
      <c r="B94" s="64" t="n"/>
      <c r="C94" s="65" t="n"/>
      <c r="D94" s="65" t="n"/>
      <c r="E94" s="65" t="n"/>
      <c r="F94" s="63" t="n"/>
      <c r="G94" s="62">
        <f>IF(A94="","",IF(COUNTIF($A$2:$A$200,A94)&gt;1,"Klant staat dubbel",IF(B94="","Prijstype ontbreekt",IF(AND(OR(B94="Per uur",B94="Beide"),N(C94)=0),"Uurtarief ontbreekt",IF(AND(OR(B94="Vaste prijs",B94="Beide"),N(D94)=0),"Vaste prijs ontbreekt","OK")))))</f>
        <v/>
      </c>
    </row>
    <row r="95" ht="15" customHeight="1" s="42">
      <c r="A95" s="63" t="n"/>
      <c r="B95" s="64" t="n"/>
      <c r="C95" s="65" t="n"/>
      <c r="D95" s="65" t="n"/>
      <c r="E95" s="65" t="n"/>
      <c r="F95" s="63" t="n"/>
      <c r="G95" s="62">
        <f>IF(A95="","",IF(COUNTIF($A$2:$A$200,A95)&gt;1,"Klant staat dubbel",IF(B95="","Prijstype ontbreekt",IF(AND(OR(B95="Per uur",B95="Beide"),N(C95)=0),"Uurtarief ontbreekt",IF(AND(OR(B95="Vaste prijs",B95="Beide"),N(D95)=0),"Vaste prijs ontbreekt","OK")))))</f>
        <v/>
      </c>
    </row>
    <row r="96" ht="15" customHeight="1" s="42">
      <c r="A96" s="63" t="n"/>
      <c r="B96" s="64" t="n"/>
      <c r="C96" s="65" t="n"/>
      <c r="D96" s="65" t="n"/>
      <c r="E96" s="65" t="n"/>
      <c r="F96" s="63" t="n"/>
      <c r="G96" s="62">
        <f>IF(A96="","",IF(COUNTIF($A$2:$A$200,A96)&gt;1,"Klant staat dubbel",IF(B96="","Prijstype ontbreekt",IF(AND(OR(B96="Per uur",B96="Beide"),N(C96)=0),"Uurtarief ontbreekt",IF(AND(OR(B96="Vaste prijs",B96="Beide"),N(D96)=0),"Vaste prijs ontbreekt","OK")))))</f>
        <v/>
      </c>
    </row>
    <row r="97" ht="15" customHeight="1" s="42">
      <c r="A97" s="63" t="n"/>
      <c r="B97" s="64" t="n"/>
      <c r="C97" s="65" t="n"/>
      <c r="D97" s="65" t="n"/>
      <c r="E97" s="65" t="n"/>
      <c r="F97" s="63" t="n"/>
      <c r="G97" s="62">
        <f>IF(A97="","",IF(COUNTIF($A$2:$A$200,A97)&gt;1,"Klant staat dubbel",IF(B97="","Prijstype ontbreekt",IF(AND(OR(B97="Per uur",B97="Beide"),N(C97)=0),"Uurtarief ontbreekt",IF(AND(OR(B97="Vaste prijs",B97="Beide"),N(D97)=0),"Vaste prijs ontbreekt","OK")))))</f>
        <v/>
      </c>
    </row>
    <row r="98" ht="15" customHeight="1" s="42">
      <c r="A98" s="63" t="n"/>
      <c r="B98" s="64" t="n"/>
      <c r="C98" s="65" t="n"/>
      <c r="D98" s="65" t="n"/>
      <c r="E98" s="65" t="n"/>
      <c r="F98" s="63" t="n"/>
      <c r="G98" s="62">
        <f>IF(A98="","",IF(COUNTIF($A$2:$A$200,A98)&gt;1,"Klant staat dubbel",IF(B98="","Prijstype ontbreekt",IF(AND(OR(B98="Per uur",B98="Beide"),N(C98)=0),"Uurtarief ontbreekt",IF(AND(OR(B98="Vaste prijs",B98="Beide"),N(D98)=0),"Vaste prijs ontbreekt","OK")))))</f>
        <v/>
      </c>
    </row>
    <row r="99" ht="15" customHeight="1" s="42">
      <c r="A99" s="63" t="n"/>
      <c r="B99" s="64" t="n"/>
      <c r="C99" s="65" t="n"/>
      <c r="D99" s="65" t="n"/>
      <c r="E99" s="65" t="n"/>
      <c r="F99" s="63" t="n"/>
      <c r="G99" s="62">
        <f>IF(A99="","",IF(COUNTIF($A$2:$A$200,A99)&gt;1,"Klant staat dubbel",IF(B99="","Prijstype ontbreekt",IF(AND(OR(B99="Per uur",B99="Beide"),N(C99)=0),"Uurtarief ontbreekt",IF(AND(OR(B99="Vaste prijs",B99="Beide"),N(D99)=0),"Vaste prijs ontbreekt","OK")))))</f>
        <v/>
      </c>
    </row>
    <row r="100" ht="15" customHeight="1" s="42">
      <c r="A100" s="63" t="n"/>
      <c r="B100" s="64" t="n"/>
      <c r="C100" s="65" t="n"/>
      <c r="D100" s="65" t="n"/>
      <c r="E100" s="65" t="n"/>
      <c r="F100" s="63" t="n"/>
      <c r="G100" s="62">
        <f>IF(A100="","",IF(COUNTIF($A$2:$A$200,A100)&gt;1,"Klant staat dubbel",IF(B100="","Prijstype ontbreekt",IF(AND(OR(B100="Per uur",B100="Beide"),N(C100)=0),"Uurtarief ontbreekt",IF(AND(OR(B100="Vaste prijs",B100="Beide"),N(D100)=0),"Vaste prijs ontbreekt","OK")))))</f>
        <v/>
      </c>
    </row>
    <row r="101" ht="15" customHeight="1" s="42">
      <c r="A101" s="63" t="n"/>
      <c r="B101" s="64" t="n"/>
      <c r="C101" s="65" t="n"/>
      <c r="D101" s="65" t="n"/>
      <c r="E101" s="65" t="n"/>
      <c r="F101" s="63" t="n"/>
      <c r="G101" s="62">
        <f>IF(A101="","",IF(COUNTIF($A$2:$A$200,A101)&gt;1,"Klant staat dubbel",IF(B101="","Prijstype ontbreekt",IF(AND(OR(B101="Per uur",B101="Beide"),N(C101)=0),"Uurtarief ontbreekt",IF(AND(OR(B101="Vaste prijs",B101="Beide"),N(D101)=0),"Vaste prijs ontbreekt","OK")))))</f>
        <v/>
      </c>
    </row>
    <row r="102" ht="15" customHeight="1" s="42">
      <c r="A102" s="63" t="n"/>
      <c r="B102" s="64" t="n"/>
      <c r="C102" s="65" t="n"/>
      <c r="D102" s="65" t="n"/>
      <c r="E102" s="65" t="n"/>
      <c r="F102" s="63" t="n"/>
      <c r="G102" s="62">
        <f>IF(A102="","",IF(COUNTIF($A$2:$A$200,A102)&gt;1,"Klant staat dubbel",IF(B102="","Prijstype ontbreekt",IF(AND(OR(B102="Per uur",B102="Beide"),N(C102)=0),"Uurtarief ontbreekt",IF(AND(OR(B102="Vaste prijs",B102="Beide"),N(D102)=0),"Vaste prijs ontbreekt","OK")))))</f>
        <v/>
      </c>
    </row>
    <row r="103" ht="15" customHeight="1" s="42">
      <c r="A103" s="63" t="n"/>
      <c r="B103" s="64" t="n"/>
      <c r="C103" s="65" t="n"/>
      <c r="D103" s="65" t="n"/>
      <c r="E103" s="65" t="n"/>
      <c r="F103" s="63" t="n"/>
      <c r="G103" s="62">
        <f>IF(A103="","",IF(COUNTIF($A$2:$A$200,A103)&gt;1,"Klant staat dubbel",IF(B103="","Prijstype ontbreekt",IF(AND(OR(B103="Per uur",B103="Beide"),N(C103)=0),"Uurtarief ontbreekt",IF(AND(OR(B103="Vaste prijs",B103="Beide"),N(D103)=0),"Vaste prijs ontbreekt","OK")))))</f>
        <v/>
      </c>
    </row>
    <row r="104" ht="15" customHeight="1" s="42">
      <c r="A104" s="63" t="n"/>
      <c r="B104" s="64" t="n"/>
      <c r="C104" s="65" t="n"/>
      <c r="D104" s="65" t="n"/>
      <c r="E104" s="65" t="n"/>
      <c r="F104" s="63" t="n"/>
      <c r="G104" s="62">
        <f>IF(A104="","",IF(COUNTIF($A$2:$A$200,A104)&gt;1,"Klant staat dubbel",IF(B104="","Prijstype ontbreekt",IF(AND(OR(B104="Per uur",B104="Beide"),N(C104)=0),"Uurtarief ontbreekt",IF(AND(OR(B104="Vaste prijs",B104="Beide"),N(D104)=0),"Vaste prijs ontbreekt","OK")))))</f>
        <v/>
      </c>
    </row>
    <row r="105" ht="15" customHeight="1" s="42">
      <c r="A105" s="63" t="n"/>
      <c r="B105" s="64" t="n"/>
      <c r="C105" s="65" t="n"/>
      <c r="D105" s="65" t="n"/>
      <c r="E105" s="65" t="n"/>
      <c r="F105" s="63" t="n"/>
      <c r="G105" s="62">
        <f>IF(A105="","",IF(COUNTIF($A$2:$A$200,A105)&gt;1,"Klant staat dubbel",IF(B105="","Prijstype ontbreekt",IF(AND(OR(B105="Per uur",B105="Beide"),N(C105)=0),"Uurtarief ontbreekt",IF(AND(OR(B105="Vaste prijs",B105="Beide"),N(D105)=0),"Vaste prijs ontbreekt","OK")))))</f>
        <v/>
      </c>
    </row>
    <row r="106" ht="15" customHeight="1" s="42">
      <c r="A106" s="63" t="n"/>
      <c r="B106" s="64" t="n"/>
      <c r="C106" s="65" t="n"/>
      <c r="D106" s="65" t="n"/>
      <c r="E106" s="65" t="n"/>
      <c r="F106" s="63" t="n"/>
      <c r="G106" s="62">
        <f>IF(A106="","",IF(COUNTIF($A$2:$A$200,A106)&gt;1,"Klant staat dubbel",IF(B106="","Prijstype ontbreekt",IF(AND(OR(B106="Per uur",B106="Beide"),N(C106)=0),"Uurtarief ontbreekt",IF(AND(OR(B106="Vaste prijs",B106="Beide"),N(D106)=0),"Vaste prijs ontbreekt","OK")))))</f>
        <v/>
      </c>
    </row>
    <row r="107" ht="15" customHeight="1" s="42">
      <c r="A107" s="63" t="n"/>
      <c r="B107" s="64" t="n"/>
      <c r="C107" s="65" t="n"/>
      <c r="D107" s="65" t="n"/>
      <c r="E107" s="65" t="n"/>
      <c r="F107" s="63" t="n"/>
      <c r="G107" s="62">
        <f>IF(A107="","",IF(COUNTIF($A$2:$A$200,A107)&gt;1,"Klant staat dubbel",IF(B107="","Prijstype ontbreekt",IF(AND(OR(B107="Per uur",B107="Beide"),N(C107)=0),"Uurtarief ontbreekt",IF(AND(OR(B107="Vaste prijs",B107="Beide"),N(D107)=0),"Vaste prijs ontbreekt","OK")))))</f>
        <v/>
      </c>
    </row>
    <row r="108" ht="15" customHeight="1" s="42">
      <c r="A108" s="63" t="n"/>
      <c r="B108" s="64" t="n"/>
      <c r="C108" s="65" t="n"/>
      <c r="D108" s="65" t="n"/>
      <c r="E108" s="65" t="n"/>
      <c r="F108" s="63" t="n"/>
      <c r="G108" s="62">
        <f>IF(A108="","",IF(COUNTIF($A$2:$A$200,A108)&gt;1,"Klant staat dubbel",IF(B108="","Prijstype ontbreekt",IF(AND(OR(B108="Per uur",B108="Beide"),N(C108)=0),"Uurtarief ontbreekt",IF(AND(OR(B108="Vaste prijs",B108="Beide"),N(D108)=0),"Vaste prijs ontbreekt","OK")))))</f>
        <v/>
      </c>
    </row>
    <row r="109" ht="15" customHeight="1" s="42">
      <c r="A109" s="63" t="n"/>
      <c r="B109" s="64" t="n"/>
      <c r="C109" s="65" t="n"/>
      <c r="D109" s="65" t="n"/>
      <c r="E109" s="65" t="n"/>
      <c r="F109" s="63" t="n"/>
      <c r="G109" s="62">
        <f>IF(A109="","",IF(COUNTIF($A$2:$A$200,A109)&gt;1,"Klant staat dubbel",IF(B109="","Prijstype ontbreekt",IF(AND(OR(B109="Per uur",B109="Beide"),N(C109)=0),"Uurtarief ontbreekt",IF(AND(OR(B109="Vaste prijs",B109="Beide"),N(D109)=0),"Vaste prijs ontbreekt","OK")))))</f>
        <v/>
      </c>
    </row>
    <row r="110" ht="15" customHeight="1" s="42">
      <c r="A110" s="63" t="n"/>
      <c r="B110" s="64" t="n"/>
      <c r="C110" s="65" t="n"/>
      <c r="D110" s="65" t="n"/>
      <c r="E110" s="65" t="n"/>
      <c r="F110" s="63" t="n"/>
      <c r="G110" s="62">
        <f>IF(A110="","",IF(COUNTIF($A$2:$A$200,A110)&gt;1,"Klant staat dubbel",IF(B110="","Prijstype ontbreekt",IF(AND(OR(B110="Per uur",B110="Beide"),N(C110)=0),"Uurtarief ontbreekt",IF(AND(OR(B110="Vaste prijs",B110="Beide"),N(D110)=0),"Vaste prijs ontbreekt","OK")))))</f>
        <v/>
      </c>
    </row>
    <row r="111" ht="15" customHeight="1" s="42">
      <c r="A111" s="63" t="n"/>
      <c r="B111" s="64" t="n"/>
      <c r="C111" s="65" t="n"/>
      <c r="D111" s="65" t="n"/>
      <c r="E111" s="65" t="n"/>
      <c r="F111" s="63" t="n"/>
      <c r="G111" s="62">
        <f>IF(A111="","",IF(COUNTIF($A$2:$A$200,A111)&gt;1,"Klant staat dubbel",IF(B111="","Prijstype ontbreekt",IF(AND(OR(B111="Per uur",B111="Beide"),N(C111)=0),"Uurtarief ontbreekt",IF(AND(OR(B111="Vaste prijs",B111="Beide"),N(D111)=0),"Vaste prijs ontbreekt","OK")))))</f>
        <v/>
      </c>
    </row>
    <row r="112" ht="15" customHeight="1" s="42">
      <c r="A112" s="63" t="n"/>
      <c r="B112" s="64" t="n"/>
      <c r="C112" s="65" t="n"/>
      <c r="D112" s="65" t="n"/>
      <c r="E112" s="65" t="n"/>
      <c r="F112" s="63" t="n"/>
      <c r="G112" s="62">
        <f>IF(A112="","",IF(COUNTIF($A$2:$A$200,A112)&gt;1,"Klant staat dubbel",IF(B112="","Prijstype ontbreekt",IF(AND(OR(B112="Per uur",B112="Beide"),N(C112)=0),"Uurtarief ontbreekt",IF(AND(OR(B112="Vaste prijs",B112="Beide"),N(D112)=0),"Vaste prijs ontbreekt","OK")))))</f>
        <v/>
      </c>
    </row>
    <row r="113" ht="15" customHeight="1" s="42">
      <c r="A113" s="63" t="n"/>
      <c r="B113" s="64" t="n"/>
      <c r="C113" s="65" t="n"/>
      <c r="D113" s="65" t="n"/>
      <c r="E113" s="65" t="n"/>
      <c r="F113" s="63" t="n"/>
      <c r="G113" s="62">
        <f>IF(A113="","",IF(COUNTIF($A$2:$A$200,A113)&gt;1,"Klant staat dubbel",IF(B113="","Prijstype ontbreekt",IF(AND(OR(B113="Per uur",B113="Beide"),N(C113)=0),"Uurtarief ontbreekt",IF(AND(OR(B113="Vaste prijs",B113="Beide"),N(D113)=0),"Vaste prijs ontbreekt","OK")))))</f>
        <v/>
      </c>
    </row>
    <row r="114" ht="15" customHeight="1" s="42">
      <c r="A114" s="63" t="n"/>
      <c r="B114" s="64" t="n"/>
      <c r="C114" s="65" t="n"/>
      <c r="D114" s="65" t="n"/>
      <c r="E114" s="65" t="n"/>
      <c r="F114" s="63" t="n"/>
      <c r="G114" s="62">
        <f>IF(A114="","",IF(COUNTIF($A$2:$A$200,A114)&gt;1,"Klant staat dubbel",IF(B114="","Prijstype ontbreekt",IF(AND(OR(B114="Per uur",B114="Beide"),N(C114)=0),"Uurtarief ontbreekt",IF(AND(OR(B114="Vaste prijs",B114="Beide"),N(D114)=0),"Vaste prijs ontbreekt","OK")))))</f>
        <v/>
      </c>
    </row>
    <row r="115" ht="15" customHeight="1" s="42">
      <c r="A115" s="63" t="n"/>
      <c r="B115" s="64" t="n"/>
      <c r="C115" s="65" t="n"/>
      <c r="D115" s="65" t="n"/>
      <c r="E115" s="65" t="n"/>
      <c r="F115" s="63" t="n"/>
      <c r="G115" s="62">
        <f>IF(A115="","",IF(COUNTIF($A$2:$A$200,A115)&gt;1,"Klant staat dubbel",IF(B115="","Prijstype ontbreekt",IF(AND(OR(B115="Per uur",B115="Beide"),N(C115)=0),"Uurtarief ontbreekt",IF(AND(OR(B115="Vaste prijs",B115="Beide"),N(D115)=0),"Vaste prijs ontbreekt","OK")))))</f>
        <v/>
      </c>
    </row>
    <row r="116" ht="15" customHeight="1" s="42">
      <c r="A116" s="63" t="n"/>
      <c r="B116" s="64" t="n"/>
      <c r="C116" s="65" t="n"/>
      <c r="D116" s="65" t="n"/>
      <c r="E116" s="65" t="n"/>
      <c r="F116" s="63" t="n"/>
      <c r="G116" s="62">
        <f>IF(A116="","",IF(COUNTIF($A$2:$A$200,A116)&gt;1,"Klant staat dubbel",IF(B116="","Prijstype ontbreekt",IF(AND(OR(B116="Per uur",B116="Beide"),N(C116)=0),"Uurtarief ontbreekt",IF(AND(OR(B116="Vaste prijs",B116="Beide"),N(D116)=0),"Vaste prijs ontbreekt","OK")))))</f>
        <v/>
      </c>
    </row>
    <row r="117" ht="15" customHeight="1" s="42">
      <c r="A117" s="63" t="n"/>
      <c r="B117" s="64" t="n"/>
      <c r="C117" s="65" t="n"/>
      <c r="D117" s="65" t="n"/>
      <c r="E117" s="65" t="n"/>
      <c r="F117" s="63" t="n"/>
      <c r="G117" s="62">
        <f>IF(A117="","",IF(COUNTIF($A$2:$A$200,A117)&gt;1,"Klant staat dubbel",IF(B117="","Prijstype ontbreekt",IF(AND(OR(B117="Per uur",B117="Beide"),N(C117)=0),"Uurtarief ontbreekt",IF(AND(OR(B117="Vaste prijs",B117="Beide"),N(D117)=0),"Vaste prijs ontbreekt","OK")))))</f>
        <v/>
      </c>
    </row>
    <row r="118" ht="15" customHeight="1" s="42">
      <c r="A118" s="63" t="n"/>
      <c r="B118" s="64" t="n"/>
      <c r="C118" s="65" t="n"/>
      <c r="D118" s="65" t="n"/>
      <c r="E118" s="65" t="n"/>
      <c r="F118" s="63" t="n"/>
      <c r="G118" s="62">
        <f>IF(A118="","",IF(COUNTIF($A$2:$A$200,A118)&gt;1,"Klant staat dubbel",IF(B118="","Prijstype ontbreekt",IF(AND(OR(B118="Per uur",B118="Beide"),N(C118)=0),"Uurtarief ontbreekt",IF(AND(OR(B118="Vaste prijs",B118="Beide"),N(D118)=0),"Vaste prijs ontbreekt","OK")))))</f>
        <v/>
      </c>
    </row>
    <row r="119" ht="15" customHeight="1" s="42">
      <c r="A119" s="63" t="n"/>
      <c r="B119" s="64" t="n"/>
      <c r="C119" s="65" t="n"/>
      <c r="D119" s="65" t="n"/>
      <c r="E119" s="65" t="n"/>
      <c r="F119" s="63" t="n"/>
      <c r="G119" s="62">
        <f>IF(A119="","",IF(COUNTIF($A$2:$A$200,A119)&gt;1,"Klant staat dubbel",IF(B119="","Prijstype ontbreekt",IF(AND(OR(B119="Per uur",B119="Beide"),N(C119)=0),"Uurtarief ontbreekt",IF(AND(OR(B119="Vaste prijs",B119="Beide"),N(D119)=0),"Vaste prijs ontbreekt","OK")))))</f>
        <v/>
      </c>
    </row>
    <row r="120" ht="15" customHeight="1" s="42">
      <c r="A120" s="63" t="n"/>
      <c r="B120" s="64" t="n"/>
      <c r="C120" s="65" t="n"/>
      <c r="D120" s="65" t="n"/>
      <c r="E120" s="65" t="n"/>
      <c r="F120" s="63" t="n"/>
      <c r="G120" s="62">
        <f>IF(A120="","",IF(COUNTIF($A$2:$A$200,A120)&gt;1,"Klant staat dubbel",IF(B120="","Prijstype ontbreekt",IF(AND(OR(B120="Per uur",B120="Beide"),N(C120)=0),"Uurtarief ontbreekt",IF(AND(OR(B120="Vaste prijs",B120="Beide"),N(D120)=0),"Vaste prijs ontbreekt","OK")))))</f>
        <v/>
      </c>
    </row>
    <row r="121" ht="15" customHeight="1" s="42">
      <c r="A121" s="63" t="n"/>
      <c r="B121" s="64" t="n"/>
      <c r="C121" s="65" t="n"/>
      <c r="D121" s="65" t="n"/>
      <c r="E121" s="65" t="n"/>
      <c r="F121" s="63" t="n"/>
      <c r="G121" s="62">
        <f>IF(A121="","",IF(COUNTIF($A$2:$A$200,A121)&gt;1,"Klant staat dubbel",IF(B121="","Prijstype ontbreekt",IF(AND(OR(B121="Per uur",B121="Beide"),N(C121)=0),"Uurtarief ontbreekt",IF(AND(OR(B121="Vaste prijs",B121="Beide"),N(D121)=0),"Vaste prijs ontbreekt","OK")))))</f>
        <v/>
      </c>
    </row>
    <row r="122" ht="15" customHeight="1" s="42">
      <c r="A122" s="63" t="n"/>
      <c r="B122" s="64" t="n"/>
      <c r="C122" s="65" t="n"/>
      <c r="D122" s="65" t="n"/>
      <c r="E122" s="65" t="n"/>
      <c r="F122" s="63" t="n"/>
      <c r="G122" s="62">
        <f>IF(A122="","",IF(COUNTIF($A$2:$A$200,A122)&gt;1,"Klant staat dubbel",IF(B122="","Prijstype ontbreekt",IF(AND(OR(B122="Per uur",B122="Beide"),N(C122)=0),"Uurtarief ontbreekt",IF(AND(OR(B122="Vaste prijs",B122="Beide"),N(D122)=0),"Vaste prijs ontbreekt","OK")))))</f>
        <v/>
      </c>
    </row>
    <row r="123" ht="15" customHeight="1" s="42">
      <c r="A123" s="63" t="n"/>
      <c r="B123" s="64" t="n"/>
      <c r="C123" s="65" t="n"/>
      <c r="D123" s="65" t="n"/>
      <c r="E123" s="65" t="n"/>
      <c r="F123" s="63" t="n"/>
      <c r="G123" s="62">
        <f>IF(A123="","",IF(COUNTIF($A$2:$A$200,A123)&gt;1,"Klant staat dubbel",IF(B123="","Prijstype ontbreekt",IF(AND(OR(B123="Per uur",B123="Beide"),N(C123)=0),"Uurtarief ontbreekt",IF(AND(OR(B123="Vaste prijs",B123="Beide"),N(D123)=0),"Vaste prijs ontbreekt","OK")))))</f>
        <v/>
      </c>
    </row>
    <row r="124" ht="15" customHeight="1" s="42">
      <c r="A124" s="63" t="n"/>
      <c r="B124" s="64" t="n"/>
      <c r="C124" s="65" t="n"/>
      <c r="D124" s="65" t="n"/>
      <c r="E124" s="65" t="n"/>
      <c r="F124" s="63" t="n"/>
      <c r="G124" s="62">
        <f>IF(A124="","",IF(COUNTIF($A$2:$A$200,A124)&gt;1,"Klant staat dubbel",IF(B124="","Prijstype ontbreekt",IF(AND(OR(B124="Per uur",B124="Beide"),N(C124)=0),"Uurtarief ontbreekt",IF(AND(OR(B124="Vaste prijs",B124="Beide"),N(D124)=0),"Vaste prijs ontbreekt","OK")))))</f>
        <v/>
      </c>
    </row>
    <row r="125" ht="15" customHeight="1" s="42">
      <c r="A125" s="63" t="n"/>
      <c r="B125" s="64" t="n"/>
      <c r="C125" s="65" t="n"/>
      <c r="D125" s="65" t="n"/>
      <c r="E125" s="65" t="n"/>
      <c r="F125" s="63" t="n"/>
      <c r="G125" s="62">
        <f>IF(A125="","",IF(COUNTIF($A$2:$A$200,A125)&gt;1,"Klant staat dubbel",IF(B125="","Prijstype ontbreekt",IF(AND(OR(B125="Per uur",B125="Beide"),N(C125)=0),"Uurtarief ontbreekt",IF(AND(OR(B125="Vaste prijs",B125="Beide"),N(D125)=0),"Vaste prijs ontbreekt","OK")))))</f>
        <v/>
      </c>
    </row>
    <row r="126" ht="15" customHeight="1" s="42">
      <c r="A126" s="63" t="n"/>
      <c r="B126" s="64" t="n"/>
      <c r="C126" s="65" t="n"/>
      <c r="D126" s="65" t="n"/>
      <c r="E126" s="65" t="n"/>
      <c r="F126" s="63" t="n"/>
      <c r="G126" s="62">
        <f>IF(A126="","",IF(COUNTIF($A$2:$A$200,A126)&gt;1,"Klant staat dubbel",IF(B126="","Prijstype ontbreekt",IF(AND(OR(B126="Per uur",B126="Beide"),N(C126)=0),"Uurtarief ontbreekt",IF(AND(OR(B126="Vaste prijs",B126="Beide"),N(D126)=0),"Vaste prijs ontbreekt","OK")))))</f>
        <v/>
      </c>
    </row>
    <row r="127" ht="15" customHeight="1" s="42">
      <c r="A127" s="63" t="n"/>
      <c r="B127" s="64" t="n"/>
      <c r="C127" s="65" t="n"/>
      <c r="D127" s="65" t="n"/>
      <c r="E127" s="65" t="n"/>
      <c r="F127" s="63" t="n"/>
      <c r="G127" s="62">
        <f>IF(A127="","",IF(COUNTIF($A$2:$A$200,A127)&gt;1,"Klant staat dubbel",IF(B127="","Prijstype ontbreekt",IF(AND(OR(B127="Per uur",B127="Beide"),N(C127)=0),"Uurtarief ontbreekt",IF(AND(OR(B127="Vaste prijs",B127="Beide"),N(D127)=0),"Vaste prijs ontbreekt","OK")))))</f>
        <v/>
      </c>
    </row>
    <row r="128" ht="15" customHeight="1" s="42">
      <c r="A128" s="63" t="n"/>
      <c r="B128" s="64" t="n"/>
      <c r="C128" s="65" t="n"/>
      <c r="D128" s="65" t="n"/>
      <c r="E128" s="65" t="n"/>
      <c r="F128" s="63" t="n"/>
      <c r="G128" s="62">
        <f>IF(A128="","",IF(COUNTIF($A$2:$A$200,A128)&gt;1,"Klant staat dubbel",IF(B128="","Prijstype ontbreekt",IF(AND(OR(B128="Per uur",B128="Beide"),N(C128)=0),"Uurtarief ontbreekt",IF(AND(OR(B128="Vaste prijs",B128="Beide"),N(D128)=0),"Vaste prijs ontbreekt","OK")))))</f>
        <v/>
      </c>
    </row>
    <row r="129" ht="15" customHeight="1" s="42">
      <c r="A129" s="63" t="n"/>
      <c r="B129" s="64" t="n"/>
      <c r="C129" s="65" t="n"/>
      <c r="D129" s="65" t="n"/>
      <c r="E129" s="65" t="n"/>
      <c r="F129" s="63" t="n"/>
      <c r="G129" s="62">
        <f>IF(A129="","",IF(COUNTIF($A$2:$A$200,A129)&gt;1,"Klant staat dubbel",IF(B129="","Prijstype ontbreekt",IF(AND(OR(B129="Per uur",B129="Beide"),N(C129)=0),"Uurtarief ontbreekt",IF(AND(OR(B129="Vaste prijs",B129="Beide"),N(D129)=0),"Vaste prijs ontbreekt","OK")))))</f>
        <v/>
      </c>
    </row>
    <row r="130" ht="15" customHeight="1" s="42">
      <c r="A130" s="63" t="n"/>
      <c r="B130" s="64" t="n"/>
      <c r="C130" s="65" t="n"/>
      <c r="D130" s="65" t="n"/>
      <c r="E130" s="65" t="n"/>
      <c r="F130" s="63" t="n"/>
      <c r="G130" s="62">
        <f>IF(A130="","",IF(COUNTIF($A$2:$A$200,A130)&gt;1,"Klant staat dubbel",IF(B130="","Prijstype ontbreekt",IF(AND(OR(B130="Per uur",B130="Beide"),N(C130)=0),"Uurtarief ontbreekt",IF(AND(OR(B130="Vaste prijs",B130="Beide"),N(D130)=0),"Vaste prijs ontbreekt","OK")))))</f>
        <v/>
      </c>
    </row>
    <row r="131" ht="15" customHeight="1" s="42">
      <c r="A131" s="63" t="n"/>
      <c r="B131" s="64" t="n"/>
      <c r="C131" s="65" t="n"/>
      <c r="D131" s="65" t="n"/>
      <c r="E131" s="65" t="n"/>
      <c r="F131" s="63" t="n"/>
      <c r="G131" s="62">
        <f>IF(A131="","",IF(COUNTIF($A$2:$A$200,A131)&gt;1,"Klant staat dubbel",IF(B131="","Prijstype ontbreekt",IF(AND(OR(B131="Per uur",B131="Beide"),N(C131)=0),"Uurtarief ontbreekt",IF(AND(OR(B131="Vaste prijs",B131="Beide"),N(D131)=0),"Vaste prijs ontbreekt","OK")))))</f>
        <v/>
      </c>
    </row>
    <row r="132" ht="15" customHeight="1" s="42">
      <c r="A132" s="63" t="n"/>
      <c r="B132" s="64" t="n"/>
      <c r="C132" s="65" t="n"/>
      <c r="D132" s="65" t="n"/>
      <c r="E132" s="65" t="n"/>
      <c r="F132" s="63" t="n"/>
      <c r="G132" s="62">
        <f>IF(A132="","",IF(COUNTIF($A$2:$A$200,A132)&gt;1,"Klant staat dubbel",IF(B132="","Prijstype ontbreekt",IF(AND(OR(B132="Per uur",B132="Beide"),N(C132)=0),"Uurtarief ontbreekt",IF(AND(OR(B132="Vaste prijs",B132="Beide"),N(D132)=0),"Vaste prijs ontbreekt","OK")))))</f>
        <v/>
      </c>
    </row>
    <row r="133" ht="15" customHeight="1" s="42">
      <c r="A133" s="63" t="n"/>
      <c r="B133" s="64" t="n"/>
      <c r="C133" s="65" t="n"/>
      <c r="D133" s="65" t="n"/>
      <c r="E133" s="65" t="n"/>
      <c r="F133" s="63" t="n"/>
      <c r="G133" s="62">
        <f>IF(A133="","",IF(COUNTIF($A$2:$A$200,A133)&gt;1,"Klant staat dubbel",IF(B133="","Prijstype ontbreekt",IF(AND(OR(B133="Per uur",B133="Beide"),N(C133)=0),"Uurtarief ontbreekt",IF(AND(OR(B133="Vaste prijs",B133="Beide"),N(D133)=0),"Vaste prijs ontbreekt","OK")))))</f>
        <v/>
      </c>
    </row>
    <row r="134" ht="15" customHeight="1" s="42">
      <c r="A134" s="63" t="n"/>
      <c r="B134" s="64" t="n"/>
      <c r="C134" s="65" t="n"/>
      <c r="D134" s="65" t="n"/>
      <c r="E134" s="65" t="n"/>
      <c r="F134" s="63" t="n"/>
      <c r="G134" s="62">
        <f>IF(A134="","",IF(COUNTIF($A$2:$A$200,A134)&gt;1,"Klant staat dubbel",IF(B134="","Prijstype ontbreekt",IF(AND(OR(B134="Per uur",B134="Beide"),N(C134)=0),"Uurtarief ontbreekt",IF(AND(OR(B134="Vaste prijs",B134="Beide"),N(D134)=0),"Vaste prijs ontbreekt","OK")))))</f>
        <v/>
      </c>
    </row>
    <row r="135" ht="15" customHeight="1" s="42">
      <c r="A135" s="63" t="n"/>
      <c r="B135" s="64" t="n"/>
      <c r="C135" s="65" t="n"/>
      <c r="D135" s="65" t="n"/>
      <c r="E135" s="65" t="n"/>
      <c r="F135" s="63" t="n"/>
      <c r="G135" s="62">
        <f>IF(A135="","",IF(COUNTIF($A$2:$A$200,A135)&gt;1,"Klant staat dubbel",IF(B135="","Prijstype ontbreekt",IF(AND(OR(B135="Per uur",B135="Beide"),N(C135)=0),"Uurtarief ontbreekt",IF(AND(OR(B135="Vaste prijs",B135="Beide"),N(D135)=0),"Vaste prijs ontbreekt","OK")))))</f>
        <v/>
      </c>
    </row>
    <row r="136" ht="15" customHeight="1" s="42">
      <c r="A136" s="63" t="n"/>
      <c r="B136" s="64" t="n"/>
      <c r="C136" s="65" t="n"/>
      <c r="D136" s="65" t="n"/>
      <c r="E136" s="65" t="n"/>
      <c r="F136" s="63" t="n"/>
      <c r="G136" s="62">
        <f>IF(A136="","",IF(COUNTIF($A$2:$A$200,A136)&gt;1,"Klant staat dubbel",IF(B136="","Prijstype ontbreekt",IF(AND(OR(B136="Per uur",B136="Beide"),N(C136)=0),"Uurtarief ontbreekt",IF(AND(OR(B136="Vaste prijs",B136="Beide"),N(D136)=0),"Vaste prijs ontbreekt","OK")))))</f>
        <v/>
      </c>
    </row>
    <row r="137" ht="15" customHeight="1" s="42">
      <c r="A137" s="63" t="n"/>
      <c r="B137" s="64" t="n"/>
      <c r="C137" s="65" t="n"/>
      <c r="D137" s="65" t="n"/>
      <c r="E137" s="65" t="n"/>
      <c r="F137" s="63" t="n"/>
      <c r="G137" s="62">
        <f>IF(A137="","",IF(COUNTIF($A$2:$A$200,A137)&gt;1,"Klant staat dubbel",IF(B137="","Prijstype ontbreekt",IF(AND(OR(B137="Per uur",B137="Beide"),N(C137)=0),"Uurtarief ontbreekt",IF(AND(OR(B137="Vaste prijs",B137="Beide"),N(D137)=0),"Vaste prijs ontbreekt","OK")))))</f>
        <v/>
      </c>
    </row>
    <row r="138" ht="15" customHeight="1" s="42">
      <c r="A138" s="63" t="n"/>
      <c r="B138" s="64" t="n"/>
      <c r="C138" s="65" t="n"/>
      <c r="D138" s="65" t="n"/>
      <c r="E138" s="65" t="n"/>
      <c r="F138" s="63" t="n"/>
      <c r="G138" s="62">
        <f>IF(A138="","",IF(COUNTIF($A$2:$A$200,A138)&gt;1,"Klant staat dubbel",IF(B138="","Prijstype ontbreekt",IF(AND(OR(B138="Per uur",B138="Beide"),N(C138)=0),"Uurtarief ontbreekt",IF(AND(OR(B138="Vaste prijs",B138="Beide"),N(D138)=0),"Vaste prijs ontbreekt","OK")))))</f>
        <v/>
      </c>
    </row>
    <row r="139" ht="15" customHeight="1" s="42">
      <c r="A139" s="63" t="n"/>
      <c r="B139" s="64" t="n"/>
      <c r="C139" s="65" t="n"/>
      <c r="D139" s="65" t="n"/>
      <c r="E139" s="65" t="n"/>
      <c r="F139" s="63" t="n"/>
      <c r="G139" s="62">
        <f>IF(A139="","",IF(COUNTIF($A$2:$A$200,A139)&gt;1,"Klant staat dubbel",IF(B139="","Prijstype ontbreekt",IF(AND(OR(B139="Per uur",B139="Beide"),N(C139)=0),"Uurtarief ontbreekt",IF(AND(OR(B139="Vaste prijs",B139="Beide"),N(D139)=0),"Vaste prijs ontbreekt","OK")))))</f>
        <v/>
      </c>
    </row>
    <row r="140" ht="15" customHeight="1" s="42">
      <c r="A140" s="63" t="n"/>
      <c r="B140" s="64" t="n"/>
      <c r="C140" s="65" t="n"/>
      <c r="D140" s="65" t="n"/>
      <c r="E140" s="65" t="n"/>
      <c r="F140" s="63" t="n"/>
      <c r="G140" s="62">
        <f>IF(A140="","",IF(COUNTIF($A$2:$A$200,A140)&gt;1,"Klant staat dubbel",IF(B140="","Prijstype ontbreekt",IF(AND(OR(B140="Per uur",B140="Beide"),N(C140)=0),"Uurtarief ontbreekt",IF(AND(OR(B140="Vaste prijs",B140="Beide"),N(D140)=0),"Vaste prijs ontbreekt","OK")))))</f>
        <v/>
      </c>
    </row>
    <row r="141" ht="15" customHeight="1" s="42">
      <c r="A141" s="63" t="n"/>
      <c r="B141" s="64" t="n"/>
      <c r="C141" s="65" t="n"/>
      <c r="D141" s="65" t="n"/>
      <c r="E141" s="65" t="n"/>
      <c r="F141" s="63" t="n"/>
      <c r="G141" s="62">
        <f>IF(A141="","",IF(COUNTIF($A$2:$A$200,A141)&gt;1,"Klant staat dubbel",IF(B141="","Prijstype ontbreekt",IF(AND(OR(B141="Per uur",B141="Beide"),N(C141)=0),"Uurtarief ontbreekt",IF(AND(OR(B141="Vaste prijs",B141="Beide"),N(D141)=0),"Vaste prijs ontbreekt","OK")))))</f>
        <v/>
      </c>
    </row>
    <row r="142" ht="15" customHeight="1" s="42">
      <c r="A142" s="63" t="n"/>
      <c r="B142" s="64" t="n"/>
      <c r="C142" s="65" t="n"/>
      <c r="D142" s="65" t="n"/>
      <c r="E142" s="65" t="n"/>
      <c r="F142" s="63" t="n"/>
      <c r="G142" s="62">
        <f>IF(A142="","",IF(COUNTIF($A$2:$A$200,A142)&gt;1,"Klant staat dubbel",IF(B142="","Prijstype ontbreekt",IF(AND(OR(B142="Per uur",B142="Beide"),N(C142)=0),"Uurtarief ontbreekt",IF(AND(OR(B142="Vaste prijs",B142="Beide"),N(D142)=0),"Vaste prijs ontbreekt","OK")))))</f>
        <v/>
      </c>
    </row>
    <row r="143" ht="15" customHeight="1" s="42">
      <c r="A143" s="63" t="n"/>
      <c r="B143" s="64" t="n"/>
      <c r="C143" s="65" t="n"/>
      <c r="D143" s="65" t="n"/>
      <c r="E143" s="65" t="n"/>
      <c r="F143" s="63" t="n"/>
      <c r="G143" s="62">
        <f>IF(A143="","",IF(COUNTIF($A$2:$A$200,A143)&gt;1,"Klant staat dubbel",IF(B143="","Prijstype ontbreekt",IF(AND(OR(B143="Per uur",B143="Beide"),N(C143)=0),"Uurtarief ontbreekt",IF(AND(OR(B143="Vaste prijs",B143="Beide"),N(D143)=0),"Vaste prijs ontbreekt","OK")))))</f>
        <v/>
      </c>
    </row>
    <row r="144" ht="15" customHeight="1" s="42">
      <c r="A144" s="63" t="n"/>
      <c r="B144" s="64" t="n"/>
      <c r="C144" s="65" t="n"/>
      <c r="D144" s="65" t="n"/>
      <c r="E144" s="65" t="n"/>
      <c r="F144" s="63" t="n"/>
      <c r="G144" s="62">
        <f>IF(A144="","",IF(COUNTIF($A$2:$A$200,A144)&gt;1,"Klant staat dubbel",IF(B144="","Prijstype ontbreekt",IF(AND(OR(B144="Per uur",B144="Beide"),N(C144)=0),"Uurtarief ontbreekt",IF(AND(OR(B144="Vaste prijs",B144="Beide"),N(D144)=0),"Vaste prijs ontbreekt","OK")))))</f>
        <v/>
      </c>
    </row>
    <row r="145" ht="15" customHeight="1" s="42">
      <c r="A145" s="63" t="n"/>
      <c r="B145" s="64" t="n"/>
      <c r="C145" s="65" t="n"/>
      <c r="D145" s="65" t="n"/>
      <c r="E145" s="65" t="n"/>
      <c r="F145" s="63" t="n"/>
      <c r="G145" s="62">
        <f>IF(A145="","",IF(COUNTIF($A$2:$A$200,A145)&gt;1,"Klant staat dubbel",IF(B145="","Prijstype ontbreekt",IF(AND(OR(B145="Per uur",B145="Beide"),N(C145)=0),"Uurtarief ontbreekt",IF(AND(OR(B145="Vaste prijs",B145="Beide"),N(D145)=0),"Vaste prijs ontbreekt","OK")))))</f>
        <v/>
      </c>
    </row>
    <row r="146" ht="15" customHeight="1" s="42">
      <c r="A146" s="63" t="n"/>
      <c r="B146" s="64" t="n"/>
      <c r="C146" s="65" t="n"/>
      <c r="D146" s="65" t="n"/>
      <c r="E146" s="65" t="n"/>
      <c r="F146" s="63" t="n"/>
      <c r="G146" s="62">
        <f>IF(A146="","",IF(COUNTIF($A$2:$A$200,A146)&gt;1,"Klant staat dubbel",IF(B146="","Prijstype ontbreekt",IF(AND(OR(B146="Per uur",B146="Beide"),N(C146)=0),"Uurtarief ontbreekt",IF(AND(OR(B146="Vaste prijs",B146="Beide"),N(D146)=0),"Vaste prijs ontbreekt","OK")))))</f>
        <v/>
      </c>
    </row>
    <row r="147" ht="15" customHeight="1" s="42">
      <c r="A147" s="63" t="n"/>
      <c r="B147" s="64" t="n"/>
      <c r="C147" s="65" t="n"/>
      <c r="D147" s="65" t="n"/>
      <c r="E147" s="65" t="n"/>
      <c r="F147" s="63" t="n"/>
      <c r="G147" s="62">
        <f>IF(A147="","",IF(COUNTIF($A$2:$A$200,A147)&gt;1,"Klant staat dubbel",IF(B147="","Prijstype ontbreekt",IF(AND(OR(B147="Per uur",B147="Beide"),N(C147)=0),"Uurtarief ontbreekt",IF(AND(OR(B147="Vaste prijs",B147="Beide"),N(D147)=0),"Vaste prijs ontbreekt","OK")))))</f>
        <v/>
      </c>
    </row>
    <row r="148" ht="15" customHeight="1" s="42">
      <c r="A148" s="63" t="n"/>
      <c r="B148" s="64" t="n"/>
      <c r="C148" s="65" t="n"/>
      <c r="D148" s="65" t="n"/>
      <c r="E148" s="65" t="n"/>
      <c r="F148" s="63" t="n"/>
      <c r="G148" s="62">
        <f>IF(A148="","",IF(COUNTIF($A$2:$A$200,A148)&gt;1,"Klant staat dubbel",IF(B148="","Prijstype ontbreekt",IF(AND(OR(B148="Per uur",B148="Beide"),N(C148)=0),"Uurtarief ontbreekt",IF(AND(OR(B148="Vaste prijs",B148="Beide"),N(D148)=0),"Vaste prijs ontbreekt","OK")))))</f>
        <v/>
      </c>
    </row>
    <row r="149" ht="15" customHeight="1" s="42">
      <c r="A149" s="63" t="n"/>
      <c r="B149" s="64" t="n"/>
      <c r="C149" s="65" t="n"/>
      <c r="D149" s="65" t="n"/>
      <c r="E149" s="65" t="n"/>
      <c r="F149" s="63" t="n"/>
      <c r="G149" s="62">
        <f>IF(A149="","",IF(COUNTIF($A$2:$A$200,A149)&gt;1,"Klant staat dubbel",IF(B149="","Prijstype ontbreekt",IF(AND(OR(B149="Per uur",B149="Beide"),N(C149)=0),"Uurtarief ontbreekt",IF(AND(OR(B149="Vaste prijs",B149="Beide"),N(D149)=0),"Vaste prijs ontbreekt","OK")))))</f>
        <v/>
      </c>
    </row>
    <row r="150" ht="15" customHeight="1" s="42">
      <c r="A150" s="63" t="n"/>
      <c r="B150" s="64" t="n"/>
      <c r="C150" s="65" t="n"/>
      <c r="D150" s="65" t="n"/>
      <c r="E150" s="65" t="n"/>
      <c r="F150" s="63" t="n"/>
      <c r="G150" s="62">
        <f>IF(A150="","",IF(COUNTIF($A$2:$A$200,A150)&gt;1,"Klant staat dubbel",IF(B150="","Prijstype ontbreekt",IF(AND(OR(B150="Per uur",B150="Beide"),N(C150)=0),"Uurtarief ontbreekt",IF(AND(OR(B150="Vaste prijs",B150="Beide"),N(D150)=0),"Vaste prijs ontbreekt","OK")))))</f>
        <v/>
      </c>
    </row>
    <row r="151" ht="15" customHeight="1" s="42">
      <c r="A151" s="63" t="n"/>
      <c r="B151" s="64" t="n"/>
      <c r="C151" s="65" t="n"/>
      <c r="D151" s="65" t="n"/>
      <c r="E151" s="65" t="n"/>
      <c r="F151" s="63" t="n"/>
      <c r="G151" s="62">
        <f>IF(A151="","",IF(COUNTIF($A$2:$A$200,A151)&gt;1,"Klant staat dubbel",IF(B151="","Prijstype ontbreekt",IF(AND(OR(B151="Per uur",B151="Beide"),N(C151)=0),"Uurtarief ontbreekt",IF(AND(OR(B151="Vaste prijs",B151="Beide"),N(D151)=0),"Vaste prijs ontbreekt","OK")))))</f>
        <v/>
      </c>
    </row>
    <row r="152" ht="15" customHeight="1" s="42">
      <c r="A152" s="63" t="n"/>
      <c r="B152" s="64" t="n"/>
      <c r="C152" s="65" t="n"/>
      <c r="D152" s="65" t="n"/>
      <c r="E152" s="65" t="n"/>
      <c r="F152" s="63" t="n"/>
      <c r="G152" s="62">
        <f>IF(A152="","",IF(COUNTIF($A$2:$A$200,A152)&gt;1,"Klant staat dubbel",IF(B152="","Prijstype ontbreekt",IF(AND(OR(B152="Per uur",B152="Beide"),N(C152)=0),"Uurtarief ontbreekt",IF(AND(OR(B152="Vaste prijs",B152="Beide"),N(D152)=0),"Vaste prijs ontbreekt","OK")))))</f>
        <v/>
      </c>
    </row>
    <row r="153" ht="15" customHeight="1" s="42">
      <c r="A153" s="63" t="n"/>
      <c r="B153" s="64" t="n"/>
      <c r="C153" s="65" t="n"/>
      <c r="D153" s="65" t="n"/>
      <c r="E153" s="65" t="n"/>
      <c r="F153" s="63" t="n"/>
      <c r="G153" s="62">
        <f>IF(A153="","",IF(COUNTIF($A$2:$A$200,A153)&gt;1,"Klant staat dubbel",IF(B153="","Prijstype ontbreekt",IF(AND(OR(B153="Per uur",B153="Beide"),N(C153)=0),"Uurtarief ontbreekt",IF(AND(OR(B153="Vaste prijs",B153="Beide"),N(D153)=0),"Vaste prijs ontbreekt","OK")))))</f>
        <v/>
      </c>
    </row>
    <row r="154" ht="15" customHeight="1" s="42">
      <c r="A154" s="63" t="n"/>
      <c r="B154" s="64" t="n"/>
      <c r="C154" s="65" t="n"/>
      <c r="D154" s="65" t="n"/>
      <c r="E154" s="65" t="n"/>
      <c r="F154" s="63" t="n"/>
      <c r="G154" s="62">
        <f>IF(A154="","",IF(COUNTIF($A$2:$A$200,A154)&gt;1,"Klant staat dubbel",IF(B154="","Prijstype ontbreekt",IF(AND(OR(B154="Per uur",B154="Beide"),N(C154)=0),"Uurtarief ontbreekt",IF(AND(OR(B154="Vaste prijs",B154="Beide"),N(D154)=0),"Vaste prijs ontbreekt","OK")))))</f>
        <v/>
      </c>
    </row>
    <row r="155" ht="15" customHeight="1" s="42">
      <c r="A155" s="63" t="n"/>
      <c r="B155" s="64" t="n"/>
      <c r="C155" s="65" t="n"/>
      <c r="D155" s="65" t="n"/>
      <c r="E155" s="65" t="n"/>
      <c r="F155" s="63" t="n"/>
      <c r="G155" s="62">
        <f>IF(A155="","",IF(COUNTIF($A$2:$A$200,A155)&gt;1,"Klant staat dubbel",IF(B155="","Prijstype ontbreekt",IF(AND(OR(B155="Per uur",B155="Beide"),N(C155)=0),"Uurtarief ontbreekt",IF(AND(OR(B155="Vaste prijs",B155="Beide"),N(D155)=0),"Vaste prijs ontbreekt","OK")))))</f>
        <v/>
      </c>
    </row>
    <row r="156" ht="15" customHeight="1" s="42">
      <c r="A156" s="63" t="n"/>
      <c r="B156" s="64" t="n"/>
      <c r="C156" s="65" t="n"/>
      <c r="D156" s="65" t="n"/>
      <c r="E156" s="65" t="n"/>
      <c r="F156" s="63" t="n"/>
      <c r="G156" s="62">
        <f>IF(A156="","",IF(COUNTIF($A$2:$A$200,A156)&gt;1,"Klant staat dubbel",IF(B156="","Prijstype ontbreekt",IF(AND(OR(B156="Per uur",B156="Beide"),N(C156)=0),"Uurtarief ontbreekt",IF(AND(OR(B156="Vaste prijs",B156="Beide"),N(D156)=0),"Vaste prijs ontbreekt","OK")))))</f>
        <v/>
      </c>
    </row>
    <row r="157" ht="15" customHeight="1" s="42">
      <c r="A157" s="63" t="n"/>
      <c r="B157" s="64" t="n"/>
      <c r="C157" s="65" t="n"/>
      <c r="D157" s="65" t="n"/>
      <c r="E157" s="65" t="n"/>
      <c r="F157" s="63" t="n"/>
      <c r="G157" s="62">
        <f>IF(A157="","",IF(COUNTIF($A$2:$A$200,A157)&gt;1,"Klant staat dubbel",IF(B157="","Prijstype ontbreekt",IF(AND(OR(B157="Per uur",B157="Beide"),N(C157)=0),"Uurtarief ontbreekt",IF(AND(OR(B157="Vaste prijs",B157="Beide"),N(D157)=0),"Vaste prijs ontbreekt","OK")))))</f>
        <v/>
      </c>
    </row>
    <row r="158" ht="15" customHeight="1" s="42">
      <c r="A158" s="63" t="n"/>
      <c r="B158" s="64" t="n"/>
      <c r="C158" s="65" t="n"/>
      <c r="D158" s="65" t="n"/>
      <c r="E158" s="65" t="n"/>
      <c r="F158" s="63" t="n"/>
      <c r="G158" s="62">
        <f>IF(A158="","",IF(COUNTIF($A$2:$A$200,A158)&gt;1,"Klant staat dubbel",IF(B158="","Prijstype ontbreekt",IF(AND(OR(B158="Per uur",B158="Beide"),N(C158)=0),"Uurtarief ontbreekt",IF(AND(OR(B158="Vaste prijs",B158="Beide"),N(D158)=0),"Vaste prijs ontbreekt","OK")))))</f>
        <v/>
      </c>
    </row>
    <row r="159" ht="15" customHeight="1" s="42">
      <c r="A159" s="63" t="n"/>
      <c r="B159" s="64" t="n"/>
      <c r="C159" s="65" t="n"/>
      <c r="D159" s="65" t="n"/>
      <c r="E159" s="65" t="n"/>
      <c r="F159" s="63" t="n"/>
      <c r="G159" s="62">
        <f>IF(A159="","",IF(COUNTIF($A$2:$A$200,A159)&gt;1,"Klant staat dubbel",IF(B159="","Prijstype ontbreekt",IF(AND(OR(B159="Per uur",B159="Beide"),N(C159)=0),"Uurtarief ontbreekt",IF(AND(OR(B159="Vaste prijs",B159="Beide"),N(D159)=0),"Vaste prijs ontbreekt","OK")))))</f>
        <v/>
      </c>
    </row>
    <row r="160" ht="15" customHeight="1" s="42">
      <c r="A160" s="63" t="n"/>
      <c r="B160" s="64" t="n"/>
      <c r="C160" s="65" t="n"/>
      <c r="D160" s="65" t="n"/>
      <c r="E160" s="65" t="n"/>
      <c r="F160" s="63" t="n"/>
      <c r="G160" s="62">
        <f>IF(A160="","",IF(COUNTIF($A$2:$A$200,A160)&gt;1,"Klant staat dubbel",IF(B160="","Prijstype ontbreekt",IF(AND(OR(B160="Per uur",B160="Beide"),N(C160)=0),"Uurtarief ontbreekt",IF(AND(OR(B160="Vaste prijs",B160="Beide"),N(D160)=0),"Vaste prijs ontbreekt","OK")))))</f>
        <v/>
      </c>
    </row>
    <row r="161" ht="15" customHeight="1" s="42">
      <c r="A161" s="63" t="n"/>
      <c r="B161" s="64" t="n"/>
      <c r="C161" s="65" t="n"/>
      <c r="D161" s="65" t="n"/>
      <c r="E161" s="65" t="n"/>
      <c r="F161" s="63" t="n"/>
      <c r="G161" s="62">
        <f>IF(A161="","",IF(COUNTIF($A$2:$A$200,A161)&gt;1,"Klant staat dubbel",IF(B161="","Prijstype ontbreekt",IF(AND(OR(B161="Per uur",B161="Beide"),N(C161)=0),"Uurtarief ontbreekt",IF(AND(OR(B161="Vaste prijs",B161="Beide"),N(D161)=0),"Vaste prijs ontbreekt","OK")))))</f>
        <v/>
      </c>
    </row>
    <row r="162" ht="15" customHeight="1" s="42">
      <c r="A162" s="63" t="n"/>
      <c r="B162" s="64" t="n"/>
      <c r="C162" s="65" t="n"/>
      <c r="D162" s="65" t="n"/>
      <c r="E162" s="65" t="n"/>
      <c r="F162" s="63" t="n"/>
      <c r="G162" s="62">
        <f>IF(A162="","",IF(COUNTIF($A$2:$A$200,A162)&gt;1,"Klant staat dubbel",IF(B162="","Prijstype ontbreekt",IF(AND(OR(B162="Per uur",B162="Beide"),N(C162)=0),"Uurtarief ontbreekt",IF(AND(OR(B162="Vaste prijs",B162="Beide"),N(D162)=0),"Vaste prijs ontbreekt","OK")))))</f>
        <v/>
      </c>
    </row>
    <row r="163" ht="15" customHeight="1" s="42">
      <c r="A163" s="63" t="n"/>
      <c r="B163" s="64" t="n"/>
      <c r="C163" s="65" t="n"/>
      <c r="D163" s="65" t="n"/>
      <c r="E163" s="65" t="n"/>
      <c r="F163" s="63" t="n"/>
      <c r="G163" s="62">
        <f>IF(A163="","",IF(COUNTIF($A$2:$A$200,A163)&gt;1,"Klant staat dubbel",IF(B163="","Prijstype ontbreekt",IF(AND(OR(B163="Per uur",B163="Beide"),N(C163)=0),"Uurtarief ontbreekt",IF(AND(OR(B163="Vaste prijs",B163="Beide"),N(D163)=0),"Vaste prijs ontbreekt","OK")))))</f>
        <v/>
      </c>
    </row>
    <row r="164" ht="15" customHeight="1" s="42">
      <c r="A164" s="63" t="n"/>
      <c r="B164" s="64" t="n"/>
      <c r="C164" s="65" t="n"/>
      <c r="D164" s="65" t="n"/>
      <c r="E164" s="65" t="n"/>
      <c r="F164" s="63" t="n"/>
      <c r="G164" s="62">
        <f>IF(A164="","",IF(COUNTIF($A$2:$A$200,A164)&gt;1,"Klant staat dubbel",IF(B164="","Prijstype ontbreekt",IF(AND(OR(B164="Per uur",B164="Beide"),N(C164)=0),"Uurtarief ontbreekt",IF(AND(OR(B164="Vaste prijs",B164="Beide"),N(D164)=0),"Vaste prijs ontbreekt","OK")))))</f>
        <v/>
      </c>
    </row>
    <row r="165" ht="15" customHeight="1" s="42">
      <c r="A165" s="63" t="n"/>
      <c r="B165" s="64" t="n"/>
      <c r="C165" s="65" t="n"/>
      <c r="D165" s="65" t="n"/>
      <c r="E165" s="65" t="n"/>
      <c r="F165" s="63" t="n"/>
      <c r="G165" s="62">
        <f>IF(A165="","",IF(COUNTIF($A$2:$A$200,A165)&gt;1,"Klant staat dubbel",IF(B165="","Prijstype ontbreekt",IF(AND(OR(B165="Per uur",B165="Beide"),N(C165)=0),"Uurtarief ontbreekt",IF(AND(OR(B165="Vaste prijs",B165="Beide"),N(D165)=0),"Vaste prijs ontbreekt","OK")))))</f>
        <v/>
      </c>
    </row>
    <row r="166" ht="15" customHeight="1" s="42">
      <c r="A166" s="63" t="n"/>
      <c r="B166" s="64" t="n"/>
      <c r="C166" s="65" t="n"/>
      <c r="D166" s="65" t="n"/>
      <c r="E166" s="65" t="n"/>
      <c r="F166" s="63" t="n"/>
      <c r="G166" s="62">
        <f>IF(A166="","",IF(COUNTIF($A$2:$A$200,A166)&gt;1,"Klant staat dubbel",IF(B166="","Prijstype ontbreekt",IF(AND(OR(B166="Per uur",B166="Beide"),N(C166)=0),"Uurtarief ontbreekt",IF(AND(OR(B166="Vaste prijs",B166="Beide"),N(D166)=0),"Vaste prijs ontbreekt","OK")))))</f>
        <v/>
      </c>
    </row>
    <row r="167" ht="15" customHeight="1" s="42">
      <c r="A167" s="63" t="n"/>
      <c r="B167" s="64" t="n"/>
      <c r="C167" s="65" t="n"/>
      <c r="D167" s="65" t="n"/>
      <c r="E167" s="65" t="n"/>
      <c r="F167" s="63" t="n"/>
      <c r="G167" s="62">
        <f>IF(A167="","",IF(COUNTIF($A$2:$A$200,A167)&gt;1,"Klant staat dubbel",IF(B167="","Prijstype ontbreekt",IF(AND(OR(B167="Per uur",B167="Beide"),N(C167)=0),"Uurtarief ontbreekt",IF(AND(OR(B167="Vaste prijs",B167="Beide"),N(D167)=0),"Vaste prijs ontbreekt","OK")))))</f>
        <v/>
      </c>
    </row>
    <row r="168" ht="15" customHeight="1" s="42">
      <c r="A168" s="63" t="n"/>
      <c r="B168" s="64" t="n"/>
      <c r="C168" s="65" t="n"/>
      <c r="D168" s="65" t="n"/>
      <c r="E168" s="65" t="n"/>
      <c r="F168" s="63" t="n"/>
      <c r="G168" s="62">
        <f>IF(A168="","",IF(COUNTIF($A$2:$A$200,A168)&gt;1,"Klant staat dubbel",IF(B168="","Prijstype ontbreekt",IF(AND(OR(B168="Per uur",B168="Beide"),N(C168)=0),"Uurtarief ontbreekt",IF(AND(OR(B168="Vaste prijs",B168="Beide"),N(D168)=0),"Vaste prijs ontbreekt","OK")))))</f>
        <v/>
      </c>
    </row>
    <row r="169" ht="15" customHeight="1" s="42">
      <c r="A169" s="63" t="n"/>
      <c r="B169" s="64" t="n"/>
      <c r="C169" s="65" t="n"/>
      <c r="D169" s="65" t="n"/>
      <c r="E169" s="65" t="n"/>
      <c r="F169" s="63" t="n"/>
      <c r="G169" s="62">
        <f>IF(A169="","",IF(COUNTIF($A$2:$A$200,A169)&gt;1,"Klant staat dubbel",IF(B169="","Prijstype ontbreekt",IF(AND(OR(B169="Per uur",B169="Beide"),N(C169)=0),"Uurtarief ontbreekt",IF(AND(OR(B169="Vaste prijs",B169="Beide"),N(D169)=0),"Vaste prijs ontbreekt","OK")))))</f>
        <v/>
      </c>
    </row>
    <row r="170" ht="15" customHeight="1" s="42">
      <c r="A170" s="63" t="n"/>
      <c r="B170" s="64" t="n"/>
      <c r="C170" s="65" t="n"/>
      <c r="D170" s="65" t="n"/>
      <c r="E170" s="65" t="n"/>
      <c r="F170" s="63" t="n"/>
      <c r="G170" s="62">
        <f>IF(A170="","",IF(COUNTIF($A$2:$A$200,A170)&gt;1,"Klant staat dubbel",IF(B170="","Prijstype ontbreekt",IF(AND(OR(B170="Per uur",B170="Beide"),N(C170)=0),"Uurtarief ontbreekt",IF(AND(OR(B170="Vaste prijs",B170="Beide"),N(D170)=0),"Vaste prijs ontbreekt","OK")))))</f>
        <v/>
      </c>
    </row>
    <row r="171" ht="15" customHeight="1" s="42">
      <c r="A171" s="63" t="n"/>
      <c r="B171" s="64" t="n"/>
      <c r="C171" s="65" t="n"/>
      <c r="D171" s="65" t="n"/>
      <c r="E171" s="65" t="n"/>
      <c r="F171" s="63" t="n"/>
      <c r="G171" s="62">
        <f>IF(A171="","",IF(COUNTIF($A$2:$A$200,A171)&gt;1,"Klant staat dubbel",IF(B171="","Prijstype ontbreekt",IF(AND(OR(B171="Per uur",B171="Beide"),N(C171)=0),"Uurtarief ontbreekt",IF(AND(OR(B171="Vaste prijs",B171="Beide"),N(D171)=0),"Vaste prijs ontbreekt","OK")))))</f>
        <v/>
      </c>
    </row>
    <row r="172" ht="15" customHeight="1" s="42">
      <c r="A172" s="63" t="n"/>
      <c r="B172" s="64" t="n"/>
      <c r="C172" s="65" t="n"/>
      <c r="D172" s="65" t="n"/>
      <c r="E172" s="65" t="n"/>
      <c r="F172" s="63" t="n"/>
      <c r="G172" s="62">
        <f>IF(A172="","",IF(COUNTIF($A$2:$A$200,A172)&gt;1,"Klant staat dubbel",IF(B172="","Prijstype ontbreekt",IF(AND(OR(B172="Per uur",B172="Beide"),N(C172)=0),"Uurtarief ontbreekt",IF(AND(OR(B172="Vaste prijs",B172="Beide"),N(D172)=0),"Vaste prijs ontbreekt","OK")))))</f>
        <v/>
      </c>
    </row>
    <row r="173" ht="15" customHeight="1" s="42">
      <c r="A173" s="63" t="n"/>
      <c r="B173" s="64" t="n"/>
      <c r="C173" s="65" t="n"/>
      <c r="D173" s="65" t="n"/>
      <c r="E173" s="65" t="n"/>
      <c r="F173" s="63" t="n"/>
      <c r="G173" s="62">
        <f>IF(A173="","",IF(COUNTIF($A$2:$A$200,A173)&gt;1,"Klant staat dubbel",IF(B173="","Prijstype ontbreekt",IF(AND(OR(B173="Per uur",B173="Beide"),N(C173)=0),"Uurtarief ontbreekt",IF(AND(OR(B173="Vaste prijs",B173="Beide"),N(D173)=0),"Vaste prijs ontbreekt","OK")))))</f>
        <v/>
      </c>
    </row>
    <row r="174" ht="15" customHeight="1" s="42">
      <c r="A174" s="63" t="n"/>
      <c r="B174" s="64" t="n"/>
      <c r="C174" s="65" t="n"/>
      <c r="D174" s="65" t="n"/>
      <c r="E174" s="65" t="n"/>
      <c r="F174" s="63" t="n"/>
      <c r="G174" s="62">
        <f>IF(A174="","",IF(COUNTIF($A$2:$A$200,A174)&gt;1,"Klant staat dubbel",IF(B174="","Prijstype ontbreekt",IF(AND(OR(B174="Per uur",B174="Beide"),N(C174)=0),"Uurtarief ontbreekt",IF(AND(OR(B174="Vaste prijs",B174="Beide"),N(D174)=0),"Vaste prijs ontbreekt","OK")))))</f>
        <v/>
      </c>
    </row>
    <row r="175" ht="15" customHeight="1" s="42">
      <c r="A175" s="63" t="n"/>
      <c r="B175" s="64" t="n"/>
      <c r="C175" s="65" t="n"/>
      <c r="D175" s="65" t="n"/>
      <c r="E175" s="65" t="n"/>
      <c r="F175" s="63" t="n"/>
      <c r="G175" s="62">
        <f>IF(A175="","",IF(COUNTIF($A$2:$A$200,A175)&gt;1,"Klant staat dubbel",IF(B175="","Prijstype ontbreekt",IF(AND(OR(B175="Per uur",B175="Beide"),N(C175)=0),"Uurtarief ontbreekt",IF(AND(OR(B175="Vaste prijs",B175="Beide"),N(D175)=0),"Vaste prijs ontbreekt","OK")))))</f>
        <v/>
      </c>
    </row>
    <row r="176" ht="15" customHeight="1" s="42">
      <c r="A176" s="63" t="n"/>
      <c r="B176" s="64" t="n"/>
      <c r="C176" s="65" t="n"/>
      <c r="D176" s="65" t="n"/>
      <c r="E176" s="65" t="n"/>
      <c r="F176" s="63" t="n"/>
      <c r="G176" s="62">
        <f>IF(A176="","",IF(COUNTIF($A$2:$A$200,A176)&gt;1,"Klant staat dubbel",IF(B176="","Prijstype ontbreekt",IF(AND(OR(B176="Per uur",B176="Beide"),N(C176)=0),"Uurtarief ontbreekt",IF(AND(OR(B176="Vaste prijs",B176="Beide"),N(D176)=0),"Vaste prijs ontbreekt","OK")))))</f>
        <v/>
      </c>
    </row>
    <row r="177" ht="15" customHeight="1" s="42">
      <c r="A177" s="63" t="n"/>
      <c r="B177" s="64" t="n"/>
      <c r="C177" s="65" t="n"/>
      <c r="D177" s="65" t="n"/>
      <c r="E177" s="65" t="n"/>
      <c r="F177" s="63" t="n"/>
      <c r="G177" s="62">
        <f>IF(A177="","",IF(COUNTIF($A$2:$A$200,A177)&gt;1,"Klant staat dubbel",IF(B177="","Prijstype ontbreekt",IF(AND(OR(B177="Per uur",B177="Beide"),N(C177)=0),"Uurtarief ontbreekt",IF(AND(OR(B177="Vaste prijs",B177="Beide"),N(D177)=0),"Vaste prijs ontbreekt","OK")))))</f>
        <v/>
      </c>
    </row>
    <row r="178" ht="15" customHeight="1" s="42">
      <c r="A178" s="63" t="n"/>
      <c r="B178" s="64" t="n"/>
      <c r="C178" s="65" t="n"/>
      <c r="D178" s="65" t="n"/>
      <c r="E178" s="65" t="n"/>
      <c r="F178" s="63" t="n"/>
      <c r="G178" s="62">
        <f>IF(A178="","",IF(COUNTIF($A$2:$A$200,A178)&gt;1,"Klant staat dubbel",IF(B178="","Prijstype ontbreekt",IF(AND(OR(B178="Per uur",B178="Beide"),N(C178)=0),"Uurtarief ontbreekt",IF(AND(OR(B178="Vaste prijs",B178="Beide"),N(D178)=0),"Vaste prijs ontbreekt","OK")))))</f>
        <v/>
      </c>
    </row>
    <row r="179" ht="15" customHeight="1" s="42">
      <c r="A179" s="63" t="n"/>
      <c r="B179" s="64" t="n"/>
      <c r="C179" s="65" t="n"/>
      <c r="D179" s="65" t="n"/>
      <c r="E179" s="65" t="n"/>
      <c r="F179" s="63" t="n"/>
      <c r="G179" s="62">
        <f>IF(A179="","",IF(COUNTIF($A$2:$A$200,A179)&gt;1,"Klant staat dubbel",IF(B179="","Prijstype ontbreekt",IF(AND(OR(B179="Per uur",B179="Beide"),N(C179)=0),"Uurtarief ontbreekt",IF(AND(OR(B179="Vaste prijs",B179="Beide"),N(D179)=0),"Vaste prijs ontbreekt","OK")))))</f>
        <v/>
      </c>
    </row>
    <row r="180" ht="15" customHeight="1" s="42">
      <c r="A180" s="63" t="n"/>
      <c r="B180" s="64" t="n"/>
      <c r="C180" s="65" t="n"/>
      <c r="D180" s="65" t="n"/>
      <c r="E180" s="65" t="n"/>
      <c r="F180" s="63" t="n"/>
      <c r="G180" s="62">
        <f>IF(A180="","",IF(COUNTIF($A$2:$A$200,A180)&gt;1,"Klant staat dubbel",IF(B180="","Prijstype ontbreekt",IF(AND(OR(B180="Per uur",B180="Beide"),N(C180)=0),"Uurtarief ontbreekt",IF(AND(OR(B180="Vaste prijs",B180="Beide"),N(D180)=0),"Vaste prijs ontbreekt","OK")))))</f>
        <v/>
      </c>
    </row>
    <row r="181" ht="15" customHeight="1" s="42">
      <c r="A181" s="63" t="n"/>
      <c r="B181" s="64" t="n"/>
      <c r="C181" s="65" t="n"/>
      <c r="D181" s="65" t="n"/>
      <c r="E181" s="65" t="n"/>
      <c r="F181" s="63" t="n"/>
      <c r="G181" s="62">
        <f>IF(A181="","",IF(COUNTIF($A$2:$A$200,A181)&gt;1,"Klant staat dubbel",IF(B181="","Prijstype ontbreekt",IF(AND(OR(B181="Per uur",B181="Beide"),N(C181)=0),"Uurtarief ontbreekt",IF(AND(OR(B181="Vaste prijs",B181="Beide"),N(D181)=0),"Vaste prijs ontbreekt","OK")))))</f>
        <v/>
      </c>
    </row>
    <row r="182" ht="15" customHeight="1" s="42">
      <c r="A182" s="63" t="n"/>
      <c r="B182" s="64" t="n"/>
      <c r="C182" s="65" t="n"/>
      <c r="D182" s="65" t="n"/>
      <c r="E182" s="65" t="n"/>
      <c r="F182" s="63" t="n"/>
      <c r="G182" s="62">
        <f>IF(A182="","",IF(COUNTIF($A$2:$A$200,A182)&gt;1,"Klant staat dubbel",IF(B182="","Prijstype ontbreekt",IF(AND(OR(B182="Per uur",B182="Beide"),N(C182)=0),"Uurtarief ontbreekt",IF(AND(OR(B182="Vaste prijs",B182="Beide"),N(D182)=0),"Vaste prijs ontbreekt","OK")))))</f>
        <v/>
      </c>
    </row>
    <row r="183" ht="15" customHeight="1" s="42">
      <c r="A183" s="63" t="n"/>
      <c r="B183" s="64" t="n"/>
      <c r="C183" s="65" t="n"/>
      <c r="D183" s="65" t="n"/>
      <c r="E183" s="65" t="n"/>
      <c r="F183" s="63" t="n"/>
      <c r="G183" s="62">
        <f>IF(A183="","",IF(COUNTIF($A$2:$A$200,A183)&gt;1,"Klant staat dubbel",IF(B183="","Prijstype ontbreekt",IF(AND(OR(B183="Per uur",B183="Beide"),N(C183)=0),"Uurtarief ontbreekt",IF(AND(OR(B183="Vaste prijs",B183="Beide"),N(D183)=0),"Vaste prijs ontbreekt","OK")))))</f>
        <v/>
      </c>
    </row>
    <row r="184" ht="15" customHeight="1" s="42">
      <c r="A184" s="63" t="n"/>
      <c r="B184" s="64" t="n"/>
      <c r="C184" s="65" t="n"/>
      <c r="D184" s="65" t="n"/>
      <c r="E184" s="65" t="n"/>
      <c r="F184" s="63" t="n"/>
      <c r="G184" s="62">
        <f>IF(A184="","",IF(COUNTIF($A$2:$A$200,A184)&gt;1,"Klant staat dubbel",IF(B184="","Prijstype ontbreekt",IF(AND(OR(B184="Per uur",B184="Beide"),N(C184)=0),"Uurtarief ontbreekt",IF(AND(OR(B184="Vaste prijs",B184="Beide"),N(D184)=0),"Vaste prijs ontbreekt","OK")))))</f>
        <v/>
      </c>
    </row>
    <row r="185" ht="15" customHeight="1" s="42">
      <c r="A185" s="63" t="n"/>
      <c r="B185" s="64" t="n"/>
      <c r="C185" s="65" t="n"/>
      <c r="D185" s="65" t="n"/>
      <c r="E185" s="65" t="n"/>
      <c r="F185" s="63" t="n"/>
      <c r="G185" s="62">
        <f>IF(A185="","",IF(COUNTIF($A$2:$A$200,A185)&gt;1,"Klant staat dubbel",IF(B185="","Prijstype ontbreekt",IF(AND(OR(B185="Per uur",B185="Beide"),N(C185)=0),"Uurtarief ontbreekt",IF(AND(OR(B185="Vaste prijs",B185="Beide"),N(D185)=0),"Vaste prijs ontbreekt","OK")))))</f>
        <v/>
      </c>
    </row>
    <row r="186" ht="15" customHeight="1" s="42">
      <c r="A186" s="63" t="n"/>
      <c r="B186" s="64" t="n"/>
      <c r="C186" s="65" t="n"/>
      <c r="D186" s="65" t="n"/>
      <c r="E186" s="65" t="n"/>
      <c r="F186" s="63" t="n"/>
      <c r="G186" s="62">
        <f>IF(A186="","",IF(COUNTIF($A$2:$A$200,A186)&gt;1,"Klant staat dubbel",IF(B186="","Prijstype ontbreekt",IF(AND(OR(B186="Per uur",B186="Beide"),N(C186)=0),"Uurtarief ontbreekt",IF(AND(OR(B186="Vaste prijs",B186="Beide"),N(D186)=0),"Vaste prijs ontbreekt","OK")))))</f>
        <v/>
      </c>
    </row>
    <row r="187" ht="15" customHeight="1" s="42">
      <c r="A187" s="63" t="n"/>
      <c r="B187" s="64" t="n"/>
      <c r="C187" s="65" t="n"/>
      <c r="D187" s="65" t="n"/>
      <c r="E187" s="65" t="n"/>
      <c r="F187" s="63" t="n"/>
      <c r="G187" s="62">
        <f>IF(A187="","",IF(COUNTIF($A$2:$A$200,A187)&gt;1,"Klant staat dubbel",IF(B187="","Prijstype ontbreekt",IF(AND(OR(B187="Per uur",B187="Beide"),N(C187)=0),"Uurtarief ontbreekt",IF(AND(OR(B187="Vaste prijs",B187="Beide"),N(D187)=0),"Vaste prijs ontbreekt","OK")))))</f>
        <v/>
      </c>
    </row>
    <row r="188" ht="15" customHeight="1" s="42">
      <c r="A188" s="63" t="n"/>
      <c r="B188" s="64" t="n"/>
      <c r="C188" s="65" t="n"/>
      <c r="D188" s="65" t="n"/>
      <c r="E188" s="65" t="n"/>
      <c r="F188" s="63" t="n"/>
      <c r="G188" s="62">
        <f>IF(A188="","",IF(COUNTIF($A$2:$A$200,A188)&gt;1,"Klant staat dubbel",IF(B188="","Prijstype ontbreekt",IF(AND(OR(B188="Per uur",B188="Beide"),N(C188)=0),"Uurtarief ontbreekt",IF(AND(OR(B188="Vaste prijs",B188="Beide"),N(D188)=0),"Vaste prijs ontbreekt","OK")))))</f>
        <v/>
      </c>
    </row>
    <row r="189" ht="15" customHeight="1" s="42">
      <c r="A189" s="63" t="n"/>
      <c r="B189" s="64" t="n"/>
      <c r="C189" s="65" t="n"/>
      <c r="D189" s="65" t="n"/>
      <c r="E189" s="65" t="n"/>
      <c r="F189" s="63" t="n"/>
      <c r="G189" s="62">
        <f>IF(A189="","",IF(COUNTIF($A$2:$A$200,A189)&gt;1,"Klant staat dubbel",IF(B189="","Prijstype ontbreekt",IF(AND(OR(B189="Per uur",B189="Beide"),N(C189)=0),"Uurtarief ontbreekt",IF(AND(OR(B189="Vaste prijs",B189="Beide"),N(D189)=0),"Vaste prijs ontbreekt","OK")))))</f>
        <v/>
      </c>
    </row>
    <row r="190" ht="15" customHeight="1" s="42">
      <c r="A190" s="63" t="n"/>
      <c r="B190" s="64" t="n"/>
      <c r="C190" s="65" t="n"/>
      <c r="D190" s="65" t="n"/>
      <c r="E190" s="65" t="n"/>
      <c r="F190" s="63" t="n"/>
      <c r="G190" s="62">
        <f>IF(A190="","",IF(COUNTIF($A$2:$A$200,A190)&gt;1,"Klant staat dubbel",IF(B190="","Prijstype ontbreekt",IF(AND(OR(B190="Per uur",B190="Beide"),N(C190)=0),"Uurtarief ontbreekt",IF(AND(OR(B190="Vaste prijs",B190="Beide"),N(D190)=0),"Vaste prijs ontbreekt","OK")))))</f>
        <v/>
      </c>
    </row>
    <row r="191" ht="15" customHeight="1" s="42">
      <c r="A191" s="63" t="n"/>
      <c r="B191" s="64" t="n"/>
      <c r="C191" s="65" t="n"/>
      <c r="D191" s="65" t="n"/>
      <c r="E191" s="65" t="n"/>
      <c r="F191" s="63" t="n"/>
      <c r="G191" s="62">
        <f>IF(A191="","",IF(COUNTIF($A$2:$A$200,A191)&gt;1,"Klant staat dubbel",IF(B191="","Prijstype ontbreekt",IF(AND(OR(B191="Per uur",B191="Beide"),N(C191)=0),"Uurtarief ontbreekt",IF(AND(OR(B191="Vaste prijs",B191="Beide"),N(D191)=0),"Vaste prijs ontbreekt","OK")))))</f>
        <v/>
      </c>
    </row>
    <row r="192" ht="15" customHeight="1" s="42">
      <c r="A192" s="63" t="n"/>
      <c r="B192" s="64" t="n"/>
      <c r="C192" s="65" t="n"/>
      <c r="D192" s="65" t="n"/>
      <c r="E192" s="65" t="n"/>
      <c r="F192" s="63" t="n"/>
      <c r="G192" s="62">
        <f>IF(A192="","",IF(COUNTIF($A$2:$A$200,A192)&gt;1,"Klant staat dubbel",IF(B192="","Prijstype ontbreekt",IF(AND(OR(B192="Per uur",B192="Beide"),N(C192)=0),"Uurtarief ontbreekt",IF(AND(OR(B192="Vaste prijs",B192="Beide"),N(D192)=0),"Vaste prijs ontbreekt","OK")))))</f>
        <v/>
      </c>
    </row>
    <row r="193" ht="15" customHeight="1" s="42">
      <c r="A193" s="63" t="n"/>
      <c r="B193" s="64" t="n"/>
      <c r="C193" s="65" t="n"/>
      <c r="D193" s="65" t="n"/>
      <c r="E193" s="65" t="n"/>
      <c r="F193" s="63" t="n"/>
      <c r="G193" s="62">
        <f>IF(A193="","",IF(COUNTIF($A$2:$A$200,A193)&gt;1,"Klant staat dubbel",IF(B193="","Prijstype ontbreekt",IF(AND(OR(B193="Per uur",B193="Beide"),N(C193)=0),"Uurtarief ontbreekt",IF(AND(OR(B193="Vaste prijs",B193="Beide"),N(D193)=0),"Vaste prijs ontbreekt","OK")))))</f>
        <v/>
      </c>
    </row>
    <row r="194" ht="15" customHeight="1" s="42">
      <c r="A194" s="63" t="n"/>
      <c r="B194" s="64" t="n"/>
      <c r="C194" s="65" t="n"/>
      <c r="D194" s="65" t="n"/>
      <c r="E194" s="65" t="n"/>
      <c r="F194" s="63" t="n"/>
      <c r="G194" s="62">
        <f>IF(A194="","",IF(COUNTIF($A$2:$A$200,A194)&gt;1,"Klant staat dubbel",IF(B194="","Prijstype ontbreekt",IF(AND(OR(B194="Per uur",B194="Beide"),N(C194)=0),"Uurtarief ontbreekt",IF(AND(OR(B194="Vaste prijs",B194="Beide"),N(D194)=0),"Vaste prijs ontbreekt","OK")))))</f>
        <v/>
      </c>
    </row>
    <row r="195" ht="15" customHeight="1" s="42">
      <c r="A195" s="63" t="n"/>
      <c r="B195" s="64" t="n"/>
      <c r="C195" s="65" t="n"/>
      <c r="D195" s="65" t="n"/>
      <c r="E195" s="65" t="n"/>
      <c r="F195" s="63" t="n"/>
      <c r="G195" s="62">
        <f>IF(A195="","",IF(COUNTIF($A$2:$A$200,A195)&gt;1,"Klant staat dubbel",IF(B195="","Prijstype ontbreekt",IF(AND(OR(B195="Per uur",B195="Beide"),N(C195)=0),"Uurtarief ontbreekt",IF(AND(OR(B195="Vaste prijs",B195="Beide"),N(D195)=0),"Vaste prijs ontbreekt","OK")))))</f>
        <v/>
      </c>
    </row>
    <row r="196" ht="15" customHeight="1" s="42">
      <c r="A196" s="63" t="n"/>
      <c r="B196" s="64" t="n"/>
      <c r="C196" s="65" t="n"/>
      <c r="D196" s="65" t="n"/>
      <c r="E196" s="65" t="n"/>
      <c r="F196" s="63" t="n"/>
      <c r="G196" s="62">
        <f>IF(A196="","",IF(COUNTIF($A$2:$A$200,A196)&gt;1,"Klant staat dubbel",IF(B196="","Prijstype ontbreekt",IF(AND(OR(B196="Per uur",B196="Beide"),N(C196)=0),"Uurtarief ontbreekt",IF(AND(OR(B196="Vaste prijs",B196="Beide"),N(D196)=0),"Vaste prijs ontbreekt","OK")))))</f>
        <v/>
      </c>
    </row>
    <row r="197" ht="15" customHeight="1" s="42">
      <c r="A197" s="63" t="n"/>
      <c r="B197" s="64" t="n"/>
      <c r="C197" s="65" t="n"/>
      <c r="D197" s="65" t="n"/>
      <c r="E197" s="65" t="n"/>
      <c r="F197" s="63" t="n"/>
      <c r="G197" s="62">
        <f>IF(A197="","",IF(COUNTIF($A$2:$A$200,A197)&gt;1,"Klant staat dubbel",IF(B197="","Prijstype ontbreekt",IF(AND(OR(B197="Per uur",B197="Beide"),N(C197)=0),"Uurtarief ontbreekt",IF(AND(OR(B197="Vaste prijs",B197="Beide"),N(D197)=0),"Vaste prijs ontbreekt","OK")))))</f>
        <v/>
      </c>
    </row>
    <row r="198" ht="15" customHeight="1" s="42">
      <c r="A198" s="63" t="n"/>
      <c r="B198" s="64" t="n"/>
      <c r="C198" s="65" t="n"/>
      <c r="D198" s="65" t="n"/>
      <c r="E198" s="65" t="n"/>
      <c r="F198" s="63" t="n"/>
      <c r="G198" s="62">
        <f>IF(A198="","",IF(COUNTIF($A$2:$A$200,A198)&gt;1,"Klant staat dubbel",IF(B198="","Prijstype ontbreekt",IF(AND(OR(B198="Per uur",B198="Beide"),N(C198)=0),"Uurtarief ontbreekt",IF(AND(OR(B198="Vaste prijs",B198="Beide"),N(D198)=0),"Vaste prijs ontbreekt","OK")))))</f>
        <v/>
      </c>
    </row>
    <row r="199" ht="15" customHeight="1" s="42">
      <c r="A199" s="63" t="n"/>
      <c r="B199" s="64" t="n"/>
      <c r="C199" s="65" t="n"/>
      <c r="D199" s="65" t="n"/>
      <c r="E199" s="65" t="n"/>
      <c r="F199" s="63" t="n"/>
      <c r="G199" s="62">
        <f>IF(A199="","",IF(COUNTIF($A$2:$A$200,A199)&gt;1,"Klant staat dubbel",IF(B199="","Prijstype ontbreekt",IF(AND(OR(B199="Per uur",B199="Beide"),N(C199)=0),"Uurtarief ontbreekt",IF(AND(OR(B199="Vaste prijs",B199="Beide"),N(D199)=0),"Vaste prijs ontbreekt","OK")))))</f>
        <v/>
      </c>
    </row>
    <row r="200" ht="15" customHeight="1" s="42">
      <c r="A200" s="63" t="n"/>
      <c r="B200" s="64" t="n"/>
      <c r="C200" s="65" t="n"/>
      <c r="D200" s="65" t="n"/>
      <c r="E200" s="65" t="n"/>
      <c r="F200" s="63" t="n"/>
      <c r="G200" s="62">
        <f>IF(A200="","",IF(COUNTIF($A$2:$A$200,A200)&gt;1,"Klant staat dubbel",IF(B200="","Prijstype ontbreekt",IF(AND(OR(B200="Per uur",B200="Beide"),N(C200)=0),"Uurtarief ontbreekt",IF(AND(OR(B200="Vaste prijs",B200="Beide"),N(D200)=0),"Vaste prijs ontbreekt","OK")))))</f>
        <v/>
      </c>
    </row>
    <row r="202" ht="15" customHeight="1" s="42">
      <c r="A202" s="66" t="inlineStr">
        <is>
          <t>Vullen vanuit de Tarievenkaart of rechtstreeks uit de app. "Beide" = klant heeft zowel uurwerk als vaste posten; kies dan per werkregel het juiste prijstype.</t>
        </is>
      </c>
    </row>
  </sheetData>
  <conditionalFormatting sqref="G2:G200">
    <cfRule type="expression" rank="0" priority="2" equalAverage="0" aboveAverage="0" dxfId="7" text="" percent="0" bottom="0">
      <formula>AND($G2&lt;&gt;"",$G2&lt;&gt;"OK")</formula>
    </cfRule>
    <cfRule type="expression" rank="0" priority="3" equalAverage="0" aboveAverage="0" dxfId="8" text="" percent="0" bottom="0">
      <formula>$G2="OK"</formula>
    </cfRule>
  </conditionalFormatting>
  <dataValidations count="1">
    <dataValidation sqref="B2:B200" showDropDown="0" showInputMessage="0" showErrorMessage="0" allowBlank="1" type="list" errorStyle="stop" operator="between">
      <formula1>"Per uur,Vaste prijs,Beide"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U602"/>
  <sheetViews>
    <sheetView showFormulas="0" showGridLines="1" showRowColHeaders="1" showZeros="1" rightToLeft="0" tabSelected="0" showOutlineSymbols="1" defaultGridColor="1"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baseColWidth="8" defaultColWidth="8.6796875" defaultRowHeight="15" zeroHeight="0" outlineLevelRow="0"/>
  <cols>
    <col width="6" customWidth="1" style="41" min="1" max="1"/>
    <col width="11" customWidth="1" style="41" min="2" max="2"/>
    <col width="26" customWidth="1" style="41" min="3" max="3"/>
    <col width="24" customWidth="1" style="41" min="4" max="4"/>
    <col width="18" customWidth="1" style="41" min="5" max="5"/>
    <col width="6" customWidth="1" style="41" min="6" max="6"/>
    <col width="11" customWidth="1" style="41" min="7" max="8"/>
    <col width="12" customWidth="1" style="41" min="9" max="10"/>
    <col width="11" customWidth="1" style="41" min="11" max="12"/>
    <col width="10" customWidth="1" style="41" min="13" max="13"/>
    <col width="12" customWidth="1" style="41" min="14" max="14"/>
    <col width="10" customWidth="1" style="41" min="15" max="15"/>
    <col width="14" customWidth="1" style="41" min="16" max="16"/>
    <col width="20" customWidth="1" style="41" min="17" max="17"/>
    <col width="10" customWidth="1" style="41" min="18" max="18"/>
    <col width="30" customWidth="1" style="41" min="19" max="20"/>
    <col width="26" customWidth="1" style="41" min="21" max="21"/>
  </cols>
  <sheetData>
    <row r="1" ht="15.75" customHeight="1" s="42">
      <c r="A1" s="51" t="inlineStr">
        <is>
          <t>WERK</t>
        </is>
      </c>
      <c r="B1" s="52" t="n"/>
      <c r="C1" s="52" t="n"/>
      <c r="D1" s="52" t="n"/>
      <c r="E1" s="52" t="n"/>
      <c r="F1" s="52" t="n"/>
      <c r="G1" s="53" t="n"/>
      <c r="H1" s="51" t="inlineStr">
        <is>
          <t>UREN</t>
        </is>
      </c>
      <c r="I1" s="53" t="n"/>
      <c r="J1" s="51" t="inlineStr">
        <is>
          <t>PRIJS</t>
        </is>
      </c>
      <c r="K1" s="53" t="n"/>
      <c r="L1" s="51" t="inlineStr">
        <is>
          <t>BEDRAG</t>
        </is>
      </c>
      <c r="M1" s="52" t="n"/>
      <c r="N1" s="52" t="n"/>
      <c r="O1" s="52" t="n"/>
      <c r="P1" s="53" t="n"/>
      <c r="Q1" s="51" t="inlineStr">
        <is>
          <t>FACTUUR</t>
        </is>
      </c>
      <c r="R1" s="52" t="n"/>
      <c r="S1" s="52" t="n"/>
      <c r="T1" s="53" t="n"/>
      <c r="U1" s="51" t="n"/>
    </row>
    <row r="2" ht="31.5" customHeight="1" s="42">
      <c r="A2" s="54" t="inlineStr">
        <is>
          <t>Week</t>
        </is>
      </c>
      <c r="B2" s="54" t="inlineStr">
        <is>
          <t>Datum</t>
        </is>
      </c>
      <c r="C2" s="54" t="inlineStr">
        <is>
          <t>Klant</t>
        </is>
      </c>
      <c r="D2" s="54" t="inlineStr">
        <is>
          <t>Werkzaamheid</t>
        </is>
      </c>
      <c r="E2" s="54" t="inlineStr">
        <is>
          <t>Team</t>
        </is>
      </c>
      <c r="F2" s="54" t="inlineStr">
        <is>
          <t>Pers.</t>
        </is>
      </c>
      <c r="G2" s="54" t="inlineStr">
        <is>
          <t>Afgerond? ▼</t>
        </is>
      </c>
      <c r="H2" s="54" t="inlineStr">
        <is>
          <t>Uren (u.mm)</t>
        </is>
      </c>
      <c r="I2" s="54" t="inlineStr">
        <is>
          <t>Uren (decimaal)</t>
        </is>
      </c>
      <c r="J2" s="54" t="inlineStr">
        <is>
          <t>Prijstype ▼</t>
        </is>
      </c>
      <c r="K2" s="54" t="inlineStr">
        <is>
          <t>Prijs</t>
        </is>
      </c>
      <c r="L2" s="54" t="inlineStr">
        <is>
          <t>Arbeid</t>
        </is>
      </c>
      <c r="M2" s="54" t="inlineStr">
        <is>
          <t>Afvoer</t>
        </is>
      </c>
      <c r="N2" s="54" t="inlineStr">
        <is>
          <t>Voorrijkosten</t>
        </is>
      </c>
      <c r="O2" s="54" t="inlineStr">
        <is>
          <t>Extra</t>
        </is>
      </c>
      <c r="P2" s="54" t="inlineStr">
        <is>
          <t>Totaal excl. btw</t>
        </is>
      </c>
      <c r="Q2" s="54" t="inlineStr">
        <is>
          <t>Factuurstatus ▼</t>
        </is>
      </c>
      <c r="R2" s="54" t="inlineStr">
        <is>
          <t>Factuurnr</t>
        </is>
      </c>
      <c r="S2" s="54" t="inlineStr">
        <is>
          <t>Notitie voor factuur</t>
        </is>
      </c>
      <c r="T2" s="54" t="inlineStr">
        <is>
          <t>Interne opmerking</t>
        </is>
      </c>
      <c r="U2" s="54" t="inlineStr">
        <is>
          <t>Controle</t>
        </is>
      </c>
    </row>
    <row r="3" ht="15" customHeight="1" s="42">
      <c r="A3" s="56">
        <f>IF(B3="","",WEEKNUM(B3,21))</f>
        <v/>
      </c>
      <c r="B3" s="55" t="n"/>
      <c r="C3" s="57" t="n"/>
      <c r="D3" s="57" t="n"/>
      <c r="E3" s="57" t="n"/>
      <c r="F3" s="57" t="n"/>
      <c r="G3" s="67" t="n"/>
      <c r="H3" s="68" t="n"/>
      <c r="I3" s="61">
        <f>IF(C3="","",IF(H3&lt;&gt;"",INT(H3)+ROUND(MOD(H3,1)*100/60,2),SUMIFS(Registraties!$L$5:$L$3004,Registraties!$D$5:$D$3004,C3,Registraties!$A$5:$A$3004,B3)))</f>
        <v/>
      </c>
      <c r="J3" s="58">
        <f>IF(C3="","",IFERROR(IF(VLOOKUP(C3,Tarieven!$A$2:$F$200,2,0)="Beide","Per uur",VLOOKUP(C3,Tarieven!$A$2:$F$200,2,0)),"Nog bepalen"))</f>
        <v/>
      </c>
      <c r="K3" s="69">
        <f>IF(C3="","",IF(J3="Per uur",IFERROR(VLOOKUP(C3,Tarieven!$A$2:$F$200,3,0),""),IF(J3="Vaste prijs",IFERROR(VLOOKUP(C3,Tarieven!$A$2:$F$200,4,0),""),"")))</f>
        <v/>
      </c>
      <c r="L3" s="70">
        <f>IF(C3="","",IF(J3="Per uur",N(I3)*N(K3),IF(J3="Vaste prijs",N(K3),0)))</f>
        <v/>
      </c>
      <c r="M3" s="69">
        <f>IF(C3="","",IFERROR(IF(N(VLOOKUP(C3,Tarieven!$A$2:$F$200,5,0))=0,"",VLOOKUP(C3,Tarieven!$A$2:$F$200,5,0)),""))</f>
        <v/>
      </c>
      <c r="N3" s="69" t="n"/>
      <c r="O3" s="69" t="n"/>
      <c r="P3" s="70">
        <f>IF(C3="","",N(L3)+N(M3)+N(N3)+N(O3))</f>
        <v/>
      </c>
      <c r="Q3" s="58" t="n"/>
      <c r="R3" s="57" t="n"/>
      <c r="S3" s="57" t="n"/>
      <c r="T3" s="57" t="n"/>
      <c r="U3" s="62">
        <f>IF(C3="","",IF(COUNTIF(Tarieven!$A$2:$A$200,C3)=0,"Klant niet in Tarieven",IF(MOD(N(H3),1)*100&gt;59.4,"Tijd ongeldig: minuten boven 59",IF(J3="Nog bepalen","Prijstype nog bepalen",IF(AND(J3="Per uur",N(K3)=0),"Uurtarief ontbreekt",IF(AND(J3="Vaste prijs",N(K3)=0),"Vaste prijs ontbreekt",IF(AND(N(I3)=0,Q3&lt;&gt;"Niet doorgegaan / verplaatst",Q3&lt;&gt;"Geen factuur nodig"),"Geen uren",IF(AND(G3="NEE",Q3="Verstuurd"),"Verstuurd terwijl werk niet af",IF(IFERROR(VLOOKUP(C3,Tarieven!$A$2:$F$200,2,0),"")="Beide","Beide-klant: controleer prijstype","OK")))))))))</f>
        <v/>
      </c>
    </row>
    <row r="4" ht="15" customHeight="1" s="42">
      <c r="A4" s="56">
        <f>IF(B4="","",WEEKNUM(B4,21))</f>
        <v/>
      </c>
      <c r="B4" s="55" t="n"/>
      <c r="C4" s="57" t="n"/>
      <c r="D4" s="57" t="n"/>
      <c r="E4" s="57" t="n"/>
      <c r="F4" s="57" t="n"/>
      <c r="G4" s="67" t="n"/>
      <c r="H4" s="68" t="n"/>
      <c r="I4" s="61">
        <f>IF(C4="","",IF(H4&lt;&gt;"",INT(H4)+ROUND(MOD(H4,1)*100/60,2),SUMIFS(Registraties!$L$5:$L$3004,Registraties!$D$5:$D$3004,C4,Registraties!$A$5:$A$3004,B4)))</f>
        <v/>
      </c>
      <c r="J4" s="58">
        <f>IF(C4="","",IFERROR(IF(VLOOKUP(C4,Tarieven!$A$2:$F$200,2,0)="Beide","Per uur",VLOOKUP(C4,Tarieven!$A$2:$F$200,2,0)),"Nog bepalen"))</f>
        <v/>
      </c>
      <c r="K4" s="69">
        <f>IF(C4="","",IF(J4="Per uur",IFERROR(VLOOKUP(C4,Tarieven!$A$2:$F$200,3,0),""),IF(J4="Vaste prijs",IFERROR(VLOOKUP(C4,Tarieven!$A$2:$F$200,4,0),""),"")))</f>
        <v/>
      </c>
      <c r="L4" s="70">
        <f>IF(C4="","",IF(J4="Per uur",N(I4)*N(K4),IF(J4="Vaste prijs",N(K4),0)))</f>
        <v/>
      </c>
      <c r="M4" s="69">
        <f>IF(C4="","",IFERROR(IF(N(VLOOKUP(C4,Tarieven!$A$2:$F$200,5,0))=0,"",VLOOKUP(C4,Tarieven!$A$2:$F$200,5,0)),""))</f>
        <v/>
      </c>
      <c r="N4" s="69" t="n"/>
      <c r="O4" s="69" t="n"/>
      <c r="P4" s="70">
        <f>IF(C4="","",N(L4)+N(M4)+N(N4)+N(O4))</f>
        <v/>
      </c>
      <c r="Q4" s="58" t="n"/>
      <c r="R4" s="57" t="n"/>
      <c r="S4" s="57" t="n"/>
      <c r="T4" s="57" t="n"/>
      <c r="U4" s="62">
        <f>IF(C4="","",IF(COUNTIF(Tarieven!$A$2:$A$200,C4)=0,"Klant niet in Tarieven",IF(MOD(N(H4),1)*100&gt;59.4,"Tijd ongeldig: minuten boven 59",IF(J4="Nog bepalen","Prijstype nog bepalen",IF(AND(J4="Per uur",N(K4)=0),"Uurtarief ontbreekt",IF(AND(J4="Vaste prijs",N(K4)=0),"Vaste prijs ontbreekt",IF(AND(N(I4)=0,Q4&lt;&gt;"Niet doorgegaan / verplaatst",Q4&lt;&gt;"Geen factuur nodig"),"Geen uren",IF(AND(G4="NEE",Q4="Verstuurd"),"Verstuurd terwijl werk niet af",IF(IFERROR(VLOOKUP(C4,Tarieven!$A$2:$F$200,2,0),"")="Beide","Beide-klant: controleer prijstype","OK")))))))))</f>
        <v/>
      </c>
    </row>
    <row r="5" ht="15" customHeight="1" s="42">
      <c r="A5" s="56">
        <f>IF(B5="","",WEEKNUM(B5,21))</f>
        <v/>
      </c>
      <c r="B5" s="55" t="n"/>
      <c r="C5" s="57" t="n"/>
      <c r="D5" s="57" t="n"/>
      <c r="E5" s="57" t="n"/>
      <c r="F5" s="57" t="n"/>
      <c r="G5" s="67" t="n"/>
      <c r="H5" s="68" t="n"/>
      <c r="I5" s="61">
        <f>IF(C5="","",IF(H5&lt;&gt;"",INT(H5)+ROUND(MOD(H5,1)*100/60,2),SUMIFS(Registraties!$L$5:$L$3004,Registraties!$D$5:$D$3004,C5,Registraties!$A$5:$A$3004,B5)))</f>
        <v/>
      </c>
      <c r="J5" s="58">
        <f>IF(C5="","",IFERROR(IF(VLOOKUP(C5,Tarieven!$A$2:$F$200,2,0)="Beide","Per uur",VLOOKUP(C5,Tarieven!$A$2:$F$200,2,0)),"Nog bepalen"))</f>
        <v/>
      </c>
      <c r="K5" s="69">
        <f>IF(C5="","",IF(J5="Per uur",IFERROR(VLOOKUP(C5,Tarieven!$A$2:$F$200,3,0),""),IF(J5="Vaste prijs",IFERROR(VLOOKUP(C5,Tarieven!$A$2:$F$200,4,0),""),"")))</f>
        <v/>
      </c>
      <c r="L5" s="70">
        <f>IF(C5="","",IF(J5="Per uur",N(I5)*N(K5),IF(J5="Vaste prijs",N(K5),0)))</f>
        <v/>
      </c>
      <c r="M5" s="69">
        <f>IF(C5="","",IFERROR(IF(N(VLOOKUP(C5,Tarieven!$A$2:$F$200,5,0))=0,"",VLOOKUP(C5,Tarieven!$A$2:$F$200,5,0)),""))</f>
        <v/>
      </c>
      <c r="N5" s="69" t="n"/>
      <c r="O5" s="69" t="n"/>
      <c r="P5" s="70">
        <f>IF(C5="","",N(L5)+N(M5)+N(N5)+N(O5))</f>
        <v/>
      </c>
      <c r="Q5" s="58" t="n"/>
      <c r="R5" s="57" t="n"/>
      <c r="S5" s="57" t="n"/>
      <c r="T5" s="57" t="n"/>
      <c r="U5" s="62">
        <f>IF(C5="","",IF(COUNTIF(Tarieven!$A$2:$A$200,C5)=0,"Klant niet in Tarieven",IF(MOD(N(H5),1)*100&gt;59.4,"Tijd ongeldig: minuten boven 59",IF(J5="Nog bepalen","Prijstype nog bepalen",IF(AND(J5="Per uur",N(K5)=0),"Uurtarief ontbreekt",IF(AND(J5="Vaste prijs",N(K5)=0),"Vaste prijs ontbreekt",IF(AND(N(I5)=0,Q5&lt;&gt;"Niet doorgegaan / verplaatst",Q5&lt;&gt;"Geen factuur nodig"),"Geen uren",IF(AND(G5="NEE",Q5="Verstuurd"),"Verstuurd terwijl werk niet af",IF(IFERROR(VLOOKUP(C5,Tarieven!$A$2:$F$200,2,0),"")="Beide","Beide-klant: controleer prijstype","OK")))))))))</f>
        <v/>
      </c>
    </row>
    <row r="6" ht="15" customHeight="1" s="42">
      <c r="A6" s="56">
        <f>IF(B6="","",WEEKNUM(B6,21))</f>
        <v/>
      </c>
      <c r="B6" s="55" t="n"/>
      <c r="C6" s="57" t="n"/>
      <c r="D6" s="57" t="n"/>
      <c r="E6" s="57" t="n"/>
      <c r="F6" s="57" t="n"/>
      <c r="G6" s="67" t="n"/>
      <c r="H6" s="68" t="n"/>
      <c r="I6" s="61">
        <f>IF(C6="","",IF(H6&lt;&gt;"",INT(H6)+ROUND(MOD(H6,1)*100/60,2),SUMIFS(Registraties!$L$5:$L$3004,Registraties!$D$5:$D$3004,C6,Registraties!$A$5:$A$3004,B6)))</f>
        <v/>
      </c>
      <c r="J6" s="58">
        <f>IF(C6="","",IFERROR(IF(VLOOKUP(C6,Tarieven!$A$2:$F$200,2,0)="Beide","Per uur",VLOOKUP(C6,Tarieven!$A$2:$F$200,2,0)),"Nog bepalen"))</f>
        <v/>
      </c>
      <c r="K6" s="69">
        <f>IF(C6="","",IF(J6="Per uur",IFERROR(VLOOKUP(C6,Tarieven!$A$2:$F$200,3,0),""),IF(J6="Vaste prijs",IFERROR(VLOOKUP(C6,Tarieven!$A$2:$F$200,4,0),""),"")))</f>
        <v/>
      </c>
      <c r="L6" s="70">
        <f>IF(C6="","",IF(J6="Per uur",N(I6)*N(K6),IF(J6="Vaste prijs",N(K6),0)))</f>
        <v/>
      </c>
      <c r="M6" s="69">
        <f>IF(C6="","",IFERROR(IF(N(VLOOKUP(C6,Tarieven!$A$2:$F$200,5,0))=0,"",VLOOKUP(C6,Tarieven!$A$2:$F$200,5,0)),""))</f>
        <v/>
      </c>
      <c r="N6" s="69" t="n"/>
      <c r="O6" s="69" t="n"/>
      <c r="P6" s="70">
        <f>IF(C6="","",N(L6)+N(M6)+N(N6)+N(O6))</f>
        <v/>
      </c>
      <c r="Q6" s="58" t="n"/>
      <c r="R6" s="57" t="n"/>
      <c r="S6" s="57" t="n"/>
      <c r="T6" s="57" t="n"/>
      <c r="U6" s="62">
        <f>IF(C6="","",IF(COUNTIF(Tarieven!$A$2:$A$200,C6)=0,"Klant niet in Tarieven",IF(MOD(N(H6),1)*100&gt;59.4,"Tijd ongeldig: minuten boven 59",IF(J6="Nog bepalen","Prijstype nog bepalen",IF(AND(J6="Per uur",N(K6)=0),"Uurtarief ontbreekt",IF(AND(J6="Vaste prijs",N(K6)=0),"Vaste prijs ontbreekt",IF(AND(N(I6)=0,Q6&lt;&gt;"Niet doorgegaan / verplaatst",Q6&lt;&gt;"Geen factuur nodig"),"Geen uren",IF(AND(G6="NEE",Q6="Verstuurd"),"Verstuurd terwijl werk niet af",IF(IFERROR(VLOOKUP(C6,Tarieven!$A$2:$F$200,2,0),"")="Beide","Beide-klant: controleer prijstype","OK")))))))))</f>
        <v/>
      </c>
    </row>
    <row r="7" ht="15" customHeight="1" s="42">
      <c r="A7" s="56">
        <f>IF(B7="","",WEEKNUM(B7,21))</f>
        <v/>
      </c>
      <c r="B7" s="55" t="n"/>
      <c r="C7" s="57" t="n"/>
      <c r="D7" s="57" t="n"/>
      <c r="E7" s="57" t="n"/>
      <c r="F7" s="57" t="n"/>
      <c r="G7" s="67" t="n"/>
      <c r="H7" s="68" t="n"/>
      <c r="I7" s="61">
        <f>IF(C7="","",IF(H7&lt;&gt;"",INT(H7)+ROUND(MOD(H7,1)*100/60,2),SUMIFS(Registraties!$L$5:$L$3004,Registraties!$D$5:$D$3004,C7,Registraties!$A$5:$A$3004,B7)))</f>
        <v/>
      </c>
      <c r="J7" s="58">
        <f>IF(C7="","",IFERROR(IF(VLOOKUP(C7,Tarieven!$A$2:$F$200,2,0)="Beide","Per uur",VLOOKUP(C7,Tarieven!$A$2:$F$200,2,0)),"Nog bepalen"))</f>
        <v/>
      </c>
      <c r="K7" s="69">
        <f>IF(C7="","",IF(J7="Per uur",IFERROR(VLOOKUP(C7,Tarieven!$A$2:$F$200,3,0),""),IF(J7="Vaste prijs",IFERROR(VLOOKUP(C7,Tarieven!$A$2:$F$200,4,0),""),"")))</f>
        <v/>
      </c>
      <c r="L7" s="70">
        <f>IF(C7="","",IF(J7="Per uur",N(I7)*N(K7),IF(J7="Vaste prijs",N(K7),0)))</f>
        <v/>
      </c>
      <c r="M7" s="69">
        <f>IF(C7="","",IFERROR(IF(N(VLOOKUP(C7,Tarieven!$A$2:$F$200,5,0))=0,"",VLOOKUP(C7,Tarieven!$A$2:$F$200,5,0)),""))</f>
        <v/>
      </c>
      <c r="N7" s="69" t="n"/>
      <c r="O7" s="69" t="n"/>
      <c r="P7" s="70">
        <f>IF(C7="","",N(L7)+N(M7)+N(N7)+N(O7))</f>
        <v/>
      </c>
      <c r="Q7" s="58" t="n"/>
      <c r="R7" s="57" t="n"/>
      <c r="S7" s="57" t="n"/>
      <c r="T7" s="57" t="n"/>
      <c r="U7" s="62">
        <f>IF(C7="","",IF(COUNTIF(Tarieven!$A$2:$A$200,C7)=0,"Klant niet in Tarieven",IF(MOD(N(H7),1)*100&gt;59.4,"Tijd ongeldig: minuten boven 59",IF(J7="Nog bepalen","Prijstype nog bepalen",IF(AND(J7="Per uur",N(K7)=0),"Uurtarief ontbreekt",IF(AND(J7="Vaste prijs",N(K7)=0),"Vaste prijs ontbreekt",IF(AND(N(I7)=0,Q7&lt;&gt;"Niet doorgegaan / verplaatst",Q7&lt;&gt;"Geen factuur nodig"),"Geen uren",IF(AND(G7="NEE",Q7="Verstuurd"),"Verstuurd terwijl werk niet af",IF(IFERROR(VLOOKUP(C7,Tarieven!$A$2:$F$200,2,0),"")="Beide","Beide-klant: controleer prijstype","OK")))))))))</f>
        <v/>
      </c>
    </row>
    <row r="8" ht="15" customHeight="1" s="42">
      <c r="A8" s="56">
        <f>IF(B8="","",WEEKNUM(B8,21))</f>
        <v/>
      </c>
      <c r="B8" s="55" t="n"/>
      <c r="C8" s="57" t="n"/>
      <c r="D8" s="57" t="n"/>
      <c r="E8" s="57" t="n"/>
      <c r="F8" s="57" t="n"/>
      <c r="G8" s="67" t="n"/>
      <c r="H8" s="68" t="n"/>
      <c r="I8" s="61">
        <f>IF(C8="","",IF(H8&lt;&gt;"",INT(H8)+ROUND(MOD(H8,1)*100/60,2),SUMIFS(Registraties!$L$5:$L$3004,Registraties!$D$5:$D$3004,C8,Registraties!$A$5:$A$3004,B8)))</f>
        <v/>
      </c>
      <c r="J8" s="58">
        <f>IF(C8="","",IFERROR(IF(VLOOKUP(C8,Tarieven!$A$2:$F$200,2,0)="Beide","Per uur",VLOOKUP(C8,Tarieven!$A$2:$F$200,2,0)),"Nog bepalen"))</f>
        <v/>
      </c>
      <c r="K8" s="69">
        <f>IF(C8="","",IF(J8="Per uur",IFERROR(VLOOKUP(C8,Tarieven!$A$2:$F$200,3,0),""),IF(J8="Vaste prijs",IFERROR(VLOOKUP(C8,Tarieven!$A$2:$F$200,4,0),""),"")))</f>
        <v/>
      </c>
      <c r="L8" s="70">
        <f>IF(C8="","",IF(J8="Per uur",N(I8)*N(K8),IF(J8="Vaste prijs",N(K8),0)))</f>
        <v/>
      </c>
      <c r="M8" s="69">
        <f>IF(C8="","",IFERROR(IF(N(VLOOKUP(C8,Tarieven!$A$2:$F$200,5,0))=0,"",VLOOKUP(C8,Tarieven!$A$2:$F$200,5,0)),""))</f>
        <v/>
      </c>
      <c r="N8" s="69" t="n"/>
      <c r="O8" s="69" t="n"/>
      <c r="P8" s="70">
        <f>IF(C8="","",N(L8)+N(M8)+N(N8)+N(O8))</f>
        <v/>
      </c>
      <c r="Q8" s="58" t="n"/>
      <c r="R8" s="57" t="n"/>
      <c r="S8" s="57" t="n"/>
      <c r="T8" s="57" t="n"/>
      <c r="U8" s="62">
        <f>IF(C8="","",IF(COUNTIF(Tarieven!$A$2:$A$200,C8)=0,"Klant niet in Tarieven",IF(MOD(N(H8),1)*100&gt;59.4,"Tijd ongeldig: minuten boven 59",IF(J8="Nog bepalen","Prijstype nog bepalen",IF(AND(J8="Per uur",N(K8)=0),"Uurtarief ontbreekt",IF(AND(J8="Vaste prijs",N(K8)=0),"Vaste prijs ontbreekt",IF(AND(N(I8)=0,Q8&lt;&gt;"Niet doorgegaan / verplaatst",Q8&lt;&gt;"Geen factuur nodig"),"Geen uren",IF(AND(G8="NEE",Q8="Verstuurd"),"Verstuurd terwijl werk niet af",IF(IFERROR(VLOOKUP(C8,Tarieven!$A$2:$F$200,2,0),"")="Beide","Beide-klant: controleer prijstype","OK")))))))))</f>
        <v/>
      </c>
    </row>
    <row r="9" ht="15" customHeight="1" s="42">
      <c r="A9" s="56">
        <f>IF(B9="","",WEEKNUM(B9,21))</f>
        <v/>
      </c>
      <c r="B9" s="55" t="n"/>
      <c r="C9" s="57" t="n"/>
      <c r="D9" s="57" t="n"/>
      <c r="E9" s="57" t="n"/>
      <c r="F9" s="57" t="n"/>
      <c r="G9" s="67" t="n"/>
      <c r="H9" s="68" t="n"/>
      <c r="I9" s="61">
        <f>IF(C9="","",IF(H9&lt;&gt;"",INT(H9)+ROUND(MOD(H9,1)*100/60,2),SUMIFS(Registraties!$L$5:$L$3004,Registraties!$D$5:$D$3004,C9,Registraties!$A$5:$A$3004,B9)))</f>
        <v/>
      </c>
      <c r="J9" s="58">
        <f>IF(C9="","",IFERROR(IF(VLOOKUP(C9,Tarieven!$A$2:$F$200,2,0)="Beide","Per uur",VLOOKUP(C9,Tarieven!$A$2:$F$200,2,0)),"Nog bepalen"))</f>
        <v/>
      </c>
      <c r="K9" s="69">
        <f>IF(C9="","",IF(J9="Per uur",IFERROR(VLOOKUP(C9,Tarieven!$A$2:$F$200,3,0),""),IF(J9="Vaste prijs",IFERROR(VLOOKUP(C9,Tarieven!$A$2:$F$200,4,0),""),"")))</f>
        <v/>
      </c>
      <c r="L9" s="70">
        <f>IF(C9="","",IF(J9="Per uur",N(I9)*N(K9),IF(J9="Vaste prijs",N(K9),0)))</f>
        <v/>
      </c>
      <c r="M9" s="69">
        <f>IF(C9="","",IFERROR(IF(N(VLOOKUP(C9,Tarieven!$A$2:$F$200,5,0))=0,"",VLOOKUP(C9,Tarieven!$A$2:$F$200,5,0)),""))</f>
        <v/>
      </c>
      <c r="N9" s="69" t="n"/>
      <c r="O9" s="69" t="n"/>
      <c r="P9" s="70">
        <f>IF(C9="","",N(L9)+N(M9)+N(N9)+N(O9))</f>
        <v/>
      </c>
      <c r="Q9" s="58" t="n"/>
      <c r="R9" s="57" t="n"/>
      <c r="S9" s="57" t="n"/>
      <c r="T9" s="57" t="n"/>
      <c r="U9" s="62">
        <f>IF(C9="","",IF(COUNTIF(Tarieven!$A$2:$A$200,C9)=0,"Klant niet in Tarieven",IF(MOD(N(H9),1)*100&gt;59.4,"Tijd ongeldig: minuten boven 59",IF(J9="Nog bepalen","Prijstype nog bepalen",IF(AND(J9="Per uur",N(K9)=0),"Uurtarief ontbreekt",IF(AND(J9="Vaste prijs",N(K9)=0),"Vaste prijs ontbreekt",IF(AND(N(I9)=0,Q9&lt;&gt;"Niet doorgegaan / verplaatst",Q9&lt;&gt;"Geen factuur nodig"),"Geen uren",IF(AND(G9="NEE",Q9="Verstuurd"),"Verstuurd terwijl werk niet af",IF(IFERROR(VLOOKUP(C9,Tarieven!$A$2:$F$200,2,0),"")="Beide","Beide-klant: controleer prijstype","OK")))))))))</f>
        <v/>
      </c>
    </row>
    <row r="10" ht="15" customHeight="1" s="42">
      <c r="A10" s="56">
        <f>IF(B10="","",WEEKNUM(B10,21))</f>
        <v/>
      </c>
      <c r="B10" s="55" t="n"/>
      <c r="C10" s="57" t="n"/>
      <c r="D10" s="57" t="n"/>
      <c r="E10" s="57" t="n"/>
      <c r="F10" s="57" t="n"/>
      <c r="G10" s="67" t="n"/>
      <c r="H10" s="68" t="n"/>
      <c r="I10" s="61">
        <f>IF(C10="","",IF(H10&lt;&gt;"",INT(H10)+ROUND(MOD(H10,1)*100/60,2),SUMIFS(Registraties!$L$5:$L$3004,Registraties!$D$5:$D$3004,C10,Registraties!$A$5:$A$3004,B10)))</f>
        <v/>
      </c>
      <c r="J10" s="58">
        <f>IF(C10="","",IFERROR(IF(VLOOKUP(C10,Tarieven!$A$2:$F$200,2,0)="Beide","Per uur",VLOOKUP(C10,Tarieven!$A$2:$F$200,2,0)),"Nog bepalen"))</f>
        <v/>
      </c>
      <c r="K10" s="69">
        <f>IF(C10="","",IF(J10="Per uur",IFERROR(VLOOKUP(C10,Tarieven!$A$2:$F$200,3,0),""),IF(J10="Vaste prijs",IFERROR(VLOOKUP(C10,Tarieven!$A$2:$F$200,4,0),""),"")))</f>
        <v/>
      </c>
      <c r="L10" s="70">
        <f>IF(C10="","",IF(J10="Per uur",N(I10)*N(K10),IF(J10="Vaste prijs",N(K10),0)))</f>
        <v/>
      </c>
      <c r="M10" s="69">
        <f>IF(C10="","",IFERROR(IF(N(VLOOKUP(C10,Tarieven!$A$2:$F$200,5,0))=0,"",VLOOKUP(C10,Tarieven!$A$2:$F$200,5,0)),""))</f>
        <v/>
      </c>
      <c r="N10" s="69" t="n"/>
      <c r="O10" s="69" t="n"/>
      <c r="P10" s="70">
        <f>IF(C10="","",N(L10)+N(M10)+N(N10)+N(O10))</f>
        <v/>
      </c>
      <c r="Q10" s="58" t="n"/>
      <c r="R10" s="57" t="n"/>
      <c r="S10" s="57" t="n"/>
      <c r="T10" s="57" t="n"/>
      <c r="U10" s="62">
        <f>IF(C10="","",IF(COUNTIF(Tarieven!$A$2:$A$200,C10)=0,"Klant niet in Tarieven",IF(MOD(N(H10),1)*100&gt;59.4,"Tijd ongeldig: minuten boven 59",IF(J10="Nog bepalen","Prijstype nog bepalen",IF(AND(J10="Per uur",N(K10)=0),"Uurtarief ontbreekt",IF(AND(J10="Vaste prijs",N(K10)=0),"Vaste prijs ontbreekt",IF(AND(N(I10)=0,Q10&lt;&gt;"Niet doorgegaan / verplaatst",Q10&lt;&gt;"Geen factuur nodig"),"Geen uren",IF(AND(G10="NEE",Q10="Verstuurd"),"Verstuurd terwijl werk niet af",IF(IFERROR(VLOOKUP(C10,Tarieven!$A$2:$F$200,2,0),"")="Beide","Beide-klant: controleer prijstype","OK")))))))))</f>
        <v/>
      </c>
    </row>
    <row r="11" ht="15" customHeight="1" s="42">
      <c r="A11" s="56">
        <f>IF(B11="","",WEEKNUM(B11,21))</f>
        <v/>
      </c>
      <c r="B11" s="55" t="n"/>
      <c r="C11" s="57" t="n"/>
      <c r="D11" s="57" t="n"/>
      <c r="E11" s="57" t="n"/>
      <c r="F11" s="57" t="n"/>
      <c r="G11" s="67" t="n"/>
      <c r="H11" s="68" t="n"/>
      <c r="I11" s="61">
        <f>IF(C11="","",IF(H11&lt;&gt;"",INT(H11)+ROUND(MOD(H11,1)*100/60,2),SUMIFS(Registraties!$L$5:$L$3004,Registraties!$D$5:$D$3004,C11,Registraties!$A$5:$A$3004,B11)))</f>
        <v/>
      </c>
      <c r="J11" s="58">
        <f>IF(C11="","",IFERROR(IF(VLOOKUP(C11,Tarieven!$A$2:$F$200,2,0)="Beide","Per uur",VLOOKUP(C11,Tarieven!$A$2:$F$200,2,0)),"Nog bepalen"))</f>
        <v/>
      </c>
      <c r="K11" s="69">
        <f>IF(C11="","",IF(J11="Per uur",IFERROR(VLOOKUP(C11,Tarieven!$A$2:$F$200,3,0),""),IF(J11="Vaste prijs",IFERROR(VLOOKUP(C11,Tarieven!$A$2:$F$200,4,0),""),"")))</f>
        <v/>
      </c>
      <c r="L11" s="70">
        <f>IF(C11="","",IF(J11="Per uur",N(I11)*N(K11),IF(J11="Vaste prijs",N(K11),0)))</f>
        <v/>
      </c>
      <c r="M11" s="69">
        <f>IF(C11="","",IFERROR(IF(N(VLOOKUP(C11,Tarieven!$A$2:$F$200,5,0))=0,"",VLOOKUP(C11,Tarieven!$A$2:$F$200,5,0)),""))</f>
        <v/>
      </c>
      <c r="N11" s="69" t="n"/>
      <c r="O11" s="69" t="n"/>
      <c r="P11" s="70">
        <f>IF(C11="","",N(L11)+N(M11)+N(N11)+N(O11))</f>
        <v/>
      </c>
      <c r="Q11" s="58" t="n"/>
      <c r="R11" s="57" t="n"/>
      <c r="S11" s="57" t="n"/>
      <c r="T11" s="57" t="n"/>
      <c r="U11" s="62">
        <f>IF(C11="","",IF(COUNTIF(Tarieven!$A$2:$A$200,C11)=0,"Klant niet in Tarieven",IF(MOD(N(H11),1)*100&gt;59.4,"Tijd ongeldig: minuten boven 59",IF(J11="Nog bepalen","Prijstype nog bepalen",IF(AND(J11="Per uur",N(K11)=0),"Uurtarief ontbreekt",IF(AND(J11="Vaste prijs",N(K11)=0),"Vaste prijs ontbreekt",IF(AND(N(I11)=0,Q11&lt;&gt;"Niet doorgegaan / verplaatst",Q11&lt;&gt;"Geen factuur nodig"),"Geen uren",IF(AND(G11="NEE",Q11="Verstuurd"),"Verstuurd terwijl werk niet af",IF(IFERROR(VLOOKUP(C11,Tarieven!$A$2:$F$200,2,0),"")="Beide","Beide-klant: controleer prijstype","OK")))))))))</f>
        <v/>
      </c>
    </row>
    <row r="12" ht="15" customHeight="1" s="42">
      <c r="A12" s="56">
        <f>IF(B12="","",WEEKNUM(B12,21))</f>
        <v/>
      </c>
      <c r="B12" s="55" t="n"/>
      <c r="C12" s="57" t="n"/>
      <c r="D12" s="57" t="n"/>
      <c r="E12" s="57" t="n"/>
      <c r="F12" s="57" t="n"/>
      <c r="G12" s="67" t="n"/>
      <c r="H12" s="68" t="n"/>
      <c r="I12" s="61">
        <f>IF(C12="","",IF(H12&lt;&gt;"",INT(H12)+ROUND(MOD(H12,1)*100/60,2),SUMIFS(Registraties!$L$5:$L$3004,Registraties!$D$5:$D$3004,C12,Registraties!$A$5:$A$3004,B12)))</f>
        <v/>
      </c>
      <c r="J12" s="58">
        <f>IF(C12="","",IFERROR(IF(VLOOKUP(C12,Tarieven!$A$2:$F$200,2,0)="Beide","Per uur",VLOOKUP(C12,Tarieven!$A$2:$F$200,2,0)),"Nog bepalen"))</f>
        <v/>
      </c>
      <c r="K12" s="69">
        <f>IF(C12="","",IF(J12="Per uur",IFERROR(VLOOKUP(C12,Tarieven!$A$2:$F$200,3,0),""),IF(J12="Vaste prijs",IFERROR(VLOOKUP(C12,Tarieven!$A$2:$F$200,4,0),""),"")))</f>
        <v/>
      </c>
      <c r="L12" s="70">
        <f>IF(C12="","",IF(J12="Per uur",N(I12)*N(K12),IF(J12="Vaste prijs",N(K12),0)))</f>
        <v/>
      </c>
      <c r="M12" s="69">
        <f>IF(C12="","",IFERROR(IF(N(VLOOKUP(C12,Tarieven!$A$2:$F$200,5,0))=0,"",VLOOKUP(C12,Tarieven!$A$2:$F$200,5,0)),""))</f>
        <v/>
      </c>
      <c r="N12" s="69" t="n"/>
      <c r="O12" s="69" t="n"/>
      <c r="P12" s="70">
        <f>IF(C12="","",N(L12)+N(M12)+N(N12)+N(O12))</f>
        <v/>
      </c>
      <c r="Q12" s="58" t="n"/>
      <c r="R12" s="57" t="n"/>
      <c r="S12" s="57" t="n"/>
      <c r="T12" s="57" t="n"/>
      <c r="U12" s="62">
        <f>IF(C12="","",IF(COUNTIF(Tarieven!$A$2:$A$200,C12)=0,"Klant niet in Tarieven",IF(MOD(N(H12),1)*100&gt;59.4,"Tijd ongeldig: minuten boven 59",IF(J12="Nog bepalen","Prijstype nog bepalen",IF(AND(J12="Per uur",N(K12)=0),"Uurtarief ontbreekt",IF(AND(J12="Vaste prijs",N(K12)=0),"Vaste prijs ontbreekt",IF(AND(N(I12)=0,Q12&lt;&gt;"Niet doorgegaan / verplaatst",Q12&lt;&gt;"Geen factuur nodig"),"Geen uren",IF(AND(G12="NEE",Q12="Verstuurd"),"Verstuurd terwijl werk niet af",IF(IFERROR(VLOOKUP(C12,Tarieven!$A$2:$F$200,2,0),"")="Beide","Beide-klant: controleer prijstype","OK")))))))))</f>
        <v/>
      </c>
    </row>
    <row r="13" ht="15" customHeight="1" s="42">
      <c r="A13" s="56">
        <f>IF(B13="","",WEEKNUM(B13,21))</f>
        <v/>
      </c>
      <c r="B13" s="55" t="n"/>
      <c r="C13" s="57" t="n"/>
      <c r="D13" s="57" t="n"/>
      <c r="E13" s="57" t="n"/>
      <c r="F13" s="57" t="n"/>
      <c r="G13" s="67" t="n"/>
      <c r="H13" s="68" t="n"/>
      <c r="I13" s="61">
        <f>IF(C13="","",IF(H13&lt;&gt;"",INT(H13)+ROUND(MOD(H13,1)*100/60,2),SUMIFS(Registraties!$L$5:$L$3004,Registraties!$D$5:$D$3004,C13,Registraties!$A$5:$A$3004,B13)))</f>
        <v/>
      </c>
      <c r="J13" s="58">
        <f>IF(C13="","",IFERROR(IF(VLOOKUP(C13,Tarieven!$A$2:$F$200,2,0)="Beide","Per uur",VLOOKUP(C13,Tarieven!$A$2:$F$200,2,0)),"Nog bepalen"))</f>
        <v/>
      </c>
      <c r="K13" s="69">
        <f>IF(C13="","",IF(J13="Per uur",IFERROR(VLOOKUP(C13,Tarieven!$A$2:$F$200,3,0),""),IF(J13="Vaste prijs",IFERROR(VLOOKUP(C13,Tarieven!$A$2:$F$200,4,0),""),"")))</f>
        <v/>
      </c>
      <c r="L13" s="70">
        <f>IF(C13="","",IF(J13="Per uur",N(I13)*N(K13),IF(J13="Vaste prijs",N(K13),0)))</f>
        <v/>
      </c>
      <c r="M13" s="69">
        <f>IF(C13="","",IFERROR(IF(N(VLOOKUP(C13,Tarieven!$A$2:$F$200,5,0))=0,"",VLOOKUP(C13,Tarieven!$A$2:$F$200,5,0)),""))</f>
        <v/>
      </c>
      <c r="N13" s="69" t="n"/>
      <c r="O13" s="69" t="n"/>
      <c r="P13" s="70">
        <f>IF(C13="","",N(L13)+N(M13)+N(N13)+N(O13))</f>
        <v/>
      </c>
      <c r="Q13" s="58" t="n"/>
      <c r="R13" s="57" t="n"/>
      <c r="S13" s="57" t="n"/>
      <c r="T13" s="57" t="n"/>
      <c r="U13" s="62">
        <f>IF(C13="","",IF(COUNTIF(Tarieven!$A$2:$A$200,C13)=0,"Klant niet in Tarieven",IF(MOD(N(H13),1)*100&gt;59.4,"Tijd ongeldig: minuten boven 59",IF(J13="Nog bepalen","Prijstype nog bepalen",IF(AND(J13="Per uur",N(K13)=0),"Uurtarief ontbreekt",IF(AND(J13="Vaste prijs",N(K13)=0),"Vaste prijs ontbreekt",IF(AND(N(I13)=0,Q13&lt;&gt;"Niet doorgegaan / verplaatst",Q13&lt;&gt;"Geen factuur nodig"),"Geen uren",IF(AND(G13="NEE",Q13="Verstuurd"),"Verstuurd terwijl werk niet af",IF(IFERROR(VLOOKUP(C13,Tarieven!$A$2:$F$200,2,0),"")="Beide","Beide-klant: controleer prijstype","OK")))))))))</f>
        <v/>
      </c>
    </row>
    <row r="14" ht="15" customHeight="1" s="42">
      <c r="A14" s="56">
        <f>IF(B14="","",WEEKNUM(B14,21))</f>
        <v/>
      </c>
      <c r="B14" s="55" t="n"/>
      <c r="C14" s="57" t="n"/>
      <c r="D14" s="57" t="n"/>
      <c r="E14" s="57" t="n"/>
      <c r="F14" s="57" t="n"/>
      <c r="G14" s="67" t="n"/>
      <c r="H14" s="68" t="n"/>
      <c r="I14" s="61">
        <f>IF(C14="","",IF(H14&lt;&gt;"",INT(H14)+ROUND(MOD(H14,1)*100/60,2),SUMIFS(Registraties!$L$5:$L$3004,Registraties!$D$5:$D$3004,C14,Registraties!$A$5:$A$3004,B14)))</f>
        <v/>
      </c>
      <c r="J14" s="58">
        <f>IF(C14="","",IFERROR(IF(VLOOKUP(C14,Tarieven!$A$2:$F$200,2,0)="Beide","Per uur",VLOOKUP(C14,Tarieven!$A$2:$F$200,2,0)),"Nog bepalen"))</f>
        <v/>
      </c>
      <c r="K14" s="69">
        <f>IF(C14="","",IF(J14="Per uur",IFERROR(VLOOKUP(C14,Tarieven!$A$2:$F$200,3,0),""),IF(J14="Vaste prijs",IFERROR(VLOOKUP(C14,Tarieven!$A$2:$F$200,4,0),""),"")))</f>
        <v/>
      </c>
      <c r="L14" s="70">
        <f>IF(C14="","",IF(J14="Per uur",N(I14)*N(K14),IF(J14="Vaste prijs",N(K14),0)))</f>
        <v/>
      </c>
      <c r="M14" s="69">
        <f>IF(C14="","",IFERROR(IF(N(VLOOKUP(C14,Tarieven!$A$2:$F$200,5,0))=0,"",VLOOKUP(C14,Tarieven!$A$2:$F$200,5,0)),""))</f>
        <v/>
      </c>
      <c r="N14" s="69" t="n"/>
      <c r="O14" s="69" t="n"/>
      <c r="P14" s="70">
        <f>IF(C14="","",N(L14)+N(M14)+N(N14)+N(O14))</f>
        <v/>
      </c>
      <c r="Q14" s="58" t="n"/>
      <c r="R14" s="57" t="n"/>
      <c r="S14" s="57" t="n"/>
      <c r="T14" s="57" t="n"/>
      <c r="U14" s="62">
        <f>IF(C14="","",IF(COUNTIF(Tarieven!$A$2:$A$200,C14)=0,"Klant niet in Tarieven",IF(MOD(N(H14),1)*100&gt;59.4,"Tijd ongeldig: minuten boven 59",IF(J14="Nog bepalen","Prijstype nog bepalen",IF(AND(J14="Per uur",N(K14)=0),"Uurtarief ontbreekt",IF(AND(J14="Vaste prijs",N(K14)=0),"Vaste prijs ontbreekt",IF(AND(N(I14)=0,Q14&lt;&gt;"Niet doorgegaan / verplaatst",Q14&lt;&gt;"Geen factuur nodig"),"Geen uren",IF(AND(G14="NEE",Q14="Verstuurd"),"Verstuurd terwijl werk niet af",IF(IFERROR(VLOOKUP(C14,Tarieven!$A$2:$F$200,2,0),"")="Beide","Beide-klant: controleer prijstype","OK")))))))))</f>
        <v/>
      </c>
    </row>
    <row r="15" ht="15" customHeight="1" s="42">
      <c r="A15" s="56">
        <f>IF(B15="","",WEEKNUM(B15,21))</f>
        <v/>
      </c>
      <c r="B15" s="55" t="n"/>
      <c r="C15" s="57" t="n"/>
      <c r="D15" s="57" t="n"/>
      <c r="E15" s="57" t="n"/>
      <c r="F15" s="57" t="n"/>
      <c r="G15" s="67" t="n"/>
      <c r="H15" s="68" t="n"/>
      <c r="I15" s="61">
        <f>IF(C15="","",IF(H15&lt;&gt;"",INT(H15)+ROUND(MOD(H15,1)*100/60,2),SUMIFS(Registraties!$L$5:$L$3004,Registraties!$D$5:$D$3004,C15,Registraties!$A$5:$A$3004,B15)))</f>
        <v/>
      </c>
      <c r="J15" s="58">
        <f>IF(C15="","",IFERROR(IF(VLOOKUP(C15,Tarieven!$A$2:$F$200,2,0)="Beide","Per uur",VLOOKUP(C15,Tarieven!$A$2:$F$200,2,0)),"Nog bepalen"))</f>
        <v/>
      </c>
      <c r="K15" s="69">
        <f>IF(C15="","",IF(J15="Per uur",IFERROR(VLOOKUP(C15,Tarieven!$A$2:$F$200,3,0),""),IF(J15="Vaste prijs",IFERROR(VLOOKUP(C15,Tarieven!$A$2:$F$200,4,0),""),"")))</f>
        <v/>
      </c>
      <c r="L15" s="70">
        <f>IF(C15="","",IF(J15="Per uur",N(I15)*N(K15),IF(J15="Vaste prijs",N(K15),0)))</f>
        <v/>
      </c>
      <c r="M15" s="69">
        <f>IF(C15="","",IFERROR(IF(N(VLOOKUP(C15,Tarieven!$A$2:$F$200,5,0))=0,"",VLOOKUP(C15,Tarieven!$A$2:$F$200,5,0)),""))</f>
        <v/>
      </c>
      <c r="N15" s="69" t="n"/>
      <c r="O15" s="69" t="n"/>
      <c r="P15" s="70">
        <f>IF(C15="","",N(L15)+N(M15)+N(N15)+N(O15))</f>
        <v/>
      </c>
      <c r="Q15" s="58" t="n"/>
      <c r="R15" s="57" t="n"/>
      <c r="S15" s="57" t="n"/>
      <c r="T15" s="57" t="n"/>
      <c r="U15" s="62">
        <f>IF(C15="","",IF(COUNTIF(Tarieven!$A$2:$A$200,C15)=0,"Klant niet in Tarieven",IF(MOD(N(H15),1)*100&gt;59.4,"Tijd ongeldig: minuten boven 59",IF(J15="Nog bepalen","Prijstype nog bepalen",IF(AND(J15="Per uur",N(K15)=0),"Uurtarief ontbreekt",IF(AND(J15="Vaste prijs",N(K15)=0),"Vaste prijs ontbreekt",IF(AND(N(I15)=0,Q15&lt;&gt;"Niet doorgegaan / verplaatst",Q15&lt;&gt;"Geen factuur nodig"),"Geen uren",IF(AND(G15="NEE",Q15="Verstuurd"),"Verstuurd terwijl werk niet af",IF(IFERROR(VLOOKUP(C15,Tarieven!$A$2:$F$200,2,0),"")="Beide","Beide-klant: controleer prijstype","OK")))))))))</f>
        <v/>
      </c>
    </row>
    <row r="16" ht="15" customHeight="1" s="42">
      <c r="A16" s="56">
        <f>IF(B16="","",WEEKNUM(B16,21))</f>
        <v/>
      </c>
      <c r="B16" s="55" t="n"/>
      <c r="C16" s="57" t="n"/>
      <c r="D16" s="57" t="n"/>
      <c r="E16" s="57" t="n"/>
      <c r="F16" s="57" t="n"/>
      <c r="G16" s="67" t="n"/>
      <c r="H16" s="68" t="n"/>
      <c r="I16" s="61">
        <f>IF(C16="","",IF(H16&lt;&gt;"",INT(H16)+ROUND(MOD(H16,1)*100/60,2),SUMIFS(Registraties!$L$5:$L$3004,Registraties!$D$5:$D$3004,C16,Registraties!$A$5:$A$3004,B16)))</f>
        <v/>
      </c>
      <c r="J16" s="58">
        <f>IF(C16="","",IFERROR(IF(VLOOKUP(C16,Tarieven!$A$2:$F$200,2,0)="Beide","Per uur",VLOOKUP(C16,Tarieven!$A$2:$F$200,2,0)),"Nog bepalen"))</f>
        <v/>
      </c>
      <c r="K16" s="69">
        <f>IF(C16="","",IF(J16="Per uur",IFERROR(VLOOKUP(C16,Tarieven!$A$2:$F$200,3,0),""),IF(J16="Vaste prijs",IFERROR(VLOOKUP(C16,Tarieven!$A$2:$F$200,4,0),""),"")))</f>
        <v/>
      </c>
      <c r="L16" s="70">
        <f>IF(C16="","",IF(J16="Per uur",N(I16)*N(K16),IF(J16="Vaste prijs",N(K16),0)))</f>
        <v/>
      </c>
      <c r="M16" s="69">
        <f>IF(C16="","",IFERROR(IF(N(VLOOKUP(C16,Tarieven!$A$2:$F$200,5,0))=0,"",VLOOKUP(C16,Tarieven!$A$2:$F$200,5,0)),""))</f>
        <v/>
      </c>
      <c r="N16" s="69" t="n"/>
      <c r="O16" s="69" t="n"/>
      <c r="P16" s="70">
        <f>IF(C16="","",N(L16)+N(M16)+N(N16)+N(O16))</f>
        <v/>
      </c>
      <c r="Q16" s="58" t="n"/>
      <c r="R16" s="57" t="n"/>
      <c r="S16" s="57" t="n"/>
      <c r="T16" s="57" t="n"/>
      <c r="U16" s="62">
        <f>IF(C16="","",IF(COUNTIF(Tarieven!$A$2:$A$200,C16)=0,"Klant niet in Tarieven",IF(MOD(N(H16),1)*100&gt;59.4,"Tijd ongeldig: minuten boven 59",IF(J16="Nog bepalen","Prijstype nog bepalen",IF(AND(J16="Per uur",N(K16)=0),"Uurtarief ontbreekt",IF(AND(J16="Vaste prijs",N(K16)=0),"Vaste prijs ontbreekt",IF(AND(N(I16)=0,Q16&lt;&gt;"Niet doorgegaan / verplaatst",Q16&lt;&gt;"Geen factuur nodig"),"Geen uren",IF(AND(G16="NEE",Q16="Verstuurd"),"Verstuurd terwijl werk niet af",IF(IFERROR(VLOOKUP(C16,Tarieven!$A$2:$F$200,2,0),"")="Beide","Beide-klant: controleer prijstype","OK")))))))))</f>
        <v/>
      </c>
    </row>
    <row r="17" ht="15" customHeight="1" s="42">
      <c r="A17" s="56">
        <f>IF(B17="","",WEEKNUM(B17,21))</f>
        <v/>
      </c>
      <c r="B17" s="55" t="n"/>
      <c r="C17" s="57" t="n"/>
      <c r="D17" s="57" t="n"/>
      <c r="E17" s="57" t="n"/>
      <c r="F17" s="57" t="n"/>
      <c r="G17" s="67" t="n"/>
      <c r="H17" s="68" t="n"/>
      <c r="I17" s="61">
        <f>IF(C17="","",IF(H17&lt;&gt;"",INT(H17)+ROUND(MOD(H17,1)*100/60,2),SUMIFS(Registraties!$L$5:$L$3004,Registraties!$D$5:$D$3004,C17,Registraties!$A$5:$A$3004,B17)))</f>
        <v/>
      </c>
      <c r="J17" s="58">
        <f>IF(C17="","",IFERROR(IF(VLOOKUP(C17,Tarieven!$A$2:$F$200,2,0)="Beide","Per uur",VLOOKUP(C17,Tarieven!$A$2:$F$200,2,0)),"Nog bepalen"))</f>
        <v/>
      </c>
      <c r="K17" s="69">
        <f>IF(C17="","",IF(J17="Per uur",IFERROR(VLOOKUP(C17,Tarieven!$A$2:$F$200,3,0),""),IF(J17="Vaste prijs",IFERROR(VLOOKUP(C17,Tarieven!$A$2:$F$200,4,0),""),"")))</f>
        <v/>
      </c>
      <c r="L17" s="70">
        <f>IF(C17="","",IF(J17="Per uur",N(I17)*N(K17),IF(J17="Vaste prijs",N(K17),0)))</f>
        <v/>
      </c>
      <c r="M17" s="69">
        <f>IF(C17="","",IFERROR(IF(N(VLOOKUP(C17,Tarieven!$A$2:$F$200,5,0))=0,"",VLOOKUP(C17,Tarieven!$A$2:$F$200,5,0)),""))</f>
        <v/>
      </c>
      <c r="N17" s="69" t="n"/>
      <c r="O17" s="69" t="n"/>
      <c r="P17" s="70">
        <f>IF(C17="","",N(L17)+N(M17)+N(N17)+N(O17))</f>
        <v/>
      </c>
      <c r="Q17" s="58" t="n"/>
      <c r="R17" s="57" t="n"/>
      <c r="S17" s="57" t="n"/>
      <c r="T17" s="57" t="n"/>
      <c r="U17" s="62">
        <f>IF(C17="","",IF(COUNTIF(Tarieven!$A$2:$A$200,C17)=0,"Klant niet in Tarieven",IF(MOD(N(H17),1)*100&gt;59.4,"Tijd ongeldig: minuten boven 59",IF(J17="Nog bepalen","Prijstype nog bepalen",IF(AND(J17="Per uur",N(K17)=0),"Uurtarief ontbreekt",IF(AND(J17="Vaste prijs",N(K17)=0),"Vaste prijs ontbreekt",IF(AND(N(I17)=0,Q17&lt;&gt;"Niet doorgegaan / verplaatst",Q17&lt;&gt;"Geen factuur nodig"),"Geen uren",IF(AND(G17="NEE",Q17="Verstuurd"),"Verstuurd terwijl werk niet af",IF(IFERROR(VLOOKUP(C17,Tarieven!$A$2:$F$200,2,0),"")="Beide","Beide-klant: controleer prijstype","OK")))))))))</f>
        <v/>
      </c>
    </row>
    <row r="18" ht="15" customHeight="1" s="42">
      <c r="A18" s="56">
        <f>IF(B18="","",WEEKNUM(B18,21))</f>
        <v/>
      </c>
      <c r="B18" s="55" t="n"/>
      <c r="C18" s="57" t="n"/>
      <c r="D18" s="57" t="n"/>
      <c r="E18" s="57" t="n"/>
      <c r="F18" s="57" t="n"/>
      <c r="G18" s="67" t="n"/>
      <c r="H18" s="68" t="n"/>
      <c r="I18" s="61">
        <f>IF(C18="","",IF(H18&lt;&gt;"",INT(H18)+ROUND(MOD(H18,1)*100/60,2),SUMIFS(Registraties!$L$5:$L$3004,Registraties!$D$5:$D$3004,C18,Registraties!$A$5:$A$3004,B18)))</f>
        <v/>
      </c>
      <c r="J18" s="58">
        <f>IF(C18="","",IFERROR(IF(VLOOKUP(C18,Tarieven!$A$2:$F$200,2,0)="Beide","Per uur",VLOOKUP(C18,Tarieven!$A$2:$F$200,2,0)),"Nog bepalen"))</f>
        <v/>
      </c>
      <c r="K18" s="69">
        <f>IF(C18="","",IF(J18="Per uur",IFERROR(VLOOKUP(C18,Tarieven!$A$2:$F$200,3,0),""),IF(J18="Vaste prijs",IFERROR(VLOOKUP(C18,Tarieven!$A$2:$F$200,4,0),""),"")))</f>
        <v/>
      </c>
      <c r="L18" s="70">
        <f>IF(C18="","",IF(J18="Per uur",N(I18)*N(K18),IF(J18="Vaste prijs",N(K18),0)))</f>
        <v/>
      </c>
      <c r="M18" s="69">
        <f>IF(C18="","",IFERROR(IF(N(VLOOKUP(C18,Tarieven!$A$2:$F$200,5,0))=0,"",VLOOKUP(C18,Tarieven!$A$2:$F$200,5,0)),""))</f>
        <v/>
      </c>
      <c r="N18" s="69" t="n"/>
      <c r="O18" s="69" t="n"/>
      <c r="P18" s="70">
        <f>IF(C18="","",N(L18)+N(M18)+N(N18)+N(O18))</f>
        <v/>
      </c>
      <c r="Q18" s="58" t="n"/>
      <c r="R18" s="57" t="n"/>
      <c r="S18" s="57" t="n"/>
      <c r="T18" s="57" t="n"/>
      <c r="U18" s="62">
        <f>IF(C18="","",IF(COUNTIF(Tarieven!$A$2:$A$200,C18)=0,"Klant niet in Tarieven",IF(MOD(N(H18),1)*100&gt;59.4,"Tijd ongeldig: minuten boven 59",IF(J18="Nog bepalen","Prijstype nog bepalen",IF(AND(J18="Per uur",N(K18)=0),"Uurtarief ontbreekt",IF(AND(J18="Vaste prijs",N(K18)=0),"Vaste prijs ontbreekt",IF(AND(N(I18)=0,Q18&lt;&gt;"Niet doorgegaan / verplaatst",Q18&lt;&gt;"Geen factuur nodig"),"Geen uren",IF(AND(G18="NEE",Q18="Verstuurd"),"Verstuurd terwijl werk niet af",IF(IFERROR(VLOOKUP(C18,Tarieven!$A$2:$F$200,2,0),"")="Beide","Beide-klant: controleer prijstype","OK")))))))))</f>
        <v/>
      </c>
    </row>
    <row r="19" ht="15" customHeight="1" s="42">
      <c r="A19" s="56">
        <f>IF(B19="","",WEEKNUM(B19,21))</f>
        <v/>
      </c>
      <c r="B19" s="55" t="n"/>
      <c r="C19" s="57" t="n"/>
      <c r="D19" s="57" t="n"/>
      <c r="E19" s="57" t="n"/>
      <c r="F19" s="57" t="n"/>
      <c r="G19" s="67" t="n"/>
      <c r="H19" s="68" t="n"/>
      <c r="I19" s="61">
        <f>IF(C19="","",IF(H19&lt;&gt;"",INT(H19)+ROUND(MOD(H19,1)*100/60,2),SUMIFS(Registraties!$L$5:$L$3004,Registraties!$D$5:$D$3004,C19,Registraties!$A$5:$A$3004,B19)))</f>
        <v/>
      </c>
      <c r="J19" s="58">
        <f>IF(C19="","",IFERROR(IF(VLOOKUP(C19,Tarieven!$A$2:$F$200,2,0)="Beide","Per uur",VLOOKUP(C19,Tarieven!$A$2:$F$200,2,0)),"Nog bepalen"))</f>
        <v/>
      </c>
      <c r="K19" s="69">
        <f>IF(C19="","",IF(J19="Per uur",IFERROR(VLOOKUP(C19,Tarieven!$A$2:$F$200,3,0),""),IF(J19="Vaste prijs",IFERROR(VLOOKUP(C19,Tarieven!$A$2:$F$200,4,0),""),"")))</f>
        <v/>
      </c>
      <c r="L19" s="70">
        <f>IF(C19="","",IF(J19="Per uur",N(I19)*N(K19),IF(J19="Vaste prijs",N(K19),0)))</f>
        <v/>
      </c>
      <c r="M19" s="69">
        <f>IF(C19="","",IFERROR(IF(N(VLOOKUP(C19,Tarieven!$A$2:$F$200,5,0))=0,"",VLOOKUP(C19,Tarieven!$A$2:$F$200,5,0)),""))</f>
        <v/>
      </c>
      <c r="N19" s="69" t="n"/>
      <c r="O19" s="69" t="n"/>
      <c r="P19" s="70">
        <f>IF(C19="","",N(L19)+N(M19)+N(N19)+N(O19))</f>
        <v/>
      </c>
      <c r="Q19" s="58" t="n"/>
      <c r="R19" s="57" t="n"/>
      <c r="S19" s="57" t="n"/>
      <c r="T19" s="57" t="n"/>
      <c r="U19" s="62">
        <f>IF(C19="","",IF(COUNTIF(Tarieven!$A$2:$A$200,C19)=0,"Klant niet in Tarieven",IF(MOD(N(H19),1)*100&gt;59.4,"Tijd ongeldig: minuten boven 59",IF(J19="Nog bepalen","Prijstype nog bepalen",IF(AND(J19="Per uur",N(K19)=0),"Uurtarief ontbreekt",IF(AND(J19="Vaste prijs",N(K19)=0),"Vaste prijs ontbreekt",IF(AND(N(I19)=0,Q19&lt;&gt;"Niet doorgegaan / verplaatst",Q19&lt;&gt;"Geen factuur nodig"),"Geen uren",IF(AND(G19="NEE",Q19="Verstuurd"),"Verstuurd terwijl werk niet af",IF(IFERROR(VLOOKUP(C19,Tarieven!$A$2:$F$200,2,0),"")="Beide","Beide-klant: controleer prijstype","OK")))))))))</f>
        <v/>
      </c>
    </row>
    <row r="20" ht="15" customHeight="1" s="42">
      <c r="A20" s="56">
        <f>IF(B20="","",WEEKNUM(B20,21))</f>
        <v/>
      </c>
      <c r="B20" s="55" t="n"/>
      <c r="C20" s="57" t="n"/>
      <c r="D20" s="57" t="n"/>
      <c r="E20" s="57" t="n"/>
      <c r="F20" s="57" t="n"/>
      <c r="G20" s="67" t="n"/>
      <c r="H20" s="68" t="n"/>
      <c r="I20" s="61">
        <f>IF(C20="","",IF(H20&lt;&gt;"",INT(H20)+ROUND(MOD(H20,1)*100/60,2),SUMIFS(Registraties!$L$5:$L$3004,Registraties!$D$5:$D$3004,C20,Registraties!$A$5:$A$3004,B20)))</f>
        <v/>
      </c>
      <c r="J20" s="58">
        <f>IF(C20="","",IFERROR(IF(VLOOKUP(C20,Tarieven!$A$2:$F$200,2,0)="Beide","Per uur",VLOOKUP(C20,Tarieven!$A$2:$F$200,2,0)),"Nog bepalen"))</f>
        <v/>
      </c>
      <c r="K20" s="69">
        <f>IF(C20="","",IF(J20="Per uur",IFERROR(VLOOKUP(C20,Tarieven!$A$2:$F$200,3,0),""),IF(J20="Vaste prijs",IFERROR(VLOOKUP(C20,Tarieven!$A$2:$F$200,4,0),""),"")))</f>
        <v/>
      </c>
      <c r="L20" s="70">
        <f>IF(C20="","",IF(J20="Per uur",N(I20)*N(K20),IF(J20="Vaste prijs",N(K20),0)))</f>
        <v/>
      </c>
      <c r="M20" s="69">
        <f>IF(C20="","",IFERROR(IF(N(VLOOKUP(C20,Tarieven!$A$2:$F$200,5,0))=0,"",VLOOKUP(C20,Tarieven!$A$2:$F$200,5,0)),""))</f>
        <v/>
      </c>
      <c r="N20" s="69" t="n"/>
      <c r="O20" s="69" t="n"/>
      <c r="P20" s="70">
        <f>IF(C20="","",N(L20)+N(M20)+N(N20)+N(O20))</f>
        <v/>
      </c>
      <c r="Q20" s="58" t="n"/>
      <c r="R20" s="57" t="n"/>
      <c r="S20" s="57" t="n"/>
      <c r="T20" s="57" t="n"/>
      <c r="U20" s="62">
        <f>IF(C20="","",IF(COUNTIF(Tarieven!$A$2:$A$200,C20)=0,"Klant niet in Tarieven",IF(MOD(N(H20),1)*100&gt;59.4,"Tijd ongeldig: minuten boven 59",IF(J20="Nog bepalen","Prijstype nog bepalen",IF(AND(J20="Per uur",N(K20)=0),"Uurtarief ontbreekt",IF(AND(J20="Vaste prijs",N(K20)=0),"Vaste prijs ontbreekt",IF(AND(N(I20)=0,Q20&lt;&gt;"Niet doorgegaan / verplaatst",Q20&lt;&gt;"Geen factuur nodig"),"Geen uren",IF(AND(G20="NEE",Q20="Verstuurd"),"Verstuurd terwijl werk niet af",IF(IFERROR(VLOOKUP(C20,Tarieven!$A$2:$F$200,2,0),"")="Beide","Beide-klant: controleer prijstype","OK")))))))))</f>
        <v/>
      </c>
    </row>
    <row r="21" ht="15" customHeight="1" s="42">
      <c r="A21" s="56">
        <f>IF(B21="","",WEEKNUM(B21,21))</f>
        <v/>
      </c>
      <c r="B21" s="55" t="n"/>
      <c r="C21" s="57" t="n"/>
      <c r="D21" s="57" t="n"/>
      <c r="E21" s="57" t="n"/>
      <c r="F21" s="57" t="n"/>
      <c r="G21" s="67" t="n"/>
      <c r="H21" s="68" t="n"/>
      <c r="I21" s="61">
        <f>IF(C21="","",IF(H21&lt;&gt;"",INT(H21)+ROUND(MOD(H21,1)*100/60,2),SUMIFS(Registraties!$L$5:$L$3004,Registraties!$D$5:$D$3004,C21,Registraties!$A$5:$A$3004,B21)))</f>
        <v/>
      </c>
      <c r="J21" s="58">
        <f>IF(C21="","",IFERROR(IF(VLOOKUP(C21,Tarieven!$A$2:$F$200,2,0)="Beide","Per uur",VLOOKUP(C21,Tarieven!$A$2:$F$200,2,0)),"Nog bepalen"))</f>
        <v/>
      </c>
      <c r="K21" s="69">
        <f>IF(C21="","",IF(J21="Per uur",IFERROR(VLOOKUP(C21,Tarieven!$A$2:$F$200,3,0),""),IF(J21="Vaste prijs",IFERROR(VLOOKUP(C21,Tarieven!$A$2:$F$200,4,0),""),"")))</f>
        <v/>
      </c>
      <c r="L21" s="70">
        <f>IF(C21="","",IF(J21="Per uur",N(I21)*N(K21),IF(J21="Vaste prijs",N(K21),0)))</f>
        <v/>
      </c>
      <c r="M21" s="69">
        <f>IF(C21="","",IFERROR(IF(N(VLOOKUP(C21,Tarieven!$A$2:$F$200,5,0))=0,"",VLOOKUP(C21,Tarieven!$A$2:$F$200,5,0)),""))</f>
        <v/>
      </c>
      <c r="N21" s="69" t="n"/>
      <c r="O21" s="69" t="n"/>
      <c r="P21" s="70">
        <f>IF(C21="","",N(L21)+N(M21)+N(N21)+N(O21))</f>
        <v/>
      </c>
      <c r="Q21" s="58" t="n"/>
      <c r="R21" s="57" t="n"/>
      <c r="S21" s="57" t="n"/>
      <c r="T21" s="57" t="n"/>
      <c r="U21" s="62">
        <f>IF(C21="","",IF(COUNTIF(Tarieven!$A$2:$A$200,C21)=0,"Klant niet in Tarieven",IF(MOD(N(H21),1)*100&gt;59.4,"Tijd ongeldig: minuten boven 59",IF(J21="Nog bepalen","Prijstype nog bepalen",IF(AND(J21="Per uur",N(K21)=0),"Uurtarief ontbreekt",IF(AND(J21="Vaste prijs",N(K21)=0),"Vaste prijs ontbreekt",IF(AND(N(I21)=0,Q21&lt;&gt;"Niet doorgegaan / verplaatst",Q21&lt;&gt;"Geen factuur nodig"),"Geen uren",IF(AND(G21="NEE",Q21="Verstuurd"),"Verstuurd terwijl werk niet af",IF(IFERROR(VLOOKUP(C21,Tarieven!$A$2:$F$200,2,0),"")="Beide","Beide-klant: controleer prijstype","OK")))))))))</f>
        <v/>
      </c>
    </row>
    <row r="22" ht="15" customHeight="1" s="42">
      <c r="A22" s="56">
        <f>IF(B22="","",WEEKNUM(B22,21))</f>
        <v/>
      </c>
      <c r="B22" s="55" t="n"/>
      <c r="C22" s="57" t="n"/>
      <c r="D22" s="57" t="n"/>
      <c r="E22" s="57" t="n"/>
      <c r="F22" s="57" t="n"/>
      <c r="G22" s="67" t="n"/>
      <c r="H22" s="68" t="n"/>
      <c r="I22" s="61">
        <f>IF(C22="","",IF(H22&lt;&gt;"",INT(H22)+ROUND(MOD(H22,1)*100/60,2),SUMIFS(Registraties!$L$5:$L$3004,Registraties!$D$5:$D$3004,C22,Registraties!$A$5:$A$3004,B22)))</f>
        <v/>
      </c>
      <c r="J22" s="58">
        <f>IF(C22="","",IFERROR(IF(VLOOKUP(C22,Tarieven!$A$2:$F$200,2,0)="Beide","Per uur",VLOOKUP(C22,Tarieven!$A$2:$F$200,2,0)),"Nog bepalen"))</f>
        <v/>
      </c>
      <c r="K22" s="69">
        <f>IF(C22="","",IF(J22="Per uur",IFERROR(VLOOKUP(C22,Tarieven!$A$2:$F$200,3,0),""),IF(J22="Vaste prijs",IFERROR(VLOOKUP(C22,Tarieven!$A$2:$F$200,4,0),""),"")))</f>
        <v/>
      </c>
      <c r="L22" s="70">
        <f>IF(C22="","",IF(J22="Per uur",N(I22)*N(K22),IF(J22="Vaste prijs",N(K22),0)))</f>
        <v/>
      </c>
      <c r="M22" s="69">
        <f>IF(C22="","",IFERROR(IF(N(VLOOKUP(C22,Tarieven!$A$2:$F$200,5,0))=0,"",VLOOKUP(C22,Tarieven!$A$2:$F$200,5,0)),""))</f>
        <v/>
      </c>
      <c r="N22" s="69" t="n"/>
      <c r="O22" s="69" t="n"/>
      <c r="P22" s="70">
        <f>IF(C22="","",N(L22)+N(M22)+N(N22)+N(O22))</f>
        <v/>
      </c>
      <c r="Q22" s="58" t="n"/>
      <c r="R22" s="57" t="n"/>
      <c r="S22" s="57" t="n"/>
      <c r="T22" s="57" t="n"/>
      <c r="U22" s="62">
        <f>IF(C22="","",IF(COUNTIF(Tarieven!$A$2:$A$200,C22)=0,"Klant niet in Tarieven",IF(MOD(N(H22),1)*100&gt;59.4,"Tijd ongeldig: minuten boven 59",IF(J22="Nog bepalen","Prijstype nog bepalen",IF(AND(J22="Per uur",N(K22)=0),"Uurtarief ontbreekt",IF(AND(J22="Vaste prijs",N(K22)=0),"Vaste prijs ontbreekt",IF(AND(N(I22)=0,Q22&lt;&gt;"Niet doorgegaan / verplaatst",Q22&lt;&gt;"Geen factuur nodig"),"Geen uren",IF(AND(G22="NEE",Q22="Verstuurd"),"Verstuurd terwijl werk niet af",IF(IFERROR(VLOOKUP(C22,Tarieven!$A$2:$F$200,2,0),"")="Beide","Beide-klant: controleer prijstype","OK")))))))))</f>
        <v/>
      </c>
    </row>
    <row r="23" ht="15" customHeight="1" s="42">
      <c r="A23" s="56">
        <f>IF(B23="","",WEEKNUM(B23,21))</f>
        <v/>
      </c>
      <c r="B23" s="55" t="n"/>
      <c r="C23" s="57" t="n"/>
      <c r="D23" s="57" t="n"/>
      <c r="E23" s="57" t="n"/>
      <c r="F23" s="57" t="n"/>
      <c r="G23" s="67" t="n"/>
      <c r="H23" s="68" t="n"/>
      <c r="I23" s="61">
        <f>IF(C23="","",IF(H23&lt;&gt;"",INT(H23)+ROUND(MOD(H23,1)*100/60,2),SUMIFS(Registraties!$L$5:$L$3004,Registraties!$D$5:$D$3004,C23,Registraties!$A$5:$A$3004,B23)))</f>
        <v/>
      </c>
      <c r="J23" s="58">
        <f>IF(C23="","",IFERROR(IF(VLOOKUP(C23,Tarieven!$A$2:$F$200,2,0)="Beide","Per uur",VLOOKUP(C23,Tarieven!$A$2:$F$200,2,0)),"Nog bepalen"))</f>
        <v/>
      </c>
      <c r="K23" s="69">
        <f>IF(C23="","",IF(J23="Per uur",IFERROR(VLOOKUP(C23,Tarieven!$A$2:$F$200,3,0),""),IF(J23="Vaste prijs",IFERROR(VLOOKUP(C23,Tarieven!$A$2:$F$200,4,0),""),"")))</f>
        <v/>
      </c>
      <c r="L23" s="70">
        <f>IF(C23="","",IF(J23="Per uur",N(I23)*N(K23),IF(J23="Vaste prijs",N(K23),0)))</f>
        <v/>
      </c>
      <c r="M23" s="69">
        <f>IF(C23="","",IFERROR(IF(N(VLOOKUP(C23,Tarieven!$A$2:$F$200,5,0))=0,"",VLOOKUP(C23,Tarieven!$A$2:$F$200,5,0)),""))</f>
        <v/>
      </c>
      <c r="N23" s="69" t="n"/>
      <c r="O23" s="69" t="n"/>
      <c r="P23" s="70">
        <f>IF(C23="","",N(L23)+N(M23)+N(N23)+N(O23))</f>
        <v/>
      </c>
      <c r="Q23" s="58" t="n"/>
      <c r="R23" s="57" t="n"/>
      <c r="S23" s="57" t="n"/>
      <c r="T23" s="57" t="n"/>
      <c r="U23" s="62">
        <f>IF(C23="","",IF(COUNTIF(Tarieven!$A$2:$A$200,C23)=0,"Klant niet in Tarieven",IF(MOD(N(H23),1)*100&gt;59.4,"Tijd ongeldig: minuten boven 59",IF(J23="Nog bepalen","Prijstype nog bepalen",IF(AND(J23="Per uur",N(K23)=0),"Uurtarief ontbreekt",IF(AND(J23="Vaste prijs",N(K23)=0),"Vaste prijs ontbreekt",IF(AND(N(I23)=0,Q23&lt;&gt;"Niet doorgegaan / verplaatst",Q23&lt;&gt;"Geen factuur nodig"),"Geen uren",IF(AND(G23="NEE",Q23="Verstuurd"),"Verstuurd terwijl werk niet af",IF(IFERROR(VLOOKUP(C23,Tarieven!$A$2:$F$200,2,0),"")="Beide","Beide-klant: controleer prijstype","OK")))))))))</f>
        <v/>
      </c>
    </row>
    <row r="24" ht="15" customHeight="1" s="42">
      <c r="A24" s="56">
        <f>IF(B24="","",WEEKNUM(B24,21))</f>
        <v/>
      </c>
      <c r="B24" s="55" t="n"/>
      <c r="C24" s="57" t="n"/>
      <c r="D24" s="57" t="n"/>
      <c r="E24" s="57" t="n"/>
      <c r="F24" s="57" t="n"/>
      <c r="G24" s="67" t="n"/>
      <c r="H24" s="68" t="n"/>
      <c r="I24" s="61">
        <f>IF(C24="","",IF(H24&lt;&gt;"",INT(H24)+ROUND(MOD(H24,1)*100/60,2),SUMIFS(Registraties!$L$5:$L$3004,Registraties!$D$5:$D$3004,C24,Registraties!$A$5:$A$3004,B24)))</f>
        <v/>
      </c>
      <c r="J24" s="58">
        <f>IF(C24="","",IFERROR(IF(VLOOKUP(C24,Tarieven!$A$2:$F$200,2,0)="Beide","Per uur",VLOOKUP(C24,Tarieven!$A$2:$F$200,2,0)),"Nog bepalen"))</f>
        <v/>
      </c>
      <c r="K24" s="69">
        <f>IF(C24="","",IF(J24="Per uur",IFERROR(VLOOKUP(C24,Tarieven!$A$2:$F$200,3,0),""),IF(J24="Vaste prijs",IFERROR(VLOOKUP(C24,Tarieven!$A$2:$F$200,4,0),""),"")))</f>
        <v/>
      </c>
      <c r="L24" s="70">
        <f>IF(C24="","",IF(J24="Per uur",N(I24)*N(K24),IF(J24="Vaste prijs",N(K24),0)))</f>
        <v/>
      </c>
      <c r="M24" s="69">
        <f>IF(C24="","",IFERROR(IF(N(VLOOKUP(C24,Tarieven!$A$2:$F$200,5,0))=0,"",VLOOKUP(C24,Tarieven!$A$2:$F$200,5,0)),""))</f>
        <v/>
      </c>
      <c r="N24" s="69" t="n"/>
      <c r="O24" s="69" t="n"/>
      <c r="P24" s="70">
        <f>IF(C24="","",N(L24)+N(M24)+N(N24)+N(O24))</f>
        <v/>
      </c>
      <c r="Q24" s="58" t="n"/>
      <c r="R24" s="57" t="n"/>
      <c r="S24" s="57" t="n"/>
      <c r="T24" s="57" t="n"/>
      <c r="U24" s="62">
        <f>IF(C24="","",IF(COUNTIF(Tarieven!$A$2:$A$200,C24)=0,"Klant niet in Tarieven",IF(MOD(N(H24),1)*100&gt;59.4,"Tijd ongeldig: minuten boven 59",IF(J24="Nog bepalen","Prijstype nog bepalen",IF(AND(J24="Per uur",N(K24)=0),"Uurtarief ontbreekt",IF(AND(J24="Vaste prijs",N(K24)=0),"Vaste prijs ontbreekt",IF(AND(N(I24)=0,Q24&lt;&gt;"Niet doorgegaan / verplaatst",Q24&lt;&gt;"Geen factuur nodig"),"Geen uren",IF(AND(G24="NEE",Q24="Verstuurd"),"Verstuurd terwijl werk niet af",IF(IFERROR(VLOOKUP(C24,Tarieven!$A$2:$F$200,2,0),"")="Beide","Beide-klant: controleer prijstype","OK")))))))))</f>
        <v/>
      </c>
    </row>
    <row r="25" ht="15" customHeight="1" s="42">
      <c r="A25" s="56">
        <f>IF(B25="","",WEEKNUM(B25,21))</f>
        <v/>
      </c>
      <c r="B25" s="55" t="n"/>
      <c r="C25" s="57" t="n"/>
      <c r="D25" s="57" t="n"/>
      <c r="E25" s="57" t="n"/>
      <c r="F25" s="57" t="n"/>
      <c r="G25" s="67" t="n"/>
      <c r="H25" s="68" t="n"/>
      <c r="I25" s="61">
        <f>IF(C25="","",IF(H25&lt;&gt;"",INT(H25)+ROUND(MOD(H25,1)*100/60,2),SUMIFS(Registraties!$L$5:$L$3004,Registraties!$D$5:$D$3004,C25,Registraties!$A$5:$A$3004,B25)))</f>
        <v/>
      </c>
      <c r="J25" s="58">
        <f>IF(C25="","",IFERROR(IF(VLOOKUP(C25,Tarieven!$A$2:$F$200,2,0)="Beide","Per uur",VLOOKUP(C25,Tarieven!$A$2:$F$200,2,0)),"Nog bepalen"))</f>
        <v/>
      </c>
      <c r="K25" s="69">
        <f>IF(C25="","",IF(J25="Per uur",IFERROR(VLOOKUP(C25,Tarieven!$A$2:$F$200,3,0),""),IF(J25="Vaste prijs",IFERROR(VLOOKUP(C25,Tarieven!$A$2:$F$200,4,0),""),"")))</f>
        <v/>
      </c>
      <c r="L25" s="70">
        <f>IF(C25="","",IF(J25="Per uur",N(I25)*N(K25),IF(J25="Vaste prijs",N(K25),0)))</f>
        <v/>
      </c>
      <c r="M25" s="69">
        <f>IF(C25="","",IFERROR(IF(N(VLOOKUP(C25,Tarieven!$A$2:$F$200,5,0))=0,"",VLOOKUP(C25,Tarieven!$A$2:$F$200,5,0)),""))</f>
        <v/>
      </c>
      <c r="N25" s="69" t="n"/>
      <c r="O25" s="69" t="n"/>
      <c r="P25" s="70">
        <f>IF(C25="","",N(L25)+N(M25)+N(N25)+N(O25))</f>
        <v/>
      </c>
      <c r="Q25" s="58" t="n"/>
      <c r="R25" s="57" t="n"/>
      <c r="S25" s="57" t="n"/>
      <c r="T25" s="57" t="n"/>
      <c r="U25" s="62">
        <f>IF(C25="","",IF(COUNTIF(Tarieven!$A$2:$A$200,C25)=0,"Klant niet in Tarieven",IF(MOD(N(H25),1)*100&gt;59.4,"Tijd ongeldig: minuten boven 59",IF(J25="Nog bepalen","Prijstype nog bepalen",IF(AND(J25="Per uur",N(K25)=0),"Uurtarief ontbreekt",IF(AND(J25="Vaste prijs",N(K25)=0),"Vaste prijs ontbreekt",IF(AND(N(I25)=0,Q25&lt;&gt;"Niet doorgegaan / verplaatst",Q25&lt;&gt;"Geen factuur nodig"),"Geen uren",IF(AND(G25="NEE",Q25="Verstuurd"),"Verstuurd terwijl werk niet af",IF(IFERROR(VLOOKUP(C25,Tarieven!$A$2:$F$200,2,0),"")="Beide","Beide-klant: controleer prijstype","OK")))))))))</f>
        <v/>
      </c>
    </row>
    <row r="26" ht="15" customHeight="1" s="42">
      <c r="A26" s="56">
        <f>IF(B26="","",WEEKNUM(B26,21))</f>
        <v/>
      </c>
      <c r="B26" s="55" t="n"/>
      <c r="C26" s="57" t="n"/>
      <c r="D26" s="57" t="n"/>
      <c r="E26" s="57" t="n"/>
      <c r="F26" s="57" t="n"/>
      <c r="G26" s="67" t="n"/>
      <c r="H26" s="68" t="n"/>
      <c r="I26" s="61">
        <f>IF(C26="","",IF(H26&lt;&gt;"",INT(H26)+ROUND(MOD(H26,1)*100/60,2),SUMIFS(Registraties!$L$5:$L$3004,Registraties!$D$5:$D$3004,C26,Registraties!$A$5:$A$3004,B26)))</f>
        <v/>
      </c>
      <c r="J26" s="58">
        <f>IF(C26="","",IFERROR(IF(VLOOKUP(C26,Tarieven!$A$2:$F$200,2,0)="Beide","Per uur",VLOOKUP(C26,Tarieven!$A$2:$F$200,2,0)),"Nog bepalen"))</f>
        <v/>
      </c>
      <c r="K26" s="69">
        <f>IF(C26="","",IF(J26="Per uur",IFERROR(VLOOKUP(C26,Tarieven!$A$2:$F$200,3,0),""),IF(J26="Vaste prijs",IFERROR(VLOOKUP(C26,Tarieven!$A$2:$F$200,4,0),""),"")))</f>
        <v/>
      </c>
      <c r="L26" s="70">
        <f>IF(C26="","",IF(J26="Per uur",N(I26)*N(K26),IF(J26="Vaste prijs",N(K26),0)))</f>
        <v/>
      </c>
      <c r="M26" s="69">
        <f>IF(C26="","",IFERROR(IF(N(VLOOKUP(C26,Tarieven!$A$2:$F$200,5,0))=0,"",VLOOKUP(C26,Tarieven!$A$2:$F$200,5,0)),""))</f>
        <v/>
      </c>
      <c r="N26" s="69" t="n"/>
      <c r="O26" s="69" t="n"/>
      <c r="P26" s="70">
        <f>IF(C26="","",N(L26)+N(M26)+N(N26)+N(O26))</f>
        <v/>
      </c>
      <c r="Q26" s="58" t="n"/>
      <c r="R26" s="57" t="n"/>
      <c r="S26" s="57" t="n"/>
      <c r="T26" s="57" t="n"/>
      <c r="U26" s="62">
        <f>IF(C26="","",IF(COUNTIF(Tarieven!$A$2:$A$200,C26)=0,"Klant niet in Tarieven",IF(MOD(N(H26),1)*100&gt;59.4,"Tijd ongeldig: minuten boven 59",IF(J26="Nog bepalen","Prijstype nog bepalen",IF(AND(J26="Per uur",N(K26)=0),"Uurtarief ontbreekt",IF(AND(J26="Vaste prijs",N(K26)=0),"Vaste prijs ontbreekt",IF(AND(N(I26)=0,Q26&lt;&gt;"Niet doorgegaan / verplaatst",Q26&lt;&gt;"Geen factuur nodig"),"Geen uren",IF(AND(G26="NEE",Q26="Verstuurd"),"Verstuurd terwijl werk niet af",IF(IFERROR(VLOOKUP(C26,Tarieven!$A$2:$F$200,2,0),"")="Beide","Beide-klant: controleer prijstype","OK")))))))))</f>
        <v/>
      </c>
    </row>
    <row r="27" ht="15" customHeight="1" s="42">
      <c r="A27" s="56">
        <f>IF(B27="","",WEEKNUM(B27,21))</f>
        <v/>
      </c>
      <c r="B27" s="55" t="n"/>
      <c r="C27" s="57" t="n"/>
      <c r="D27" s="57" t="n"/>
      <c r="E27" s="57" t="n"/>
      <c r="F27" s="57" t="n"/>
      <c r="G27" s="67" t="n"/>
      <c r="H27" s="68" t="n"/>
      <c r="I27" s="61">
        <f>IF(C27="","",IF(H27&lt;&gt;"",INT(H27)+ROUND(MOD(H27,1)*100/60,2),SUMIFS(Registraties!$L$5:$L$3004,Registraties!$D$5:$D$3004,C27,Registraties!$A$5:$A$3004,B27)))</f>
        <v/>
      </c>
      <c r="J27" s="58">
        <f>IF(C27="","",IFERROR(IF(VLOOKUP(C27,Tarieven!$A$2:$F$200,2,0)="Beide","Per uur",VLOOKUP(C27,Tarieven!$A$2:$F$200,2,0)),"Nog bepalen"))</f>
        <v/>
      </c>
      <c r="K27" s="69">
        <f>IF(C27="","",IF(J27="Per uur",IFERROR(VLOOKUP(C27,Tarieven!$A$2:$F$200,3,0),""),IF(J27="Vaste prijs",IFERROR(VLOOKUP(C27,Tarieven!$A$2:$F$200,4,0),""),"")))</f>
        <v/>
      </c>
      <c r="L27" s="70">
        <f>IF(C27="","",IF(J27="Per uur",N(I27)*N(K27),IF(J27="Vaste prijs",N(K27),0)))</f>
        <v/>
      </c>
      <c r="M27" s="69">
        <f>IF(C27="","",IFERROR(IF(N(VLOOKUP(C27,Tarieven!$A$2:$F$200,5,0))=0,"",VLOOKUP(C27,Tarieven!$A$2:$F$200,5,0)),""))</f>
        <v/>
      </c>
      <c r="N27" s="69" t="n"/>
      <c r="O27" s="69" t="n"/>
      <c r="P27" s="70">
        <f>IF(C27="","",N(L27)+N(M27)+N(N27)+N(O27))</f>
        <v/>
      </c>
      <c r="Q27" s="58" t="n"/>
      <c r="R27" s="57" t="n"/>
      <c r="S27" s="57" t="n"/>
      <c r="T27" s="57" t="n"/>
      <c r="U27" s="62">
        <f>IF(C27="","",IF(COUNTIF(Tarieven!$A$2:$A$200,C27)=0,"Klant niet in Tarieven",IF(MOD(N(H27),1)*100&gt;59.4,"Tijd ongeldig: minuten boven 59",IF(J27="Nog bepalen","Prijstype nog bepalen",IF(AND(J27="Per uur",N(K27)=0),"Uurtarief ontbreekt",IF(AND(J27="Vaste prijs",N(K27)=0),"Vaste prijs ontbreekt",IF(AND(N(I27)=0,Q27&lt;&gt;"Niet doorgegaan / verplaatst",Q27&lt;&gt;"Geen factuur nodig"),"Geen uren",IF(AND(G27="NEE",Q27="Verstuurd"),"Verstuurd terwijl werk niet af",IF(IFERROR(VLOOKUP(C27,Tarieven!$A$2:$F$200,2,0),"")="Beide","Beide-klant: controleer prijstype","OK")))))))))</f>
        <v/>
      </c>
    </row>
    <row r="28" ht="15" customHeight="1" s="42">
      <c r="A28" s="56">
        <f>IF(B28="","",WEEKNUM(B28,21))</f>
        <v/>
      </c>
      <c r="B28" s="55" t="n"/>
      <c r="C28" s="57" t="n"/>
      <c r="D28" s="57" t="n"/>
      <c r="E28" s="57" t="n"/>
      <c r="F28" s="57" t="n"/>
      <c r="G28" s="67" t="n"/>
      <c r="H28" s="68" t="n"/>
      <c r="I28" s="61">
        <f>IF(C28="","",IF(H28&lt;&gt;"",INT(H28)+ROUND(MOD(H28,1)*100/60,2),SUMIFS(Registraties!$L$5:$L$3004,Registraties!$D$5:$D$3004,C28,Registraties!$A$5:$A$3004,B28)))</f>
        <v/>
      </c>
      <c r="J28" s="58">
        <f>IF(C28="","",IFERROR(IF(VLOOKUP(C28,Tarieven!$A$2:$F$200,2,0)="Beide","Per uur",VLOOKUP(C28,Tarieven!$A$2:$F$200,2,0)),"Nog bepalen"))</f>
        <v/>
      </c>
      <c r="K28" s="69">
        <f>IF(C28="","",IF(J28="Per uur",IFERROR(VLOOKUP(C28,Tarieven!$A$2:$F$200,3,0),""),IF(J28="Vaste prijs",IFERROR(VLOOKUP(C28,Tarieven!$A$2:$F$200,4,0),""),"")))</f>
        <v/>
      </c>
      <c r="L28" s="70">
        <f>IF(C28="","",IF(J28="Per uur",N(I28)*N(K28),IF(J28="Vaste prijs",N(K28),0)))</f>
        <v/>
      </c>
      <c r="M28" s="69">
        <f>IF(C28="","",IFERROR(IF(N(VLOOKUP(C28,Tarieven!$A$2:$F$200,5,0))=0,"",VLOOKUP(C28,Tarieven!$A$2:$F$200,5,0)),""))</f>
        <v/>
      </c>
      <c r="N28" s="69" t="n"/>
      <c r="O28" s="69" t="n"/>
      <c r="P28" s="70">
        <f>IF(C28="","",N(L28)+N(M28)+N(N28)+N(O28))</f>
        <v/>
      </c>
      <c r="Q28" s="58" t="n"/>
      <c r="R28" s="57" t="n"/>
      <c r="S28" s="57" t="n"/>
      <c r="T28" s="57" t="n"/>
      <c r="U28" s="62">
        <f>IF(C28="","",IF(COUNTIF(Tarieven!$A$2:$A$200,C28)=0,"Klant niet in Tarieven",IF(MOD(N(H28),1)*100&gt;59.4,"Tijd ongeldig: minuten boven 59",IF(J28="Nog bepalen","Prijstype nog bepalen",IF(AND(J28="Per uur",N(K28)=0),"Uurtarief ontbreekt",IF(AND(J28="Vaste prijs",N(K28)=0),"Vaste prijs ontbreekt",IF(AND(N(I28)=0,Q28&lt;&gt;"Niet doorgegaan / verplaatst",Q28&lt;&gt;"Geen factuur nodig"),"Geen uren",IF(AND(G28="NEE",Q28="Verstuurd"),"Verstuurd terwijl werk niet af",IF(IFERROR(VLOOKUP(C28,Tarieven!$A$2:$F$200,2,0),"")="Beide","Beide-klant: controleer prijstype","OK")))))))))</f>
        <v/>
      </c>
    </row>
    <row r="29" ht="15" customHeight="1" s="42">
      <c r="A29" s="56">
        <f>IF(B29="","",WEEKNUM(B29,21))</f>
        <v/>
      </c>
      <c r="B29" s="55" t="n"/>
      <c r="C29" s="57" t="n"/>
      <c r="D29" s="57" t="n"/>
      <c r="E29" s="57" t="n"/>
      <c r="F29" s="57" t="n"/>
      <c r="G29" s="67" t="n"/>
      <c r="H29" s="68" t="n"/>
      <c r="I29" s="61">
        <f>IF(C29="","",IF(H29&lt;&gt;"",INT(H29)+ROUND(MOD(H29,1)*100/60,2),SUMIFS(Registraties!$L$5:$L$3004,Registraties!$D$5:$D$3004,C29,Registraties!$A$5:$A$3004,B29)))</f>
        <v/>
      </c>
      <c r="J29" s="58">
        <f>IF(C29="","",IFERROR(IF(VLOOKUP(C29,Tarieven!$A$2:$F$200,2,0)="Beide","Per uur",VLOOKUP(C29,Tarieven!$A$2:$F$200,2,0)),"Nog bepalen"))</f>
        <v/>
      </c>
      <c r="K29" s="69">
        <f>IF(C29="","",IF(J29="Per uur",IFERROR(VLOOKUP(C29,Tarieven!$A$2:$F$200,3,0),""),IF(J29="Vaste prijs",IFERROR(VLOOKUP(C29,Tarieven!$A$2:$F$200,4,0),""),"")))</f>
        <v/>
      </c>
      <c r="L29" s="70">
        <f>IF(C29="","",IF(J29="Per uur",N(I29)*N(K29),IF(J29="Vaste prijs",N(K29),0)))</f>
        <v/>
      </c>
      <c r="M29" s="69">
        <f>IF(C29="","",IFERROR(IF(N(VLOOKUP(C29,Tarieven!$A$2:$F$200,5,0))=0,"",VLOOKUP(C29,Tarieven!$A$2:$F$200,5,0)),""))</f>
        <v/>
      </c>
      <c r="N29" s="69" t="n"/>
      <c r="O29" s="69" t="n"/>
      <c r="P29" s="70">
        <f>IF(C29="","",N(L29)+N(M29)+N(N29)+N(O29))</f>
        <v/>
      </c>
      <c r="Q29" s="58" t="n"/>
      <c r="R29" s="57" t="n"/>
      <c r="S29" s="57" t="n"/>
      <c r="T29" s="57" t="n"/>
      <c r="U29" s="62">
        <f>IF(C29="","",IF(COUNTIF(Tarieven!$A$2:$A$200,C29)=0,"Klant niet in Tarieven",IF(MOD(N(H29),1)*100&gt;59.4,"Tijd ongeldig: minuten boven 59",IF(J29="Nog bepalen","Prijstype nog bepalen",IF(AND(J29="Per uur",N(K29)=0),"Uurtarief ontbreekt",IF(AND(J29="Vaste prijs",N(K29)=0),"Vaste prijs ontbreekt",IF(AND(N(I29)=0,Q29&lt;&gt;"Niet doorgegaan / verplaatst",Q29&lt;&gt;"Geen factuur nodig"),"Geen uren",IF(AND(G29="NEE",Q29="Verstuurd"),"Verstuurd terwijl werk niet af",IF(IFERROR(VLOOKUP(C29,Tarieven!$A$2:$F$200,2,0),"")="Beide","Beide-klant: controleer prijstype","OK")))))))))</f>
        <v/>
      </c>
    </row>
    <row r="30" ht="15" customHeight="1" s="42">
      <c r="A30" s="56">
        <f>IF(B30="","",WEEKNUM(B30,21))</f>
        <v/>
      </c>
      <c r="B30" s="55" t="n"/>
      <c r="C30" s="57" t="n"/>
      <c r="D30" s="57" t="n"/>
      <c r="E30" s="57" t="n"/>
      <c r="F30" s="57" t="n"/>
      <c r="G30" s="67" t="n"/>
      <c r="H30" s="68" t="n"/>
      <c r="I30" s="61">
        <f>IF(C30="","",IF(H30&lt;&gt;"",INT(H30)+ROUND(MOD(H30,1)*100/60,2),SUMIFS(Registraties!$L$5:$L$3004,Registraties!$D$5:$D$3004,C30,Registraties!$A$5:$A$3004,B30)))</f>
        <v/>
      </c>
      <c r="J30" s="58">
        <f>IF(C30="","",IFERROR(IF(VLOOKUP(C30,Tarieven!$A$2:$F$200,2,0)="Beide","Per uur",VLOOKUP(C30,Tarieven!$A$2:$F$200,2,0)),"Nog bepalen"))</f>
        <v/>
      </c>
      <c r="K30" s="69">
        <f>IF(C30="","",IF(J30="Per uur",IFERROR(VLOOKUP(C30,Tarieven!$A$2:$F$200,3,0),""),IF(J30="Vaste prijs",IFERROR(VLOOKUP(C30,Tarieven!$A$2:$F$200,4,0),""),"")))</f>
        <v/>
      </c>
      <c r="L30" s="70">
        <f>IF(C30="","",IF(J30="Per uur",N(I30)*N(K30),IF(J30="Vaste prijs",N(K30),0)))</f>
        <v/>
      </c>
      <c r="M30" s="69">
        <f>IF(C30="","",IFERROR(IF(N(VLOOKUP(C30,Tarieven!$A$2:$F$200,5,0))=0,"",VLOOKUP(C30,Tarieven!$A$2:$F$200,5,0)),""))</f>
        <v/>
      </c>
      <c r="N30" s="69" t="n"/>
      <c r="O30" s="69" t="n"/>
      <c r="P30" s="70">
        <f>IF(C30="","",N(L30)+N(M30)+N(N30)+N(O30))</f>
        <v/>
      </c>
      <c r="Q30" s="58" t="n"/>
      <c r="R30" s="57" t="n"/>
      <c r="S30" s="57" t="n"/>
      <c r="T30" s="57" t="n"/>
      <c r="U30" s="62">
        <f>IF(C30="","",IF(COUNTIF(Tarieven!$A$2:$A$200,C30)=0,"Klant niet in Tarieven",IF(MOD(N(H30),1)*100&gt;59.4,"Tijd ongeldig: minuten boven 59",IF(J30="Nog bepalen","Prijstype nog bepalen",IF(AND(J30="Per uur",N(K30)=0),"Uurtarief ontbreekt",IF(AND(J30="Vaste prijs",N(K30)=0),"Vaste prijs ontbreekt",IF(AND(N(I30)=0,Q30&lt;&gt;"Niet doorgegaan / verplaatst",Q30&lt;&gt;"Geen factuur nodig"),"Geen uren",IF(AND(G30="NEE",Q30="Verstuurd"),"Verstuurd terwijl werk niet af",IF(IFERROR(VLOOKUP(C30,Tarieven!$A$2:$F$200,2,0),"")="Beide","Beide-klant: controleer prijstype","OK")))))))))</f>
        <v/>
      </c>
    </row>
    <row r="31" ht="15" customHeight="1" s="42">
      <c r="A31" s="56">
        <f>IF(B31="","",WEEKNUM(B31,21))</f>
        <v/>
      </c>
      <c r="B31" s="55" t="n"/>
      <c r="C31" s="57" t="n"/>
      <c r="D31" s="57" t="n"/>
      <c r="E31" s="57" t="n"/>
      <c r="F31" s="57" t="n"/>
      <c r="G31" s="67" t="n"/>
      <c r="H31" s="68" t="n"/>
      <c r="I31" s="61">
        <f>IF(C31="","",IF(H31&lt;&gt;"",INT(H31)+ROUND(MOD(H31,1)*100/60,2),SUMIFS(Registraties!$L$5:$L$3004,Registraties!$D$5:$D$3004,C31,Registraties!$A$5:$A$3004,B31)))</f>
        <v/>
      </c>
      <c r="J31" s="58">
        <f>IF(C31="","",IFERROR(IF(VLOOKUP(C31,Tarieven!$A$2:$F$200,2,0)="Beide","Per uur",VLOOKUP(C31,Tarieven!$A$2:$F$200,2,0)),"Nog bepalen"))</f>
        <v/>
      </c>
      <c r="K31" s="69">
        <f>IF(C31="","",IF(J31="Per uur",IFERROR(VLOOKUP(C31,Tarieven!$A$2:$F$200,3,0),""),IF(J31="Vaste prijs",IFERROR(VLOOKUP(C31,Tarieven!$A$2:$F$200,4,0),""),"")))</f>
        <v/>
      </c>
      <c r="L31" s="70">
        <f>IF(C31="","",IF(J31="Per uur",N(I31)*N(K31),IF(J31="Vaste prijs",N(K31),0)))</f>
        <v/>
      </c>
      <c r="M31" s="69">
        <f>IF(C31="","",IFERROR(IF(N(VLOOKUP(C31,Tarieven!$A$2:$F$200,5,0))=0,"",VLOOKUP(C31,Tarieven!$A$2:$F$200,5,0)),""))</f>
        <v/>
      </c>
      <c r="N31" s="69" t="n"/>
      <c r="O31" s="69" t="n"/>
      <c r="P31" s="70">
        <f>IF(C31="","",N(L31)+N(M31)+N(N31)+N(O31))</f>
        <v/>
      </c>
      <c r="Q31" s="58" t="n"/>
      <c r="R31" s="57" t="n"/>
      <c r="S31" s="57" t="n"/>
      <c r="T31" s="57" t="n"/>
      <c r="U31" s="62">
        <f>IF(C31="","",IF(COUNTIF(Tarieven!$A$2:$A$200,C31)=0,"Klant niet in Tarieven",IF(MOD(N(H31),1)*100&gt;59.4,"Tijd ongeldig: minuten boven 59",IF(J31="Nog bepalen","Prijstype nog bepalen",IF(AND(J31="Per uur",N(K31)=0),"Uurtarief ontbreekt",IF(AND(J31="Vaste prijs",N(K31)=0),"Vaste prijs ontbreekt",IF(AND(N(I31)=0,Q31&lt;&gt;"Niet doorgegaan / verplaatst",Q31&lt;&gt;"Geen factuur nodig"),"Geen uren",IF(AND(G31="NEE",Q31="Verstuurd"),"Verstuurd terwijl werk niet af",IF(IFERROR(VLOOKUP(C31,Tarieven!$A$2:$F$200,2,0),"")="Beide","Beide-klant: controleer prijstype","OK")))))))))</f>
        <v/>
      </c>
    </row>
    <row r="32" ht="15" customHeight="1" s="42">
      <c r="A32" s="56">
        <f>IF(B32="","",WEEKNUM(B32,21))</f>
        <v/>
      </c>
      <c r="B32" s="55" t="n"/>
      <c r="C32" s="57" t="n"/>
      <c r="D32" s="57" t="n"/>
      <c r="E32" s="57" t="n"/>
      <c r="F32" s="57" t="n"/>
      <c r="G32" s="67" t="n"/>
      <c r="H32" s="68" t="n"/>
      <c r="I32" s="61">
        <f>IF(C32="","",IF(H32&lt;&gt;"",INT(H32)+ROUND(MOD(H32,1)*100/60,2),SUMIFS(Registraties!$L$5:$L$3004,Registraties!$D$5:$D$3004,C32,Registraties!$A$5:$A$3004,B32)))</f>
        <v/>
      </c>
      <c r="J32" s="58">
        <f>IF(C32="","",IFERROR(IF(VLOOKUP(C32,Tarieven!$A$2:$F$200,2,0)="Beide","Per uur",VLOOKUP(C32,Tarieven!$A$2:$F$200,2,0)),"Nog bepalen"))</f>
        <v/>
      </c>
      <c r="K32" s="69">
        <f>IF(C32="","",IF(J32="Per uur",IFERROR(VLOOKUP(C32,Tarieven!$A$2:$F$200,3,0),""),IF(J32="Vaste prijs",IFERROR(VLOOKUP(C32,Tarieven!$A$2:$F$200,4,0),""),"")))</f>
        <v/>
      </c>
      <c r="L32" s="70">
        <f>IF(C32="","",IF(J32="Per uur",N(I32)*N(K32),IF(J32="Vaste prijs",N(K32),0)))</f>
        <v/>
      </c>
      <c r="M32" s="69">
        <f>IF(C32="","",IFERROR(IF(N(VLOOKUP(C32,Tarieven!$A$2:$F$200,5,0))=0,"",VLOOKUP(C32,Tarieven!$A$2:$F$200,5,0)),""))</f>
        <v/>
      </c>
      <c r="N32" s="69" t="n"/>
      <c r="O32" s="69" t="n"/>
      <c r="P32" s="70">
        <f>IF(C32="","",N(L32)+N(M32)+N(N32)+N(O32))</f>
        <v/>
      </c>
      <c r="Q32" s="58" t="n"/>
      <c r="R32" s="57" t="n"/>
      <c r="S32" s="57" t="n"/>
      <c r="T32" s="57" t="n"/>
      <c r="U32" s="62">
        <f>IF(C32="","",IF(COUNTIF(Tarieven!$A$2:$A$200,C32)=0,"Klant niet in Tarieven",IF(MOD(N(H32),1)*100&gt;59.4,"Tijd ongeldig: minuten boven 59",IF(J32="Nog bepalen","Prijstype nog bepalen",IF(AND(J32="Per uur",N(K32)=0),"Uurtarief ontbreekt",IF(AND(J32="Vaste prijs",N(K32)=0),"Vaste prijs ontbreekt",IF(AND(N(I32)=0,Q32&lt;&gt;"Niet doorgegaan / verplaatst",Q32&lt;&gt;"Geen factuur nodig"),"Geen uren",IF(AND(G32="NEE",Q32="Verstuurd"),"Verstuurd terwijl werk niet af",IF(IFERROR(VLOOKUP(C32,Tarieven!$A$2:$F$200,2,0),"")="Beide","Beide-klant: controleer prijstype","OK")))))))))</f>
        <v/>
      </c>
    </row>
    <row r="33" ht="15" customHeight="1" s="42">
      <c r="A33" s="56">
        <f>IF(B33="","",WEEKNUM(B33,21))</f>
        <v/>
      </c>
      <c r="B33" s="55" t="n"/>
      <c r="C33" s="57" t="n"/>
      <c r="D33" s="57" t="n"/>
      <c r="E33" s="57" t="n"/>
      <c r="F33" s="57" t="n"/>
      <c r="G33" s="67" t="n"/>
      <c r="H33" s="68" t="n"/>
      <c r="I33" s="61">
        <f>IF(C33="","",IF(H33&lt;&gt;"",INT(H33)+ROUND(MOD(H33,1)*100/60,2),SUMIFS(Registraties!$L$5:$L$3004,Registraties!$D$5:$D$3004,C33,Registraties!$A$5:$A$3004,B33)))</f>
        <v/>
      </c>
      <c r="J33" s="58">
        <f>IF(C33="","",IFERROR(IF(VLOOKUP(C33,Tarieven!$A$2:$F$200,2,0)="Beide","Per uur",VLOOKUP(C33,Tarieven!$A$2:$F$200,2,0)),"Nog bepalen"))</f>
        <v/>
      </c>
      <c r="K33" s="69">
        <f>IF(C33="","",IF(J33="Per uur",IFERROR(VLOOKUP(C33,Tarieven!$A$2:$F$200,3,0),""),IF(J33="Vaste prijs",IFERROR(VLOOKUP(C33,Tarieven!$A$2:$F$200,4,0),""),"")))</f>
        <v/>
      </c>
      <c r="L33" s="70">
        <f>IF(C33="","",IF(J33="Per uur",N(I33)*N(K33),IF(J33="Vaste prijs",N(K33),0)))</f>
        <v/>
      </c>
      <c r="M33" s="69">
        <f>IF(C33="","",IFERROR(IF(N(VLOOKUP(C33,Tarieven!$A$2:$F$200,5,0))=0,"",VLOOKUP(C33,Tarieven!$A$2:$F$200,5,0)),""))</f>
        <v/>
      </c>
      <c r="N33" s="69" t="n"/>
      <c r="O33" s="69" t="n"/>
      <c r="P33" s="70">
        <f>IF(C33="","",N(L33)+N(M33)+N(N33)+N(O33))</f>
        <v/>
      </c>
      <c r="Q33" s="58" t="n"/>
      <c r="R33" s="57" t="n"/>
      <c r="S33" s="57" t="n"/>
      <c r="T33" s="57" t="n"/>
      <c r="U33" s="62">
        <f>IF(C33="","",IF(COUNTIF(Tarieven!$A$2:$A$200,C33)=0,"Klant niet in Tarieven",IF(MOD(N(H33),1)*100&gt;59.4,"Tijd ongeldig: minuten boven 59",IF(J33="Nog bepalen","Prijstype nog bepalen",IF(AND(J33="Per uur",N(K33)=0),"Uurtarief ontbreekt",IF(AND(J33="Vaste prijs",N(K33)=0),"Vaste prijs ontbreekt",IF(AND(N(I33)=0,Q33&lt;&gt;"Niet doorgegaan / verplaatst",Q33&lt;&gt;"Geen factuur nodig"),"Geen uren",IF(AND(G33="NEE",Q33="Verstuurd"),"Verstuurd terwijl werk niet af",IF(IFERROR(VLOOKUP(C33,Tarieven!$A$2:$F$200,2,0),"")="Beide","Beide-klant: controleer prijstype","OK")))))))))</f>
        <v/>
      </c>
    </row>
    <row r="34" ht="15" customHeight="1" s="42">
      <c r="A34" s="56">
        <f>IF(B34="","",WEEKNUM(B34,21))</f>
        <v/>
      </c>
      <c r="B34" s="55" t="n"/>
      <c r="C34" s="57" t="n"/>
      <c r="D34" s="57" t="n"/>
      <c r="E34" s="57" t="n"/>
      <c r="F34" s="57" t="n"/>
      <c r="G34" s="67" t="n"/>
      <c r="H34" s="68" t="n"/>
      <c r="I34" s="61">
        <f>IF(C34="","",IF(H34&lt;&gt;"",INT(H34)+ROUND(MOD(H34,1)*100/60,2),SUMIFS(Registraties!$L$5:$L$3004,Registraties!$D$5:$D$3004,C34,Registraties!$A$5:$A$3004,B34)))</f>
        <v/>
      </c>
      <c r="J34" s="58">
        <f>IF(C34="","",IFERROR(IF(VLOOKUP(C34,Tarieven!$A$2:$F$200,2,0)="Beide","Per uur",VLOOKUP(C34,Tarieven!$A$2:$F$200,2,0)),"Nog bepalen"))</f>
        <v/>
      </c>
      <c r="K34" s="69">
        <f>IF(C34="","",IF(J34="Per uur",IFERROR(VLOOKUP(C34,Tarieven!$A$2:$F$200,3,0),""),IF(J34="Vaste prijs",IFERROR(VLOOKUP(C34,Tarieven!$A$2:$F$200,4,0),""),"")))</f>
        <v/>
      </c>
      <c r="L34" s="70">
        <f>IF(C34="","",IF(J34="Per uur",N(I34)*N(K34),IF(J34="Vaste prijs",N(K34),0)))</f>
        <v/>
      </c>
      <c r="M34" s="69">
        <f>IF(C34="","",IFERROR(IF(N(VLOOKUP(C34,Tarieven!$A$2:$F$200,5,0))=0,"",VLOOKUP(C34,Tarieven!$A$2:$F$200,5,0)),""))</f>
        <v/>
      </c>
      <c r="N34" s="69" t="n"/>
      <c r="O34" s="69" t="n"/>
      <c r="P34" s="70">
        <f>IF(C34="","",N(L34)+N(M34)+N(N34)+N(O34))</f>
        <v/>
      </c>
      <c r="Q34" s="58" t="n"/>
      <c r="R34" s="57" t="n"/>
      <c r="S34" s="57" t="n"/>
      <c r="T34" s="57" t="n"/>
      <c r="U34" s="62">
        <f>IF(C34="","",IF(COUNTIF(Tarieven!$A$2:$A$200,C34)=0,"Klant niet in Tarieven",IF(MOD(N(H34),1)*100&gt;59.4,"Tijd ongeldig: minuten boven 59",IF(J34="Nog bepalen","Prijstype nog bepalen",IF(AND(J34="Per uur",N(K34)=0),"Uurtarief ontbreekt",IF(AND(J34="Vaste prijs",N(K34)=0),"Vaste prijs ontbreekt",IF(AND(N(I34)=0,Q34&lt;&gt;"Niet doorgegaan / verplaatst",Q34&lt;&gt;"Geen factuur nodig"),"Geen uren",IF(AND(G34="NEE",Q34="Verstuurd"),"Verstuurd terwijl werk niet af",IF(IFERROR(VLOOKUP(C34,Tarieven!$A$2:$F$200,2,0),"")="Beide","Beide-klant: controleer prijstype","OK")))))))))</f>
        <v/>
      </c>
    </row>
    <row r="35" ht="15" customHeight="1" s="42">
      <c r="A35" s="56">
        <f>IF(B35="","",WEEKNUM(B35,21))</f>
        <v/>
      </c>
      <c r="B35" s="55" t="n"/>
      <c r="C35" s="57" t="n"/>
      <c r="D35" s="57" t="n"/>
      <c r="E35" s="57" t="n"/>
      <c r="F35" s="57" t="n"/>
      <c r="G35" s="67" t="n"/>
      <c r="H35" s="68" t="n"/>
      <c r="I35" s="61">
        <f>IF(C35="","",IF(H35&lt;&gt;"",INT(H35)+ROUND(MOD(H35,1)*100/60,2),SUMIFS(Registraties!$L$5:$L$3004,Registraties!$D$5:$D$3004,C35,Registraties!$A$5:$A$3004,B35)))</f>
        <v/>
      </c>
      <c r="J35" s="58">
        <f>IF(C35="","",IFERROR(IF(VLOOKUP(C35,Tarieven!$A$2:$F$200,2,0)="Beide","Per uur",VLOOKUP(C35,Tarieven!$A$2:$F$200,2,0)),"Nog bepalen"))</f>
        <v/>
      </c>
      <c r="K35" s="69">
        <f>IF(C35="","",IF(J35="Per uur",IFERROR(VLOOKUP(C35,Tarieven!$A$2:$F$200,3,0),""),IF(J35="Vaste prijs",IFERROR(VLOOKUP(C35,Tarieven!$A$2:$F$200,4,0),""),"")))</f>
        <v/>
      </c>
      <c r="L35" s="70">
        <f>IF(C35="","",IF(J35="Per uur",N(I35)*N(K35),IF(J35="Vaste prijs",N(K35),0)))</f>
        <v/>
      </c>
      <c r="M35" s="69">
        <f>IF(C35="","",IFERROR(IF(N(VLOOKUP(C35,Tarieven!$A$2:$F$200,5,0))=0,"",VLOOKUP(C35,Tarieven!$A$2:$F$200,5,0)),""))</f>
        <v/>
      </c>
      <c r="N35" s="69" t="n"/>
      <c r="O35" s="69" t="n"/>
      <c r="P35" s="70">
        <f>IF(C35="","",N(L35)+N(M35)+N(N35)+N(O35))</f>
        <v/>
      </c>
      <c r="Q35" s="58" t="n"/>
      <c r="R35" s="57" t="n"/>
      <c r="S35" s="57" t="n"/>
      <c r="T35" s="57" t="n"/>
      <c r="U35" s="62">
        <f>IF(C35="","",IF(COUNTIF(Tarieven!$A$2:$A$200,C35)=0,"Klant niet in Tarieven",IF(MOD(N(H35),1)*100&gt;59.4,"Tijd ongeldig: minuten boven 59",IF(J35="Nog bepalen","Prijstype nog bepalen",IF(AND(J35="Per uur",N(K35)=0),"Uurtarief ontbreekt",IF(AND(J35="Vaste prijs",N(K35)=0),"Vaste prijs ontbreekt",IF(AND(N(I35)=0,Q35&lt;&gt;"Niet doorgegaan / verplaatst",Q35&lt;&gt;"Geen factuur nodig"),"Geen uren",IF(AND(G35="NEE",Q35="Verstuurd"),"Verstuurd terwijl werk niet af",IF(IFERROR(VLOOKUP(C35,Tarieven!$A$2:$F$200,2,0),"")="Beide","Beide-klant: controleer prijstype","OK")))))))))</f>
        <v/>
      </c>
    </row>
    <row r="36" ht="15" customHeight="1" s="42">
      <c r="A36" s="56">
        <f>IF(B36="","",WEEKNUM(B36,21))</f>
        <v/>
      </c>
      <c r="B36" s="55" t="n"/>
      <c r="C36" s="57" t="n"/>
      <c r="D36" s="57" t="n"/>
      <c r="E36" s="57" t="n"/>
      <c r="F36" s="57" t="n"/>
      <c r="G36" s="67" t="n"/>
      <c r="H36" s="68" t="n"/>
      <c r="I36" s="61">
        <f>IF(C36="","",IF(H36&lt;&gt;"",INT(H36)+ROUND(MOD(H36,1)*100/60,2),SUMIFS(Registraties!$L$5:$L$3004,Registraties!$D$5:$D$3004,C36,Registraties!$A$5:$A$3004,B36)))</f>
        <v/>
      </c>
      <c r="J36" s="58">
        <f>IF(C36="","",IFERROR(IF(VLOOKUP(C36,Tarieven!$A$2:$F$200,2,0)="Beide","Per uur",VLOOKUP(C36,Tarieven!$A$2:$F$200,2,0)),"Nog bepalen"))</f>
        <v/>
      </c>
      <c r="K36" s="69">
        <f>IF(C36="","",IF(J36="Per uur",IFERROR(VLOOKUP(C36,Tarieven!$A$2:$F$200,3,0),""),IF(J36="Vaste prijs",IFERROR(VLOOKUP(C36,Tarieven!$A$2:$F$200,4,0),""),"")))</f>
        <v/>
      </c>
      <c r="L36" s="70">
        <f>IF(C36="","",IF(J36="Per uur",N(I36)*N(K36),IF(J36="Vaste prijs",N(K36),0)))</f>
        <v/>
      </c>
      <c r="M36" s="69">
        <f>IF(C36="","",IFERROR(IF(N(VLOOKUP(C36,Tarieven!$A$2:$F$200,5,0))=0,"",VLOOKUP(C36,Tarieven!$A$2:$F$200,5,0)),""))</f>
        <v/>
      </c>
      <c r="N36" s="69" t="n"/>
      <c r="O36" s="69" t="n"/>
      <c r="P36" s="70">
        <f>IF(C36="","",N(L36)+N(M36)+N(N36)+N(O36))</f>
        <v/>
      </c>
      <c r="Q36" s="58" t="n"/>
      <c r="R36" s="57" t="n"/>
      <c r="S36" s="57" t="n"/>
      <c r="T36" s="57" t="n"/>
      <c r="U36" s="62">
        <f>IF(C36="","",IF(COUNTIF(Tarieven!$A$2:$A$200,C36)=0,"Klant niet in Tarieven",IF(MOD(N(H36),1)*100&gt;59.4,"Tijd ongeldig: minuten boven 59",IF(J36="Nog bepalen","Prijstype nog bepalen",IF(AND(J36="Per uur",N(K36)=0),"Uurtarief ontbreekt",IF(AND(J36="Vaste prijs",N(K36)=0),"Vaste prijs ontbreekt",IF(AND(N(I36)=0,Q36&lt;&gt;"Niet doorgegaan / verplaatst",Q36&lt;&gt;"Geen factuur nodig"),"Geen uren",IF(AND(G36="NEE",Q36="Verstuurd"),"Verstuurd terwijl werk niet af",IF(IFERROR(VLOOKUP(C36,Tarieven!$A$2:$F$200,2,0),"")="Beide","Beide-klant: controleer prijstype","OK")))))))))</f>
        <v/>
      </c>
    </row>
    <row r="37" ht="15" customHeight="1" s="42">
      <c r="A37" s="56">
        <f>IF(B37="","",WEEKNUM(B37,21))</f>
        <v/>
      </c>
      <c r="B37" s="55" t="n"/>
      <c r="C37" s="57" t="n"/>
      <c r="D37" s="57" t="n"/>
      <c r="E37" s="57" t="n"/>
      <c r="F37" s="57" t="n"/>
      <c r="G37" s="67" t="n"/>
      <c r="H37" s="68" t="n"/>
      <c r="I37" s="61">
        <f>IF(C37="","",IF(H37&lt;&gt;"",INT(H37)+ROUND(MOD(H37,1)*100/60,2),SUMIFS(Registraties!$L$5:$L$3004,Registraties!$D$5:$D$3004,C37,Registraties!$A$5:$A$3004,B37)))</f>
        <v/>
      </c>
      <c r="J37" s="58">
        <f>IF(C37="","",IFERROR(IF(VLOOKUP(C37,Tarieven!$A$2:$F$200,2,0)="Beide","Per uur",VLOOKUP(C37,Tarieven!$A$2:$F$200,2,0)),"Nog bepalen"))</f>
        <v/>
      </c>
      <c r="K37" s="69">
        <f>IF(C37="","",IF(J37="Per uur",IFERROR(VLOOKUP(C37,Tarieven!$A$2:$F$200,3,0),""),IF(J37="Vaste prijs",IFERROR(VLOOKUP(C37,Tarieven!$A$2:$F$200,4,0),""),"")))</f>
        <v/>
      </c>
      <c r="L37" s="70">
        <f>IF(C37="","",IF(J37="Per uur",N(I37)*N(K37),IF(J37="Vaste prijs",N(K37),0)))</f>
        <v/>
      </c>
      <c r="M37" s="69">
        <f>IF(C37="","",IFERROR(IF(N(VLOOKUP(C37,Tarieven!$A$2:$F$200,5,0))=0,"",VLOOKUP(C37,Tarieven!$A$2:$F$200,5,0)),""))</f>
        <v/>
      </c>
      <c r="N37" s="69" t="n"/>
      <c r="O37" s="69" t="n"/>
      <c r="P37" s="70">
        <f>IF(C37="","",N(L37)+N(M37)+N(N37)+N(O37))</f>
        <v/>
      </c>
      <c r="Q37" s="58" t="n"/>
      <c r="R37" s="57" t="n"/>
      <c r="S37" s="57" t="n"/>
      <c r="T37" s="57" t="n"/>
      <c r="U37" s="62">
        <f>IF(C37="","",IF(COUNTIF(Tarieven!$A$2:$A$200,C37)=0,"Klant niet in Tarieven",IF(MOD(N(H37),1)*100&gt;59.4,"Tijd ongeldig: minuten boven 59",IF(J37="Nog bepalen","Prijstype nog bepalen",IF(AND(J37="Per uur",N(K37)=0),"Uurtarief ontbreekt",IF(AND(J37="Vaste prijs",N(K37)=0),"Vaste prijs ontbreekt",IF(AND(N(I37)=0,Q37&lt;&gt;"Niet doorgegaan / verplaatst",Q37&lt;&gt;"Geen factuur nodig"),"Geen uren",IF(AND(G37="NEE",Q37="Verstuurd"),"Verstuurd terwijl werk niet af",IF(IFERROR(VLOOKUP(C37,Tarieven!$A$2:$F$200,2,0),"")="Beide","Beide-klant: controleer prijstype","OK")))))))))</f>
        <v/>
      </c>
    </row>
    <row r="38" ht="15" customHeight="1" s="42">
      <c r="A38" s="56">
        <f>IF(B38="","",WEEKNUM(B38,21))</f>
        <v/>
      </c>
      <c r="B38" s="55" t="n"/>
      <c r="C38" s="57" t="n"/>
      <c r="D38" s="57" t="n"/>
      <c r="E38" s="57" t="n"/>
      <c r="F38" s="57" t="n"/>
      <c r="G38" s="67" t="n"/>
      <c r="H38" s="68" t="n"/>
      <c r="I38" s="61">
        <f>IF(C38="","",IF(H38&lt;&gt;"",INT(H38)+ROUND(MOD(H38,1)*100/60,2),SUMIFS(Registraties!$L$5:$L$3004,Registraties!$D$5:$D$3004,C38,Registraties!$A$5:$A$3004,B38)))</f>
        <v/>
      </c>
      <c r="J38" s="58">
        <f>IF(C38="","",IFERROR(IF(VLOOKUP(C38,Tarieven!$A$2:$F$200,2,0)="Beide","Per uur",VLOOKUP(C38,Tarieven!$A$2:$F$200,2,0)),"Nog bepalen"))</f>
        <v/>
      </c>
      <c r="K38" s="69">
        <f>IF(C38="","",IF(J38="Per uur",IFERROR(VLOOKUP(C38,Tarieven!$A$2:$F$200,3,0),""),IF(J38="Vaste prijs",IFERROR(VLOOKUP(C38,Tarieven!$A$2:$F$200,4,0),""),"")))</f>
        <v/>
      </c>
      <c r="L38" s="70">
        <f>IF(C38="","",IF(J38="Per uur",N(I38)*N(K38),IF(J38="Vaste prijs",N(K38),0)))</f>
        <v/>
      </c>
      <c r="M38" s="69">
        <f>IF(C38="","",IFERROR(IF(N(VLOOKUP(C38,Tarieven!$A$2:$F$200,5,0))=0,"",VLOOKUP(C38,Tarieven!$A$2:$F$200,5,0)),""))</f>
        <v/>
      </c>
      <c r="N38" s="69" t="n"/>
      <c r="O38" s="69" t="n"/>
      <c r="P38" s="70">
        <f>IF(C38="","",N(L38)+N(M38)+N(N38)+N(O38))</f>
        <v/>
      </c>
      <c r="Q38" s="58" t="n"/>
      <c r="R38" s="57" t="n"/>
      <c r="S38" s="57" t="n"/>
      <c r="T38" s="57" t="n"/>
      <c r="U38" s="62">
        <f>IF(C38="","",IF(COUNTIF(Tarieven!$A$2:$A$200,C38)=0,"Klant niet in Tarieven",IF(MOD(N(H38),1)*100&gt;59.4,"Tijd ongeldig: minuten boven 59",IF(J38="Nog bepalen","Prijstype nog bepalen",IF(AND(J38="Per uur",N(K38)=0),"Uurtarief ontbreekt",IF(AND(J38="Vaste prijs",N(K38)=0),"Vaste prijs ontbreekt",IF(AND(N(I38)=0,Q38&lt;&gt;"Niet doorgegaan / verplaatst",Q38&lt;&gt;"Geen factuur nodig"),"Geen uren",IF(AND(G38="NEE",Q38="Verstuurd"),"Verstuurd terwijl werk niet af",IF(IFERROR(VLOOKUP(C38,Tarieven!$A$2:$F$200,2,0),"")="Beide","Beide-klant: controleer prijstype","OK")))))))))</f>
        <v/>
      </c>
    </row>
    <row r="39" ht="15" customHeight="1" s="42">
      <c r="A39" s="56">
        <f>IF(B39="","",WEEKNUM(B39,21))</f>
        <v/>
      </c>
      <c r="B39" s="55" t="n"/>
      <c r="C39" s="57" t="n"/>
      <c r="D39" s="57" t="n"/>
      <c r="E39" s="57" t="n"/>
      <c r="F39" s="57" t="n"/>
      <c r="G39" s="67" t="n"/>
      <c r="H39" s="68" t="n"/>
      <c r="I39" s="61">
        <f>IF(C39="","",IF(H39&lt;&gt;"",INT(H39)+ROUND(MOD(H39,1)*100/60,2),SUMIFS(Registraties!$L$5:$L$3004,Registraties!$D$5:$D$3004,C39,Registraties!$A$5:$A$3004,B39)))</f>
        <v/>
      </c>
      <c r="J39" s="58">
        <f>IF(C39="","",IFERROR(IF(VLOOKUP(C39,Tarieven!$A$2:$F$200,2,0)="Beide","Per uur",VLOOKUP(C39,Tarieven!$A$2:$F$200,2,0)),"Nog bepalen"))</f>
        <v/>
      </c>
      <c r="K39" s="69">
        <f>IF(C39="","",IF(J39="Per uur",IFERROR(VLOOKUP(C39,Tarieven!$A$2:$F$200,3,0),""),IF(J39="Vaste prijs",IFERROR(VLOOKUP(C39,Tarieven!$A$2:$F$200,4,0),""),"")))</f>
        <v/>
      </c>
      <c r="L39" s="70">
        <f>IF(C39="","",IF(J39="Per uur",N(I39)*N(K39),IF(J39="Vaste prijs",N(K39),0)))</f>
        <v/>
      </c>
      <c r="M39" s="69">
        <f>IF(C39="","",IFERROR(IF(N(VLOOKUP(C39,Tarieven!$A$2:$F$200,5,0))=0,"",VLOOKUP(C39,Tarieven!$A$2:$F$200,5,0)),""))</f>
        <v/>
      </c>
      <c r="N39" s="69" t="n"/>
      <c r="O39" s="69" t="n"/>
      <c r="P39" s="70">
        <f>IF(C39="","",N(L39)+N(M39)+N(N39)+N(O39))</f>
        <v/>
      </c>
      <c r="Q39" s="58" t="n"/>
      <c r="R39" s="57" t="n"/>
      <c r="S39" s="57" t="n"/>
      <c r="T39" s="57" t="n"/>
      <c r="U39" s="62">
        <f>IF(C39="","",IF(COUNTIF(Tarieven!$A$2:$A$200,C39)=0,"Klant niet in Tarieven",IF(MOD(N(H39),1)*100&gt;59.4,"Tijd ongeldig: minuten boven 59",IF(J39="Nog bepalen","Prijstype nog bepalen",IF(AND(J39="Per uur",N(K39)=0),"Uurtarief ontbreekt",IF(AND(J39="Vaste prijs",N(K39)=0),"Vaste prijs ontbreekt",IF(AND(N(I39)=0,Q39&lt;&gt;"Niet doorgegaan / verplaatst",Q39&lt;&gt;"Geen factuur nodig"),"Geen uren",IF(AND(G39="NEE",Q39="Verstuurd"),"Verstuurd terwijl werk niet af",IF(IFERROR(VLOOKUP(C39,Tarieven!$A$2:$F$200,2,0),"")="Beide","Beide-klant: controleer prijstype","OK")))))))))</f>
        <v/>
      </c>
    </row>
    <row r="40" ht="15" customHeight="1" s="42">
      <c r="A40" s="56">
        <f>IF(B40="","",WEEKNUM(B40,21))</f>
        <v/>
      </c>
      <c r="B40" s="55" t="n"/>
      <c r="C40" s="57" t="n"/>
      <c r="D40" s="57" t="n"/>
      <c r="E40" s="57" t="n"/>
      <c r="F40" s="57" t="n"/>
      <c r="G40" s="67" t="n"/>
      <c r="H40" s="68" t="n"/>
      <c r="I40" s="61">
        <f>IF(C40="","",IF(H40&lt;&gt;"",INT(H40)+ROUND(MOD(H40,1)*100/60,2),SUMIFS(Registraties!$L$5:$L$3004,Registraties!$D$5:$D$3004,C40,Registraties!$A$5:$A$3004,B40)))</f>
        <v/>
      </c>
      <c r="J40" s="58">
        <f>IF(C40="","",IFERROR(IF(VLOOKUP(C40,Tarieven!$A$2:$F$200,2,0)="Beide","Per uur",VLOOKUP(C40,Tarieven!$A$2:$F$200,2,0)),"Nog bepalen"))</f>
        <v/>
      </c>
      <c r="K40" s="69">
        <f>IF(C40="","",IF(J40="Per uur",IFERROR(VLOOKUP(C40,Tarieven!$A$2:$F$200,3,0),""),IF(J40="Vaste prijs",IFERROR(VLOOKUP(C40,Tarieven!$A$2:$F$200,4,0),""),"")))</f>
        <v/>
      </c>
      <c r="L40" s="70">
        <f>IF(C40="","",IF(J40="Per uur",N(I40)*N(K40),IF(J40="Vaste prijs",N(K40),0)))</f>
        <v/>
      </c>
      <c r="M40" s="69">
        <f>IF(C40="","",IFERROR(IF(N(VLOOKUP(C40,Tarieven!$A$2:$F$200,5,0))=0,"",VLOOKUP(C40,Tarieven!$A$2:$F$200,5,0)),""))</f>
        <v/>
      </c>
      <c r="N40" s="69" t="n"/>
      <c r="O40" s="69" t="n"/>
      <c r="P40" s="70">
        <f>IF(C40="","",N(L40)+N(M40)+N(N40)+N(O40))</f>
        <v/>
      </c>
      <c r="Q40" s="58" t="n"/>
      <c r="R40" s="57" t="n"/>
      <c r="S40" s="57" t="n"/>
      <c r="T40" s="57" t="n"/>
      <c r="U40" s="62">
        <f>IF(C40="","",IF(COUNTIF(Tarieven!$A$2:$A$200,C40)=0,"Klant niet in Tarieven",IF(MOD(N(H40),1)*100&gt;59.4,"Tijd ongeldig: minuten boven 59",IF(J40="Nog bepalen","Prijstype nog bepalen",IF(AND(J40="Per uur",N(K40)=0),"Uurtarief ontbreekt",IF(AND(J40="Vaste prijs",N(K40)=0),"Vaste prijs ontbreekt",IF(AND(N(I40)=0,Q40&lt;&gt;"Niet doorgegaan / verplaatst",Q40&lt;&gt;"Geen factuur nodig"),"Geen uren",IF(AND(G40="NEE",Q40="Verstuurd"),"Verstuurd terwijl werk niet af",IF(IFERROR(VLOOKUP(C40,Tarieven!$A$2:$F$200,2,0),"")="Beide","Beide-klant: controleer prijstype","OK")))))))))</f>
        <v/>
      </c>
    </row>
    <row r="41" ht="15" customHeight="1" s="42">
      <c r="A41" s="56">
        <f>IF(B41="","",WEEKNUM(B41,21))</f>
        <v/>
      </c>
      <c r="B41" s="55" t="n"/>
      <c r="C41" s="57" t="n"/>
      <c r="D41" s="57" t="n"/>
      <c r="E41" s="57" t="n"/>
      <c r="F41" s="57" t="n"/>
      <c r="G41" s="67" t="n"/>
      <c r="H41" s="68" t="n"/>
      <c r="I41" s="61">
        <f>IF(C41="","",IF(H41&lt;&gt;"",INT(H41)+ROUND(MOD(H41,1)*100/60,2),SUMIFS(Registraties!$L$5:$L$3004,Registraties!$D$5:$D$3004,C41,Registraties!$A$5:$A$3004,B41)))</f>
        <v/>
      </c>
      <c r="J41" s="58">
        <f>IF(C41="","",IFERROR(IF(VLOOKUP(C41,Tarieven!$A$2:$F$200,2,0)="Beide","Per uur",VLOOKUP(C41,Tarieven!$A$2:$F$200,2,0)),"Nog bepalen"))</f>
        <v/>
      </c>
      <c r="K41" s="69">
        <f>IF(C41="","",IF(J41="Per uur",IFERROR(VLOOKUP(C41,Tarieven!$A$2:$F$200,3,0),""),IF(J41="Vaste prijs",IFERROR(VLOOKUP(C41,Tarieven!$A$2:$F$200,4,0),""),"")))</f>
        <v/>
      </c>
      <c r="L41" s="70">
        <f>IF(C41="","",IF(J41="Per uur",N(I41)*N(K41),IF(J41="Vaste prijs",N(K41),0)))</f>
        <v/>
      </c>
      <c r="M41" s="69">
        <f>IF(C41="","",IFERROR(IF(N(VLOOKUP(C41,Tarieven!$A$2:$F$200,5,0))=0,"",VLOOKUP(C41,Tarieven!$A$2:$F$200,5,0)),""))</f>
        <v/>
      </c>
      <c r="N41" s="69" t="n"/>
      <c r="O41" s="69" t="n"/>
      <c r="P41" s="70">
        <f>IF(C41="","",N(L41)+N(M41)+N(N41)+N(O41))</f>
        <v/>
      </c>
      <c r="Q41" s="58" t="n"/>
      <c r="R41" s="57" t="n"/>
      <c r="S41" s="57" t="n"/>
      <c r="T41" s="57" t="n"/>
      <c r="U41" s="62">
        <f>IF(C41="","",IF(COUNTIF(Tarieven!$A$2:$A$200,C41)=0,"Klant niet in Tarieven",IF(MOD(N(H41),1)*100&gt;59.4,"Tijd ongeldig: minuten boven 59",IF(J41="Nog bepalen","Prijstype nog bepalen",IF(AND(J41="Per uur",N(K41)=0),"Uurtarief ontbreekt",IF(AND(J41="Vaste prijs",N(K41)=0),"Vaste prijs ontbreekt",IF(AND(N(I41)=0,Q41&lt;&gt;"Niet doorgegaan / verplaatst",Q41&lt;&gt;"Geen factuur nodig"),"Geen uren",IF(AND(G41="NEE",Q41="Verstuurd"),"Verstuurd terwijl werk niet af",IF(IFERROR(VLOOKUP(C41,Tarieven!$A$2:$F$200,2,0),"")="Beide","Beide-klant: controleer prijstype","OK")))))))))</f>
        <v/>
      </c>
    </row>
    <row r="42" ht="15" customHeight="1" s="42">
      <c r="A42" s="56">
        <f>IF(B42="","",WEEKNUM(B42,21))</f>
        <v/>
      </c>
      <c r="B42" s="55" t="n"/>
      <c r="C42" s="57" t="n"/>
      <c r="D42" s="57" t="n"/>
      <c r="E42" s="57" t="n"/>
      <c r="F42" s="57" t="n"/>
      <c r="G42" s="67" t="n"/>
      <c r="H42" s="68" t="n"/>
      <c r="I42" s="61">
        <f>IF(C42="","",IF(H42&lt;&gt;"",INT(H42)+ROUND(MOD(H42,1)*100/60,2),SUMIFS(Registraties!$L$5:$L$3004,Registraties!$D$5:$D$3004,C42,Registraties!$A$5:$A$3004,B42)))</f>
        <v/>
      </c>
      <c r="J42" s="58">
        <f>IF(C42="","",IFERROR(IF(VLOOKUP(C42,Tarieven!$A$2:$F$200,2,0)="Beide","Per uur",VLOOKUP(C42,Tarieven!$A$2:$F$200,2,0)),"Nog bepalen"))</f>
        <v/>
      </c>
      <c r="K42" s="69">
        <f>IF(C42="","",IF(J42="Per uur",IFERROR(VLOOKUP(C42,Tarieven!$A$2:$F$200,3,0),""),IF(J42="Vaste prijs",IFERROR(VLOOKUP(C42,Tarieven!$A$2:$F$200,4,0),""),"")))</f>
        <v/>
      </c>
      <c r="L42" s="70">
        <f>IF(C42="","",IF(J42="Per uur",N(I42)*N(K42),IF(J42="Vaste prijs",N(K42),0)))</f>
        <v/>
      </c>
      <c r="M42" s="69">
        <f>IF(C42="","",IFERROR(IF(N(VLOOKUP(C42,Tarieven!$A$2:$F$200,5,0))=0,"",VLOOKUP(C42,Tarieven!$A$2:$F$200,5,0)),""))</f>
        <v/>
      </c>
      <c r="N42" s="69" t="n"/>
      <c r="O42" s="69" t="n"/>
      <c r="P42" s="70">
        <f>IF(C42="","",N(L42)+N(M42)+N(N42)+N(O42))</f>
        <v/>
      </c>
      <c r="Q42" s="58" t="n"/>
      <c r="R42" s="57" t="n"/>
      <c r="S42" s="57" t="n"/>
      <c r="T42" s="57" t="n"/>
      <c r="U42" s="62">
        <f>IF(C42="","",IF(COUNTIF(Tarieven!$A$2:$A$200,C42)=0,"Klant niet in Tarieven",IF(MOD(N(H42),1)*100&gt;59.4,"Tijd ongeldig: minuten boven 59",IF(J42="Nog bepalen","Prijstype nog bepalen",IF(AND(J42="Per uur",N(K42)=0),"Uurtarief ontbreekt",IF(AND(J42="Vaste prijs",N(K42)=0),"Vaste prijs ontbreekt",IF(AND(N(I42)=0,Q42&lt;&gt;"Niet doorgegaan / verplaatst",Q42&lt;&gt;"Geen factuur nodig"),"Geen uren",IF(AND(G42="NEE",Q42="Verstuurd"),"Verstuurd terwijl werk niet af",IF(IFERROR(VLOOKUP(C42,Tarieven!$A$2:$F$200,2,0),"")="Beide","Beide-klant: controleer prijstype","OK")))))))))</f>
        <v/>
      </c>
    </row>
    <row r="43" ht="15" customHeight="1" s="42">
      <c r="A43" s="56">
        <f>IF(B43="","",WEEKNUM(B43,21))</f>
        <v/>
      </c>
      <c r="B43" s="55" t="n"/>
      <c r="C43" s="57" t="n"/>
      <c r="D43" s="57" t="n"/>
      <c r="E43" s="57" t="n"/>
      <c r="F43" s="57" t="n"/>
      <c r="G43" s="67" t="n"/>
      <c r="H43" s="68" t="n"/>
      <c r="I43" s="61">
        <f>IF(C43="","",IF(H43&lt;&gt;"",INT(H43)+ROUND(MOD(H43,1)*100/60,2),SUMIFS(Registraties!$L$5:$L$3004,Registraties!$D$5:$D$3004,C43,Registraties!$A$5:$A$3004,B43)))</f>
        <v/>
      </c>
      <c r="J43" s="58">
        <f>IF(C43="","",IFERROR(IF(VLOOKUP(C43,Tarieven!$A$2:$F$200,2,0)="Beide","Per uur",VLOOKUP(C43,Tarieven!$A$2:$F$200,2,0)),"Nog bepalen"))</f>
        <v/>
      </c>
      <c r="K43" s="69">
        <f>IF(C43="","",IF(J43="Per uur",IFERROR(VLOOKUP(C43,Tarieven!$A$2:$F$200,3,0),""),IF(J43="Vaste prijs",IFERROR(VLOOKUP(C43,Tarieven!$A$2:$F$200,4,0),""),"")))</f>
        <v/>
      </c>
      <c r="L43" s="70">
        <f>IF(C43="","",IF(J43="Per uur",N(I43)*N(K43),IF(J43="Vaste prijs",N(K43),0)))</f>
        <v/>
      </c>
      <c r="M43" s="69">
        <f>IF(C43="","",IFERROR(IF(N(VLOOKUP(C43,Tarieven!$A$2:$F$200,5,0))=0,"",VLOOKUP(C43,Tarieven!$A$2:$F$200,5,0)),""))</f>
        <v/>
      </c>
      <c r="N43" s="69" t="n"/>
      <c r="O43" s="69" t="n"/>
      <c r="P43" s="70">
        <f>IF(C43="","",N(L43)+N(M43)+N(N43)+N(O43))</f>
        <v/>
      </c>
      <c r="Q43" s="58" t="n"/>
      <c r="R43" s="57" t="n"/>
      <c r="S43" s="57" t="n"/>
      <c r="T43" s="57" t="n"/>
      <c r="U43" s="62">
        <f>IF(C43="","",IF(COUNTIF(Tarieven!$A$2:$A$200,C43)=0,"Klant niet in Tarieven",IF(MOD(N(H43),1)*100&gt;59.4,"Tijd ongeldig: minuten boven 59",IF(J43="Nog bepalen","Prijstype nog bepalen",IF(AND(J43="Per uur",N(K43)=0),"Uurtarief ontbreekt",IF(AND(J43="Vaste prijs",N(K43)=0),"Vaste prijs ontbreekt",IF(AND(N(I43)=0,Q43&lt;&gt;"Niet doorgegaan / verplaatst",Q43&lt;&gt;"Geen factuur nodig"),"Geen uren",IF(AND(G43="NEE",Q43="Verstuurd"),"Verstuurd terwijl werk niet af",IF(IFERROR(VLOOKUP(C43,Tarieven!$A$2:$F$200,2,0),"")="Beide","Beide-klant: controleer prijstype","OK")))))))))</f>
        <v/>
      </c>
    </row>
    <row r="44" ht="15" customHeight="1" s="42">
      <c r="A44" s="56">
        <f>IF(B44="","",WEEKNUM(B44,21))</f>
        <v/>
      </c>
      <c r="B44" s="55" t="n"/>
      <c r="C44" s="57" t="n"/>
      <c r="D44" s="57" t="n"/>
      <c r="E44" s="57" t="n"/>
      <c r="F44" s="57" t="n"/>
      <c r="G44" s="67" t="n"/>
      <c r="H44" s="68" t="n"/>
      <c r="I44" s="61">
        <f>IF(C44="","",IF(H44&lt;&gt;"",INT(H44)+ROUND(MOD(H44,1)*100/60,2),SUMIFS(Registraties!$L$5:$L$3004,Registraties!$D$5:$D$3004,C44,Registraties!$A$5:$A$3004,B44)))</f>
        <v/>
      </c>
      <c r="J44" s="58">
        <f>IF(C44="","",IFERROR(IF(VLOOKUP(C44,Tarieven!$A$2:$F$200,2,0)="Beide","Per uur",VLOOKUP(C44,Tarieven!$A$2:$F$200,2,0)),"Nog bepalen"))</f>
        <v/>
      </c>
      <c r="K44" s="69">
        <f>IF(C44="","",IF(J44="Per uur",IFERROR(VLOOKUP(C44,Tarieven!$A$2:$F$200,3,0),""),IF(J44="Vaste prijs",IFERROR(VLOOKUP(C44,Tarieven!$A$2:$F$200,4,0),""),"")))</f>
        <v/>
      </c>
      <c r="L44" s="70">
        <f>IF(C44="","",IF(J44="Per uur",N(I44)*N(K44),IF(J44="Vaste prijs",N(K44),0)))</f>
        <v/>
      </c>
      <c r="M44" s="69">
        <f>IF(C44="","",IFERROR(IF(N(VLOOKUP(C44,Tarieven!$A$2:$F$200,5,0))=0,"",VLOOKUP(C44,Tarieven!$A$2:$F$200,5,0)),""))</f>
        <v/>
      </c>
      <c r="N44" s="69" t="n"/>
      <c r="O44" s="69" t="n"/>
      <c r="P44" s="70">
        <f>IF(C44="","",N(L44)+N(M44)+N(N44)+N(O44))</f>
        <v/>
      </c>
      <c r="Q44" s="58" t="n"/>
      <c r="R44" s="57" t="n"/>
      <c r="S44" s="57" t="n"/>
      <c r="T44" s="57" t="n"/>
      <c r="U44" s="62">
        <f>IF(C44="","",IF(COUNTIF(Tarieven!$A$2:$A$200,C44)=0,"Klant niet in Tarieven",IF(MOD(N(H44),1)*100&gt;59.4,"Tijd ongeldig: minuten boven 59",IF(J44="Nog bepalen","Prijstype nog bepalen",IF(AND(J44="Per uur",N(K44)=0),"Uurtarief ontbreekt",IF(AND(J44="Vaste prijs",N(K44)=0),"Vaste prijs ontbreekt",IF(AND(N(I44)=0,Q44&lt;&gt;"Niet doorgegaan / verplaatst",Q44&lt;&gt;"Geen factuur nodig"),"Geen uren",IF(AND(G44="NEE",Q44="Verstuurd"),"Verstuurd terwijl werk niet af",IF(IFERROR(VLOOKUP(C44,Tarieven!$A$2:$F$200,2,0),"")="Beide","Beide-klant: controleer prijstype","OK")))))))))</f>
        <v/>
      </c>
    </row>
    <row r="45" ht="15" customHeight="1" s="42">
      <c r="A45" s="56">
        <f>IF(B45="","",WEEKNUM(B45,21))</f>
        <v/>
      </c>
      <c r="B45" s="55" t="n"/>
      <c r="C45" s="57" t="n"/>
      <c r="D45" s="57" t="n"/>
      <c r="E45" s="57" t="n"/>
      <c r="F45" s="57" t="n"/>
      <c r="G45" s="67" t="n"/>
      <c r="H45" s="68" t="n"/>
      <c r="I45" s="61">
        <f>IF(C45="","",IF(H45&lt;&gt;"",INT(H45)+ROUND(MOD(H45,1)*100/60,2),SUMIFS(Registraties!$L$5:$L$3004,Registraties!$D$5:$D$3004,C45,Registraties!$A$5:$A$3004,B45)))</f>
        <v/>
      </c>
      <c r="J45" s="58">
        <f>IF(C45="","",IFERROR(IF(VLOOKUP(C45,Tarieven!$A$2:$F$200,2,0)="Beide","Per uur",VLOOKUP(C45,Tarieven!$A$2:$F$200,2,0)),"Nog bepalen"))</f>
        <v/>
      </c>
      <c r="K45" s="69">
        <f>IF(C45="","",IF(J45="Per uur",IFERROR(VLOOKUP(C45,Tarieven!$A$2:$F$200,3,0),""),IF(J45="Vaste prijs",IFERROR(VLOOKUP(C45,Tarieven!$A$2:$F$200,4,0),""),"")))</f>
        <v/>
      </c>
      <c r="L45" s="70">
        <f>IF(C45="","",IF(J45="Per uur",N(I45)*N(K45),IF(J45="Vaste prijs",N(K45),0)))</f>
        <v/>
      </c>
      <c r="M45" s="69">
        <f>IF(C45="","",IFERROR(IF(N(VLOOKUP(C45,Tarieven!$A$2:$F$200,5,0))=0,"",VLOOKUP(C45,Tarieven!$A$2:$F$200,5,0)),""))</f>
        <v/>
      </c>
      <c r="N45" s="69" t="n"/>
      <c r="O45" s="69" t="n"/>
      <c r="P45" s="70">
        <f>IF(C45="","",N(L45)+N(M45)+N(N45)+N(O45))</f>
        <v/>
      </c>
      <c r="Q45" s="58" t="n"/>
      <c r="R45" s="57" t="n"/>
      <c r="S45" s="57" t="n"/>
      <c r="T45" s="57" t="n"/>
      <c r="U45" s="62">
        <f>IF(C45="","",IF(COUNTIF(Tarieven!$A$2:$A$200,C45)=0,"Klant niet in Tarieven",IF(MOD(N(H45),1)*100&gt;59.4,"Tijd ongeldig: minuten boven 59",IF(J45="Nog bepalen","Prijstype nog bepalen",IF(AND(J45="Per uur",N(K45)=0),"Uurtarief ontbreekt",IF(AND(J45="Vaste prijs",N(K45)=0),"Vaste prijs ontbreekt",IF(AND(N(I45)=0,Q45&lt;&gt;"Niet doorgegaan / verplaatst",Q45&lt;&gt;"Geen factuur nodig"),"Geen uren",IF(AND(G45="NEE",Q45="Verstuurd"),"Verstuurd terwijl werk niet af",IF(IFERROR(VLOOKUP(C45,Tarieven!$A$2:$F$200,2,0),"")="Beide","Beide-klant: controleer prijstype","OK")))))))))</f>
        <v/>
      </c>
    </row>
    <row r="46" ht="15" customHeight="1" s="42">
      <c r="A46" s="56">
        <f>IF(B46="","",WEEKNUM(B46,21))</f>
        <v/>
      </c>
      <c r="B46" s="55" t="n"/>
      <c r="C46" s="57" t="n"/>
      <c r="D46" s="57" t="n"/>
      <c r="E46" s="57" t="n"/>
      <c r="F46" s="57" t="n"/>
      <c r="G46" s="67" t="n"/>
      <c r="H46" s="68" t="n"/>
      <c r="I46" s="61">
        <f>IF(C46="","",IF(H46&lt;&gt;"",INT(H46)+ROUND(MOD(H46,1)*100/60,2),SUMIFS(Registraties!$L$5:$L$3004,Registraties!$D$5:$D$3004,C46,Registraties!$A$5:$A$3004,B46)))</f>
        <v/>
      </c>
      <c r="J46" s="58">
        <f>IF(C46="","",IFERROR(IF(VLOOKUP(C46,Tarieven!$A$2:$F$200,2,0)="Beide","Per uur",VLOOKUP(C46,Tarieven!$A$2:$F$200,2,0)),"Nog bepalen"))</f>
        <v/>
      </c>
      <c r="K46" s="69">
        <f>IF(C46="","",IF(J46="Per uur",IFERROR(VLOOKUP(C46,Tarieven!$A$2:$F$200,3,0),""),IF(J46="Vaste prijs",IFERROR(VLOOKUP(C46,Tarieven!$A$2:$F$200,4,0),""),"")))</f>
        <v/>
      </c>
      <c r="L46" s="70">
        <f>IF(C46="","",IF(J46="Per uur",N(I46)*N(K46),IF(J46="Vaste prijs",N(K46),0)))</f>
        <v/>
      </c>
      <c r="M46" s="69">
        <f>IF(C46="","",IFERROR(IF(N(VLOOKUP(C46,Tarieven!$A$2:$F$200,5,0))=0,"",VLOOKUP(C46,Tarieven!$A$2:$F$200,5,0)),""))</f>
        <v/>
      </c>
      <c r="N46" s="69" t="n"/>
      <c r="O46" s="69" t="n"/>
      <c r="P46" s="70">
        <f>IF(C46="","",N(L46)+N(M46)+N(N46)+N(O46))</f>
        <v/>
      </c>
      <c r="Q46" s="58" t="n"/>
      <c r="R46" s="57" t="n"/>
      <c r="S46" s="57" t="n"/>
      <c r="T46" s="57" t="n"/>
      <c r="U46" s="62">
        <f>IF(C46="","",IF(COUNTIF(Tarieven!$A$2:$A$200,C46)=0,"Klant niet in Tarieven",IF(MOD(N(H46),1)*100&gt;59.4,"Tijd ongeldig: minuten boven 59",IF(J46="Nog bepalen","Prijstype nog bepalen",IF(AND(J46="Per uur",N(K46)=0),"Uurtarief ontbreekt",IF(AND(J46="Vaste prijs",N(K46)=0),"Vaste prijs ontbreekt",IF(AND(N(I46)=0,Q46&lt;&gt;"Niet doorgegaan / verplaatst",Q46&lt;&gt;"Geen factuur nodig"),"Geen uren",IF(AND(G46="NEE",Q46="Verstuurd"),"Verstuurd terwijl werk niet af",IF(IFERROR(VLOOKUP(C46,Tarieven!$A$2:$F$200,2,0),"")="Beide","Beide-klant: controleer prijstype","OK")))))))))</f>
        <v/>
      </c>
    </row>
    <row r="47" ht="15" customHeight="1" s="42">
      <c r="A47" s="56">
        <f>IF(B47="","",WEEKNUM(B47,21))</f>
        <v/>
      </c>
      <c r="B47" s="55" t="n"/>
      <c r="C47" s="57" t="n"/>
      <c r="D47" s="57" t="n"/>
      <c r="E47" s="57" t="n"/>
      <c r="F47" s="57" t="n"/>
      <c r="G47" s="67" t="n"/>
      <c r="H47" s="68" t="n"/>
      <c r="I47" s="61">
        <f>IF(C47="","",IF(H47&lt;&gt;"",INT(H47)+ROUND(MOD(H47,1)*100/60,2),SUMIFS(Registraties!$L$5:$L$3004,Registraties!$D$5:$D$3004,C47,Registraties!$A$5:$A$3004,B47)))</f>
        <v/>
      </c>
      <c r="J47" s="58">
        <f>IF(C47="","",IFERROR(IF(VLOOKUP(C47,Tarieven!$A$2:$F$200,2,0)="Beide","Per uur",VLOOKUP(C47,Tarieven!$A$2:$F$200,2,0)),"Nog bepalen"))</f>
        <v/>
      </c>
      <c r="K47" s="69">
        <f>IF(C47="","",IF(J47="Per uur",IFERROR(VLOOKUP(C47,Tarieven!$A$2:$F$200,3,0),""),IF(J47="Vaste prijs",IFERROR(VLOOKUP(C47,Tarieven!$A$2:$F$200,4,0),""),"")))</f>
        <v/>
      </c>
      <c r="L47" s="70">
        <f>IF(C47="","",IF(J47="Per uur",N(I47)*N(K47),IF(J47="Vaste prijs",N(K47),0)))</f>
        <v/>
      </c>
      <c r="M47" s="69">
        <f>IF(C47="","",IFERROR(IF(N(VLOOKUP(C47,Tarieven!$A$2:$F$200,5,0))=0,"",VLOOKUP(C47,Tarieven!$A$2:$F$200,5,0)),""))</f>
        <v/>
      </c>
      <c r="N47" s="69" t="n"/>
      <c r="O47" s="69" t="n"/>
      <c r="P47" s="70">
        <f>IF(C47="","",N(L47)+N(M47)+N(N47)+N(O47))</f>
        <v/>
      </c>
      <c r="Q47" s="58" t="n"/>
      <c r="R47" s="57" t="n"/>
      <c r="S47" s="57" t="n"/>
      <c r="T47" s="57" t="n"/>
      <c r="U47" s="62">
        <f>IF(C47="","",IF(COUNTIF(Tarieven!$A$2:$A$200,C47)=0,"Klant niet in Tarieven",IF(MOD(N(H47),1)*100&gt;59.4,"Tijd ongeldig: minuten boven 59",IF(J47="Nog bepalen","Prijstype nog bepalen",IF(AND(J47="Per uur",N(K47)=0),"Uurtarief ontbreekt",IF(AND(J47="Vaste prijs",N(K47)=0),"Vaste prijs ontbreekt",IF(AND(N(I47)=0,Q47&lt;&gt;"Niet doorgegaan / verplaatst",Q47&lt;&gt;"Geen factuur nodig"),"Geen uren",IF(AND(G47="NEE",Q47="Verstuurd"),"Verstuurd terwijl werk niet af",IF(IFERROR(VLOOKUP(C47,Tarieven!$A$2:$F$200,2,0),"")="Beide","Beide-klant: controleer prijstype","OK")))))))))</f>
        <v/>
      </c>
    </row>
    <row r="48" ht="15" customHeight="1" s="42">
      <c r="A48" s="56">
        <f>IF(B48="","",WEEKNUM(B48,21))</f>
        <v/>
      </c>
      <c r="B48" s="55" t="n"/>
      <c r="C48" s="57" t="n"/>
      <c r="D48" s="57" t="n"/>
      <c r="E48" s="57" t="n"/>
      <c r="F48" s="57" t="n"/>
      <c r="G48" s="67" t="n"/>
      <c r="H48" s="68" t="n"/>
      <c r="I48" s="61">
        <f>IF(C48="","",IF(H48&lt;&gt;"",INT(H48)+ROUND(MOD(H48,1)*100/60,2),SUMIFS(Registraties!$L$5:$L$3004,Registraties!$D$5:$D$3004,C48,Registraties!$A$5:$A$3004,B48)))</f>
        <v/>
      </c>
      <c r="J48" s="58">
        <f>IF(C48="","",IFERROR(IF(VLOOKUP(C48,Tarieven!$A$2:$F$200,2,0)="Beide","Per uur",VLOOKUP(C48,Tarieven!$A$2:$F$200,2,0)),"Nog bepalen"))</f>
        <v/>
      </c>
      <c r="K48" s="69">
        <f>IF(C48="","",IF(J48="Per uur",IFERROR(VLOOKUP(C48,Tarieven!$A$2:$F$200,3,0),""),IF(J48="Vaste prijs",IFERROR(VLOOKUP(C48,Tarieven!$A$2:$F$200,4,0),""),"")))</f>
        <v/>
      </c>
      <c r="L48" s="70">
        <f>IF(C48="","",IF(J48="Per uur",N(I48)*N(K48),IF(J48="Vaste prijs",N(K48),0)))</f>
        <v/>
      </c>
      <c r="M48" s="69">
        <f>IF(C48="","",IFERROR(IF(N(VLOOKUP(C48,Tarieven!$A$2:$F$200,5,0))=0,"",VLOOKUP(C48,Tarieven!$A$2:$F$200,5,0)),""))</f>
        <v/>
      </c>
      <c r="N48" s="69" t="n"/>
      <c r="O48" s="69" t="n"/>
      <c r="P48" s="70">
        <f>IF(C48="","",N(L48)+N(M48)+N(N48)+N(O48))</f>
        <v/>
      </c>
      <c r="Q48" s="58" t="n"/>
      <c r="R48" s="57" t="n"/>
      <c r="S48" s="57" t="n"/>
      <c r="T48" s="57" t="n"/>
      <c r="U48" s="62">
        <f>IF(C48="","",IF(COUNTIF(Tarieven!$A$2:$A$200,C48)=0,"Klant niet in Tarieven",IF(MOD(N(H48),1)*100&gt;59.4,"Tijd ongeldig: minuten boven 59",IF(J48="Nog bepalen","Prijstype nog bepalen",IF(AND(J48="Per uur",N(K48)=0),"Uurtarief ontbreekt",IF(AND(J48="Vaste prijs",N(K48)=0),"Vaste prijs ontbreekt",IF(AND(N(I48)=0,Q48&lt;&gt;"Niet doorgegaan / verplaatst",Q48&lt;&gt;"Geen factuur nodig"),"Geen uren",IF(AND(G48="NEE",Q48="Verstuurd"),"Verstuurd terwijl werk niet af",IF(IFERROR(VLOOKUP(C48,Tarieven!$A$2:$F$200,2,0),"")="Beide","Beide-klant: controleer prijstype","OK")))))))))</f>
        <v/>
      </c>
    </row>
    <row r="49" ht="15" customHeight="1" s="42">
      <c r="A49" s="56">
        <f>IF(B49="","",WEEKNUM(B49,21))</f>
        <v/>
      </c>
      <c r="B49" s="55" t="n"/>
      <c r="C49" s="57" t="n"/>
      <c r="D49" s="57" t="n"/>
      <c r="E49" s="57" t="n"/>
      <c r="F49" s="57" t="n"/>
      <c r="G49" s="67" t="n"/>
      <c r="H49" s="68" t="n"/>
      <c r="I49" s="61">
        <f>IF(C49="","",IF(H49&lt;&gt;"",INT(H49)+ROUND(MOD(H49,1)*100/60,2),SUMIFS(Registraties!$L$5:$L$3004,Registraties!$D$5:$D$3004,C49,Registraties!$A$5:$A$3004,B49)))</f>
        <v/>
      </c>
      <c r="J49" s="58">
        <f>IF(C49="","",IFERROR(IF(VLOOKUP(C49,Tarieven!$A$2:$F$200,2,0)="Beide","Per uur",VLOOKUP(C49,Tarieven!$A$2:$F$200,2,0)),"Nog bepalen"))</f>
        <v/>
      </c>
      <c r="K49" s="69">
        <f>IF(C49="","",IF(J49="Per uur",IFERROR(VLOOKUP(C49,Tarieven!$A$2:$F$200,3,0),""),IF(J49="Vaste prijs",IFERROR(VLOOKUP(C49,Tarieven!$A$2:$F$200,4,0),""),"")))</f>
        <v/>
      </c>
      <c r="L49" s="70">
        <f>IF(C49="","",IF(J49="Per uur",N(I49)*N(K49),IF(J49="Vaste prijs",N(K49),0)))</f>
        <v/>
      </c>
      <c r="M49" s="69">
        <f>IF(C49="","",IFERROR(IF(N(VLOOKUP(C49,Tarieven!$A$2:$F$200,5,0))=0,"",VLOOKUP(C49,Tarieven!$A$2:$F$200,5,0)),""))</f>
        <v/>
      </c>
      <c r="N49" s="69" t="n"/>
      <c r="O49" s="69" t="n"/>
      <c r="P49" s="70">
        <f>IF(C49="","",N(L49)+N(M49)+N(N49)+N(O49))</f>
        <v/>
      </c>
      <c r="Q49" s="58" t="n"/>
      <c r="R49" s="57" t="n"/>
      <c r="S49" s="57" t="n"/>
      <c r="T49" s="57" t="n"/>
      <c r="U49" s="62">
        <f>IF(C49="","",IF(COUNTIF(Tarieven!$A$2:$A$200,C49)=0,"Klant niet in Tarieven",IF(MOD(N(H49),1)*100&gt;59.4,"Tijd ongeldig: minuten boven 59",IF(J49="Nog bepalen","Prijstype nog bepalen",IF(AND(J49="Per uur",N(K49)=0),"Uurtarief ontbreekt",IF(AND(J49="Vaste prijs",N(K49)=0),"Vaste prijs ontbreekt",IF(AND(N(I49)=0,Q49&lt;&gt;"Niet doorgegaan / verplaatst",Q49&lt;&gt;"Geen factuur nodig"),"Geen uren",IF(AND(G49="NEE",Q49="Verstuurd"),"Verstuurd terwijl werk niet af",IF(IFERROR(VLOOKUP(C49,Tarieven!$A$2:$F$200,2,0),"")="Beide","Beide-klant: controleer prijstype","OK")))))))))</f>
        <v/>
      </c>
    </row>
    <row r="50" ht="15" customHeight="1" s="42">
      <c r="A50" s="56">
        <f>IF(B50="","",WEEKNUM(B50,21))</f>
        <v/>
      </c>
      <c r="B50" s="55" t="n"/>
      <c r="C50" s="57" t="n"/>
      <c r="D50" s="57" t="n"/>
      <c r="E50" s="57" t="n"/>
      <c r="F50" s="57" t="n"/>
      <c r="G50" s="67" t="n"/>
      <c r="H50" s="68" t="n"/>
      <c r="I50" s="61">
        <f>IF(C50="","",IF(H50&lt;&gt;"",INT(H50)+ROUND(MOD(H50,1)*100/60,2),SUMIFS(Registraties!$L$5:$L$3004,Registraties!$D$5:$D$3004,C50,Registraties!$A$5:$A$3004,B50)))</f>
        <v/>
      </c>
      <c r="J50" s="58">
        <f>IF(C50="","",IFERROR(IF(VLOOKUP(C50,Tarieven!$A$2:$F$200,2,0)="Beide","Per uur",VLOOKUP(C50,Tarieven!$A$2:$F$200,2,0)),"Nog bepalen"))</f>
        <v/>
      </c>
      <c r="K50" s="69">
        <f>IF(C50="","",IF(J50="Per uur",IFERROR(VLOOKUP(C50,Tarieven!$A$2:$F$200,3,0),""),IF(J50="Vaste prijs",IFERROR(VLOOKUP(C50,Tarieven!$A$2:$F$200,4,0),""),"")))</f>
        <v/>
      </c>
      <c r="L50" s="70">
        <f>IF(C50="","",IF(J50="Per uur",N(I50)*N(K50),IF(J50="Vaste prijs",N(K50),0)))</f>
        <v/>
      </c>
      <c r="M50" s="69">
        <f>IF(C50="","",IFERROR(IF(N(VLOOKUP(C50,Tarieven!$A$2:$F$200,5,0))=0,"",VLOOKUP(C50,Tarieven!$A$2:$F$200,5,0)),""))</f>
        <v/>
      </c>
      <c r="N50" s="69" t="n"/>
      <c r="O50" s="69" t="n"/>
      <c r="P50" s="70">
        <f>IF(C50="","",N(L50)+N(M50)+N(N50)+N(O50))</f>
        <v/>
      </c>
      <c r="Q50" s="58" t="n"/>
      <c r="R50" s="57" t="n"/>
      <c r="S50" s="57" t="n"/>
      <c r="T50" s="57" t="n"/>
      <c r="U50" s="62">
        <f>IF(C50="","",IF(COUNTIF(Tarieven!$A$2:$A$200,C50)=0,"Klant niet in Tarieven",IF(MOD(N(H50),1)*100&gt;59.4,"Tijd ongeldig: minuten boven 59",IF(J50="Nog bepalen","Prijstype nog bepalen",IF(AND(J50="Per uur",N(K50)=0),"Uurtarief ontbreekt",IF(AND(J50="Vaste prijs",N(K50)=0),"Vaste prijs ontbreekt",IF(AND(N(I50)=0,Q50&lt;&gt;"Niet doorgegaan / verplaatst",Q50&lt;&gt;"Geen factuur nodig"),"Geen uren",IF(AND(G50="NEE",Q50="Verstuurd"),"Verstuurd terwijl werk niet af",IF(IFERROR(VLOOKUP(C50,Tarieven!$A$2:$F$200,2,0),"")="Beide","Beide-klant: controleer prijstype","OK")))))))))</f>
        <v/>
      </c>
    </row>
    <row r="51" ht="15" customHeight="1" s="42">
      <c r="A51" s="56">
        <f>IF(B51="","",WEEKNUM(B51,21))</f>
        <v/>
      </c>
      <c r="B51" s="55" t="n"/>
      <c r="C51" s="57" t="n"/>
      <c r="D51" s="57" t="n"/>
      <c r="E51" s="57" t="n"/>
      <c r="F51" s="57" t="n"/>
      <c r="G51" s="67" t="n"/>
      <c r="H51" s="68" t="n"/>
      <c r="I51" s="61">
        <f>IF(C51="","",IF(H51&lt;&gt;"",INT(H51)+ROUND(MOD(H51,1)*100/60,2),SUMIFS(Registraties!$L$5:$L$3004,Registraties!$D$5:$D$3004,C51,Registraties!$A$5:$A$3004,B51)))</f>
        <v/>
      </c>
      <c r="J51" s="58">
        <f>IF(C51="","",IFERROR(IF(VLOOKUP(C51,Tarieven!$A$2:$F$200,2,0)="Beide","Per uur",VLOOKUP(C51,Tarieven!$A$2:$F$200,2,0)),"Nog bepalen"))</f>
        <v/>
      </c>
      <c r="K51" s="69">
        <f>IF(C51="","",IF(J51="Per uur",IFERROR(VLOOKUP(C51,Tarieven!$A$2:$F$200,3,0),""),IF(J51="Vaste prijs",IFERROR(VLOOKUP(C51,Tarieven!$A$2:$F$200,4,0),""),"")))</f>
        <v/>
      </c>
      <c r="L51" s="70">
        <f>IF(C51="","",IF(J51="Per uur",N(I51)*N(K51),IF(J51="Vaste prijs",N(K51),0)))</f>
        <v/>
      </c>
      <c r="M51" s="69">
        <f>IF(C51="","",IFERROR(IF(N(VLOOKUP(C51,Tarieven!$A$2:$F$200,5,0))=0,"",VLOOKUP(C51,Tarieven!$A$2:$F$200,5,0)),""))</f>
        <v/>
      </c>
      <c r="N51" s="69" t="n"/>
      <c r="O51" s="69" t="n"/>
      <c r="P51" s="70">
        <f>IF(C51="","",N(L51)+N(M51)+N(N51)+N(O51))</f>
        <v/>
      </c>
      <c r="Q51" s="58" t="n"/>
      <c r="R51" s="57" t="n"/>
      <c r="S51" s="57" t="n"/>
      <c r="T51" s="57" t="n"/>
      <c r="U51" s="62">
        <f>IF(C51="","",IF(COUNTIF(Tarieven!$A$2:$A$200,C51)=0,"Klant niet in Tarieven",IF(MOD(N(H51),1)*100&gt;59.4,"Tijd ongeldig: minuten boven 59",IF(J51="Nog bepalen","Prijstype nog bepalen",IF(AND(J51="Per uur",N(K51)=0),"Uurtarief ontbreekt",IF(AND(J51="Vaste prijs",N(K51)=0),"Vaste prijs ontbreekt",IF(AND(N(I51)=0,Q51&lt;&gt;"Niet doorgegaan / verplaatst",Q51&lt;&gt;"Geen factuur nodig"),"Geen uren",IF(AND(G51="NEE",Q51="Verstuurd"),"Verstuurd terwijl werk niet af",IF(IFERROR(VLOOKUP(C51,Tarieven!$A$2:$F$200,2,0),"")="Beide","Beide-klant: controleer prijstype","OK")))))))))</f>
        <v/>
      </c>
    </row>
    <row r="52" ht="15" customHeight="1" s="42">
      <c r="A52" s="56">
        <f>IF(B52="","",WEEKNUM(B52,21))</f>
        <v/>
      </c>
      <c r="B52" s="55" t="n"/>
      <c r="C52" s="57" t="n"/>
      <c r="D52" s="57" t="n"/>
      <c r="E52" s="57" t="n"/>
      <c r="F52" s="57" t="n"/>
      <c r="G52" s="67" t="n"/>
      <c r="H52" s="68" t="n"/>
      <c r="I52" s="61">
        <f>IF(C52="","",IF(H52&lt;&gt;"",INT(H52)+ROUND(MOD(H52,1)*100/60,2),SUMIFS(Registraties!$L$5:$L$3004,Registraties!$D$5:$D$3004,C52,Registraties!$A$5:$A$3004,B52)))</f>
        <v/>
      </c>
      <c r="J52" s="58">
        <f>IF(C52="","",IFERROR(IF(VLOOKUP(C52,Tarieven!$A$2:$F$200,2,0)="Beide","Per uur",VLOOKUP(C52,Tarieven!$A$2:$F$200,2,0)),"Nog bepalen"))</f>
        <v/>
      </c>
      <c r="K52" s="69">
        <f>IF(C52="","",IF(J52="Per uur",IFERROR(VLOOKUP(C52,Tarieven!$A$2:$F$200,3,0),""),IF(J52="Vaste prijs",IFERROR(VLOOKUP(C52,Tarieven!$A$2:$F$200,4,0),""),"")))</f>
        <v/>
      </c>
      <c r="L52" s="70">
        <f>IF(C52="","",IF(J52="Per uur",N(I52)*N(K52),IF(J52="Vaste prijs",N(K52),0)))</f>
        <v/>
      </c>
      <c r="M52" s="69">
        <f>IF(C52="","",IFERROR(IF(N(VLOOKUP(C52,Tarieven!$A$2:$F$200,5,0))=0,"",VLOOKUP(C52,Tarieven!$A$2:$F$200,5,0)),""))</f>
        <v/>
      </c>
      <c r="N52" s="69" t="n"/>
      <c r="O52" s="69" t="n"/>
      <c r="P52" s="70">
        <f>IF(C52="","",N(L52)+N(M52)+N(N52)+N(O52))</f>
        <v/>
      </c>
      <c r="Q52" s="58" t="n"/>
      <c r="R52" s="57" t="n"/>
      <c r="S52" s="57" t="n"/>
      <c r="T52" s="57" t="n"/>
      <c r="U52" s="62">
        <f>IF(C52="","",IF(COUNTIF(Tarieven!$A$2:$A$200,C52)=0,"Klant niet in Tarieven",IF(MOD(N(H52),1)*100&gt;59.4,"Tijd ongeldig: minuten boven 59",IF(J52="Nog bepalen","Prijstype nog bepalen",IF(AND(J52="Per uur",N(K52)=0),"Uurtarief ontbreekt",IF(AND(J52="Vaste prijs",N(K52)=0),"Vaste prijs ontbreekt",IF(AND(N(I52)=0,Q52&lt;&gt;"Niet doorgegaan / verplaatst",Q52&lt;&gt;"Geen factuur nodig"),"Geen uren",IF(AND(G52="NEE",Q52="Verstuurd"),"Verstuurd terwijl werk niet af",IF(IFERROR(VLOOKUP(C52,Tarieven!$A$2:$F$200,2,0),"")="Beide","Beide-klant: controleer prijstype","OK")))))))))</f>
        <v/>
      </c>
    </row>
    <row r="53" ht="15" customHeight="1" s="42">
      <c r="A53" s="56">
        <f>IF(B53="","",WEEKNUM(B53,21))</f>
        <v/>
      </c>
      <c r="B53" s="55" t="n"/>
      <c r="C53" s="57" t="n"/>
      <c r="D53" s="57" t="n"/>
      <c r="E53" s="57" t="n"/>
      <c r="F53" s="57" t="n"/>
      <c r="G53" s="67" t="n"/>
      <c r="H53" s="68" t="n"/>
      <c r="I53" s="61">
        <f>IF(C53="","",IF(H53&lt;&gt;"",INT(H53)+ROUND(MOD(H53,1)*100/60,2),SUMIFS(Registraties!$L$5:$L$3004,Registraties!$D$5:$D$3004,C53,Registraties!$A$5:$A$3004,B53)))</f>
        <v/>
      </c>
      <c r="J53" s="58">
        <f>IF(C53="","",IFERROR(IF(VLOOKUP(C53,Tarieven!$A$2:$F$200,2,0)="Beide","Per uur",VLOOKUP(C53,Tarieven!$A$2:$F$200,2,0)),"Nog bepalen"))</f>
        <v/>
      </c>
      <c r="K53" s="69">
        <f>IF(C53="","",IF(J53="Per uur",IFERROR(VLOOKUP(C53,Tarieven!$A$2:$F$200,3,0),""),IF(J53="Vaste prijs",IFERROR(VLOOKUP(C53,Tarieven!$A$2:$F$200,4,0),""),"")))</f>
        <v/>
      </c>
      <c r="L53" s="70">
        <f>IF(C53="","",IF(J53="Per uur",N(I53)*N(K53),IF(J53="Vaste prijs",N(K53),0)))</f>
        <v/>
      </c>
      <c r="M53" s="69">
        <f>IF(C53="","",IFERROR(IF(N(VLOOKUP(C53,Tarieven!$A$2:$F$200,5,0))=0,"",VLOOKUP(C53,Tarieven!$A$2:$F$200,5,0)),""))</f>
        <v/>
      </c>
      <c r="N53" s="69" t="n"/>
      <c r="O53" s="69" t="n"/>
      <c r="P53" s="70">
        <f>IF(C53="","",N(L53)+N(M53)+N(N53)+N(O53))</f>
        <v/>
      </c>
      <c r="Q53" s="58" t="n"/>
      <c r="R53" s="57" t="n"/>
      <c r="S53" s="57" t="n"/>
      <c r="T53" s="57" t="n"/>
      <c r="U53" s="62">
        <f>IF(C53="","",IF(COUNTIF(Tarieven!$A$2:$A$200,C53)=0,"Klant niet in Tarieven",IF(MOD(N(H53),1)*100&gt;59.4,"Tijd ongeldig: minuten boven 59",IF(J53="Nog bepalen","Prijstype nog bepalen",IF(AND(J53="Per uur",N(K53)=0),"Uurtarief ontbreekt",IF(AND(J53="Vaste prijs",N(K53)=0),"Vaste prijs ontbreekt",IF(AND(N(I53)=0,Q53&lt;&gt;"Niet doorgegaan / verplaatst",Q53&lt;&gt;"Geen factuur nodig"),"Geen uren",IF(AND(G53="NEE",Q53="Verstuurd"),"Verstuurd terwijl werk niet af",IF(IFERROR(VLOOKUP(C53,Tarieven!$A$2:$F$200,2,0),"")="Beide","Beide-klant: controleer prijstype","OK")))))))))</f>
        <v/>
      </c>
    </row>
    <row r="54" ht="15" customHeight="1" s="42">
      <c r="A54" s="56">
        <f>IF(B54="","",WEEKNUM(B54,21))</f>
        <v/>
      </c>
      <c r="B54" s="55" t="n"/>
      <c r="C54" s="57" t="n"/>
      <c r="D54" s="57" t="n"/>
      <c r="E54" s="57" t="n"/>
      <c r="F54" s="57" t="n"/>
      <c r="G54" s="67" t="n"/>
      <c r="H54" s="68" t="n"/>
      <c r="I54" s="61">
        <f>IF(C54="","",IF(H54&lt;&gt;"",INT(H54)+ROUND(MOD(H54,1)*100/60,2),SUMIFS(Registraties!$L$5:$L$3004,Registraties!$D$5:$D$3004,C54,Registraties!$A$5:$A$3004,B54)))</f>
        <v/>
      </c>
      <c r="J54" s="58">
        <f>IF(C54="","",IFERROR(IF(VLOOKUP(C54,Tarieven!$A$2:$F$200,2,0)="Beide","Per uur",VLOOKUP(C54,Tarieven!$A$2:$F$200,2,0)),"Nog bepalen"))</f>
        <v/>
      </c>
      <c r="K54" s="69">
        <f>IF(C54="","",IF(J54="Per uur",IFERROR(VLOOKUP(C54,Tarieven!$A$2:$F$200,3,0),""),IF(J54="Vaste prijs",IFERROR(VLOOKUP(C54,Tarieven!$A$2:$F$200,4,0),""),"")))</f>
        <v/>
      </c>
      <c r="L54" s="70">
        <f>IF(C54="","",IF(J54="Per uur",N(I54)*N(K54),IF(J54="Vaste prijs",N(K54),0)))</f>
        <v/>
      </c>
      <c r="M54" s="69">
        <f>IF(C54="","",IFERROR(IF(N(VLOOKUP(C54,Tarieven!$A$2:$F$200,5,0))=0,"",VLOOKUP(C54,Tarieven!$A$2:$F$200,5,0)),""))</f>
        <v/>
      </c>
      <c r="N54" s="69" t="n"/>
      <c r="O54" s="69" t="n"/>
      <c r="P54" s="70">
        <f>IF(C54="","",N(L54)+N(M54)+N(N54)+N(O54))</f>
        <v/>
      </c>
      <c r="Q54" s="58" t="n"/>
      <c r="R54" s="57" t="n"/>
      <c r="S54" s="57" t="n"/>
      <c r="T54" s="57" t="n"/>
      <c r="U54" s="62">
        <f>IF(C54="","",IF(COUNTIF(Tarieven!$A$2:$A$200,C54)=0,"Klant niet in Tarieven",IF(MOD(N(H54),1)*100&gt;59.4,"Tijd ongeldig: minuten boven 59",IF(J54="Nog bepalen","Prijstype nog bepalen",IF(AND(J54="Per uur",N(K54)=0),"Uurtarief ontbreekt",IF(AND(J54="Vaste prijs",N(K54)=0),"Vaste prijs ontbreekt",IF(AND(N(I54)=0,Q54&lt;&gt;"Niet doorgegaan / verplaatst",Q54&lt;&gt;"Geen factuur nodig"),"Geen uren",IF(AND(G54="NEE",Q54="Verstuurd"),"Verstuurd terwijl werk niet af",IF(IFERROR(VLOOKUP(C54,Tarieven!$A$2:$F$200,2,0),"")="Beide","Beide-klant: controleer prijstype","OK")))))))))</f>
        <v/>
      </c>
    </row>
    <row r="55" ht="15" customHeight="1" s="42">
      <c r="A55" s="56">
        <f>IF(B55="","",WEEKNUM(B55,21))</f>
        <v/>
      </c>
      <c r="B55" s="55" t="n"/>
      <c r="C55" s="57" t="n"/>
      <c r="D55" s="57" t="n"/>
      <c r="E55" s="57" t="n"/>
      <c r="F55" s="57" t="n"/>
      <c r="G55" s="67" t="n"/>
      <c r="H55" s="68" t="n"/>
      <c r="I55" s="61">
        <f>IF(C55="","",IF(H55&lt;&gt;"",INT(H55)+ROUND(MOD(H55,1)*100/60,2),SUMIFS(Registraties!$L$5:$L$3004,Registraties!$D$5:$D$3004,C55,Registraties!$A$5:$A$3004,B55)))</f>
        <v/>
      </c>
      <c r="J55" s="58">
        <f>IF(C55="","",IFERROR(IF(VLOOKUP(C55,Tarieven!$A$2:$F$200,2,0)="Beide","Per uur",VLOOKUP(C55,Tarieven!$A$2:$F$200,2,0)),"Nog bepalen"))</f>
        <v/>
      </c>
      <c r="K55" s="69">
        <f>IF(C55="","",IF(J55="Per uur",IFERROR(VLOOKUP(C55,Tarieven!$A$2:$F$200,3,0),""),IF(J55="Vaste prijs",IFERROR(VLOOKUP(C55,Tarieven!$A$2:$F$200,4,0),""),"")))</f>
        <v/>
      </c>
      <c r="L55" s="70">
        <f>IF(C55="","",IF(J55="Per uur",N(I55)*N(K55),IF(J55="Vaste prijs",N(K55),0)))</f>
        <v/>
      </c>
      <c r="M55" s="69">
        <f>IF(C55="","",IFERROR(IF(N(VLOOKUP(C55,Tarieven!$A$2:$F$200,5,0))=0,"",VLOOKUP(C55,Tarieven!$A$2:$F$200,5,0)),""))</f>
        <v/>
      </c>
      <c r="N55" s="69" t="n"/>
      <c r="O55" s="69" t="n"/>
      <c r="P55" s="70">
        <f>IF(C55="","",N(L55)+N(M55)+N(N55)+N(O55))</f>
        <v/>
      </c>
      <c r="Q55" s="58" t="n"/>
      <c r="R55" s="57" t="n"/>
      <c r="S55" s="57" t="n"/>
      <c r="T55" s="57" t="n"/>
      <c r="U55" s="62">
        <f>IF(C55="","",IF(COUNTIF(Tarieven!$A$2:$A$200,C55)=0,"Klant niet in Tarieven",IF(MOD(N(H55),1)*100&gt;59.4,"Tijd ongeldig: minuten boven 59",IF(J55="Nog bepalen","Prijstype nog bepalen",IF(AND(J55="Per uur",N(K55)=0),"Uurtarief ontbreekt",IF(AND(J55="Vaste prijs",N(K55)=0),"Vaste prijs ontbreekt",IF(AND(N(I55)=0,Q55&lt;&gt;"Niet doorgegaan / verplaatst",Q55&lt;&gt;"Geen factuur nodig"),"Geen uren",IF(AND(G55="NEE",Q55="Verstuurd"),"Verstuurd terwijl werk niet af",IF(IFERROR(VLOOKUP(C55,Tarieven!$A$2:$F$200,2,0),"")="Beide","Beide-klant: controleer prijstype","OK")))))))))</f>
        <v/>
      </c>
    </row>
    <row r="56" ht="15" customHeight="1" s="42">
      <c r="A56" s="56">
        <f>IF(B56="","",WEEKNUM(B56,21))</f>
        <v/>
      </c>
      <c r="B56" s="55" t="n"/>
      <c r="C56" s="57" t="n"/>
      <c r="D56" s="57" t="n"/>
      <c r="E56" s="57" t="n"/>
      <c r="F56" s="57" t="n"/>
      <c r="G56" s="67" t="n"/>
      <c r="H56" s="68" t="n"/>
      <c r="I56" s="61">
        <f>IF(C56="","",IF(H56&lt;&gt;"",INT(H56)+ROUND(MOD(H56,1)*100/60,2),SUMIFS(Registraties!$L$5:$L$3004,Registraties!$D$5:$D$3004,C56,Registraties!$A$5:$A$3004,B56)))</f>
        <v/>
      </c>
      <c r="J56" s="58">
        <f>IF(C56="","",IFERROR(IF(VLOOKUP(C56,Tarieven!$A$2:$F$200,2,0)="Beide","Per uur",VLOOKUP(C56,Tarieven!$A$2:$F$200,2,0)),"Nog bepalen"))</f>
        <v/>
      </c>
      <c r="K56" s="69">
        <f>IF(C56="","",IF(J56="Per uur",IFERROR(VLOOKUP(C56,Tarieven!$A$2:$F$200,3,0),""),IF(J56="Vaste prijs",IFERROR(VLOOKUP(C56,Tarieven!$A$2:$F$200,4,0),""),"")))</f>
        <v/>
      </c>
      <c r="L56" s="70">
        <f>IF(C56="","",IF(J56="Per uur",N(I56)*N(K56),IF(J56="Vaste prijs",N(K56),0)))</f>
        <v/>
      </c>
      <c r="M56" s="69">
        <f>IF(C56="","",IFERROR(IF(N(VLOOKUP(C56,Tarieven!$A$2:$F$200,5,0))=0,"",VLOOKUP(C56,Tarieven!$A$2:$F$200,5,0)),""))</f>
        <v/>
      </c>
      <c r="N56" s="69" t="n"/>
      <c r="O56" s="69" t="n"/>
      <c r="P56" s="70">
        <f>IF(C56="","",N(L56)+N(M56)+N(N56)+N(O56))</f>
        <v/>
      </c>
      <c r="Q56" s="58" t="n"/>
      <c r="R56" s="57" t="n"/>
      <c r="S56" s="57" t="n"/>
      <c r="T56" s="57" t="n"/>
      <c r="U56" s="62">
        <f>IF(C56="","",IF(COUNTIF(Tarieven!$A$2:$A$200,C56)=0,"Klant niet in Tarieven",IF(MOD(N(H56),1)*100&gt;59.4,"Tijd ongeldig: minuten boven 59",IF(J56="Nog bepalen","Prijstype nog bepalen",IF(AND(J56="Per uur",N(K56)=0),"Uurtarief ontbreekt",IF(AND(J56="Vaste prijs",N(K56)=0),"Vaste prijs ontbreekt",IF(AND(N(I56)=0,Q56&lt;&gt;"Niet doorgegaan / verplaatst",Q56&lt;&gt;"Geen factuur nodig"),"Geen uren",IF(AND(G56="NEE",Q56="Verstuurd"),"Verstuurd terwijl werk niet af",IF(IFERROR(VLOOKUP(C56,Tarieven!$A$2:$F$200,2,0),"")="Beide","Beide-klant: controleer prijstype","OK")))))))))</f>
        <v/>
      </c>
    </row>
    <row r="57" ht="15" customHeight="1" s="42">
      <c r="A57" s="56">
        <f>IF(B57="","",WEEKNUM(B57,21))</f>
        <v/>
      </c>
      <c r="B57" s="55" t="n"/>
      <c r="C57" s="57" t="n"/>
      <c r="D57" s="57" t="n"/>
      <c r="E57" s="57" t="n"/>
      <c r="F57" s="57" t="n"/>
      <c r="G57" s="67" t="n"/>
      <c r="H57" s="68" t="n"/>
      <c r="I57" s="61">
        <f>IF(C57="","",IF(H57&lt;&gt;"",INT(H57)+ROUND(MOD(H57,1)*100/60,2),SUMIFS(Registraties!$L$5:$L$3004,Registraties!$D$5:$D$3004,C57,Registraties!$A$5:$A$3004,B57)))</f>
        <v/>
      </c>
      <c r="J57" s="58">
        <f>IF(C57="","",IFERROR(IF(VLOOKUP(C57,Tarieven!$A$2:$F$200,2,0)="Beide","Per uur",VLOOKUP(C57,Tarieven!$A$2:$F$200,2,0)),"Nog bepalen"))</f>
        <v/>
      </c>
      <c r="K57" s="69">
        <f>IF(C57="","",IF(J57="Per uur",IFERROR(VLOOKUP(C57,Tarieven!$A$2:$F$200,3,0),""),IF(J57="Vaste prijs",IFERROR(VLOOKUP(C57,Tarieven!$A$2:$F$200,4,0),""),"")))</f>
        <v/>
      </c>
      <c r="L57" s="70">
        <f>IF(C57="","",IF(J57="Per uur",N(I57)*N(K57),IF(J57="Vaste prijs",N(K57),0)))</f>
        <v/>
      </c>
      <c r="M57" s="69">
        <f>IF(C57="","",IFERROR(IF(N(VLOOKUP(C57,Tarieven!$A$2:$F$200,5,0))=0,"",VLOOKUP(C57,Tarieven!$A$2:$F$200,5,0)),""))</f>
        <v/>
      </c>
      <c r="N57" s="69" t="n"/>
      <c r="O57" s="69" t="n"/>
      <c r="P57" s="70">
        <f>IF(C57="","",N(L57)+N(M57)+N(N57)+N(O57))</f>
        <v/>
      </c>
      <c r="Q57" s="58" t="n"/>
      <c r="R57" s="57" t="n"/>
      <c r="S57" s="57" t="n"/>
      <c r="T57" s="57" t="n"/>
      <c r="U57" s="62">
        <f>IF(C57="","",IF(COUNTIF(Tarieven!$A$2:$A$200,C57)=0,"Klant niet in Tarieven",IF(MOD(N(H57),1)*100&gt;59.4,"Tijd ongeldig: minuten boven 59",IF(J57="Nog bepalen","Prijstype nog bepalen",IF(AND(J57="Per uur",N(K57)=0),"Uurtarief ontbreekt",IF(AND(J57="Vaste prijs",N(K57)=0),"Vaste prijs ontbreekt",IF(AND(N(I57)=0,Q57&lt;&gt;"Niet doorgegaan / verplaatst",Q57&lt;&gt;"Geen factuur nodig"),"Geen uren",IF(AND(G57="NEE",Q57="Verstuurd"),"Verstuurd terwijl werk niet af",IF(IFERROR(VLOOKUP(C57,Tarieven!$A$2:$F$200,2,0),"")="Beide","Beide-klant: controleer prijstype","OK")))))))))</f>
        <v/>
      </c>
    </row>
    <row r="58" ht="15" customHeight="1" s="42">
      <c r="A58" s="56">
        <f>IF(B58="","",WEEKNUM(B58,21))</f>
        <v/>
      </c>
      <c r="B58" s="55" t="n"/>
      <c r="C58" s="57" t="n"/>
      <c r="D58" s="57" t="n"/>
      <c r="E58" s="57" t="n"/>
      <c r="F58" s="57" t="n"/>
      <c r="G58" s="67" t="n"/>
      <c r="H58" s="68" t="n"/>
      <c r="I58" s="61">
        <f>IF(C58="","",IF(H58&lt;&gt;"",INT(H58)+ROUND(MOD(H58,1)*100/60,2),SUMIFS(Registraties!$L$5:$L$3004,Registraties!$D$5:$D$3004,C58,Registraties!$A$5:$A$3004,B58)))</f>
        <v/>
      </c>
      <c r="J58" s="58">
        <f>IF(C58="","",IFERROR(IF(VLOOKUP(C58,Tarieven!$A$2:$F$200,2,0)="Beide","Per uur",VLOOKUP(C58,Tarieven!$A$2:$F$200,2,0)),"Nog bepalen"))</f>
        <v/>
      </c>
      <c r="K58" s="69">
        <f>IF(C58="","",IF(J58="Per uur",IFERROR(VLOOKUP(C58,Tarieven!$A$2:$F$200,3,0),""),IF(J58="Vaste prijs",IFERROR(VLOOKUP(C58,Tarieven!$A$2:$F$200,4,0),""),"")))</f>
        <v/>
      </c>
      <c r="L58" s="70">
        <f>IF(C58="","",IF(J58="Per uur",N(I58)*N(K58),IF(J58="Vaste prijs",N(K58),0)))</f>
        <v/>
      </c>
      <c r="M58" s="69">
        <f>IF(C58="","",IFERROR(IF(N(VLOOKUP(C58,Tarieven!$A$2:$F$200,5,0))=0,"",VLOOKUP(C58,Tarieven!$A$2:$F$200,5,0)),""))</f>
        <v/>
      </c>
      <c r="N58" s="69" t="n"/>
      <c r="O58" s="69" t="n"/>
      <c r="P58" s="70">
        <f>IF(C58="","",N(L58)+N(M58)+N(N58)+N(O58))</f>
        <v/>
      </c>
      <c r="Q58" s="58" t="n"/>
      <c r="R58" s="57" t="n"/>
      <c r="S58" s="57" t="n"/>
      <c r="T58" s="57" t="n"/>
      <c r="U58" s="62">
        <f>IF(C58="","",IF(COUNTIF(Tarieven!$A$2:$A$200,C58)=0,"Klant niet in Tarieven",IF(MOD(N(H58),1)*100&gt;59.4,"Tijd ongeldig: minuten boven 59",IF(J58="Nog bepalen","Prijstype nog bepalen",IF(AND(J58="Per uur",N(K58)=0),"Uurtarief ontbreekt",IF(AND(J58="Vaste prijs",N(K58)=0),"Vaste prijs ontbreekt",IF(AND(N(I58)=0,Q58&lt;&gt;"Niet doorgegaan / verplaatst",Q58&lt;&gt;"Geen factuur nodig"),"Geen uren",IF(AND(G58="NEE",Q58="Verstuurd"),"Verstuurd terwijl werk niet af",IF(IFERROR(VLOOKUP(C58,Tarieven!$A$2:$F$200,2,0),"")="Beide","Beide-klant: controleer prijstype","OK")))))))))</f>
        <v/>
      </c>
    </row>
    <row r="59" ht="15" customHeight="1" s="42">
      <c r="A59" s="56">
        <f>IF(B59="","",WEEKNUM(B59,21))</f>
        <v/>
      </c>
      <c r="B59" s="55" t="n"/>
      <c r="C59" s="57" t="n"/>
      <c r="D59" s="57" t="n"/>
      <c r="E59" s="57" t="n"/>
      <c r="F59" s="57" t="n"/>
      <c r="G59" s="67" t="n"/>
      <c r="H59" s="68" t="n"/>
      <c r="I59" s="61">
        <f>IF(C59="","",IF(H59&lt;&gt;"",INT(H59)+ROUND(MOD(H59,1)*100/60,2),SUMIFS(Registraties!$L$5:$L$3004,Registraties!$D$5:$D$3004,C59,Registraties!$A$5:$A$3004,B59)))</f>
        <v/>
      </c>
      <c r="J59" s="58">
        <f>IF(C59="","",IFERROR(IF(VLOOKUP(C59,Tarieven!$A$2:$F$200,2,0)="Beide","Per uur",VLOOKUP(C59,Tarieven!$A$2:$F$200,2,0)),"Nog bepalen"))</f>
        <v/>
      </c>
      <c r="K59" s="69">
        <f>IF(C59="","",IF(J59="Per uur",IFERROR(VLOOKUP(C59,Tarieven!$A$2:$F$200,3,0),""),IF(J59="Vaste prijs",IFERROR(VLOOKUP(C59,Tarieven!$A$2:$F$200,4,0),""),"")))</f>
        <v/>
      </c>
      <c r="L59" s="70">
        <f>IF(C59="","",IF(J59="Per uur",N(I59)*N(K59),IF(J59="Vaste prijs",N(K59),0)))</f>
        <v/>
      </c>
      <c r="M59" s="69">
        <f>IF(C59="","",IFERROR(IF(N(VLOOKUP(C59,Tarieven!$A$2:$F$200,5,0))=0,"",VLOOKUP(C59,Tarieven!$A$2:$F$200,5,0)),""))</f>
        <v/>
      </c>
      <c r="N59" s="69" t="n"/>
      <c r="O59" s="69" t="n"/>
      <c r="P59" s="70">
        <f>IF(C59="","",N(L59)+N(M59)+N(N59)+N(O59))</f>
        <v/>
      </c>
      <c r="Q59" s="58" t="n"/>
      <c r="R59" s="57" t="n"/>
      <c r="S59" s="57" t="n"/>
      <c r="T59" s="57" t="n"/>
      <c r="U59" s="62">
        <f>IF(C59="","",IF(COUNTIF(Tarieven!$A$2:$A$200,C59)=0,"Klant niet in Tarieven",IF(MOD(N(H59),1)*100&gt;59.4,"Tijd ongeldig: minuten boven 59",IF(J59="Nog bepalen","Prijstype nog bepalen",IF(AND(J59="Per uur",N(K59)=0),"Uurtarief ontbreekt",IF(AND(J59="Vaste prijs",N(K59)=0),"Vaste prijs ontbreekt",IF(AND(N(I59)=0,Q59&lt;&gt;"Niet doorgegaan / verplaatst",Q59&lt;&gt;"Geen factuur nodig"),"Geen uren",IF(AND(G59="NEE",Q59="Verstuurd"),"Verstuurd terwijl werk niet af",IF(IFERROR(VLOOKUP(C59,Tarieven!$A$2:$F$200,2,0),"")="Beide","Beide-klant: controleer prijstype","OK")))))))))</f>
        <v/>
      </c>
    </row>
    <row r="60" ht="15" customHeight="1" s="42">
      <c r="A60" s="56">
        <f>IF(B60="","",WEEKNUM(B60,21))</f>
        <v/>
      </c>
      <c r="B60" s="55" t="n"/>
      <c r="C60" s="57" t="n"/>
      <c r="D60" s="57" t="n"/>
      <c r="E60" s="57" t="n"/>
      <c r="F60" s="57" t="n"/>
      <c r="G60" s="67" t="n"/>
      <c r="H60" s="68" t="n"/>
      <c r="I60" s="61">
        <f>IF(C60="","",IF(H60&lt;&gt;"",INT(H60)+ROUND(MOD(H60,1)*100/60,2),SUMIFS(Registraties!$L$5:$L$3004,Registraties!$D$5:$D$3004,C60,Registraties!$A$5:$A$3004,B60)))</f>
        <v/>
      </c>
      <c r="J60" s="58">
        <f>IF(C60="","",IFERROR(IF(VLOOKUP(C60,Tarieven!$A$2:$F$200,2,0)="Beide","Per uur",VLOOKUP(C60,Tarieven!$A$2:$F$200,2,0)),"Nog bepalen"))</f>
        <v/>
      </c>
      <c r="K60" s="69">
        <f>IF(C60="","",IF(J60="Per uur",IFERROR(VLOOKUP(C60,Tarieven!$A$2:$F$200,3,0),""),IF(J60="Vaste prijs",IFERROR(VLOOKUP(C60,Tarieven!$A$2:$F$200,4,0),""),"")))</f>
        <v/>
      </c>
      <c r="L60" s="70">
        <f>IF(C60="","",IF(J60="Per uur",N(I60)*N(K60),IF(J60="Vaste prijs",N(K60),0)))</f>
        <v/>
      </c>
      <c r="M60" s="69">
        <f>IF(C60="","",IFERROR(IF(N(VLOOKUP(C60,Tarieven!$A$2:$F$200,5,0))=0,"",VLOOKUP(C60,Tarieven!$A$2:$F$200,5,0)),""))</f>
        <v/>
      </c>
      <c r="N60" s="69" t="n"/>
      <c r="O60" s="69" t="n"/>
      <c r="P60" s="70">
        <f>IF(C60="","",N(L60)+N(M60)+N(N60)+N(O60))</f>
        <v/>
      </c>
      <c r="Q60" s="58" t="n"/>
      <c r="R60" s="57" t="n"/>
      <c r="S60" s="57" t="n"/>
      <c r="T60" s="57" t="n"/>
      <c r="U60" s="62">
        <f>IF(C60="","",IF(COUNTIF(Tarieven!$A$2:$A$200,C60)=0,"Klant niet in Tarieven",IF(MOD(N(H60),1)*100&gt;59.4,"Tijd ongeldig: minuten boven 59",IF(J60="Nog bepalen","Prijstype nog bepalen",IF(AND(J60="Per uur",N(K60)=0),"Uurtarief ontbreekt",IF(AND(J60="Vaste prijs",N(K60)=0),"Vaste prijs ontbreekt",IF(AND(N(I60)=0,Q60&lt;&gt;"Niet doorgegaan / verplaatst",Q60&lt;&gt;"Geen factuur nodig"),"Geen uren",IF(AND(G60="NEE",Q60="Verstuurd"),"Verstuurd terwijl werk niet af",IF(IFERROR(VLOOKUP(C60,Tarieven!$A$2:$F$200,2,0),"")="Beide","Beide-klant: controleer prijstype","OK")))))))))</f>
        <v/>
      </c>
    </row>
    <row r="61" ht="15" customHeight="1" s="42">
      <c r="A61" s="56">
        <f>IF(B61="","",WEEKNUM(B61,21))</f>
        <v/>
      </c>
      <c r="B61" s="55" t="n"/>
      <c r="C61" s="57" t="n"/>
      <c r="D61" s="57" t="n"/>
      <c r="E61" s="57" t="n"/>
      <c r="F61" s="57" t="n"/>
      <c r="G61" s="67" t="n"/>
      <c r="H61" s="68" t="n"/>
      <c r="I61" s="61">
        <f>IF(C61="","",IF(H61&lt;&gt;"",INT(H61)+ROUND(MOD(H61,1)*100/60,2),SUMIFS(Registraties!$L$5:$L$3004,Registraties!$D$5:$D$3004,C61,Registraties!$A$5:$A$3004,B61)))</f>
        <v/>
      </c>
      <c r="J61" s="58">
        <f>IF(C61="","",IFERROR(IF(VLOOKUP(C61,Tarieven!$A$2:$F$200,2,0)="Beide","Per uur",VLOOKUP(C61,Tarieven!$A$2:$F$200,2,0)),"Nog bepalen"))</f>
        <v/>
      </c>
      <c r="K61" s="69">
        <f>IF(C61="","",IF(J61="Per uur",IFERROR(VLOOKUP(C61,Tarieven!$A$2:$F$200,3,0),""),IF(J61="Vaste prijs",IFERROR(VLOOKUP(C61,Tarieven!$A$2:$F$200,4,0),""),"")))</f>
        <v/>
      </c>
      <c r="L61" s="70">
        <f>IF(C61="","",IF(J61="Per uur",N(I61)*N(K61),IF(J61="Vaste prijs",N(K61),0)))</f>
        <v/>
      </c>
      <c r="M61" s="69">
        <f>IF(C61="","",IFERROR(IF(N(VLOOKUP(C61,Tarieven!$A$2:$F$200,5,0))=0,"",VLOOKUP(C61,Tarieven!$A$2:$F$200,5,0)),""))</f>
        <v/>
      </c>
      <c r="N61" s="69" t="n"/>
      <c r="O61" s="69" t="n"/>
      <c r="P61" s="70">
        <f>IF(C61="","",N(L61)+N(M61)+N(N61)+N(O61))</f>
        <v/>
      </c>
      <c r="Q61" s="58" t="n"/>
      <c r="R61" s="57" t="n"/>
      <c r="S61" s="57" t="n"/>
      <c r="T61" s="57" t="n"/>
      <c r="U61" s="62">
        <f>IF(C61="","",IF(COUNTIF(Tarieven!$A$2:$A$200,C61)=0,"Klant niet in Tarieven",IF(MOD(N(H61),1)*100&gt;59.4,"Tijd ongeldig: minuten boven 59",IF(J61="Nog bepalen","Prijstype nog bepalen",IF(AND(J61="Per uur",N(K61)=0),"Uurtarief ontbreekt",IF(AND(J61="Vaste prijs",N(K61)=0),"Vaste prijs ontbreekt",IF(AND(N(I61)=0,Q61&lt;&gt;"Niet doorgegaan / verplaatst",Q61&lt;&gt;"Geen factuur nodig"),"Geen uren",IF(AND(G61="NEE",Q61="Verstuurd"),"Verstuurd terwijl werk niet af",IF(IFERROR(VLOOKUP(C61,Tarieven!$A$2:$F$200,2,0),"")="Beide","Beide-klant: controleer prijstype","OK")))))))))</f>
        <v/>
      </c>
    </row>
    <row r="62" ht="15" customHeight="1" s="42">
      <c r="A62" s="56">
        <f>IF(B62="","",WEEKNUM(B62,21))</f>
        <v/>
      </c>
      <c r="B62" s="55" t="n"/>
      <c r="C62" s="57" t="n"/>
      <c r="D62" s="57" t="n"/>
      <c r="E62" s="57" t="n"/>
      <c r="F62" s="57" t="n"/>
      <c r="G62" s="67" t="n"/>
      <c r="H62" s="68" t="n"/>
      <c r="I62" s="61">
        <f>IF(C62="","",IF(H62&lt;&gt;"",INT(H62)+ROUND(MOD(H62,1)*100/60,2),SUMIFS(Registraties!$L$5:$L$3004,Registraties!$D$5:$D$3004,C62,Registraties!$A$5:$A$3004,B62)))</f>
        <v/>
      </c>
      <c r="J62" s="58">
        <f>IF(C62="","",IFERROR(IF(VLOOKUP(C62,Tarieven!$A$2:$F$200,2,0)="Beide","Per uur",VLOOKUP(C62,Tarieven!$A$2:$F$200,2,0)),"Nog bepalen"))</f>
        <v/>
      </c>
      <c r="K62" s="69">
        <f>IF(C62="","",IF(J62="Per uur",IFERROR(VLOOKUP(C62,Tarieven!$A$2:$F$200,3,0),""),IF(J62="Vaste prijs",IFERROR(VLOOKUP(C62,Tarieven!$A$2:$F$200,4,0),""),"")))</f>
        <v/>
      </c>
      <c r="L62" s="70">
        <f>IF(C62="","",IF(J62="Per uur",N(I62)*N(K62),IF(J62="Vaste prijs",N(K62),0)))</f>
        <v/>
      </c>
      <c r="M62" s="69">
        <f>IF(C62="","",IFERROR(IF(N(VLOOKUP(C62,Tarieven!$A$2:$F$200,5,0))=0,"",VLOOKUP(C62,Tarieven!$A$2:$F$200,5,0)),""))</f>
        <v/>
      </c>
      <c r="N62" s="69" t="n"/>
      <c r="O62" s="69" t="n"/>
      <c r="P62" s="70">
        <f>IF(C62="","",N(L62)+N(M62)+N(N62)+N(O62))</f>
        <v/>
      </c>
      <c r="Q62" s="58" t="n"/>
      <c r="R62" s="57" t="n"/>
      <c r="S62" s="57" t="n"/>
      <c r="T62" s="57" t="n"/>
      <c r="U62" s="62">
        <f>IF(C62="","",IF(COUNTIF(Tarieven!$A$2:$A$200,C62)=0,"Klant niet in Tarieven",IF(MOD(N(H62),1)*100&gt;59.4,"Tijd ongeldig: minuten boven 59",IF(J62="Nog bepalen","Prijstype nog bepalen",IF(AND(J62="Per uur",N(K62)=0),"Uurtarief ontbreekt",IF(AND(J62="Vaste prijs",N(K62)=0),"Vaste prijs ontbreekt",IF(AND(N(I62)=0,Q62&lt;&gt;"Niet doorgegaan / verplaatst",Q62&lt;&gt;"Geen factuur nodig"),"Geen uren",IF(AND(G62="NEE",Q62="Verstuurd"),"Verstuurd terwijl werk niet af",IF(IFERROR(VLOOKUP(C62,Tarieven!$A$2:$F$200,2,0),"")="Beide","Beide-klant: controleer prijstype","OK")))))))))</f>
        <v/>
      </c>
    </row>
    <row r="63" ht="15" customHeight="1" s="42">
      <c r="A63" s="56">
        <f>IF(B63="","",WEEKNUM(B63,21))</f>
        <v/>
      </c>
      <c r="B63" s="55" t="n"/>
      <c r="C63" s="57" t="n"/>
      <c r="D63" s="57" t="n"/>
      <c r="E63" s="57" t="n"/>
      <c r="F63" s="57" t="n"/>
      <c r="G63" s="67" t="n"/>
      <c r="H63" s="68" t="n"/>
      <c r="I63" s="61">
        <f>IF(C63="","",IF(H63&lt;&gt;"",INT(H63)+ROUND(MOD(H63,1)*100/60,2),SUMIFS(Registraties!$L$5:$L$3004,Registraties!$D$5:$D$3004,C63,Registraties!$A$5:$A$3004,B63)))</f>
        <v/>
      </c>
      <c r="J63" s="58">
        <f>IF(C63="","",IFERROR(IF(VLOOKUP(C63,Tarieven!$A$2:$F$200,2,0)="Beide","Per uur",VLOOKUP(C63,Tarieven!$A$2:$F$200,2,0)),"Nog bepalen"))</f>
        <v/>
      </c>
      <c r="K63" s="69">
        <f>IF(C63="","",IF(J63="Per uur",IFERROR(VLOOKUP(C63,Tarieven!$A$2:$F$200,3,0),""),IF(J63="Vaste prijs",IFERROR(VLOOKUP(C63,Tarieven!$A$2:$F$200,4,0),""),"")))</f>
        <v/>
      </c>
      <c r="L63" s="70">
        <f>IF(C63="","",IF(J63="Per uur",N(I63)*N(K63),IF(J63="Vaste prijs",N(K63),0)))</f>
        <v/>
      </c>
      <c r="M63" s="69">
        <f>IF(C63="","",IFERROR(IF(N(VLOOKUP(C63,Tarieven!$A$2:$F$200,5,0))=0,"",VLOOKUP(C63,Tarieven!$A$2:$F$200,5,0)),""))</f>
        <v/>
      </c>
      <c r="N63" s="69" t="n"/>
      <c r="O63" s="69" t="n"/>
      <c r="P63" s="70">
        <f>IF(C63="","",N(L63)+N(M63)+N(N63)+N(O63))</f>
        <v/>
      </c>
      <c r="Q63" s="58" t="n"/>
      <c r="R63" s="57" t="n"/>
      <c r="S63" s="57" t="n"/>
      <c r="T63" s="57" t="n"/>
      <c r="U63" s="62">
        <f>IF(C63="","",IF(COUNTIF(Tarieven!$A$2:$A$200,C63)=0,"Klant niet in Tarieven",IF(MOD(N(H63),1)*100&gt;59.4,"Tijd ongeldig: minuten boven 59",IF(J63="Nog bepalen","Prijstype nog bepalen",IF(AND(J63="Per uur",N(K63)=0),"Uurtarief ontbreekt",IF(AND(J63="Vaste prijs",N(K63)=0),"Vaste prijs ontbreekt",IF(AND(N(I63)=0,Q63&lt;&gt;"Niet doorgegaan / verplaatst",Q63&lt;&gt;"Geen factuur nodig"),"Geen uren",IF(AND(G63="NEE",Q63="Verstuurd"),"Verstuurd terwijl werk niet af",IF(IFERROR(VLOOKUP(C63,Tarieven!$A$2:$F$200,2,0),"")="Beide","Beide-klant: controleer prijstype","OK")))))))))</f>
        <v/>
      </c>
    </row>
    <row r="64" ht="15" customHeight="1" s="42">
      <c r="A64" s="56">
        <f>IF(B64="","",WEEKNUM(B64,21))</f>
        <v/>
      </c>
      <c r="B64" s="55" t="n"/>
      <c r="C64" s="57" t="n"/>
      <c r="D64" s="57" t="n"/>
      <c r="E64" s="57" t="n"/>
      <c r="F64" s="57" t="n"/>
      <c r="G64" s="67" t="n"/>
      <c r="H64" s="68" t="n"/>
      <c r="I64" s="61">
        <f>IF(C64="","",IF(H64&lt;&gt;"",INT(H64)+ROUND(MOD(H64,1)*100/60,2),SUMIFS(Registraties!$L$5:$L$3004,Registraties!$D$5:$D$3004,C64,Registraties!$A$5:$A$3004,B64)))</f>
        <v/>
      </c>
      <c r="J64" s="58">
        <f>IF(C64="","",IFERROR(IF(VLOOKUP(C64,Tarieven!$A$2:$F$200,2,0)="Beide","Per uur",VLOOKUP(C64,Tarieven!$A$2:$F$200,2,0)),"Nog bepalen"))</f>
        <v/>
      </c>
      <c r="K64" s="69">
        <f>IF(C64="","",IF(J64="Per uur",IFERROR(VLOOKUP(C64,Tarieven!$A$2:$F$200,3,0),""),IF(J64="Vaste prijs",IFERROR(VLOOKUP(C64,Tarieven!$A$2:$F$200,4,0),""),"")))</f>
        <v/>
      </c>
      <c r="L64" s="70">
        <f>IF(C64="","",IF(J64="Per uur",N(I64)*N(K64),IF(J64="Vaste prijs",N(K64),0)))</f>
        <v/>
      </c>
      <c r="M64" s="69">
        <f>IF(C64="","",IFERROR(IF(N(VLOOKUP(C64,Tarieven!$A$2:$F$200,5,0))=0,"",VLOOKUP(C64,Tarieven!$A$2:$F$200,5,0)),""))</f>
        <v/>
      </c>
      <c r="N64" s="69" t="n"/>
      <c r="O64" s="69" t="n"/>
      <c r="P64" s="70">
        <f>IF(C64="","",N(L64)+N(M64)+N(N64)+N(O64))</f>
        <v/>
      </c>
      <c r="Q64" s="58" t="n"/>
      <c r="R64" s="57" t="n"/>
      <c r="S64" s="57" t="n"/>
      <c r="T64" s="57" t="n"/>
      <c r="U64" s="62">
        <f>IF(C64="","",IF(COUNTIF(Tarieven!$A$2:$A$200,C64)=0,"Klant niet in Tarieven",IF(MOD(N(H64),1)*100&gt;59.4,"Tijd ongeldig: minuten boven 59",IF(J64="Nog bepalen","Prijstype nog bepalen",IF(AND(J64="Per uur",N(K64)=0),"Uurtarief ontbreekt",IF(AND(J64="Vaste prijs",N(K64)=0),"Vaste prijs ontbreekt",IF(AND(N(I64)=0,Q64&lt;&gt;"Niet doorgegaan / verplaatst",Q64&lt;&gt;"Geen factuur nodig"),"Geen uren",IF(AND(G64="NEE",Q64="Verstuurd"),"Verstuurd terwijl werk niet af",IF(IFERROR(VLOOKUP(C64,Tarieven!$A$2:$F$200,2,0),"")="Beide","Beide-klant: controleer prijstype","OK")))))))))</f>
        <v/>
      </c>
    </row>
    <row r="65" ht="15" customHeight="1" s="42">
      <c r="A65" s="56">
        <f>IF(B65="","",WEEKNUM(B65,21))</f>
        <v/>
      </c>
      <c r="B65" s="55" t="n"/>
      <c r="C65" s="57" t="n"/>
      <c r="D65" s="57" t="n"/>
      <c r="E65" s="57" t="n"/>
      <c r="F65" s="57" t="n"/>
      <c r="G65" s="67" t="n"/>
      <c r="H65" s="68" t="n"/>
      <c r="I65" s="61">
        <f>IF(C65="","",IF(H65&lt;&gt;"",INT(H65)+ROUND(MOD(H65,1)*100/60,2),SUMIFS(Registraties!$L$5:$L$3004,Registraties!$D$5:$D$3004,C65,Registraties!$A$5:$A$3004,B65)))</f>
        <v/>
      </c>
      <c r="J65" s="58">
        <f>IF(C65="","",IFERROR(IF(VLOOKUP(C65,Tarieven!$A$2:$F$200,2,0)="Beide","Per uur",VLOOKUP(C65,Tarieven!$A$2:$F$200,2,0)),"Nog bepalen"))</f>
        <v/>
      </c>
      <c r="K65" s="69">
        <f>IF(C65="","",IF(J65="Per uur",IFERROR(VLOOKUP(C65,Tarieven!$A$2:$F$200,3,0),""),IF(J65="Vaste prijs",IFERROR(VLOOKUP(C65,Tarieven!$A$2:$F$200,4,0),""),"")))</f>
        <v/>
      </c>
      <c r="L65" s="70">
        <f>IF(C65="","",IF(J65="Per uur",N(I65)*N(K65),IF(J65="Vaste prijs",N(K65),0)))</f>
        <v/>
      </c>
      <c r="M65" s="69">
        <f>IF(C65="","",IFERROR(IF(N(VLOOKUP(C65,Tarieven!$A$2:$F$200,5,0))=0,"",VLOOKUP(C65,Tarieven!$A$2:$F$200,5,0)),""))</f>
        <v/>
      </c>
      <c r="N65" s="69" t="n"/>
      <c r="O65" s="69" t="n"/>
      <c r="P65" s="70">
        <f>IF(C65="","",N(L65)+N(M65)+N(N65)+N(O65))</f>
        <v/>
      </c>
      <c r="Q65" s="58" t="n"/>
      <c r="R65" s="57" t="n"/>
      <c r="S65" s="57" t="n"/>
      <c r="T65" s="57" t="n"/>
      <c r="U65" s="62">
        <f>IF(C65="","",IF(COUNTIF(Tarieven!$A$2:$A$200,C65)=0,"Klant niet in Tarieven",IF(MOD(N(H65),1)*100&gt;59.4,"Tijd ongeldig: minuten boven 59",IF(J65="Nog bepalen","Prijstype nog bepalen",IF(AND(J65="Per uur",N(K65)=0),"Uurtarief ontbreekt",IF(AND(J65="Vaste prijs",N(K65)=0),"Vaste prijs ontbreekt",IF(AND(N(I65)=0,Q65&lt;&gt;"Niet doorgegaan / verplaatst",Q65&lt;&gt;"Geen factuur nodig"),"Geen uren",IF(AND(G65="NEE",Q65="Verstuurd"),"Verstuurd terwijl werk niet af",IF(IFERROR(VLOOKUP(C65,Tarieven!$A$2:$F$200,2,0),"")="Beide","Beide-klant: controleer prijstype","OK")))))))))</f>
        <v/>
      </c>
    </row>
    <row r="66" ht="15" customHeight="1" s="42">
      <c r="A66" s="56">
        <f>IF(B66="","",WEEKNUM(B66,21))</f>
        <v/>
      </c>
      <c r="B66" s="55" t="n"/>
      <c r="C66" s="57" t="n"/>
      <c r="D66" s="57" t="n"/>
      <c r="E66" s="57" t="n"/>
      <c r="F66" s="57" t="n"/>
      <c r="G66" s="67" t="n"/>
      <c r="H66" s="68" t="n"/>
      <c r="I66" s="61">
        <f>IF(C66="","",IF(H66&lt;&gt;"",INT(H66)+ROUND(MOD(H66,1)*100/60,2),SUMIFS(Registraties!$L$5:$L$3004,Registraties!$D$5:$D$3004,C66,Registraties!$A$5:$A$3004,B66)))</f>
        <v/>
      </c>
      <c r="J66" s="58">
        <f>IF(C66="","",IFERROR(IF(VLOOKUP(C66,Tarieven!$A$2:$F$200,2,0)="Beide","Per uur",VLOOKUP(C66,Tarieven!$A$2:$F$200,2,0)),"Nog bepalen"))</f>
        <v/>
      </c>
      <c r="K66" s="69">
        <f>IF(C66="","",IF(J66="Per uur",IFERROR(VLOOKUP(C66,Tarieven!$A$2:$F$200,3,0),""),IF(J66="Vaste prijs",IFERROR(VLOOKUP(C66,Tarieven!$A$2:$F$200,4,0),""),"")))</f>
        <v/>
      </c>
      <c r="L66" s="70">
        <f>IF(C66="","",IF(J66="Per uur",N(I66)*N(K66),IF(J66="Vaste prijs",N(K66),0)))</f>
        <v/>
      </c>
      <c r="M66" s="69">
        <f>IF(C66="","",IFERROR(IF(N(VLOOKUP(C66,Tarieven!$A$2:$F$200,5,0))=0,"",VLOOKUP(C66,Tarieven!$A$2:$F$200,5,0)),""))</f>
        <v/>
      </c>
      <c r="N66" s="69" t="n"/>
      <c r="O66" s="69" t="n"/>
      <c r="P66" s="70">
        <f>IF(C66="","",N(L66)+N(M66)+N(N66)+N(O66))</f>
        <v/>
      </c>
      <c r="Q66" s="58" t="n"/>
      <c r="R66" s="57" t="n"/>
      <c r="S66" s="57" t="n"/>
      <c r="T66" s="57" t="n"/>
      <c r="U66" s="62">
        <f>IF(C66="","",IF(COUNTIF(Tarieven!$A$2:$A$200,C66)=0,"Klant niet in Tarieven",IF(MOD(N(H66),1)*100&gt;59.4,"Tijd ongeldig: minuten boven 59",IF(J66="Nog bepalen","Prijstype nog bepalen",IF(AND(J66="Per uur",N(K66)=0),"Uurtarief ontbreekt",IF(AND(J66="Vaste prijs",N(K66)=0),"Vaste prijs ontbreekt",IF(AND(N(I66)=0,Q66&lt;&gt;"Niet doorgegaan / verplaatst",Q66&lt;&gt;"Geen factuur nodig"),"Geen uren",IF(AND(G66="NEE",Q66="Verstuurd"),"Verstuurd terwijl werk niet af",IF(IFERROR(VLOOKUP(C66,Tarieven!$A$2:$F$200,2,0),"")="Beide","Beide-klant: controleer prijstype","OK")))))))))</f>
        <v/>
      </c>
    </row>
    <row r="67" ht="15" customHeight="1" s="42">
      <c r="A67" s="56">
        <f>IF(B67="","",WEEKNUM(B67,21))</f>
        <v/>
      </c>
      <c r="B67" s="55" t="n"/>
      <c r="C67" s="57" t="n"/>
      <c r="D67" s="57" t="n"/>
      <c r="E67" s="57" t="n"/>
      <c r="F67" s="57" t="n"/>
      <c r="G67" s="67" t="n"/>
      <c r="H67" s="68" t="n"/>
      <c r="I67" s="61">
        <f>IF(C67="","",IF(H67&lt;&gt;"",INT(H67)+ROUND(MOD(H67,1)*100/60,2),SUMIFS(Registraties!$L$5:$L$3004,Registraties!$D$5:$D$3004,C67,Registraties!$A$5:$A$3004,B67)))</f>
        <v/>
      </c>
      <c r="J67" s="58">
        <f>IF(C67="","",IFERROR(IF(VLOOKUP(C67,Tarieven!$A$2:$F$200,2,0)="Beide","Per uur",VLOOKUP(C67,Tarieven!$A$2:$F$200,2,0)),"Nog bepalen"))</f>
        <v/>
      </c>
      <c r="K67" s="69">
        <f>IF(C67="","",IF(J67="Per uur",IFERROR(VLOOKUP(C67,Tarieven!$A$2:$F$200,3,0),""),IF(J67="Vaste prijs",IFERROR(VLOOKUP(C67,Tarieven!$A$2:$F$200,4,0),""),"")))</f>
        <v/>
      </c>
      <c r="L67" s="70">
        <f>IF(C67="","",IF(J67="Per uur",N(I67)*N(K67),IF(J67="Vaste prijs",N(K67),0)))</f>
        <v/>
      </c>
      <c r="M67" s="69">
        <f>IF(C67="","",IFERROR(IF(N(VLOOKUP(C67,Tarieven!$A$2:$F$200,5,0))=0,"",VLOOKUP(C67,Tarieven!$A$2:$F$200,5,0)),""))</f>
        <v/>
      </c>
      <c r="N67" s="69" t="n"/>
      <c r="O67" s="69" t="n"/>
      <c r="P67" s="70">
        <f>IF(C67="","",N(L67)+N(M67)+N(N67)+N(O67))</f>
        <v/>
      </c>
      <c r="Q67" s="58" t="n"/>
      <c r="R67" s="57" t="n"/>
      <c r="S67" s="57" t="n"/>
      <c r="T67" s="57" t="n"/>
      <c r="U67" s="62">
        <f>IF(C67="","",IF(COUNTIF(Tarieven!$A$2:$A$200,C67)=0,"Klant niet in Tarieven",IF(MOD(N(H67),1)*100&gt;59.4,"Tijd ongeldig: minuten boven 59",IF(J67="Nog bepalen","Prijstype nog bepalen",IF(AND(J67="Per uur",N(K67)=0),"Uurtarief ontbreekt",IF(AND(J67="Vaste prijs",N(K67)=0),"Vaste prijs ontbreekt",IF(AND(N(I67)=0,Q67&lt;&gt;"Niet doorgegaan / verplaatst",Q67&lt;&gt;"Geen factuur nodig"),"Geen uren",IF(AND(G67="NEE",Q67="Verstuurd"),"Verstuurd terwijl werk niet af",IF(IFERROR(VLOOKUP(C67,Tarieven!$A$2:$F$200,2,0),"")="Beide","Beide-klant: controleer prijstype","OK")))))))))</f>
        <v/>
      </c>
    </row>
    <row r="68" ht="15" customHeight="1" s="42">
      <c r="A68" s="56">
        <f>IF(B68="","",WEEKNUM(B68,21))</f>
        <v/>
      </c>
      <c r="B68" s="55" t="n"/>
      <c r="C68" s="57" t="n"/>
      <c r="D68" s="57" t="n"/>
      <c r="E68" s="57" t="n"/>
      <c r="F68" s="57" t="n"/>
      <c r="G68" s="67" t="n"/>
      <c r="H68" s="68" t="n"/>
      <c r="I68" s="61">
        <f>IF(C68="","",IF(H68&lt;&gt;"",INT(H68)+ROUND(MOD(H68,1)*100/60,2),SUMIFS(Registraties!$L$5:$L$3004,Registraties!$D$5:$D$3004,C68,Registraties!$A$5:$A$3004,B68)))</f>
        <v/>
      </c>
      <c r="J68" s="58">
        <f>IF(C68="","",IFERROR(IF(VLOOKUP(C68,Tarieven!$A$2:$F$200,2,0)="Beide","Per uur",VLOOKUP(C68,Tarieven!$A$2:$F$200,2,0)),"Nog bepalen"))</f>
        <v/>
      </c>
      <c r="K68" s="69">
        <f>IF(C68="","",IF(J68="Per uur",IFERROR(VLOOKUP(C68,Tarieven!$A$2:$F$200,3,0),""),IF(J68="Vaste prijs",IFERROR(VLOOKUP(C68,Tarieven!$A$2:$F$200,4,0),""),"")))</f>
        <v/>
      </c>
      <c r="L68" s="70">
        <f>IF(C68="","",IF(J68="Per uur",N(I68)*N(K68),IF(J68="Vaste prijs",N(K68),0)))</f>
        <v/>
      </c>
      <c r="M68" s="69">
        <f>IF(C68="","",IFERROR(IF(N(VLOOKUP(C68,Tarieven!$A$2:$F$200,5,0))=0,"",VLOOKUP(C68,Tarieven!$A$2:$F$200,5,0)),""))</f>
        <v/>
      </c>
      <c r="N68" s="69" t="n"/>
      <c r="O68" s="69" t="n"/>
      <c r="P68" s="70">
        <f>IF(C68="","",N(L68)+N(M68)+N(N68)+N(O68))</f>
        <v/>
      </c>
      <c r="Q68" s="58" t="n"/>
      <c r="R68" s="57" t="n"/>
      <c r="S68" s="57" t="n"/>
      <c r="T68" s="57" t="n"/>
      <c r="U68" s="62">
        <f>IF(C68="","",IF(COUNTIF(Tarieven!$A$2:$A$200,C68)=0,"Klant niet in Tarieven",IF(MOD(N(H68),1)*100&gt;59.4,"Tijd ongeldig: minuten boven 59",IF(J68="Nog bepalen","Prijstype nog bepalen",IF(AND(J68="Per uur",N(K68)=0),"Uurtarief ontbreekt",IF(AND(J68="Vaste prijs",N(K68)=0),"Vaste prijs ontbreekt",IF(AND(N(I68)=0,Q68&lt;&gt;"Niet doorgegaan / verplaatst",Q68&lt;&gt;"Geen factuur nodig"),"Geen uren",IF(AND(G68="NEE",Q68="Verstuurd"),"Verstuurd terwijl werk niet af",IF(IFERROR(VLOOKUP(C68,Tarieven!$A$2:$F$200,2,0),"")="Beide","Beide-klant: controleer prijstype","OK")))))))))</f>
        <v/>
      </c>
    </row>
    <row r="69" ht="15" customHeight="1" s="42">
      <c r="A69" s="56">
        <f>IF(B69="","",WEEKNUM(B69,21))</f>
        <v/>
      </c>
      <c r="B69" s="55" t="n"/>
      <c r="C69" s="57" t="n"/>
      <c r="D69" s="57" t="n"/>
      <c r="E69" s="57" t="n"/>
      <c r="F69" s="57" t="n"/>
      <c r="G69" s="67" t="n"/>
      <c r="H69" s="68" t="n"/>
      <c r="I69" s="61">
        <f>IF(C69="","",IF(H69&lt;&gt;"",INT(H69)+ROUND(MOD(H69,1)*100/60,2),SUMIFS(Registraties!$L$5:$L$3004,Registraties!$D$5:$D$3004,C69,Registraties!$A$5:$A$3004,B69)))</f>
        <v/>
      </c>
      <c r="J69" s="58">
        <f>IF(C69="","",IFERROR(IF(VLOOKUP(C69,Tarieven!$A$2:$F$200,2,0)="Beide","Per uur",VLOOKUP(C69,Tarieven!$A$2:$F$200,2,0)),"Nog bepalen"))</f>
        <v/>
      </c>
      <c r="K69" s="69">
        <f>IF(C69="","",IF(J69="Per uur",IFERROR(VLOOKUP(C69,Tarieven!$A$2:$F$200,3,0),""),IF(J69="Vaste prijs",IFERROR(VLOOKUP(C69,Tarieven!$A$2:$F$200,4,0),""),"")))</f>
        <v/>
      </c>
      <c r="L69" s="70">
        <f>IF(C69="","",IF(J69="Per uur",N(I69)*N(K69),IF(J69="Vaste prijs",N(K69),0)))</f>
        <v/>
      </c>
      <c r="M69" s="69">
        <f>IF(C69="","",IFERROR(IF(N(VLOOKUP(C69,Tarieven!$A$2:$F$200,5,0))=0,"",VLOOKUP(C69,Tarieven!$A$2:$F$200,5,0)),""))</f>
        <v/>
      </c>
      <c r="N69" s="69" t="n"/>
      <c r="O69" s="69" t="n"/>
      <c r="P69" s="70">
        <f>IF(C69="","",N(L69)+N(M69)+N(N69)+N(O69))</f>
        <v/>
      </c>
      <c r="Q69" s="58" t="n"/>
      <c r="R69" s="57" t="n"/>
      <c r="S69" s="57" t="n"/>
      <c r="T69" s="57" t="n"/>
      <c r="U69" s="62">
        <f>IF(C69="","",IF(COUNTIF(Tarieven!$A$2:$A$200,C69)=0,"Klant niet in Tarieven",IF(MOD(N(H69),1)*100&gt;59.4,"Tijd ongeldig: minuten boven 59",IF(J69="Nog bepalen","Prijstype nog bepalen",IF(AND(J69="Per uur",N(K69)=0),"Uurtarief ontbreekt",IF(AND(J69="Vaste prijs",N(K69)=0),"Vaste prijs ontbreekt",IF(AND(N(I69)=0,Q69&lt;&gt;"Niet doorgegaan / verplaatst",Q69&lt;&gt;"Geen factuur nodig"),"Geen uren",IF(AND(G69="NEE",Q69="Verstuurd"),"Verstuurd terwijl werk niet af",IF(IFERROR(VLOOKUP(C69,Tarieven!$A$2:$F$200,2,0),"")="Beide","Beide-klant: controleer prijstype","OK")))))))))</f>
        <v/>
      </c>
    </row>
    <row r="70" ht="15" customHeight="1" s="42">
      <c r="A70" s="56">
        <f>IF(B70="","",WEEKNUM(B70,21))</f>
        <v/>
      </c>
      <c r="B70" s="55" t="n"/>
      <c r="C70" s="57" t="n"/>
      <c r="D70" s="57" t="n"/>
      <c r="E70" s="57" t="n"/>
      <c r="F70" s="57" t="n"/>
      <c r="G70" s="67" t="n"/>
      <c r="H70" s="68" t="n"/>
      <c r="I70" s="61">
        <f>IF(C70="","",IF(H70&lt;&gt;"",INT(H70)+ROUND(MOD(H70,1)*100/60,2),SUMIFS(Registraties!$L$5:$L$3004,Registraties!$D$5:$D$3004,C70,Registraties!$A$5:$A$3004,B70)))</f>
        <v/>
      </c>
      <c r="J70" s="58">
        <f>IF(C70="","",IFERROR(IF(VLOOKUP(C70,Tarieven!$A$2:$F$200,2,0)="Beide","Per uur",VLOOKUP(C70,Tarieven!$A$2:$F$200,2,0)),"Nog bepalen"))</f>
        <v/>
      </c>
      <c r="K70" s="69">
        <f>IF(C70="","",IF(J70="Per uur",IFERROR(VLOOKUP(C70,Tarieven!$A$2:$F$200,3,0),""),IF(J70="Vaste prijs",IFERROR(VLOOKUP(C70,Tarieven!$A$2:$F$200,4,0),""),"")))</f>
        <v/>
      </c>
      <c r="L70" s="70">
        <f>IF(C70="","",IF(J70="Per uur",N(I70)*N(K70),IF(J70="Vaste prijs",N(K70),0)))</f>
        <v/>
      </c>
      <c r="M70" s="69">
        <f>IF(C70="","",IFERROR(IF(N(VLOOKUP(C70,Tarieven!$A$2:$F$200,5,0))=0,"",VLOOKUP(C70,Tarieven!$A$2:$F$200,5,0)),""))</f>
        <v/>
      </c>
      <c r="N70" s="69" t="n"/>
      <c r="O70" s="69" t="n"/>
      <c r="P70" s="70">
        <f>IF(C70="","",N(L70)+N(M70)+N(N70)+N(O70))</f>
        <v/>
      </c>
      <c r="Q70" s="58" t="n"/>
      <c r="R70" s="57" t="n"/>
      <c r="S70" s="57" t="n"/>
      <c r="T70" s="57" t="n"/>
      <c r="U70" s="62">
        <f>IF(C70="","",IF(COUNTIF(Tarieven!$A$2:$A$200,C70)=0,"Klant niet in Tarieven",IF(MOD(N(H70),1)*100&gt;59.4,"Tijd ongeldig: minuten boven 59",IF(J70="Nog bepalen","Prijstype nog bepalen",IF(AND(J70="Per uur",N(K70)=0),"Uurtarief ontbreekt",IF(AND(J70="Vaste prijs",N(K70)=0),"Vaste prijs ontbreekt",IF(AND(N(I70)=0,Q70&lt;&gt;"Niet doorgegaan / verplaatst",Q70&lt;&gt;"Geen factuur nodig"),"Geen uren",IF(AND(G70="NEE",Q70="Verstuurd"),"Verstuurd terwijl werk niet af",IF(IFERROR(VLOOKUP(C70,Tarieven!$A$2:$F$200,2,0),"")="Beide","Beide-klant: controleer prijstype","OK")))))))))</f>
        <v/>
      </c>
    </row>
    <row r="71" ht="15" customHeight="1" s="42">
      <c r="A71" s="56">
        <f>IF(B71="","",WEEKNUM(B71,21))</f>
        <v/>
      </c>
      <c r="B71" s="55" t="n"/>
      <c r="C71" s="57" t="n"/>
      <c r="D71" s="57" t="n"/>
      <c r="E71" s="57" t="n"/>
      <c r="F71" s="57" t="n"/>
      <c r="G71" s="67" t="n"/>
      <c r="H71" s="68" t="n"/>
      <c r="I71" s="61">
        <f>IF(C71="","",IF(H71&lt;&gt;"",INT(H71)+ROUND(MOD(H71,1)*100/60,2),SUMIFS(Registraties!$L$5:$L$3004,Registraties!$D$5:$D$3004,C71,Registraties!$A$5:$A$3004,B71)))</f>
        <v/>
      </c>
      <c r="J71" s="58">
        <f>IF(C71="","",IFERROR(IF(VLOOKUP(C71,Tarieven!$A$2:$F$200,2,0)="Beide","Per uur",VLOOKUP(C71,Tarieven!$A$2:$F$200,2,0)),"Nog bepalen"))</f>
        <v/>
      </c>
      <c r="K71" s="69">
        <f>IF(C71="","",IF(J71="Per uur",IFERROR(VLOOKUP(C71,Tarieven!$A$2:$F$200,3,0),""),IF(J71="Vaste prijs",IFERROR(VLOOKUP(C71,Tarieven!$A$2:$F$200,4,0),""),"")))</f>
        <v/>
      </c>
      <c r="L71" s="70">
        <f>IF(C71="","",IF(J71="Per uur",N(I71)*N(K71),IF(J71="Vaste prijs",N(K71),0)))</f>
        <v/>
      </c>
      <c r="M71" s="69">
        <f>IF(C71="","",IFERROR(IF(N(VLOOKUP(C71,Tarieven!$A$2:$F$200,5,0))=0,"",VLOOKUP(C71,Tarieven!$A$2:$F$200,5,0)),""))</f>
        <v/>
      </c>
      <c r="N71" s="69" t="n"/>
      <c r="O71" s="69" t="n"/>
      <c r="P71" s="70">
        <f>IF(C71="","",N(L71)+N(M71)+N(N71)+N(O71))</f>
        <v/>
      </c>
      <c r="Q71" s="58" t="n"/>
      <c r="R71" s="57" t="n"/>
      <c r="S71" s="57" t="n"/>
      <c r="T71" s="57" t="n"/>
      <c r="U71" s="62">
        <f>IF(C71="","",IF(COUNTIF(Tarieven!$A$2:$A$200,C71)=0,"Klant niet in Tarieven",IF(MOD(N(H71),1)*100&gt;59.4,"Tijd ongeldig: minuten boven 59",IF(J71="Nog bepalen","Prijstype nog bepalen",IF(AND(J71="Per uur",N(K71)=0),"Uurtarief ontbreekt",IF(AND(J71="Vaste prijs",N(K71)=0),"Vaste prijs ontbreekt",IF(AND(N(I71)=0,Q71&lt;&gt;"Niet doorgegaan / verplaatst",Q71&lt;&gt;"Geen factuur nodig"),"Geen uren",IF(AND(G71="NEE",Q71="Verstuurd"),"Verstuurd terwijl werk niet af",IF(IFERROR(VLOOKUP(C71,Tarieven!$A$2:$F$200,2,0),"")="Beide","Beide-klant: controleer prijstype","OK")))))))))</f>
        <v/>
      </c>
    </row>
    <row r="72" ht="15" customHeight="1" s="42">
      <c r="A72" s="56">
        <f>IF(B72="","",WEEKNUM(B72,21))</f>
        <v/>
      </c>
      <c r="B72" s="55" t="n"/>
      <c r="C72" s="57" t="n"/>
      <c r="D72" s="57" t="n"/>
      <c r="E72" s="57" t="n"/>
      <c r="F72" s="57" t="n"/>
      <c r="G72" s="67" t="n"/>
      <c r="H72" s="68" t="n"/>
      <c r="I72" s="61">
        <f>IF(C72="","",IF(H72&lt;&gt;"",INT(H72)+ROUND(MOD(H72,1)*100/60,2),SUMIFS(Registraties!$L$5:$L$3004,Registraties!$D$5:$D$3004,C72,Registraties!$A$5:$A$3004,B72)))</f>
        <v/>
      </c>
      <c r="J72" s="58">
        <f>IF(C72="","",IFERROR(IF(VLOOKUP(C72,Tarieven!$A$2:$F$200,2,0)="Beide","Per uur",VLOOKUP(C72,Tarieven!$A$2:$F$200,2,0)),"Nog bepalen"))</f>
        <v/>
      </c>
      <c r="K72" s="69">
        <f>IF(C72="","",IF(J72="Per uur",IFERROR(VLOOKUP(C72,Tarieven!$A$2:$F$200,3,0),""),IF(J72="Vaste prijs",IFERROR(VLOOKUP(C72,Tarieven!$A$2:$F$200,4,0),""),"")))</f>
        <v/>
      </c>
      <c r="L72" s="70">
        <f>IF(C72="","",IF(J72="Per uur",N(I72)*N(K72),IF(J72="Vaste prijs",N(K72),0)))</f>
        <v/>
      </c>
      <c r="M72" s="69">
        <f>IF(C72="","",IFERROR(IF(N(VLOOKUP(C72,Tarieven!$A$2:$F$200,5,0))=0,"",VLOOKUP(C72,Tarieven!$A$2:$F$200,5,0)),""))</f>
        <v/>
      </c>
      <c r="N72" s="69" t="n"/>
      <c r="O72" s="69" t="n"/>
      <c r="P72" s="70">
        <f>IF(C72="","",N(L72)+N(M72)+N(N72)+N(O72))</f>
        <v/>
      </c>
      <c r="Q72" s="58" t="n"/>
      <c r="R72" s="57" t="n"/>
      <c r="S72" s="57" t="n"/>
      <c r="T72" s="57" t="n"/>
      <c r="U72" s="62">
        <f>IF(C72="","",IF(COUNTIF(Tarieven!$A$2:$A$200,C72)=0,"Klant niet in Tarieven",IF(MOD(N(H72),1)*100&gt;59.4,"Tijd ongeldig: minuten boven 59",IF(J72="Nog bepalen","Prijstype nog bepalen",IF(AND(J72="Per uur",N(K72)=0),"Uurtarief ontbreekt",IF(AND(J72="Vaste prijs",N(K72)=0),"Vaste prijs ontbreekt",IF(AND(N(I72)=0,Q72&lt;&gt;"Niet doorgegaan / verplaatst",Q72&lt;&gt;"Geen factuur nodig"),"Geen uren",IF(AND(G72="NEE",Q72="Verstuurd"),"Verstuurd terwijl werk niet af",IF(IFERROR(VLOOKUP(C72,Tarieven!$A$2:$F$200,2,0),"")="Beide","Beide-klant: controleer prijstype","OK")))))))))</f>
        <v/>
      </c>
    </row>
    <row r="73" ht="15" customHeight="1" s="42">
      <c r="A73" s="56">
        <f>IF(B73="","",WEEKNUM(B73,21))</f>
        <v/>
      </c>
      <c r="B73" s="55" t="n"/>
      <c r="C73" s="57" t="n"/>
      <c r="D73" s="57" t="n"/>
      <c r="E73" s="57" t="n"/>
      <c r="F73" s="57" t="n"/>
      <c r="G73" s="67" t="n"/>
      <c r="H73" s="68" t="n"/>
      <c r="I73" s="61">
        <f>IF(C73="","",IF(H73&lt;&gt;"",INT(H73)+ROUND(MOD(H73,1)*100/60,2),SUMIFS(Registraties!$L$5:$L$3004,Registraties!$D$5:$D$3004,C73,Registraties!$A$5:$A$3004,B73)))</f>
        <v/>
      </c>
      <c r="J73" s="58">
        <f>IF(C73="","",IFERROR(IF(VLOOKUP(C73,Tarieven!$A$2:$F$200,2,0)="Beide","Per uur",VLOOKUP(C73,Tarieven!$A$2:$F$200,2,0)),"Nog bepalen"))</f>
        <v/>
      </c>
      <c r="K73" s="69">
        <f>IF(C73="","",IF(J73="Per uur",IFERROR(VLOOKUP(C73,Tarieven!$A$2:$F$200,3,0),""),IF(J73="Vaste prijs",IFERROR(VLOOKUP(C73,Tarieven!$A$2:$F$200,4,0),""),"")))</f>
        <v/>
      </c>
      <c r="L73" s="70">
        <f>IF(C73="","",IF(J73="Per uur",N(I73)*N(K73),IF(J73="Vaste prijs",N(K73),0)))</f>
        <v/>
      </c>
      <c r="M73" s="69">
        <f>IF(C73="","",IFERROR(IF(N(VLOOKUP(C73,Tarieven!$A$2:$F$200,5,0))=0,"",VLOOKUP(C73,Tarieven!$A$2:$F$200,5,0)),""))</f>
        <v/>
      </c>
      <c r="N73" s="69" t="n"/>
      <c r="O73" s="69" t="n"/>
      <c r="P73" s="70">
        <f>IF(C73="","",N(L73)+N(M73)+N(N73)+N(O73))</f>
        <v/>
      </c>
      <c r="Q73" s="58" t="n"/>
      <c r="R73" s="57" t="n"/>
      <c r="S73" s="57" t="n"/>
      <c r="T73" s="57" t="n"/>
      <c r="U73" s="62">
        <f>IF(C73="","",IF(COUNTIF(Tarieven!$A$2:$A$200,C73)=0,"Klant niet in Tarieven",IF(MOD(N(H73),1)*100&gt;59.4,"Tijd ongeldig: minuten boven 59",IF(J73="Nog bepalen","Prijstype nog bepalen",IF(AND(J73="Per uur",N(K73)=0),"Uurtarief ontbreekt",IF(AND(J73="Vaste prijs",N(K73)=0),"Vaste prijs ontbreekt",IF(AND(N(I73)=0,Q73&lt;&gt;"Niet doorgegaan / verplaatst",Q73&lt;&gt;"Geen factuur nodig"),"Geen uren",IF(AND(G73="NEE",Q73="Verstuurd"),"Verstuurd terwijl werk niet af",IF(IFERROR(VLOOKUP(C73,Tarieven!$A$2:$F$200,2,0),"")="Beide","Beide-klant: controleer prijstype","OK")))))))))</f>
        <v/>
      </c>
    </row>
    <row r="74" ht="15" customHeight="1" s="42">
      <c r="A74" s="56">
        <f>IF(B74="","",WEEKNUM(B74,21))</f>
        <v/>
      </c>
      <c r="B74" s="55" t="n"/>
      <c r="C74" s="57" t="n"/>
      <c r="D74" s="57" t="n"/>
      <c r="E74" s="57" t="n"/>
      <c r="F74" s="57" t="n"/>
      <c r="G74" s="67" t="n"/>
      <c r="H74" s="68" t="n"/>
      <c r="I74" s="61">
        <f>IF(C74="","",IF(H74&lt;&gt;"",INT(H74)+ROUND(MOD(H74,1)*100/60,2),SUMIFS(Registraties!$L$5:$L$3004,Registraties!$D$5:$D$3004,C74,Registraties!$A$5:$A$3004,B74)))</f>
        <v/>
      </c>
      <c r="J74" s="58">
        <f>IF(C74="","",IFERROR(IF(VLOOKUP(C74,Tarieven!$A$2:$F$200,2,0)="Beide","Per uur",VLOOKUP(C74,Tarieven!$A$2:$F$200,2,0)),"Nog bepalen"))</f>
        <v/>
      </c>
      <c r="K74" s="69">
        <f>IF(C74="","",IF(J74="Per uur",IFERROR(VLOOKUP(C74,Tarieven!$A$2:$F$200,3,0),""),IF(J74="Vaste prijs",IFERROR(VLOOKUP(C74,Tarieven!$A$2:$F$200,4,0),""),"")))</f>
        <v/>
      </c>
      <c r="L74" s="70">
        <f>IF(C74="","",IF(J74="Per uur",N(I74)*N(K74),IF(J74="Vaste prijs",N(K74),0)))</f>
        <v/>
      </c>
      <c r="M74" s="69">
        <f>IF(C74="","",IFERROR(IF(N(VLOOKUP(C74,Tarieven!$A$2:$F$200,5,0))=0,"",VLOOKUP(C74,Tarieven!$A$2:$F$200,5,0)),""))</f>
        <v/>
      </c>
      <c r="N74" s="69" t="n"/>
      <c r="O74" s="69" t="n"/>
      <c r="P74" s="70">
        <f>IF(C74="","",N(L74)+N(M74)+N(N74)+N(O74))</f>
        <v/>
      </c>
      <c r="Q74" s="58" t="n"/>
      <c r="R74" s="57" t="n"/>
      <c r="S74" s="57" t="n"/>
      <c r="T74" s="57" t="n"/>
      <c r="U74" s="62">
        <f>IF(C74="","",IF(COUNTIF(Tarieven!$A$2:$A$200,C74)=0,"Klant niet in Tarieven",IF(MOD(N(H74),1)*100&gt;59.4,"Tijd ongeldig: minuten boven 59",IF(J74="Nog bepalen","Prijstype nog bepalen",IF(AND(J74="Per uur",N(K74)=0),"Uurtarief ontbreekt",IF(AND(J74="Vaste prijs",N(K74)=0),"Vaste prijs ontbreekt",IF(AND(N(I74)=0,Q74&lt;&gt;"Niet doorgegaan / verplaatst",Q74&lt;&gt;"Geen factuur nodig"),"Geen uren",IF(AND(G74="NEE",Q74="Verstuurd"),"Verstuurd terwijl werk niet af",IF(IFERROR(VLOOKUP(C74,Tarieven!$A$2:$F$200,2,0),"")="Beide","Beide-klant: controleer prijstype","OK")))))))))</f>
        <v/>
      </c>
    </row>
    <row r="75" ht="15" customHeight="1" s="42">
      <c r="A75" s="56">
        <f>IF(B75="","",WEEKNUM(B75,21))</f>
        <v/>
      </c>
      <c r="B75" s="55" t="n"/>
      <c r="C75" s="57" t="n"/>
      <c r="D75" s="57" t="n"/>
      <c r="E75" s="57" t="n"/>
      <c r="F75" s="57" t="n"/>
      <c r="G75" s="67" t="n"/>
      <c r="H75" s="68" t="n"/>
      <c r="I75" s="61">
        <f>IF(C75="","",IF(H75&lt;&gt;"",INT(H75)+ROUND(MOD(H75,1)*100/60,2),SUMIFS(Registraties!$L$5:$L$3004,Registraties!$D$5:$D$3004,C75,Registraties!$A$5:$A$3004,B75)))</f>
        <v/>
      </c>
      <c r="J75" s="58">
        <f>IF(C75="","",IFERROR(IF(VLOOKUP(C75,Tarieven!$A$2:$F$200,2,0)="Beide","Per uur",VLOOKUP(C75,Tarieven!$A$2:$F$200,2,0)),"Nog bepalen"))</f>
        <v/>
      </c>
      <c r="K75" s="69">
        <f>IF(C75="","",IF(J75="Per uur",IFERROR(VLOOKUP(C75,Tarieven!$A$2:$F$200,3,0),""),IF(J75="Vaste prijs",IFERROR(VLOOKUP(C75,Tarieven!$A$2:$F$200,4,0),""),"")))</f>
        <v/>
      </c>
      <c r="L75" s="70">
        <f>IF(C75="","",IF(J75="Per uur",N(I75)*N(K75),IF(J75="Vaste prijs",N(K75),0)))</f>
        <v/>
      </c>
      <c r="M75" s="69">
        <f>IF(C75="","",IFERROR(IF(N(VLOOKUP(C75,Tarieven!$A$2:$F$200,5,0))=0,"",VLOOKUP(C75,Tarieven!$A$2:$F$200,5,0)),""))</f>
        <v/>
      </c>
      <c r="N75" s="69" t="n"/>
      <c r="O75" s="69" t="n"/>
      <c r="P75" s="70">
        <f>IF(C75="","",N(L75)+N(M75)+N(N75)+N(O75))</f>
        <v/>
      </c>
      <c r="Q75" s="58" t="n"/>
      <c r="R75" s="57" t="n"/>
      <c r="S75" s="57" t="n"/>
      <c r="T75" s="57" t="n"/>
      <c r="U75" s="62">
        <f>IF(C75="","",IF(COUNTIF(Tarieven!$A$2:$A$200,C75)=0,"Klant niet in Tarieven",IF(MOD(N(H75),1)*100&gt;59.4,"Tijd ongeldig: minuten boven 59",IF(J75="Nog bepalen","Prijstype nog bepalen",IF(AND(J75="Per uur",N(K75)=0),"Uurtarief ontbreekt",IF(AND(J75="Vaste prijs",N(K75)=0),"Vaste prijs ontbreekt",IF(AND(N(I75)=0,Q75&lt;&gt;"Niet doorgegaan / verplaatst",Q75&lt;&gt;"Geen factuur nodig"),"Geen uren",IF(AND(G75="NEE",Q75="Verstuurd"),"Verstuurd terwijl werk niet af",IF(IFERROR(VLOOKUP(C75,Tarieven!$A$2:$F$200,2,0),"")="Beide","Beide-klant: controleer prijstype","OK")))))))))</f>
        <v/>
      </c>
    </row>
    <row r="76" ht="15" customHeight="1" s="42">
      <c r="A76" s="56">
        <f>IF(B76="","",WEEKNUM(B76,21))</f>
        <v/>
      </c>
      <c r="B76" s="55" t="n"/>
      <c r="C76" s="57" t="n"/>
      <c r="D76" s="57" t="n"/>
      <c r="E76" s="57" t="n"/>
      <c r="F76" s="57" t="n"/>
      <c r="G76" s="67" t="n"/>
      <c r="H76" s="68" t="n"/>
      <c r="I76" s="61">
        <f>IF(C76="","",IF(H76&lt;&gt;"",INT(H76)+ROUND(MOD(H76,1)*100/60,2),SUMIFS(Registraties!$L$5:$L$3004,Registraties!$D$5:$D$3004,C76,Registraties!$A$5:$A$3004,B76)))</f>
        <v/>
      </c>
      <c r="J76" s="58">
        <f>IF(C76="","",IFERROR(IF(VLOOKUP(C76,Tarieven!$A$2:$F$200,2,0)="Beide","Per uur",VLOOKUP(C76,Tarieven!$A$2:$F$200,2,0)),"Nog bepalen"))</f>
        <v/>
      </c>
      <c r="K76" s="69">
        <f>IF(C76="","",IF(J76="Per uur",IFERROR(VLOOKUP(C76,Tarieven!$A$2:$F$200,3,0),""),IF(J76="Vaste prijs",IFERROR(VLOOKUP(C76,Tarieven!$A$2:$F$200,4,0),""),"")))</f>
        <v/>
      </c>
      <c r="L76" s="70">
        <f>IF(C76="","",IF(J76="Per uur",N(I76)*N(K76),IF(J76="Vaste prijs",N(K76),0)))</f>
        <v/>
      </c>
      <c r="M76" s="69">
        <f>IF(C76="","",IFERROR(IF(N(VLOOKUP(C76,Tarieven!$A$2:$F$200,5,0))=0,"",VLOOKUP(C76,Tarieven!$A$2:$F$200,5,0)),""))</f>
        <v/>
      </c>
      <c r="N76" s="69" t="n"/>
      <c r="O76" s="69" t="n"/>
      <c r="P76" s="70">
        <f>IF(C76="","",N(L76)+N(M76)+N(N76)+N(O76))</f>
        <v/>
      </c>
      <c r="Q76" s="58" t="n"/>
      <c r="R76" s="57" t="n"/>
      <c r="S76" s="57" t="n"/>
      <c r="T76" s="57" t="n"/>
      <c r="U76" s="62">
        <f>IF(C76="","",IF(COUNTIF(Tarieven!$A$2:$A$200,C76)=0,"Klant niet in Tarieven",IF(MOD(N(H76),1)*100&gt;59.4,"Tijd ongeldig: minuten boven 59",IF(J76="Nog bepalen","Prijstype nog bepalen",IF(AND(J76="Per uur",N(K76)=0),"Uurtarief ontbreekt",IF(AND(J76="Vaste prijs",N(K76)=0),"Vaste prijs ontbreekt",IF(AND(N(I76)=0,Q76&lt;&gt;"Niet doorgegaan / verplaatst",Q76&lt;&gt;"Geen factuur nodig"),"Geen uren",IF(AND(G76="NEE",Q76="Verstuurd"),"Verstuurd terwijl werk niet af",IF(IFERROR(VLOOKUP(C76,Tarieven!$A$2:$F$200,2,0),"")="Beide","Beide-klant: controleer prijstype","OK")))))))))</f>
        <v/>
      </c>
    </row>
    <row r="77" ht="15" customHeight="1" s="42">
      <c r="A77" s="56">
        <f>IF(B77="","",WEEKNUM(B77,21))</f>
        <v/>
      </c>
      <c r="B77" s="55" t="n"/>
      <c r="C77" s="57" t="n"/>
      <c r="D77" s="57" t="n"/>
      <c r="E77" s="57" t="n"/>
      <c r="F77" s="57" t="n"/>
      <c r="G77" s="67" t="n"/>
      <c r="H77" s="68" t="n"/>
      <c r="I77" s="61">
        <f>IF(C77="","",IF(H77&lt;&gt;"",INT(H77)+ROUND(MOD(H77,1)*100/60,2),SUMIFS(Registraties!$L$5:$L$3004,Registraties!$D$5:$D$3004,C77,Registraties!$A$5:$A$3004,B77)))</f>
        <v/>
      </c>
      <c r="J77" s="58">
        <f>IF(C77="","",IFERROR(IF(VLOOKUP(C77,Tarieven!$A$2:$F$200,2,0)="Beide","Per uur",VLOOKUP(C77,Tarieven!$A$2:$F$200,2,0)),"Nog bepalen"))</f>
        <v/>
      </c>
      <c r="K77" s="69">
        <f>IF(C77="","",IF(J77="Per uur",IFERROR(VLOOKUP(C77,Tarieven!$A$2:$F$200,3,0),""),IF(J77="Vaste prijs",IFERROR(VLOOKUP(C77,Tarieven!$A$2:$F$200,4,0),""),"")))</f>
        <v/>
      </c>
      <c r="L77" s="70">
        <f>IF(C77="","",IF(J77="Per uur",N(I77)*N(K77),IF(J77="Vaste prijs",N(K77),0)))</f>
        <v/>
      </c>
      <c r="M77" s="69">
        <f>IF(C77="","",IFERROR(IF(N(VLOOKUP(C77,Tarieven!$A$2:$F$200,5,0))=0,"",VLOOKUP(C77,Tarieven!$A$2:$F$200,5,0)),""))</f>
        <v/>
      </c>
      <c r="N77" s="69" t="n"/>
      <c r="O77" s="69" t="n"/>
      <c r="P77" s="70">
        <f>IF(C77="","",N(L77)+N(M77)+N(N77)+N(O77))</f>
        <v/>
      </c>
      <c r="Q77" s="58" t="n"/>
      <c r="R77" s="57" t="n"/>
      <c r="S77" s="57" t="n"/>
      <c r="T77" s="57" t="n"/>
      <c r="U77" s="62">
        <f>IF(C77="","",IF(COUNTIF(Tarieven!$A$2:$A$200,C77)=0,"Klant niet in Tarieven",IF(MOD(N(H77),1)*100&gt;59.4,"Tijd ongeldig: minuten boven 59",IF(J77="Nog bepalen","Prijstype nog bepalen",IF(AND(J77="Per uur",N(K77)=0),"Uurtarief ontbreekt",IF(AND(J77="Vaste prijs",N(K77)=0),"Vaste prijs ontbreekt",IF(AND(N(I77)=0,Q77&lt;&gt;"Niet doorgegaan / verplaatst",Q77&lt;&gt;"Geen factuur nodig"),"Geen uren",IF(AND(G77="NEE",Q77="Verstuurd"),"Verstuurd terwijl werk niet af",IF(IFERROR(VLOOKUP(C77,Tarieven!$A$2:$F$200,2,0),"")="Beide","Beide-klant: controleer prijstype","OK")))))))))</f>
        <v/>
      </c>
    </row>
    <row r="78" ht="15" customHeight="1" s="42">
      <c r="A78" s="56">
        <f>IF(B78="","",WEEKNUM(B78,21))</f>
        <v/>
      </c>
      <c r="B78" s="55" t="n"/>
      <c r="C78" s="57" t="n"/>
      <c r="D78" s="57" t="n"/>
      <c r="E78" s="57" t="n"/>
      <c r="F78" s="57" t="n"/>
      <c r="G78" s="67" t="n"/>
      <c r="H78" s="68" t="n"/>
      <c r="I78" s="61">
        <f>IF(C78="","",IF(H78&lt;&gt;"",INT(H78)+ROUND(MOD(H78,1)*100/60,2),SUMIFS(Registraties!$L$5:$L$3004,Registraties!$D$5:$D$3004,C78,Registraties!$A$5:$A$3004,B78)))</f>
        <v/>
      </c>
      <c r="J78" s="58">
        <f>IF(C78="","",IFERROR(IF(VLOOKUP(C78,Tarieven!$A$2:$F$200,2,0)="Beide","Per uur",VLOOKUP(C78,Tarieven!$A$2:$F$200,2,0)),"Nog bepalen"))</f>
        <v/>
      </c>
      <c r="K78" s="69">
        <f>IF(C78="","",IF(J78="Per uur",IFERROR(VLOOKUP(C78,Tarieven!$A$2:$F$200,3,0),""),IF(J78="Vaste prijs",IFERROR(VLOOKUP(C78,Tarieven!$A$2:$F$200,4,0),""),"")))</f>
        <v/>
      </c>
      <c r="L78" s="70">
        <f>IF(C78="","",IF(J78="Per uur",N(I78)*N(K78),IF(J78="Vaste prijs",N(K78),0)))</f>
        <v/>
      </c>
      <c r="M78" s="69">
        <f>IF(C78="","",IFERROR(IF(N(VLOOKUP(C78,Tarieven!$A$2:$F$200,5,0))=0,"",VLOOKUP(C78,Tarieven!$A$2:$F$200,5,0)),""))</f>
        <v/>
      </c>
      <c r="N78" s="69" t="n"/>
      <c r="O78" s="69" t="n"/>
      <c r="P78" s="70">
        <f>IF(C78="","",N(L78)+N(M78)+N(N78)+N(O78))</f>
        <v/>
      </c>
      <c r="Q78" s="58" t="n"/>
      <c r="R78" s="57" t="n"/>
      <c r="S78" s="57" t="n"/>
      <c r="T78" s="57" t="n"/>
      <c r="U78" s="62">
        <f>IF(C78="","",IF(COUNTIF(Tarieven!$A$2:$A$200,C78)=0,"Klant niet in Tarieven",IF(MOD(N(H78),1)*100&gt;59.4,"Tijd ongeldig: minuten boven 59",IF(J78="Nog bepalen","Prijstype nog bepalen",IF(AND(J78="Per uur",N(K78)=0),"Uurtarief ontbreekt",IF(AND(J78="Vaste prijs",N(K78)=0),"Vaste prijs ontbreekt",IF(AND(N(I78)=0,Q78&lt;&gt;"Niet doorgegaan / verplaatst",Q78&lt;&gt;"Geen factuur nodig"),"Geen uren",IF(AND(G78="NEE",Q78="Verstuurd"),"Verstuurd terwijl werk niet af",IF(IFERROR(VLOOKUP(C78,Tarieven!$A$2:$F$200,2,0),"")="Beide","Beide-klant: controleer prijstype","OK")))))))))</f>
        <v/>
      </c>
    </row>
    <row r="79" ht="15" customHeight="1" s="42">
      <c r="A79" s="56">
        <f>IF(B79="","",WEEKNUM(B79,21))</f>
        <v/>
      </c>
      <c r="B79" s="55" t="n"/>
      <c r="C79" s="57" t="n"/>
      <c r="D79" s="57" t="n"/>
      <c r="E79" s="57" t="n"/>
      <c r="F79" s="57" t="n"/>
      <c r="G79" s="67" t="n"/>
      <c r="H79" s="68" t="n"/>
      <c r="I79" s="61">
        <f>IF(C79="","",IF(H79&lt;&gt;"",INT(H79)+ROUND(MOD(H79,1)*100/60,2),SUMIFS(Registraties!$L$5:$L$3004,Registraties!$D$5:$D$3004,C79,Registraties!$A$5:$A$3004,B79)))</f>
        <v/>
      </c>
      <c r="J79" s="58">
        <f>IF(C79="","",IFERROR(IF(VLOOKUP(C79,Tarieven!$A$2:$F$200,2,0)="Beide","Per uur",VLOOKUP(C79,Tarieven!$A$2:$F$200,2,0)),"Nog bepalen"))</f>
        <v/>
      </c>
      <c r="K79" s="69">
        <f>IF(C79="","",IF(J79="Per uur",IFERROR(VLOOKUP(C79,Tarieven!$A$2:$F$200,3,0),""),IF(J79="Vaste prijs",IFERROR(VLOOKUP(C79,Tarieven!$A$2:$F$200,4,0),""),"")))</f>
        <v/>
      </c>
      <c r="L79" s="70">
        <f>IF(C79="","",IF(J79="Per uur",N(I79)*N(K79),IF(J79="Vaste prijs",N(K79),0)))</f>
        <v/>
      </c>
      <c r="M79" s="69">
        <f>IF(C79="","",IFERROR(IF(N(VLOOKUP(C79,Tarieven!$A$2:$F$200,5,0))=0,"",VLOOKUP(C79,Tarieven!$A$2:$F$200,5,0)),""))</f>
        <v/>
      </c>
      <c r="N79" s="69" t="n"/>
      <c r="O79" s="69" t="n"/>
      <c r="P79" s="70">
        <f>IF(C79="","",N(L79)+N(M79)+N(N79)+N(O79))</f>
        <v/>
      </c>
      <c r="Q79" s="58" t="n"/>
      <c r="R79" s="57" t="n"/>
      <c r="S79" s="57" t="n"/>
      <c r="T79" s="57" t="n"/>
      <c r="U79" s="62">
        <f>IF(C79="","",IF(COUNTIF(Tarieven!$A$2:$A$200,C79)=0,"Klant niet in Tarieven",IF(MOD(N(H79),1)*100&gt;59.4,"Tijd ongeldig: minuten boven 59",IF(J79="Nog bepalen","Prijstype nog bepalen",IF(AND(J79="Per uur",N(K79)=0),"Uurtarief ontbreekt",IF(AND(J79="Vaste prijs",N(K79)=0),"Vaste prijs ontbreekt",IF(AND(N(I79)=0,Q79&lt;&gt;"Niet doorgegaan / verplaatst",Q79&lt;&gt;"Geen factuur nodig"),"Geen uren",IF(AND(G79="NEE",Q79="Verstuurd"),"Verstuurd terwijl werk niet af",IF(IFERROR(VLOOKUP(C79,Tarieven!$A$2:$F$200,2,0),"")="Beide","Beide-klant: controleer prijstype","OK")))))))))</f>
        <v/>
      </c>
    </row>
    <row r="80" ht="15" customHeight="1" s="42">
      <c r="A80" s="56">
        <f>IF(B80="","",WEEKNUM(B80,21))</f>
        <v/>
      </c>
      <c r="B80" s="55" t="n"/>
      <c r="C80" s="57" t="n"/>
      <c r="D80" s="57" t="n"/>
      <c r="E80" s="57" t="n"/>
      <c r="F80" s="57" t="n"/>
      <c r="G80" s="67" t="n"/>
      <c r="H80" s="68" t="n"/>
      <c r="I80" s="61">
        <f>IF(C80="","",IF(H80&lt;&gt;"",INT(H80)+ROUND(MOD(H80,1)*100/60,2),SUMIFS(Registraties!$L$5:$L$3004,Registraties!$D$5:$D$3004,C80,Registraties!$A$5:$A$3004,B80)))</f>
        <v/>
      </c>
      <c r="J80" s="58">
        <f>IF(C80="","",IFERROR(IF(VLOOKUP(C80,Tarieven!$A$2:$F$200,2,0)="Beide","Per uur",VLOOKUP(C80,Tarieven!$A$2:$F$200,2,0)),"Nog bepalen"))</f>
        <v/>
      </c>
      <c r="K80" s="69">
        <f>IF(C80="","",IF(J80="Per uur",IFERROR(VLOOKUP(C80,Tarieven!$A$2:$F$200,3,0),""),IF(J80="Vaste prijs",IFERROR(VLOOKUP(C80,Tarieven!$A$2:$F$200,4,0),""),"")))</f>
        <v/>
      </c>
      <c r="L80" s="70">
        <f>IF(C80="","",IF(J80="Per uur",N(I80)*N(K80),IF(J80="Vaste prijs",N(K80),0)))</f>
        <v/>
      </c>
      <c r="M80" s="69">
        <f>IF(C80="","",IFERROR(IF(N(VLOOKUP(C80,Tarieven!$A$2:$F$200,5,0))=0,"",VLOOKUP(C80,Tarieven!$A$2:$F$200,5,0)),""))</f>
        <v/>
      </c>
      <c r="N80" s="69" t="n"/>
      <c r="O80" s="69" t="n"/>
      <c r="P80" s="70">
        <f>IF(C80="","",N(L80)+N(M80)+N(N80)+N(O80))</f>
        <v/>
      </c>
      <c r="Q80" s="58" t="n"/>
      <c r="R80" s="57" t="n"/>
      <c r="S80" s="57" t="n"/>
      <c r="T80" s="57" t="n"/>
      <c r="U80" s="62">
        <f>IF(C80="","",IF(COUNTIF(Tarieven!$A$2:$A$200,C80)=0,"Klant niet in Tarieven",IF(MOD(N(H80),1)*100&gt;59.4,"Tijd ongeldig: minuten boven 59",IF(J80="Nog bepalen","Prijstype nog bepalen",IF(AND(J80="Per uur",N(K80)=0),"Uurtarief ontbreekt",IF(AND(J80="Vaste prijs",N(K80)=0),"Vaste prijs ontbreekt",IF(AND(N(I80)=0,Q80&lt;&gt;"Niet doorgegaan / verplaatst",Q80&lt;&gt;"Geen factuur nodig"),"Geen uren",IF(AND(G80="NEE",Q80="Verstuurd"),"Verstuurd terwijl werk niet af",IF(IFERROR(VLOOKUP(C80,Tarieven!$A$2:$F$200,2,0),"")="Beide","Beide-klant: controleer prijstype","OK")))))))))</f>
        <v/>
      </c>
    </row>
    <row r="81" ht="15" customHeight="1" s="42">
      <c r="A81" s="56">
        <f>IF(B81="","",WEEKNUM(B81,21))</f>
        <v/>
      </c>
      <c r="B81" s="55" t="n"/>
      <c r="C81" s="57" t="n"/>
      <c r="D81" s="57" t="n"/>
      <c r="E81" s="57" t="n"/>
      <c r="F81" s="57" t="n"/>
      <c r="G81" s="67" t="n"/>
      <c r="H81" s="68" t="n"/>
      <c r="I81" s="61">
        <f>IF(C81="","",IF(H81&lt;&gt;"",INT(H81)+ROUND(MOD(H81,1)*100/60,2),SUMIFS(Registraties!$L$5:$L$3004,Registraties!$D$5:$D$3004,C81,Registraties!$A$5:$A$3004,B81)))</f>
        <v/>
      </c>
      <c r="J81" s="58">
        <f>IF(C81="","",IFERROR(IF(VLOOKUP(C81,Tarieven!$A$2:$F$200,2,0)="Beide","Per uur",VLOOKUP(C81,Tarieven!$A$2:$F$200,2,0)),"Nog bepalen"))</f>
        <v/>
      </c>
      <c r="K81" s="69">
        <f>IF(C81="","",IF(J81="Per uur",IFERROR(VLOOKUP(C81,Tarieven!$A$2:$F$200,3,0),""),IF(J81="Vaste prijs",IFERROR(VLOOKUP(C81,Tarieven!$A$2:$F$200,4,0),""),"")))</f>
        <v/>
      </c>
      <c r="L81" s="70">
        <f>IF(C81="","",IF(J81="Per uur",N(I81)*N(K81),IF(J81="Vaste prijs",N(K81),0)))</f>
        <v/>
      </c>
      <c r="M81" s="69">
        <f>IF(C81="","",IFERROR(IF(N(VLOOKUP(C81,Tarieven!$A$2:$F$200,5,0))=0,"",VLOOKUP(C81,Tarieven!$A$2:$F$200,5,0)),""))</f>
        <v/>
      </c>
      <c r="N81" s="69" t="n"/>
      <c r="O81" s="69" t="n"/>
      <c r="P81" s="70">
        <f>IF(C81="","",N(L81)+N(M81)+N(N81)+N(O81))</f>
        <v/>
      </c>
      <c r="Q81" s="58" t="n"/>
      <c r="R81" s="57" t="n"/>
      <c r="S81" s="57" t="n"/>
      <c r="T81" s="57" t="n"/>
      <c r="U81" s="62">
        <f>IF(C81="","",IF(COUNTIF(Tarieven!$A$2:$A$200,C81)=0,"Klant niet in Tarieven",IF(MOD(N(H81),1)*100&gt;59.4,"Tijd ongeldig: minuten boven 59",IF(J81="Nog bepalen","Prijstype nog bepalen",IF(AND(J81="Per uur",N(K81)=0),"Uurtarief ontbreekt",IF(AND(J81="Vaste prijs",N(K81)=0),"Vaste prijs ontbreekt",IF(AND(N(I81)=0,Q81&lt;&gt;"Niet doorgegaan / verplaatst",Q81&lt;&gt;"Geen factuur nodig"),"Geen uren",IF(AND(G81="NEE",Q81="Verstuurd"),"Verstuurd terwijl werk niet af",IF(IFERROR(VLOOKUP(C81,Tarieven!$A$2:$F$200,2,0),"")="Beide","Beide-klant: controleer prijstype","OK")))))))))</f>
        <v/>
      </c>
    </row>
    <row r="82" ht="15" customHeight="1" s="42">
      <c r="A82" s="56">
        <f>IF(B82="","",WEEKNUM(B82,21))</f>
        <v/>
      </c>
      <c r="B82" s="55" t="n"/>
      <c r="C82" s="57" t="n"/>
      <c r="D82" s="57" t="n"/>
      <c r="E82" s="57" t="n"/>
      <c r="F82" s="57" t="n"/>
      <c r="G82" s="67" t="n"/>
      <c r="H82" s="68" t="n"/>
      <c r="I82" s="61">
        <f>IF(C82="","",IF(H82&lt;&gt;"",INT(H82)+ROUND(MOD(H82,1)*100/60,2),SUMIFS(Registraties!$L$5:$L$3004,Registraties!$D$5:$D$3004,C82,Registraties!$A$5:$A$3004,B82)))</f>
        <v/>
      </c>
      <c r="J82" s="58">
        <f>IF(C82="","",IFERROR(IF(VLOOKUP(C82,Tarieven!$A$2:$F$200,2,0)="Beide","Per uur",VLOOKUP(C82,Tarieven!$A$2:$F$200,2,0)),"Nog bepalen"))</f>
        <v/>
      </c>
      <c r="K82" s="69">
        <f>IF(C82="","",IF(J82="Per uur",IFERROR(VLOOKUP(C82,Tarieven!$A$2:$F$200,3,0),""),IF(J82="Vaste prijs",IFERROR(VLOOKUP(C82,Tarieven!$A$2:$F$200,4,0),""),"")))</f>
        <v/>
      </c>
      <c r="L82" s="70">
        <f>IF(C82="","",IF(J82="Per uur",N(I82)*N(K82),IF(J82="Vaste prijs",N(K82),0)))</f>
        <v/>
      </c>
      <c r="M82" s="69">
        <f>IF(C82="","",IFERROR(IF(N(VLOOKUP(C82,Tarieven!$A$2:$F$200,5,0))=0,"",VLOOKUP(C82,Tarieven!$A$2:$F$200,5,0)),""))</f>
        <v/>
      </c>
      <c r="N82" s="69" t="n"/>
      <c r="O82" s="69" t="n"/>
      <c r="P82" s="70">
        <f>IF(C82="","",N(L82)+N(M82)+N(N82)+N(O82))</f>
        <v/>
      </c>
      <c r="Q82" s="58" t="n"/>
      <c r="R82" s="57" t="n"/>
      <c r="S82" s="57" t="n"/>
      <c r="T82" s="57" t="n"/>
      <c r="U82" s="62">
        <f>IF(C82="","",IF(COUNTIF(Tarieven!$A$2:$A$200,C82)=0,"Klant niet in Tarieven",IF(MOD(N(H82),1)*100&gt;59.4,"Tijd ongeldig: minuten boven 59",IF(J82="Nog bepalen","Prijstype nog bepalen",IF(AND(J82="Per uur",N(K82)=0),"Uurtarief ontbreekt",IF(AND(J82="Vaste prijs",N(K82)=0),"Vaste prijs ontbreekt",IF(AND(N(I82)=0,Q82&lt;&gt;"Niet doorgegaan / verplaatst",Q82&lt;&gt;"Geen factuur nodig"),"Geen uren",IF(AND(G82="NEE",Q82="Verstuurd"),"Verstuurd terwijl werk niet af",IF(IFERROR(VLOOKUP(C82,Tarieven!$A$2:$F$200,2,0),"")="Beide","Beide-klant: controleer prijstype","OK")))))))))</f>
        <v/>
      </c>
    </row>
    <row r="83" ht="15" customHeight="1" s="42">
      <c r="A83" s="56">
        <f>IF(B83="","",WEEKNUM(B83,21))</f>
        <v/>
      </c>
      <c r="B83" s="55" t="n"/>
      <c r="C83" s="57" t="n"/>
      <c r="D83" s="57" t="n"/>
      <c r="E83" s="57" t="n"/>
      <c r="F83" s="57" t="n"/>
      <c r="G83" s="67" t="n"/>
      <c r="H83" s="68" t="n"/>
      <c r="I83" s="61">
        <f>IF(C83="","",IF(H83&lt;&gt;"",INT(H83)+ROUND(MOD(H83,1)*100/60,2),SUMIFS(Registraties!$L$5:$L$3004,Registraties!$D$5:$D$3004,C83,Registraties!$A$5:$A$3004,B83)))</f>
        <v/>
      </c>
      <c r="J83" s="58">
        <f>IF(C83="","",IFERROR(IF(VLOOKUP(C83,Tarieven!$A$2:$F$200,2,0)="Beide","Per uur",VLOOKUP(C83,Tarieven!$A$2:$F$200,2,0)),"Nog bepalen"))</f>
        <v/>
      </c>
      <c r="K83" s="69">
        <f>IF(C83="","",IF(J83="Per uur",IFERROR(VLOOKUP(C83,Tarieven!$A$2:$F$200,3,0),""),IF(J83="Vaste prijs",IFERROR(VLOOKUP(C83,Tarieven!$A$2:$F$200,4,0),""),"")))</f>
        <v/>
      </c>
      <c r="L83" s="70">
        <f>IF(C83="","",IF(J83="Per uur",N(I83)*N(K83),IF(J83="Vaste prijs",N(K83),0)))</f>
        <v/>
      </c>
      <c r="M83" s="69">
        <f>IF(C83="","",IFERROR(IF(N(VLOOKUP(C83,Tarieven!$A$2:$F$200,5,0))=0,"",VLOOKUP(C83,Tarieven!$A$2:$F$200,5,0)),""))</f>
        <v/>
      </c>
      <c r="N83" s="69" t="n"/>
      <c r="O83" s="69" t="n"/>
      <c r="P83" s="70">
        <f>IF(C83="","",N(L83)+N(M83)+N(N83)+N(O83))</f>
        <v/>
      </c>
      <c r="Q83" s="58" t="n"/>
      <c r="R83" s="57" t="n"/>
      <c r="S83" s="57" t="n"/>
      <c r="T83" s="57" t="n"/>
      <c r="U83" s="62">
        <f>IF(C83="","",IF(COUNTIF(Tarieven!$A$2:$A$200,C83)=0,"Klant niet in Tarieven",IF(MOD(N(H83),1)*100&gt;59.4,"Tijd ongeldig: minuten boven 59",IF(J83="Nog bepalen","Prijstype nog bepalen",IF(AND(J83="Per uur",N(K83)=0),"Uurtarief ontbreekt",IF(AND(J83="Vaste prijs",N(K83)=0),"Vaste prijs ontbreekt",IF(AND(N(I83)=0,Q83&lt;&gt;"Niet doorgegaan / verplaatst",Q83&lt;&gt;"Geen factuur nodig"),"Geen uren",IF(AND(G83="NEE",Q83="Verstuurd"),"Verstuurd terwijl werk niet af",IF(IFERROR(VLOOKUP(C83,Tarieven!$A$2:$F$200,2,0),"")="Beide","Beide-klant: controleer prijstype","OK")))))))))</f>
        <v/>
      </c>
    </row>
    <row r="84" ht="15" customHeight="1" s="42">
      <c r="A84" s="56">
        <f>IF(B84="","",WEEKNUM(B84,21))</f>
        <v/>
      </c>
      <c r="B84" s="55" t="n"/>
      <c r="C84" s="57" t="n"/>
      <c r="D84" s="57" t="n"/>
      <c r="E84" s="57" t="n"/>
      <c r="F84" s="57" t="n"/>
      <c r="G84" s="67" t="n"/>
      <c r="H84" s="68" t="n"/>
      <c r="I84" s="61">
        <f>IF(C84="","",IF(H84&lt;&gt;"",INT(H84)+ROUND(MOD(H84,1)*100/60,2),SUMIFS(Registraties!$L$5:$L$3004,Registraties!$D$5:$D$3004,C84,Registraties!$A$5:$A$3004,B84)))</f>
        <v/>
      </c>
      <c r="J84" s="58">
        <f>IF(C84="","",IFERROR(IF(VLOOKUP(C84,Tarieven!$A$2:$F$200,2,0)="Beide","Per uur",VLOOKUP(C84,Tarieven!$A$2:$F$200,2,0)),"Nog bepalen"))</f>
        <v/>
      </c>
      <c r="K84" s="69">
        <f>IF(C84="","",IF(J84="Per uur",IFERROR(VLOOKUP(C84,Tarieven!$A$2:$F$200,3,0),""),IF(J84="Vaste prijs",IFERROR(VLOOKUP(C84,Tarieven!$A$2:$F$200,4,0),""),"")))</f>
        <v/>
      </c>
      <c r="L84" s="70">
        <f>IF(C84="","",IF(J84="Per uur",N(I84)*N(K84),IF(J84="Vaste prijs",N(K84),0)))</f>
        <v/>
      </c>
      <c r="M84" s="69">
        <f>IF(C84="","",IFERROR(IF(N(VLOOKUP(C84,Tarieven!$A$2:$F$200,5,0))=0,"",VLOOKUP(C84,Tarieven!$A$2:$F$200,5,0)),""))</f>
        <v/>
      </c>
      <c r="N84" s="69" t="n"/>
      <c r="O84" s="69" t="n"/>
      <c r="P84" s="70">
        <f>IF(C84="","",N(L84)+N(M84)+N(N84)+N(O84))</f>
        <v/>
      </c>
      <c r="Q84" s="58" t="n"/>
      <c r="R84" s="57" t="n"/>
      <c r="S84" s="57" t="n"/>
      <c r="T84" s="57" t="n"/>
      <c r="U84" s="62">
        <f>IF(C84="","",IF(COUNTIF(Tarieven!$A$2:$A$200,C84)=0,"Klant niet in Tarieven",IF(MOD(N(H84),1)*100&gt;59.4,"Tijd ongeldig: minuten boven 59",IF(J84="Nog bepalen","Prijstype nog bepalen",IF(AND(J84="Per uur",N(K84)=0),"Uurtarief ontbreekt",IF(AND(J84="Vaste prijs",N(K84)=0),"Vaste prijs ontbreekt",IF(AND(N(I84)=0,Q84&lt;&gt;"Niet doorgegaan / verplaatst",Q84&lt;&gt;"Geen factuur nodig"),"Geen uren",IF(AND(G84="NEE",Q84="Verstuurd"),"Verstuurd terwijl werk niet af",IF(IFERROR(VLOOKUP(C84,Tarieven!$A$2:$F$200,2,0),"")="Beide","Beide-klant: controleer prijstype","OK")))))))))</f>
        <v/>
      </c>
    </row>
    <row r="85" ht="15" customHeight="1" s="42">
      <c r="A85" s="56">
        <f>IF(B85="","",WEEKNUM(B85,21))</f>
        <v/>
      </c>
      <c r="B85" s="55" t="n"/>
      <c r="C85" s="57" t="n"/>
      <c r="D85" s="57" t="n"/>
      <c r="E85" s="57" t="n"/>
      <c r="F85" s="57" t="n"/>
      <c r="G85" s="67" t="n"/>
      <c r="H85" s="68" t="n"/>
      <c r="I85" s="61">
        <f>IF(C85="","",IF(H85&lt;&gt;"",INT(H85)+ROUND(MOD(H85,1)*100/60,2),SUMIFS(Registraties!$L$5:$L$3004,Registraties!$D$5:$D$3004,C85,Registraties!$A$5:$A$3004,B85)))</f>
        <v/>
      </c>
      <c r="J85" s="58">
        <f>IF(C85="","",IFERROR(IF(VLOOKUP(C85,Tarieven!$A$2:$F$200,2,0)="Beide","Per uur",VLOOKUP(C85,Tarieven!$A$2:$F$200,2,0)),"Nog bepalen"))</f>
        <v/>
      </c>
      <c r="K85" s="69">
        <f>IF(C85="","",IF(J85="Per uur",IFERROR(VLOOKUP(C85,Tarieven!$A$2:$F$200,3,0),""),IF(J85="Vaste prijs",IFERROR(VLOOKUP(C85,Tarieven!$A$2:$F$200,4,0),""),"")))</f>
        <v/>
      </c>
      <c r="L85" s="70">
        <f>IF(C85="","",IF(J85="Per uur",N(I85)*N(K85),IF(J85="Vaste prijs",N(K85),0)))</f>
        <v/>
      </c>
      <c r="M85" s="69">
        <f>IF(C85="","",IFERROR(IF(N(VLOOKUP(C85,Tarieven!$A$2:$F$200,5,0))=0,"",VLOOKUP(C85,Tarieven!$A$2:$F$200,5,0)),""))</f>
        <v/>
      </c>
      <c r="N85" s="69" t="n"/>
      <c r="O85" s="69" t="n"/>
      <c r="P85" s="70">
        <f>IF(C85="","",N(L85)+N(M85)+N(N85)+N(O85))</f>
        <v/>
      </c>
      <c r="Q85" s="58" t="n"/>
      <c r="R85" s="57" t="n"/>
      <c r="S85" s="57" t="n"/>
      <c r="T85" s="57" t="n"/>
      <c r="U85" s="62">
        <f>IF(C85="","",IF(COUNTIF(Tarieven!$A$2:$A$200,C85)=0,"Klant niet in Tarieven",IF(MOD(N(H85),1)*100&gt;59.4,"Tijd ongeldig: minuten boven 59",IF(J85="Nog bepalen","Prijstype nog bepalen",IF(AND(J85="Per uur",N(K85)=0),"Uurtarief ontbreekt",IF(AND(J85="Vaste prijs",N(K85)=0),"Vaste prijs ontbreekt",IF(AND(N(I85)=0,Q85&lt;&gt;"Niet doorgegaan / verplaatst",Q85&lt;&gt;"Geen factuur nodig"),"Geen uren",IF(AND(G85="NEE",Q85="Verstuurd"),"Verstuurd terwijl werk niet af",IF(IFERROR(VLOOKUP(C85,Tarieven!$A$2:$F$200,2,0),"")="Beide","Beide-klant: controleer prijstype","OK")))))))))</f>
        <v/>
      </c>
    </row>
    <row r="86" ht="15" customHeight="1" s="42">
      <c r="A86" s="56">
        <f>IF(B86="","",WEEKNUM(B86,21))</f>
        <v/>
      </c>
      <c r="B86" s="55" t="n"/>
      <c r="C86" s="57" t="n"/>
      <c r="D86" s="57" t="n"/>
      <c r="E86" s="57" t="n"/>
      <c r="F86" s="57" t="n"/>
      <c r="G86" s="67" t="n"/>
      <c r="H86" s="68" t="n"/>
      <c r="I86" s="61">
        <f>IF(C86="","",IF(H86&lt;&gt;"",INT(H86)+ROUND(MOD(H86,1)*100/60,2),SUMIFS(Registraties!$L$5:$L$3004,Registraties!$D$5:$D$3004,C86,Registraties!$A$5:$A$3004,B86)))</f>
        <v/>
      </c>
      <c r="J86" s="58">
        <f>IF(C86="","",IFERROR(IF(VLOOKUP(C86,Tarieven!$A$2:$F$200,2,0)="Beide","Per uur",VLOOKUP(C86,Tarieven!$A$2:$F$200,2,0)),"Nog bepalen"))</f>
        <v/>
      </c>
      <c r="K86" s="69">
        <f>IF(C86="","",IF(J86="Per uur",IFERROR(VLOOKUP(C86,Tarieven!$A$2:$F$200,3,0),""),IF(J86="Vaste prijs",IFERROR(VLOOKUP(C86,Tarieven!$A$2:$F$200,4,0),""),"")))</f>
        <v/>
      </c>
      <c r="L86" s="70">
        <f>IF(C86="","",IF(J86="Per uur",N(I86)*N(K86),IF(J86="Vaste prijs",N(K86),0)))</f>
        <v/>
      </c>
      <c r="M86" s="69">
        <f>IF(C86="","",IFERROR(IF(N(VLOOKUP(C86,Tarieven!$A$2:$F$200,5,0))=0,"",VLOOKUP(C86,Tarieven!$A$2:$F$200,5,0)),""))</f>
        <v/>
      </c>
      <c r="N86" s="69" t="n"/>
      <c r="O86" s="69" t="n"/>
      <c r="P86" s="70">
        <f>IF(C86="","",N(L86)+N(M86)+N(N86)+N(O86))</f>
        <v/>
      </c>
      <c r="Q86" s="58" t="n"/>
      <c r="R86" s="57" t="n"/>
      <c r="S86" s="57" t="n"/>
      <c r="T86" s="57" t="n"/>
      <c r="U86" s="62">
        <f>IF(C86="","",IF(COUNTIF(Tarieven!$A$2:$A$200,C86)=0,"Klant niet in Tarieven",IF(MOD(N(H86),1)*100&gt;59.4,"Tijd ongeldig: minuten boven 59",IF(J86="Nog bepalen","Prijstype nog bepalen",IF(AND(J86="Per uur",N(K86)=0),"Uurtarief ontbreekt",IF(AND(J86="Vaste prijs",N(K86)=0),"Vaste prijs ontbreekt",IF(AND(N(I86)=0,Q86&lt;&gt;"Niet doorgegaan / verplaatst",Q86&lt;&gt;"Geen factuur nodig"),"Geen uren",IF(AND(G86="NEE",Q86="Verstuurd"),"Verstuurd terwijl werk niet af",IF(IFERROR(VLOOKUP(C86,Tarieven!$A$2:$F$200,2,0),"")="Beide","Beide-klant: controleer prijstype","OK")))))))))</f>
        <v/>
      </c>
    </row>
    <row r="87" ht="15" customHeight="1" s="42">
      <c r="A87" s="56">
        <f>IF(B87="","",WEEKNUM(B87,21))</f>
        <v/>
      </c>
      <c r="B87" s="55" t="n"/>
      <c r="C87" s="57" t="n"/>
      <c r="D87" s="57" t="n"/>
      <c r="E87" s="57" t="n"/>
      <c r="F87" s="57" t="n"/>
      <c r="G87" s="67" t="n"/>
      <c r="H87" s="68" t="n"/>
      <c r="I87" s="61">
        <f>IF(C87="","",IF(H87&lt;&gt;"",INT(H87)+ROUND(MOD(H87,1)*100/60,2),SUMIFS(Registraties!$L$5:$L$3004,Registraties!$D$5:$D$3004,C87,Registraties!$A$5:$A$3004,B87)))</f>
        <v/>
      </c>
      <c r="J87" s="58">
        <f>IF(C87="","",IFERROR(IF(VLOOKUP(C87,Tarieven!$A$2:$F$200,2,0)="Beide","Per uur",VLOOKUP(C87,Tarieven!$A$2:$F$200,2,0)),"Nog bepalen"))</f>
        <v/>
      </c>
      <c r="K87" s="69">
        <f>IF(C87="","",IF(J87="Per uur",IFERROR(VLOOKUP(C87,Tarieven!$A$2:$F$200,3,0),""),IF(J87="Vaste prijs",IFERROR(VLOOKUP(C87,Tarieven!$A$2:$F$200,4,0),""),"")))</f>
        <v/>
      </c>
      <c r="L87" s="70">
        <f>IF(C87="","",IF(J87="Per uur",N(I87)*N(K87),IF(J87="Vaste prijs",N(K87),0)))</f>
        <v/>
      </c>
      <c r="M87" s="69">
        <f>IF(C87="","",IFERROR(IF(N(VLOOKUP(C87,Tarieven!$A$2:$F$200,5,0))=0,"",VLOOKUP(C87,Tarieven!$A$2:$F$200,5,0)),""))</f>
        <v/>
      </c>
      <c r="N87" s="69" t="n"/>
      <c r="O87" s="69" t="n"/>
      <c r="P87" s="70">
        <f>IF(C87="","",N(L87)+N(M87)+N(N87)+N(O87))</f>
        <v/>
      </c>
      <c r="Q87" s="58" t="n"/>
      <c r="R87" s="57" t="n"/>
      <c r="S87" s="57" t="n"/>
      <c r="T87" s="57" t="n"/>
      <c r="U87" s="62">
        <f>IF(C87="","",IF(COUNTIF(Tarieven!$A$2:$A$200,C87)=0,"Klant niet in Tarieven",IF(MOD(N(H87),1)*100&gt;59.4,"Tijd ongeldig: minuten boven 59",IF(J87="Nog bepalen","Prijstype nog bepalen",IF(AND(J87="Per uur",N(K87)=0),"Uurtarief ontbreekt",IF(AND(J87="Vaste prijs",N(K87)=0),"Vaste prijs ontbreekt",IF(AND(N(I87)=0,Q87&lt;&gt;"Niet doorgegaan / verplaatst",Q87&lt;&gt;"Geen factuur nodig"),"Geen uren",IF(AND(G87="NEE",Q87="Verstuurd"),"Verstuurd terwijl werk niet af",IF(IFERROR(VLOOKUP(C87,Tarieven!$A$2:$F$200,2,0),"")="Beide","Beide-klant: controleer prijstype","OK")))))))))</f>
        <v/>
      </c>
    </row>
    <row r="88" ht="15" customHeight="1" s="42">
      <c r="A88" s="56">
        <f>IF(B88="","",WEEKNUM(B88,21))</f>
        <v/>
      </c>
      <c r="B88" s="55" t="n"/>
      <c r="C88" s="57" t="n"/>
      <c r="D88" s="57" t="n"/>
      <c r="E88" s="57" t="n"/>
      <c r="F88" s="57" t="n"/>
      <c r="G88" s="67" t="n"/>
      <c r="H88" s="68" t="n"/>
      <c r="I88" s="61">
        <f>IF(C88="","",IF(H88&lt;&gt;"",INT(H88)+ROUND(MOD(H88,1)*100/60,2),SUMIFS(Registraties!$L$5:$L$3004,Registraties!$D$5:$D$3004,C88,Registraties!$A$5:$A$3004,B88)))</f>
        <v/>
      </c>
      <c r="J88" s="58">
        <f>IF(C88="","",IFERROR(IF(VLOOKUP(C88,Tarieven!$A$2:$F$200,2,0)="Beide","Per uur",VLOOKUP(C88,Tarieven!$A$2:$F$200,2,0)),"Nog bepalen"))</f>
        <v/>
      </c>
      <c r="K88" s="69">
        <f>IF(C88="","",IF(J88="Per uur",IFERROR(VLOOKUP(C88,Tarieven!$A$2:$F$200,3,0),""),IF(J88="Vaste prijs",IFERROR(VLOOKUP(C88,Tarieven!$A$2:$F$200,4,0),""),"")))</f>
        <v/>
      </c>
      <c r="L88" s="70">
        <f>IF(C88="","",IF(J88="Per uur",N(I88)*N(K88),IF(J88="Vaste prijs",N(K88),0)))</f>
        <v/>
      </c>
      <c r="M88" s="69">
        <f>IF(C88="","",IFERROR(IF(N(VLOOKUP(C88,Tarieven!$A$2:$F$200,5,0))=0,"",VLOOKUP(C88,Tarieven!$A$2:$F$200,5,0)),""))</f>
        <v/>
      </c>
      <c r="N88" s="69" t="n"/>
      <c r="O88" s="69" t="n"/>
      <c r="P88" s="70">
        <f>IF(C88="","",N(L88)+N(M88)+N(N88)+N(O88))</f>
        <v/>
      </c>
      <c r="Q88" s="58" t="n"/>
      <c r="R88" s="57" t="n"/>
      <c r="S88" s="57" t="n"/>
      <c r="T88" s="57" t="n"/>
      <c r="U88" s="62">
        <f>IF(C88="","",IF(COUNTIF(Tarieven!$A$2:$A$200,C88)=0,"Klant niet in Tarieven",IF(MOD(N(H88),1)*100&gt;59.4,"Tijd ongeldig: minuten boven 59",IF(J88="Nog bepalen","Prijstype nog bepalen",IF(AND(J88="Per uur",N(K88)=0),"Uurtarief ontbreekt",IF(AND(J88="Vaste prijs",N(K88)=0),"Vaste prijs ontbreekt",IF(AND(N(I88)=0,Q88&lt;&gt;"Niet doorgegaan / verplaatst",Q88&lt;&gt;"Geen factuur nodig"),"Geen uren",IF(AND(G88="NEE",Q88="Verstuurd"),"Verstuurd terwijl werk niet af",IF(IFERROR(VLOOKUP(C88,Tarieven!$A$2:$F$200,2,0),"")="Beide","Beide-klant: controleer prijstype","OK")))))))))</f>
        <v/>
      </c>
    </row>
    <row r="89" ht="15" customHeight="1" s="42">
      <c r="A89" s="56">
        <f>IF(B89="","",WEEKNUM(B89,21))</f>
        <v/>
      </c>
      <c r="B89" s="55" t="n"/>
      <c r="C89" s="57" t="n"/>
      <c r="D89" s="57" t="n"/>
      <c r="E89" s="57" t="n"/>
      <c r="F89" s="57" t="n"/>
      <c r="G89" s="67" t="n"/>
      <c r="H89" s="68" t="n"/>
      <c r="I89" s="61">
        <f>IF(C89="","",IF(H89&lt;&gt;"",INT(H89)+ROUND(MOD(H89,1)*100/60,2),SUMIFS(Registraties!$L$5:$L$3004,Registraties!$D$5:$D$3004,C89,Registraties!$A$5:$A$3004,B89)))</f>
        <v/>
      </c>
      <c r="J89" s="58">
        <f>IF(C89="","",IFERROR(IF(VLOOKUP(C89,Tarieven!$A$2:$F$200,2,0)="Beide","Per uur",VLOOKUP(C89,Tarieven!$A$2:$F$200,2,0)),"Nog bepalen"))</f>
        <v/>
      </c>
      <c r="K89" s="69">
        <f>IF(C89="","",IF(J89="Per uur",IFERROR(VLOOKUP(C89,Tarieven!$A$2:$F$200,3,0),""),IF(J89="Vaste prijs",IFERROR(VLOOKUP(C89,Tarieven!$A$2:$F$200,4,0),""),"")))</f>
        <v/>
      </c>
      <c r="L89" s="70">
        <f>IF(C89="","",IF(J89="Per uur",N(I89)*N(K89),IF(J89="Vaste prijs",N(K89),0)))</f>
        <v/>
      </c>
      <c r="M89" s="69">
        <f>IF(C89="","",IFERROR(IF(N(VLOOKUP(C89,Tarieven!$A$2:$F$200,5,0))=0,"",VLOOKUP(C89,Tarieven!$A$2:$F$200,5,0)),""))</f>
        <v/>
      </c>
      <c r="N89" s="69" t="n"/>
      <c r="O89" s="69" t="n"/>
      <c r="P89" s="70">
        <f>IF(C89="","",N(L89)+N(M89)+N(N89)+N(O89))</f>
        <v/>
      </c>
      <c r="Q89" s="58" t="n"/>
      <c r="R89" s="57" t="n"/>
      <c r="S89" s="57" t="n"/>
      <c r="T89" s="57" t="n"/>
      <c r="U89" s="62">
        <f>IF(C89="","",IF(COUNTIF(Tarieven!$A$2:$A$200,C89)=0,"Klant niet in Tarieven",IF(MOD(N(H89),1)*100&gt;59.4,"Tijd ongeldig: minuten boven 59",IF(J89="Nog bepalen","Prijstype nog bepalen",IF(AND(J89="Per uur",N(K89)=0),"Uurtarief ontbreekt",IF(AND(J89="Vaste prijs",N(K89)=0),"Vaste prijs ontbreekt",IF(AND(N(I89)=0,Q89&lt;&gt;"Niet doorgegaan / verplaatst",Q89&lt;&gt;"Geen factuur nodig"),"Geen uren",IF(AND(G89="NEE",Q89="Verstuurd"),"Verstuurd terwijl werk niet af",IF(IFERROR(VLOOKUP(C89,Tarieven!$A$2:$F$200,2,0),"")="Beide","Beide-klant: controleer prijstype","OK")))))))))</f>
        <v/>
      </c>
    </row>
    <row r="90" ht="15" customHeight="1" s="42">
      <c r="A90" s="56">
        <f>IF(B90="","",WEEKNUM(B90,21))</f>
        <v/>
      </c>
      <c r="B90" s="55" t="n"/>
      <c r="C90" s="57" t="n"/>
      <c r="D90" s="57" t="n"/>
      <c r="E90" s="57" t="n"/>
      <c r="F90" s="57" t="n"/>
      <c r="G90" s="67" t="n"/>
      <c r="H90" s="68" t="n"/>
      <c r="I90" s="61">
        <f>IF(C90="","",IF(H90&lt;&gt;"",INT(H90)+ROUND(MOD(H90,1)*100/60,2),SUMIFS(Registraties!$L$5:$L$3004,Registraties!$D$5:$D$3004,C90,Registraties!$A$5:$A$3004,B90)))</f>
        <v/>
      </c>
      <c r="J90" s="58">
        <f>IF(C90="","",IFERROR(IF(VLOOKUP(C90,Tarieven!$A$2:$F$200,2,0)="Beide","Per uur",VLOOKUP(C90,Tarieven!$A$2:$F$200,2,0)),"Nog bepalen"))</f>
        <v/>
      </c>
      <c r="K90" s="69">
        <f>IF(C90="","",IF(J90="Per uur",IFERROR(VLOOKUP(C90,Tarieven!$A$2:$F$200,3,0),""),IF(J90="Vaste prijs",IFERROR(VLOOKUP(C90,Tarieven!$A$2:$F$200,4,0),""),"")))</f>
        <v/>
      </c>
      <c r="L90" s="70">
        <f>IF(C90="","",IF(J90="Per uur",N(I90)*N(K90),IF(J90="Vaste prijs",N(K90),0)))</f>
        <v/>
      </c>
      <c r="M90" s="69">
        <f>IF(C90="","",IFERROR(IF(N(VLOOKUP(C90,Tarieven!$A$2:$F$200,5,0))=0,"",VLOOKUP(C90,Tarieven!$A$2:$F$200,5,0)),""))</f>
        <v/>
      </c>
      <c r="N90" s="69" t="n"/>
      <c r="O90" s="69" t="n"/>
      <c r="P90" s="70">
        <f>IF(C90="","",N(L90)+N(M90)+N(N90)+N(O90))</f>
        <v/>
      </c>
      <c r="Q90" s="58" t="n"/>
      <c r="R90" s="57" t="n"/>
      <c r="S90" s="57" t="n"/>
      <c r="T90" s="57" t="n"/>
      <c r="U90" s="62">
        <f>IF(C90="","",IF(COUNTIF(Tarieven!$A$2:$A$200,C90)=0,"Klant niet in Tarieven",IF(MOD(N(H90),1)*100&gt;59.4,"Tijd ongeldig: minuten boven 59",IF(J90="Nog bepalen","Prijstype nog bepalen",IF(AND(J90="Per uur",N(K90)=0),"Uurtarief ontbreekt",IF(AND(J90="Vaste prijs",N(K90)=0),"Vaste prijs ontbreekt",IF(AND(N(I90)=0,Q90&lt;&gt;"Niet doorgegaan / verplaatst",Q90&lt;&gt;"Geen factuur nodig"),"Geen uren",IF(AND(G90="NEE",Q90="Verstuurd"),"Verstuurd terwijl werk niet af",IF(IFERROR(VLOOKUP(C90,Tarieven!$A$2:$F$200,2,0),"")="Beide","Beide-klant: controleer prijstype","OK")))))))))</f>
        <v/>
      </c>
    </row>
    <row r="91" ht="15" customHeight="1" s="42">
      <c r="A91" s="56">
        <f>IF(B91="","",WEEKNUM(B91,21))</f>
        <v/>
      </c>
      <c r="B91" s="55" t="n"/>
      <c r="C91" s="57" t="n"/>
      <c r="D91" s="57" t="n"/>
      <c r="E91" s="57" t="n"/>
      <c r="F91" s="57" t="n"/>
      <c r="G91" s="67" t="n"/>
      <c r="H91" s="68" t="n"/>
      <c r="I91" s="61">
        <f>IF(C91="","",IF(H91&lt;&gt;"",INT(H91)+ROUND(MOD(H91,1)*100/60,2),SUMIFS(Registraties!$L$5:$L$3004,Registraties!$D$5:$D$3004,C91,Registraties!$A$5:$A$3004,B91)))</f>
        <v/>
      </c>
      <c r="J91" s="58">
        <f>IF(C91="","",IFERROR(IF(VLOOKUP(C91,Tarieven!$A$2:$F$200,2,0)="Beide","Per uur",VLOOKUP(C91,Tarieven!$A$2:$F$200,2,0)),"Nog bepalen"))</f>
        <v/>
      </c>
      <c r="K91" s="69">
        <f>IF(C91="","",IF(J91="Per uur",IFERROR(VLOOKUP(C91,Tarieven!$A$2:$F$200,3,0),""),IF(J91="Vaste prijs",IFERROR(VLOOKUP(C91,Tarieven!$A$2:$F$200,4,0),""),"")))</f>
        <v/>
      </c>
      <c r="L91" s="70">
        <f>IF(C91="","",IF(J91="Per uur",N(I91)*N(K91),IF(J91="Vaste prijs",N(K91),0)))</f>
        <v/>
      </c>
      <c r="M91" s="69">
        <f>IF(C91="","",IFERROR(IF(N(VLOOKUP(C91,Tarieven!$A$2:$F$200,5,0))=0,"",VLOOKUP(C91,Tarieven!$A$2:$F$200,5,0)),""))</f>
        <v/>
      </c>
      <c r="N91" s="69" t="n"/>
      <c r="O91" s="69" t="n"/>
      <c r="P91" s="70">
        <f>IF(C91="","",N(L91)+N(M91)+N(N91)+N(O91))</f>
        <v/>
      </c>
      <c r="Q91" s="58" t="n"/>
      <c r="R91" s="57" t="n"/>
      <c r="S91" s="57" t="n"/>
      <c r="T91" s="57" t="n"/>
      <c r="U91" s="62">
        <f>IF(C91="","",IF(COUNTIF(Tarieven!$A$2:$A$200,C91)=0,"Klant niet in Tarieven",IF(MOD(N(H91),1)*100&gt;59.4,"Tijd ongeldig: minuten boven 59",IF(J91="Nog bepalen","Prijstype nog bepalen",IF(AND(J91="Per uur",N(K91)=0),"Uurtarief ontbreekt",IF(AND(J91="Vaste prijs",N(K91)=0),"Vaste prijs ontbreekt",IF(AND(N(I91)=0,Q91&lt;&gt;"Niet doorgegaan / verplaatst",Q91&lt;&gt;"Geen factuur nodig"),"Geen uren",IF(AND(G91="NEE",Q91="Verstuurd"),"Verstuurd terwijl werk niet af",IF(IFERROR(VLOOKUP(C91,Tarieven!$A$2:$F$200,2,0),"")="Beide","Beide-klant: controleer prijstype","OK")))))))))</f>
        <v/>
      </c>
    </row>
    <row r="92" ht="15" customHeight="1" s="42">
      <c r="A92" s="56">
        <f>IF(B92="","",WEEKNUM(B92,21))</f>
        <v/>
      </c>
      <c r="B92" s="55" t="n"/>
      <c r="C92" s="57" t="n"/>
      <c r="D92" s="57" t="n"/>
      <c r="E92" s="57" t="n"/>
      <c r="F92" s="57" t="n"/>
      <c r="G92" s="67" t="n"/>
      <c r="H92" s="68" t="n"/>
      <c r="I92" s="61">
        <f>IF(C92="","",IF(H92&lt;&gt;"",INT(H92)+ROUND(MOD(H92,1)*100/60,2),SUMIFS(Registraties!$L$5:$L$3004,Registraties!$D$5:$D$3004,C92,Registraties!$A$5:$A$3004,B92)))</f>
        <v/>
      </c>
      <c r="J92" s="58">
        <f>IF(C92="","",IFERROR(IF(VLOOKUP(C92,Tarieven!$A$2:$F$200,2,0)="Beide","Per uur",VLOOKUP(C92,Tarieven!$A$2:$F$200,2,0)),"Nog bepalen"))</f>
        <v/>
      </c>
      <c r="K92" s="69">
        <f>IF(C92="","",IF(J92="Per uur",IFERROR(VLOOKUP(C92,Tarieven!$A$2:$F$200,3,0),""),IF(J92="Vaste prijs",IFERROR(VLOOKUP(C92,Tarieven!$A$2:$F$200,4,0),""),"")))</f>
        <v/>
      </c>
      <c r="L92" s="70">
        <f>IF(C92="","",IF(J92="Per uur",N(I92)*N(K92),IF(J92="Vaste prijs",N(K92),0)))</f>
        <v/>
      </c>
      <c r="M92" s="69">
        <f>IF(C92="","",IFERROR(IF(N(VLOOKUP(C92,Tarieven!$A$2:$F$200,5,0))=0,"",VLOOKUP(C92,Tarieven!$A$2:$F$200,5,0)),""))</f>
        <v/>
      </c>
      <c r="N92" s="69" t="n"/>
      <c r="O92" s="69" t="n"/>
      <c r="P92" s="70">
        <f>IF(C92="","",N(L92)+N(M92)+N(N92)+N(O92))</f>
        <v/>
      </c>
      <c r="Q92" s="58" t="n"/>
      <c r="R92" s="57" t="n"/>
      <c r="S92" s="57" t="n"/>
      <c r="T92" s="57" t="n"/>
      <c r="U92" s="62">
        <f>IF(C92="","",IF(COUNTIF(Tarieven!$A$2:$A$200,C92)=0,"Klant niet in Tarieven",IF(MOD(N(H92),1)*100&gt;59.4,"Tijd ongeldig: minuten boven 59",IF(J92="Nog bepalen","Prijstype nog bepalen",IF(AND(J92="Per uur",N(K92)=0),"Uurtarief ontbreekt",IF(AND(J92="Vaste prijs",N(K92)=0),"Vaste prijs ontbreekt",IF(AND(N(I92)=0,Q92&lt;&gt;"Niet doorgegaan / verplaatst",Q92&lt;&gt;"Geen factuur nodig"),"Geen uren",IF(AND(G92="NEE",Q92="Verstuurd"),"Verstuurd terwijl werk niet af",IF(IFERROR(VLOOKUP(C92,Tarieven!$A$2:$F$200,2,0),"")="Beide","Beide-klant: controleer prijstype","OK")))))))))</f>
        <v/>
      </c>
    </row>
    <row r="93" ht="15" customHeight="1" s="42">
      <c r="A93" s="56">
        <f>IF(B93="","",WEEKNUM(B93,21))</f>
        <v/>
      </c>
      <c r="B93" s="55" t="n"/>
      <c r="C93" s="57" t="n"/>
      <c r="D93" s="57" t="n"/>
      <c r="E93" s="57" t="n"/>
      <c r="F93" s="57" t="n"/>
      <c r="G93" s="67" t="n"/>
      <c r="H93" s="68" t="n"/>
      <c r="I93" s="61">
        <f>IF(C93="","",IF(H93&lt;&gt;"",INT(H93)+ROUND(MOD(H93,1)*100/60,2),SUMIFS(Registraties!$L$5:$L$3004,Registraties!$D$5:$D$3004,C93,Registraties!$A$5:$A$3004,B93)))</f>
        <v/>
      </c>
      <c r="J93" s="58">
        <f>IF(C93="","",IFERROR(IF(VLOOKUP(C93,Tarieven!$A$2:$F$200,2,0)="Beide","Per uur",VLOOKUP(C93,Tarieven!$A$2:$F$200,2,0)),"Nog bepalen"))</f>
        <v/>
      </c>
      <c r="K93" s="69">
        <f>IF(C93="","",IF(J93="Per uur",IFERROR(VLOOKUP(C93,Tarieven!$A$2:$F$200,3,0),""),IF(J93="Vaste prijs",IFERROR(VLOOKUP(C93,Tarieven!$A$2:$F$200,4,0),""),"")))</f>
        <v/>
      </c>
      <c r="L93" s="70">
        <f>IF(C93="","",IF(J93="Per uur",N(I93)*N(K93),IF(J93="Vaste prijs",N(K93),0)))</f>
        <v/>
      </c>
      <c r="M93" s="69">
        <f>IF(C93="","",IFERROR(IF(N(VLOOKUP(C93,Tarieven!$A$2:$F$200,5,0))=0,"",VLOOKUP(C93,Tarieven!$A$2:$F$200,5,0)),""))</f>
        <v/>
      </c>
      <c r="N93" s="69" t="n"/>
      <c r="O93" s="69" t="n"/>
      <c r="P93" s="70">
        <f>IF(C93="","",N(L93)+N(M93)+N(N93)+N(O93))</f>
        <v/>
      </c>
      <c r="Q93" s="58" t="n"/>
      <c r="R93" s="57" t="n"/>
      <c r="S93" s="57" t="n"/>
      <c r="T93" s="57" t="n"/>
      <c r="U93" s="62">
        <f>IF(C93="","",IF(COUNTIF(Tarieven!$A$2:$A$200,C93)=0,"Klant niet in Tarieven",IF(MOD(N(H93),1)*100&gt;59.4,"Tijd ongeldig: minuten boven 59",IF(J93="Nog bepalen","Prijstype nog bepalen",IF(AND(J93="Per uur",N(K93)=0),"Uurtarief ontbreekt",IF(AND(J93="Vaste prijs",N(K93)=0),"Vaste prijs ontbreekt",IF(AND(N(I93)=0,Q93&lt;&gt;"Niet doorgegaan / verplaatst",Q93&lt;&gt;"Geen factuur nodig"),"Geen uren",IF(AND(G93="NEE",Q93="Verstuurd"),"Verstuurd terwijl werk niet af",IF(IFERROR(VLOOKUP(C93,Tarieven!$A$2:$F$200,2,0),"")="Beide","Beide-klant: controleer prijstype","OK")))))))))</f>
        <v/>
      </c>
    </row>
    <row r="94" ht="15" customHeight="1" s="42">
      <c r="A94" s="56">
        <f>IF(B94="","",WEEKNUM(B94,21))</f>
        <v/>
      </c>
      <c r="B94" s="55" t="n"/>
      <c r="C94" s="57" t="n"/>
      <c r="D94" s="57" t="n"/>
      <c r="E94" s="57" t="n"/>
      <c r="F94" s="57" t="n"/>
      <c r="G94" s="67" t="n"/>
      <c r="H94" s="68" t="n"/>
      <c r="I94" s="61">
        <f>IF(C94="","",IF(H94&lt;&gt;"",INT(H94)+ROUND(MOD(H94,1)*100/60,2),SUMIFS(Registraties!$L$5:$L$3004,Registraties!$D$5:$D$3004,C94,Registraties!$A$5:$A$3004,B94)))</f>
        <v/>
      </c>
      <c r="J94" s="58">
        <f>IF(C94="","",IFERROR(IF(VLOOKUP(C94,Tarieven!$A$2:$F$200,2,0)="Beide","Per uur",VLOOKUP(C94,Tarieven!$A$2:$F$200,2,0)),"Nog bepalen"))</f>
        <v/>
      </c>
      <c r="K94" s="69">
        <f>IF(C94="","",IF(J94="Per uur",IFERROR(VLOOKUP(C94,Tarieven!$A$2:$F$200,3,0),""),IF(J94="Vaste prijs",IFERROR(VLOOKUP(C94,Tarieven!$A$2:$F$200,4,0),""),"")))</f>
        <v/>
      </c>
      <c r="L94" s="70">
        <f>IF(C94="","",IF(J94="Per uur",N(I94)*N(K94),IF(J94="Vaste prijs",N(K94),0)))</f>
        <v/>
      </c>
      <c r="M94" s="69">
        <f>IF(C94="","",IFERROR(IF(N(VLOOKUP(C94,Tarieven!$A$2:$F$200,5,0))=0,"",VLOOKUP(C94,Tarieven!$A$2:$F$200,5,0)),""))</f>
        <v/>
      </c>
      <c r="N94" s="69" t="n"/>
      <c r="O94" s="69" t="n"/>
      <c r="P94" s="70">
        <f>IF(C94="","",N(L94)+N(M94)+N(N94)+N(O94))</f>
        <v/>
      </c>
      <c r="Q94" s="58" t="n"/>
      <c r="R94" s="57" t="n"/>
      <c r="S94" s="57" t="n"/>
      <c r="T94" s="57" t="n"/>
      <c r="U94" s="62">
        <f>IF(C94="","",IF(COUNTIF(Tarieven!$A$2:$A$200,C94)=0,"Klant niet in Tarieven",IF(MOD(N(H94),1)*100&gt;59.4,"Tijd ongeldig: minuten boven 59",IF(J94="Nog bepalen","Prijstype nog bepalen",IF(AND(J94="Per uur",N(K94)=0),"Uurtarief ontbreekt",IF(AND(J94="Vaste prijs",N(K94)=0),"Vaste prijs ontbreekt",IF(AND(N(I94)=0,Q94&lt;&gt;"Niet doorgegaan / verplaatst",Q94&lt;&gt;"Geen factuur nodig"),"Geen uren",IF(AND(G94="NEE",Q94="Verstuurd"),"Verstuurd terwijl werk niet af",IF(IFERROR(VLOOKUP(C94,Tarieven!$A$2:$F$200,2,0),"")="Beide","Beide-klant: controleer prijstype","OK")))))))))</f>
        <v/>
      </c>
    </row>
    <row r="95" ht="15" customHeight="1" s="42">
      <c r="A95" s="56">
        <f>IF(B95="","",WEEKNUM(B95,21))</f>
        <v/>
      </c>
      <c r="B95" s="55" t="n"/>
      <c r="C95" s="57" t="n"/>
      <c r="D95" s="57" t="n"/>
      <c r="E95" s="57" t="n"/>
      <c r="F95" s="57" t="n"/>
      <c r="G95" s="67" t="n"/>
      <c r="H95" s="68" t="n"/>
      <c r="I95" s="61">
        <f>IF(C95="","",IF(H95&lt;&gt;"",INT(H95)+ROUND(MOD(H95,1)*100/60,2),SUMIFS(Registraties!$L$5:$L$3004,Registraties!$D$5:$D$3004,C95,Registraties!$A$5:$A$3004,B95)))</f>
        <v/>
      </c>
      <c r="J95" s="58">
        <f>IF(C95="","",IFERROR(IF(VLOOKUP(C95,Tarieven!$A$2:$F$200,2,0)="Beide","Per uur",VLOOKUP(C95,Tarieven!$A$2:$F$200,2,0)),"Nog bepalen"))</f>
        <v/>
      </c>
      <c r="K95" s="69">
        <f>IF(C95="","",IF(J95="Per uur",IFERROR(VLOOKUP(C95,Tarieven!$A$2:$F$200,3,0),""),IF(J95="Vaste prijs",IFERROR(VLOOKUP(C95,Tarieven!$A$2:$F$200,4,0),""),"")))</f>
        <v/>
      </c>
      <c r="L95" s="70">
        <f>IF(C95="","",IF(J95="Per uur",N(I95)*N(K95),IF(J95="Vaste prijs",N(K95),0)))</f>
        <v/>
      </c>
      <c r="M95" s="69">
        <f>IF(C95="","",IFERROR(IF(N(VLOOKUP(C95,Tarieven!$A$2:$F$200,5,0))=0,"",VLOOKUP(C95,Tarieven!$A$2:$F$200,5,0)),""))</f>
        <v/>
      </c>
      <c r="N95" s="69" t="n"/>
      <c r="O95" s="69" t="n"/>
      <c r="P95" s="70">
        <f>IF(C95="","",N(L95)+N(M95)+N(N95)+N(O95))</f>
        <v/>
      </c>
      <c r="Q95" s="58" t="n"/>
      <c r="R95" s="57" t="n"/>
      <c r="S95" s="57" t="n"/>
      <c r="T95" s="57" t="n"/>
      <c r="U95" s="62">
        <f>IF(C95="","",IF(COUNTIF(Tarieven!$A$2:$A$200,C95)=0,"Klant niet in Tarieven",IF(MOD(N(H95),1)*100&gt;59.4,"Tijd ongeldig: minuten boven 59",IF(J95="Nog bepalen","Prijstype nog bepalen",IF(AND(J95="Per uur",N(K95)=0),"Uurtarief ontbreekt",IF(AND(J95="Vaste prijs",N(K95)=0),"Vaste prijs ontbreekt",IF(AND(N(I95)=0,Q95&lt;&gt;"Niet doorgegaan / verplaatst",Q95&lt;&gt;"Geen factuur nodig"),"Geen uren",IF(AND(G95="NEE",Q95="Verstuurd"),"Verstuurd terwijl werk niet af",IF(IFERROR(VLOOKUP(C95,Tarieven!$A$2:$F$200,2,0),"")="Beide","Beide-klant: controleer prijstype","OK")))))))))</f>
        <v/>
      </c>
    </row>
    <row r="96" ht="15" customHeight="1" s="42">
      <c r="A96" s="56">
        <f>IF(B96="","",WEEKNUM(B96,21))</f>
        <v/>
      </c>
      <c r="B96" s="55" t="n"/>
      <c r="C96" s="57" t="n"/>
      <c r="D96" s="57" t="n"/>
      <c r="E96" s="57" t="n"/>
      <c r="F96" s="57" t="n"/>
      <c r="G96" s="67" t="n"/>
      <c r="H96" s="68" t="n"/>
      <c r="I96" s="61">
        <f>IF(C96="","",IF(H96&lt;&gt;"",INT(H96)+ROUND(MOD(H96,1)*100/60,2),SUMIFS(Registraties!$L$5:$L$3004,Registraties!$D$5:$D$3004,C96,Registraties!$A$5:$A$3004,B96)))</f>
        <v/>
      </c>
      <c r="J96" s="58">
        <f>IF(C96="","",IFERROR(IF(VLOOKUP(C96,Tarieven!$A$2:$F$200,2,0)="Beide","Per uur",VLOOKUP(C96,Tarieven!$A$2:$F$200,2,0)),"Nog bepalen"))</f>
        <v/>
      </c>
      <c r="K96" s="69">
        <f>IF(C96="","",IF(J96="Per uur",IFERROR(VLOOKUP(C96,Tarieven!$A$2:$F$200,3,0),""),IF(J96="Vaste prijs",IFERROR(VLOOKUP(C96,Tarieven!$A$2:$F$200,4,0),""),"")))</f>
        <v/>
      </c>
      <c r="L96" s="70">
        <f>IF(C96="","",IF(J96="Per uur",N(I96)*N(K96),IF(J96="Vaste prijs",N(K96),0)))</f>
        <v/>
      </c>
      <c r="M96" s="69">
        <f>IF(C96="","",IFERROR(IF(N(VLOOKUP(C96,Tarieven!$A$2:$F$200,5,0))=0,"",VLOOKUP(C96,Tarieven!$A$2:$F$200,5,0)),""))</f>
        <v/>
      </c>
      <c r="N96" s="69" t="n"/>
      <c r="O96" s="69" t="n"/>
      <c r="P96" s="70">
        <f>IF(C96="","",N(L96)+N(M96)+N(N96)+N(O96))</f>
        <v/>
      </c>
      <c r="Q96" s="58" t="n"/>
      <c r="R96" s="57" t="n"/>
      <c r="S96" s="57" t="n"/>
      <c r="T96" s="57" t="n"/>
      <c r="U96" s="62">
        <f>IF(C96="","",IF(COUNTIF(Tarieven!$A$2:$A$200,C96)=0,"Klant niet in Tarieven",IF(MOD(N(H96),1)*100&gt;59.4,"Tijd ongeldig: minuten boven 59",IF(J96="Nog bepalen","Prijstype nog bepalen",IF(AND(J96="Per uur",N(K96)=0),"Uurtarief ontbreekt",IF(AND(J96="Vaste prijs",N(K96)=0),"Vaste prijs ontbreekt",IF(AND(N(I96)=0,Q96&lt;&gt;"Niet doorgegaan / verplaatst",Q96&lt;&gt;"Geen factuur nodig"),"Geen uren",IF(AND(G96="NEE",Q96="Verstuurd"),"Verstuurd terwijl werk niet af",IF(IFERROR(VLOOKUP(C96,Tarieven!$A$2:$F$200,2,0),"")="Beide","Beide-klant: controleer prijstype","OK")))))))))</f>
        <v/>
      </c>
    </row>
    <row r="97" ht="15" customHeight="1" s="42">
      <c r="A97" s="56">
        <f>IF(B97="","",WEEKNUM(B97,21))</f>
        <v/>
      </c>
      <c r="B97" s="55" t="n"/>
      <c r="C97" s="57" t="n"/>
      <c r="D97" s="57" t="n"/>
      <c r="E97" s="57" t="n"/>
      <c r="F97" s="57" t="n"/>
      <c r="G97" s="67" t="n"/>
      <c r="H97" s="68" t="n"/>
      <c r="I97" s="61">
        <f>IF(C97="","",IF(H97&lt;&gt;"",INT(H97)+ROUND(MOD(H97,1)*100/60,2),SUMIFS(Registraties!$L$5:$L$3004,Registraties!$D$5:$D$3004,C97,Registraties!$A$5:$A$3004,B97)))</f>
        <v/>
      </c>
      <c r="J97" s="58">
        <f>IF(C97="","",IFERROR(IF(VLOOKUP(C97,Tarieven!$A$2:$F$200,2,0)="Beide","Per uur",VLOOKUP(C97,Tarieven!$A$2:$F$200,2,0)),"Nog bepalen"))</f>
        <v/>
      </c>
      <c r="K97" s="69">
        <f>IF(C97="","",IF(J97="Per uur",IFERROR(VLOOKUP(C97,Tarieven!$A$2:$F$200,3,0),""),IF(J97="Vaste prijs",IFERROR(VLOOKUP(C97,Tarieven!$A$2:$F$200,4,0),""),"")))</f>
        <v/>
      </c>
      <c r="L97" s="70">
        <f>IF(C97="","",IF(J97="Per uur",N(I97)*N(K97),IF(J97="Vaste prijs",N(K97),0)))</f>
        <v/>
      </c>
      <c r="M97" s="69">
        <f>IF(C97="","",IFERROR(IF(N(VLOOKUP(C97,Tarieven!$A$2:$F$200,5,0))=0,"",VLOOKUP(C97,Tarieven!$A$2:$F$200,5,0)),""))</f>
        <v/>
      </c>
      <c r="N97" s="69" t="n"/>
      <c r="O97" s="69" t="n"/>
      <c r="P97" s="70">
        <f>IF(C97="","",N(L97)+N(M97)+N(N97)+N(O97))</f>
        <v/>
      </c>
      <c r="Q97" s="58" t="n"/>
      <c r="R97" s="57" t="n"/>
      <c r="S97" s="57" t="n"/>
      <c r="T97" s="57" t="n"/>
      <c r="U97" s="62">
        <f>IF(C97="","",IF(COUNTIF(Tarieven!$A$2:$A$200,C97)=0,"Klant niet in Tarieven",IF(MOD(N(H97),1)*100&gt;59.4,"Tijd ongeldig: minuten boven 59",IF(J97="Nog bepalen","Prijstype nog bepalen",IF(AND(J97="Per uur",N(K97)=0),"Uurtarief ontbreekt",IF(AND(J97="Vaste prijs",N(K97)=0),"Vaste prijs ontbreekt",IF(AND(N(I97)=0,Q97&lt;&gt;"Niet doorgegaan / verplaatst",Q97&lt;&gt;"Geen factuur nodig"),"Geen uren",IF(AND(G97="NEE",Q97="Verstuurd"),"Verstuurd terwijl werk niet af",IF(IFERROR(VLOOKUP(C97,Tarieven!$A$2:$F$200,2,0),"")="Beide","Beide-klant: controleer prijstype","OK")))))))))</f>
        <v/>
      </c>
    </row>
    <row r="98" ht="15" customHeight="1" s="42">
      <c r="A98" s="56">
        <f>IF(B98="","",WEEKNUM(B98,21))</f>
        <v/>
      </c>
      <c r="B98" s="55" t="n"/>
      <c r="C98" s="57" t="n"/>
      <c r="D98" s="57" t="n"/>
      <c r="E98" s="57" t="n"/>
      <c r="F98" s="57" t="n"/>
      <c r="G98" s="67" t="n"/>
      <c r="H98" s="68" t="n"/>
      <c r="I98" s="61">
        <f>IF(C98="","",IF(H98&lt;&gt;"",INT(H98)+ROUND(MOD(H98,1)*100/60,2),SUMIFS(Registraties!$L$5:$L$3004,Registraties!$D$5:$D$3004,C98,Registraties!$A$5:$A$3004,B98)))</f>
        <v/>
      </c>
      <c r="J98" s="58">
        <f>IF(C98="","",IFERROR(IF(VLOOKUP(C98,Tarieven!$A$2:$F$200,2,0)="Beide","Per uur",VLOOKUP(C98,Tarieven!$A$2:$F$200,2,0)),"Nog bepalen"))</f>
        <v/>
      </c>
      <c r="K98" s="69">
        <f>IF(C98="","",IF(J98="Per uur",IFERROR(VLOOKUP(C98,Tarieven!$A$2:$F$200,3,0),""),IF(J98="Vaste prijs",IFERROR(VLOOKUP(C98,Tarieven!$A$2:$F$200,4,0),""),"")))</f>
        <v/>
      </c>
      <c r="L98" s="70">
        <f>IF(C98="","",IF(J98="Per uur",N(I98)*N(K98),IF(J98="Vaste prijs",N(K98),0)))</f>
        <v/>
      </c>
      <c r="M98" s="69">
        <f>IF(C98="","",IFERROR(IF(N(VLOOKUP(C98,Tarieven!$A$2:$F$200,5,0))=0,"",VLOOKUP(C98,Tarieven!$A$2:$F$200,5,0)),""))</f>
        <v/>
      </c>
      <c r="N98" s="69" t="n"/>
      <c r="O98" s="69" t="n"/>
      <c r="P98" s="70">
        <f>IF(C98="","",N(L98)+N(M98)+N(N98)+N(O98))</f>
        <v/>
      </c>
      <c r="Q98" s="58" t="n"/>
      <c r="R98" s="57" t="n"/>
      <c r="S98" s="57" t="n"/>
      <c r="T98" s="57" t="n"/>
      <c r="U98" s="62">
        <f>IF(C98="","",IF(COUNTIF(Tarieven!$A$2:$A$200,C98)=0,"Klant niet in Tarieven",IF(MOD(N(H98),1)*100&gt;59.4,"Tijd ongeldig: minuten boven 59",IF(J98="Nog bepalen","Prijstype nog bepalen",IF(AND(J98="Per uur",N(K98)=0),"Uurtarief ontbreekt",IF(AND(J98="Vaste prijs",N(K98)=0),"Vaste prijs ontbreekt",IF(AND(N(I98)=0,Q98&lt;&gt;"Niet doorgegaan / verplaatst",Q98&lt;&gt;"Geen factuur nodig"),"Geen uren",IF(AND(G98="NEE",Q98="Verstuurd"),"Verstuurd terwijl werk niet af",IF(IFERROR(VLOOKUP(C98,Tarieven!$A$2:$F$200,2,0),"")="Beide","Beide-klant: controleer prijstype","OK")))))))))</f>
        <v/>
      </c>
    </row>
    <row r="99" ht="15" customHeight="1" s="42">
      <c r="A99" s="56">
        <f>IF(B99="","",WEEKNUM(B99,21))</f>
        <v/>
      </c>
      <c r="B99" s="55" t="n"/>
      <c r="C99" s="57" t="n"/>
      <c r="D99" s="57" t="n"/>
      <c r="E99" s="57" t="n"/>
      <c r="F99" s="57" t="n"/>
      <c r="G99" s="67" t="n"/>
      <c r="H99" s="68" t="n"/>
      <c r="I99" s="61">
        <f>IF(C99="","",IF(H99&lt;&gt;"",INT(H99)+ROUND(MOD(H99,1)*100/60,2),SUMIFS(Registraties!$L$5:$L$3004,Registraties!$D$5:$D$3004,C99,Registraties!$A$5:$A$3004,B99)))</f>
        <v/>
      </c>
      <c r="J99" s="58">
        <f>IF(C99="","",IFERROR(IF(VLOOKUP(C99,Tarieven!$A$2:$F$200,2,0)="Beide","Per uur",VLOOKUP(C99,Tarieven!$A$2:$F$200,2,0)),"Nog bepalen"))</f>
        <v/>
      </c>
      <c r="K99" s="69">
        <f>IF(C99="","",IF(J99="Per uur",IFERROR(VLOOKUP(C99,Tarieven!$A$2:$F$200,3,0),""),IF(J99="Vaste prijs",IFERROR(VLOOKUP(C99,Tarieven!$A$2:$F$200,4,0),""),"")))</f>
        <v/>
      </c>
      <c r="L99" s="70">
        <f>IF(C99="","",IF(J99="Per uur",N(I99)*N(K99),IF(J99="Vaste prijs",N(K99),0)))</f>
        <v/>
      </c>
      <c r="M99" s="69">
        <f>IF(C99="","",IFERROR(IF(N(VLOOKUP(C99,Tarieven!$A$2:$F$200,5,0))=0,"",VLOOKUP(C99,Tarieven!$A$2:$F$200,5,0)),""))</f>
        <v/>
      </c>
      <c r="N99" s="69" t="n"/>
      <c r="O99" s="69" t="n"/>
      <c r="P99" s="70">
        <f>IF(C99="","",N(L99)+N(M99)+N(N99)+N(O99))</f>
        <v/>
      </c>
      <c r="Q99" s="58" t="n"/>
      <c r="R99" s="57" t="n"/>
      <c r="S99" s="57" t="n"/>
      <c r="T99" s="57" t="n"/>
      <c r="U99" s="62">
        <f>IF(C99="","",IF(COUNTIF(Tarieven!$A$2:$A$200,C99)=0,"Klant niet in Tarieven",IF(MOD(N(H99),1)*100&gt;59.4,"Tijd ongeldig: minuten boven 59",IF(J99="Nog bepalen","Prijstype nog bepalen",IF(AND(J99="Per uur",N(K99)=0),"Uurtarief ontbreekt",IF(AND(J99="Vaste prijs",N(K99)=0),"Vaste prijs ontbreekt",IF(AND(N(I99)=0,Q99&lt;&gt;"Niet doorgegaan / verplaatst",Q99&lt;&gt;"Geen factuur nodig"),"Geen uren",IF(AND(G99="NEE",Q99="Verstuurd"),"Verstuurd terwijl werk niet af",IF(IFERROR(VLOOKUP(C99,Tarieven!$A$2:$F$200,2,0),"")="Beide","Beide-klant: controleer prijstype","OK")))))))))</f>
        <v/>
      </c>
    </row>
    <row r="100" ht="15" customHeight="1" s="42">
      <c r="A100" s="56">
        <f>IF(B100="","",WEEKNUM(B100,21))</f>
        <v/>
      </c>
      <c r="B100" s="55" t="n"/>
      <c r="C100" s="57" t="n"/>
      <c r="D100" s="57" t="n"/>
      <c r="E100" s="57" t="n"/>
      <c r="F100" s="57" t="n"/>
      <c r="G100" s="67" t="n"/>
      <c r="H100" s="68" t="n"/>
      <c r="I100" s="61">
        <f>IF(C100="","",IF(H100&lt;&gt;"",INT(H100)+ROUND(MOD(H100,1)*100/60,2),SUMIFS(Registraties!$L$5:$L$3004,Registraties!$D$5:$D$3004,C100,Registraties!$A$5:$A$3004,B100)))</f>
        <v/>
      </c>
      <c r="J100" s="58">
        <f>IF(C100="","",IFERROR(IF(VLOOKUP(C100,Tarieven!$A$2:$F$200,2,0)="Beide","Per uur",VLOOKUP(C100,Tarieven!$A$2:$F$200,2,0)),"Nog bepalen"))</f>
        <v/>
      </c>
      <c r="K100" s="69">
        <f>IF(C100="","",IF(J100="Per uur",IFERROR(VLOOKUP(C100,Tarieven!$A$2:$F$200,3,0),""),IF(J100="Vaste prijs",IFERROR(VLOOKUP(C100,Tarieven!$A$2:$F$200,4,0),""),"")))</f>
        <v/>
      </c>
      <c r="L100" s="70">
        <f>IF(C100="","",IF(J100="Per uur",N(I100)*N(K100),IF(J100="Vaste prijs",N(K100),0)))</f>
        <v/>
      </c>
      <c r="M100" s="69">
        <f>IF(C100="","",IFERROR(IF(N(VLOOKUP(C100,Tarieven!$A$2:$F$200,5,0))=0,"",VLOOKUP(C100,Tarieven!$A$2:$F$200,5,0)),""))</f>
        <v/>
      </c>
      <c r="N100" s="69" t="n"/>
      <c r="O100" s="69" t="n"/>
      <c r="P100" s="70">
        <f>IF(C100="","",N(L100)+N(M100)+N(N100)+N(O100))</f>
        <v/>
      </c>
      <c r="Q100" s="58" t="n"/>
      <c r="R100" s="57" t="n"/>
      <c r="S100" s="57" t="n"/>
      <c r="T100" s="57" t="n"/>
      <c r="U100" s="62">
        <f>IF(C100="","",IF(COUNTIF(Tarieven!$A$2:$A$200,C100)=0,"Klant niet in Tarieven",IF(MOD(N(H100),1)*100&gt;59.4,"Tijd ongeldig: minuten boven 59",IF(J100="Nog bepalen","Prijstype nog bepalen",IF(AND(J100="Per uur",N(K100)=0),"Uurtarief ontbreekt",IF(AND(J100="Vaste prijs",N(K100)=0),"Vaste prijs ontbreekt",IF(AND(N(I100)=0,Q100&lt;&gt;"Niet doorgegaan / verplaatst",Q100&lt;&gt;"Geen factuur nodig"),"Geen uren",IF(AND(G100="NEE",Q100="Verstuurd"),"Verstuurd terwijl werk niet af",IF(IFERROR(VLOOKUP(C100,Tarieven!$A$2:$F$200,2,0),"")="Beide","Beide-klant: controleer prijstype","OK")))))))))</f>
        <v/>
      </c>
    </row>
    <row r="101" ht="15" customHeight="1" s="42">
      <c r="A101" s="56">
        <f>IF(B101="","",WEEKNUM(B101,21))</f>
        <v/>
      </c>
      <c r="B101" s="55" t="n"/>
      <c r="C101" s="57" t="n"/>
      <c r="D101" s="57" t="n"/>
      <c r="E101" s="57" t="n"/>
      <c r="F101" s="57" t="n"/>
      <c r="G101" s="67" t="n"/>
      <c r="H101" s="68" t="n"/>
      <c r="I101" s="61">
        <f>IF(C101="","",IF(H101&lt;&gt;"",INT(H101)+ROUND(MOD(H101,1)*100/60,2),SUMIFS(Registraties!$L$5:$L$3004,Registraties!$D$5:$D$3004,C101,Registraties!$A$5:$A$3004,B101)))</f>
        <v/>
      </c>
      <c r="J101" s="58">
        <f>IF(C101="","",IFERROR(IF(VLOOKUP(C101,Tarieven!$A$2:$F$200,2,0)="Beide","Per uur",VLOOKUP(C101,Tarieven!$A$2:$F$200,2,0)),"Nog bepalen"))</f>
        <v/>
      </c>
      <c r="K101" s="69">
        <f>IF(C101="","",IF(J101="Per uur",IFERROR(VLOOKUP(C101,Tarieven!$A$2:$F$200,3,0),""),IF(J101="Vaste prijs",IFERROR(VLOOKUP(C101,Tarieven!$A$2:$F$200,4,0),""),"")))</f>
        <v/>
      </c>
      <c r="L101" s="70">
        <f>IF(C101="","",IF(J101="Per uur",N(I101)*N(K101),IF(J101="Vaste prijs",N(K101),0)))</f>
        <v/>
      </c>
      <c r="M101" s="69">
        <f>IF(C101="","",IFERROR(IF(N(VLOOKUP(C101,Tarieven!$A$2:$F$200,5,0))=0,"",VLOOKUP(C101,Tarieven!$A$2:$F$200,5,0)),""))</f>
        <v/>
      </c>
      <c r="N101" s="69" t="n"/>
      <c r="O101" s="69" t="n"/>
      <c r="P101" s="70">
        <f>IF(C101="","",N(L101)+N(M101)+N(N101)+N(O101))</f>
        <v/>
      </c>
      <c r="Q101" s="58" t="n"/>
      <c r="R101" s="57" t="n"/>
      <c r="S101" s="57" t="n"/>
      <c r="T101" s="57" t="n"/>
      <c r="U101" s="62">
        <f>IF(C101="","",IF(COUNTIF(Tarieven!$A$2:$A$200,C101)=0,"Klant niet in Tarieven",IF(MOD(N(H101),1)*100&gt;59.4,"Tijd ongeldig: minuten boven 59",IF(J101="Nog bepalen","Prijstype nog bepalen",IF(AND(J101="Per uur",N(K101)=0),"Uurtarief ontbreekt",IF(AND(J101="Vaste prijs",N(K101)=0),"Vaste prijs ontbreekt",IF(AND(N(I101)=0,Q101&lt;&gt;"Niet doorgegaan / verplaatst",Q101&lt;&gt;"Geen factuur nodig"),"Geen uren",IF(AND(G101="NEE",Q101="Verstuurd"),"Verstuurd terwijl werk niet af",IF(IFERROR(VLOOKUP(C101,Tarieven!$A$2:$F$200,2,0),"")="Beide","Beide-klant: controleer prijstype","OK")))))))))</f>
        <v/>
      </c>
    </row>
    <row r="102" ht="15" customHeight="1" s="42">
      <c r="A102" s="56">
        <f>IF(B102="","",WEEKNUM(B102,21))</f>
        <v/>
      </c>
      <c r="B102" s="55" t="n"/>
      <c r="C102" s="57" t="n"/>
      <c r="D102" s="57" t="n"/>
      <c r="E102" s="57" t="n"/>
      <c r="F102" s="57" t="n"/>
      <c r="G102" s="67" t="n"/>
      <c r="H102" s="68" t="n"/>
      <c r="I102" s="61">
        <f>IF(C102="","",IF(H102&lt;&gt;"",INT(H102)+ROUND(MOD(H102,1)*100/60,2),SUMIFS(Registraties!$L$5:$L$3004,Registraties!$D$5:$D$3004,C102,Registraties!$A$5:$A$3004,B102)))</f>
        <v/>
      </c>
      <c r="J102" s="58">
        <f>IF(C102="","",IFERROR(IF(VLOOKUP(C102,Tarieven!$A$2:$F$200,2,0)="Beide","Per uur",VLOOKUP(C102,Tarieven!$A$2:$F$200,2,0)),"Nog bepalen"))</f>
        <v/>
      </c>
      <c r="K102" s="69">
        <f>IF(C102="","",IF(J102="Per uur",IFERROR(VLOOKUP(C102,Tarieven!$A$2:$F$200,3,0),""),IF(J102="Vaste prijs",IFERROR(VLOOKUP(C102,Tarieven!$A$2:$F$200,4,0),""),"")))</f>
        <v/>
      </c>
      <c r="L102" s="70">
        <f>IF(C102="","",IF(J102="Per uur",N(I102)*N(K102),IF(J102="Vaste prijs",N(K102),0)))</f>
        <v/>
      </c>
      <c r="M102" s="69">
        <f>IF(C102="","",IFERROR(IF(N(VLOOKUP(C102,Tarieven!$A$2:$F$200,5,0))=0,"",VLOOKUP(C102,Tarieven!$A$2:$F$200,5,0)),""))</f>
        <v/>
      </c>
      <c r="N102" s="69" t="n"/>
      <c r="O102" s="69" t="n"/>
      <c r="P102" s="70">
        <f>IF(C102="","",N(L102)+N(M102)+N(N102)+N(O102))</f>
        <v/>
      </c>
      <c r="Q102" s="58" t="n"/>
      <c r="R102" s="57" t="n"/>
      <c r="S102" s="57" t="n"/>
      <c r="T102" s="57" t="n"/>
      <c r="U102" s="62">
        <f>IF(C102="","",IF(COUNTIF(Tarieven!$A$2:$A$200,C102)=0,"Klant niet in Tarieven",IF(MOD(N(H102),1)*100&gt;59.4,"Tijd ongeldig: minuten boven 59",IF(J102="Nog bepalen","Prijstype nog bepalen",IF(AND(J102="Per uur",N(K102)=0),"Uurtarief ontbreekt",IF(AND(J102="Vaste prijs",N(K102)=0),"Vaste prijs ontbreekt",IF(AND(N(I102)=0,Q102&lt;&gt;"Niet doorgegaan / verplaatst",Q102&lt;&gt;"Geen factuur nodig"),"Geen uren",IF(AND(G102="NEE",Q102="Verstuurd"),"Verstuurd terwijl werk niet af",IF(IFERROR(VLOOKUP(C102,Tarieven!$A$2:$F$200,2,0),"")="Beide","Beide-klant: controleer prijstype","OK")))))))))</f>
        <v/>
      </c>
    </row>
    <row r="103" ht="15" customHeight="1" s="42">
      <c r="A103" s="56">
        <f>IF(B103="","",WEEKNUM(B103,21))</f>
        <v/>
      </c>
      <c r="B103" s="55" t="n"/>
      <c r="C103" s="57" t="n"/>
      <c r="D103" s="57" t="n"/>
      <c r="E103" s="57" t="n"/>
      <c r="F103" s="57" t="n"/>
      <c r="G103" s="67" t="n"/>
      <c r="H103" s="68" t="n"/>
      <c r="I103" s="61">
        <f>IF(C103="","",IF(H103&lt;&gt;"",INT(H103)+ROUND(MOD(H103,1)*100/60,2),SUMIFS(Registraties!$L$5:$L$3004,Registraties!$D$5:$D$3004,C103,Registraties!$A$5:$A$3004,B103)))</f>
        <v/>
      </c>
      <c r="J103" s="58">
        <f>IF(C103="","",IFERROR(IF(VLOOKUP(C103,Tarieven!$A$2:$F$200,2,0)="Beide","Per uur",VLOOKUP(C103,Tarieven!$A$2:$F$200,2,0)),"Nog bepalen"))</f>
        <v/>
      </c>
      <c r="K103" s="69">
        <f>IF(C103="","",IF(J103="Per uur",IFERROR(VLOOKUP(C103,Tarieven!$A$2:$F$200,3,0),""),IF(J103="Vaste prijs",IFERROR(VLOOKUP(C103,Tarieven!$A$2:$F$200,4,0),""),"")))</f>
        <v/>
      </c>
      <c r="L103" s="70">
        <f>IF(C103="","",IF(J103="Per uur",N(I103)*N(K103),IF(J103="Vaste prijs",N(K103),0)))</f>
        <v/>
      </c>
      <c r="M103" s="69">
        <f>IF(C103="","",IFERROR(IF(N(VLOOKUP(C103,Tarieven!$A$2:$F$200,5,0))=0,"",VLOOKUP(C103,Tarieven!$A$2:$F$200,5,0)),""))</f>
        <v/>
      </c>
      <c r="N103" s="69" t="n"/>
      <c r="O103" s="69" t="n"/>
      <c r="P103" s="70">
        <f>IF(C103="","",N(L103)+N(M103)+N(N103)+N(O103))</f>
        <v/>
      </c>
      <c r="Q103" s="58" t="n"/>
      <c r="R103" s="57" t="n"/>
      <c r="S103" s="57" t="n"/>
      <c r="T103" s="57" t="n"/>
      <c r="U103" s="62">
        <f>IF(C103="","",IF(COUNTIF(Tarieven!$A$2:$A$200,C103)=0,"Klant niet in Tarieven",IF(MOD(N(H103),1)*100&gt;59.4,"Tijd ongeldig: minuten boven 59",IF(J103="Nog bepalen","Prijstype nog bepalen",IF(AND(J103="Per uur",N(K103)=0),"Uurtarief ontbreekt",IF(AND(J103="Vaste prijs",N(K103)=0),"Vaste prijs ontbreekt",IF(AND(N(I103)=0,Q103&lt;&gt;"Niet doorgegaan / verplaatst",Q103&lt;&gt;"Geen factuur nodig"),"Geen uren",IF(AND(G103="NEE",Q103="Verstuurd"),"Verstuurd terwijl werk niet af",IF(IFERROR(VLOOKUP(C103,Tarieven!$A$2:$F$200,2,0),"")="Beide","Beide-klant: controleer prijstype","OK")))))))))</f>
        <v/>
      </c>
    </row>
    <row r="104" ht="15" customHeight="1" s="42">
      <c r="A104" s="56">
        <f>IF(B104="","",WEEKNUM(B104,21))</f>
        <v/>
      </c>
      <c r="B104" s="55" t="n"/>
      <c r="C104" s="57" t="n"/>
      <c r="D104" s="57" t="n"/>
      <c r="E104" s="57" t="n"/>
      <c r="F104" s="57" t="n"/>
      <c r="G104" s="67" t="n"/>
      <c r="H104" s="68" t="n"/>
      <c r="I104" s="61">
        <f>IF(C104="","",IF(H104&lt;&gt;"",INT(H104)+ROUND(MOD(H104,1)*100/60,2),SUMIFS(Registraties!$L$5:$L$3004,Registraties!$D$5:$D$3004,C104,Registraties!$A$5:$A$3004,B104)))</f>
        <v/>
      </c>
      <c r="J104" s="58">
        <f>IF(C104="","",IFERROR(IF(VLOOKUP(C104,Tarieven!$A$2:$F$200,2,0)="Beide","Per uur",VLOOKUP(C104,Tarieven!$A$2:$F$200,2,0)),"Nog bepalen"))</f>
        <v/>
      </c>
      <c r="K104" s="69">
        <f>IF(C104="","",IF(J104="Per uur",IFERROR(VLOOKUP(C104,Tarieven!$A$2:$F$200,3,0),""),IF(J104="Vaste prijs",IFERROR(VLOOKUP(C104,Tarieven!$A$2:$F$200,4,0),""),"")))</f>
        <v/>
      </c>
      <c r="L104" s="70">
        <f>IF(C104="","",IF(J104="Per uur",N(I104)*N(K104),IF(J104="Vaste prijs",N(K104),0)))</f>
        <v/>
      </c>
      <c r="M104" s="69">
        <f>IF(C104="","",IFERROR(IF(N(VLOOKUP(C104,Tarieven!$A$2:$F$200,5,0))=0,"",VLOOKUP(C104,Tarieven!$A$2:$F$200,5,0)),""))</f>
        <v/>
      </c>
      <c r="N104" s="69" t="n"/>
      <c r="O104" s="69" t="n"/>
      <c r="P104" s="70">
        <f>IF(C104="","",N(L104)+N(M104)+N(N104)+N(O104))</f>
        <v/>
      </c>
      <c r="Q104" s="58" t="n"/>
      <c r="R104" s="57" t="n"/>
      <c r="S104" s="57" t="n"/>
      <c r="T104" s="57" t="n"/>
      <c r="U104" s="62">
        <f>IF(C104="","",IF(COUNTIF(Tarieven!$A$2:$A$200,C104)=0,"Klant niet in Tarieven",IF(MOD(N(H104),1)*100&gt;59.4,"Tijd ongeldig: minuten boven 59",IF(J104="Nog bepalen","Prijstype nog bepalen",IF(AND(J104="Per uur",N(K104)=0),"Uurtarief ontbreekt",IF(AND(J104="Vaste prijs",N(K104)=0),"Vaste prijs ontbreekt",IF(AND(N(I104)=0,Q104&lt;&gt;"Niet doorgegaan / verplaatst",Q104&lt;&gt;"Geen factuur nodig"),"Geen uren",IF(AND(G104="NEE",Q104="Verstuurd"),"Verstuurd terwijl werk niet af",IF(IFERROR(VLOOKUP(C104,Tarieven!$A$2:$F$200,2,0),"")="Beide","Beide-klant: controleer prijstype","OK")))))))))</f>
        <v/>
      </c>
    </row>
    <row r="105" ht="15" customHeight="1" s="42">
      <c r="A105" s="56">
        <f>IF(B105="","",WEEKNUM(B105,21))</f>
        <v/>
      </c>
      <c r="B105" s="55" t="n"/>
      <c r="C105" s="57" t="n"/>
      <c r="D105" s="57" t="n"/>
      <c r="E105" s="57" t="n"/>
      <c r="F105" s="57" t="n"/>
      <c r="G105" s="67" t="n"/>
      <c r="H105" s="68" t="n"/>
      <c r="I105" s="61">
        <f>IF(C105="","",IF(H105&lt;&gt;"",INT(H105)+ROUND(MOD(H105,1)*100/60,2),SUMIFS(Registraties!$L$5:$L$3004,Registraties!$D$5:$D$3004,C105,Registraties!$A$5:$A$3004,B105)))</f>
        <v/>
      </c>
      <c r="J105" s="58">
        <f>IF(C105="","",IFERROR(IF(VLOOKUP(C105,Tarieven!$A$2:$F$200,2,0)="Beide","Per uur",VLOOKUP(C105,Tarieven!$A$2:$F$200,2,0)),"Nog bepalen"))</f>
        <v/>
      </c>
      <c r="K105" s="69">
        <f>IF(C105="","",IF(J105="Per uur",IFERROR(VLOOKUP(C105,Tarieven!$A$2:$F$200,3,0),""),IF(J105="Vaste prijs",IFERROR(VLOOKUP(C105,Tarieven!$A$2:$F$200,4,0),""),"")))</f>
        <v/>
      </c>
      <c r="L105" s="70">
        <f>IF(C105="","",IF(J105="Per uur",N(I105)*N(K105),IF(J105="Vaste prijs",N(K105),0)))</f>
        <v/>
      </c>
      <c r="M105" s="69">
        <f>IF(C105="","",IFERROR(IF(N(VLOOKUP(C105,Tarieven!$A$2:$F$200,5,0))=0,"",VLOOKUP(C105,Tarieven!$A$2:$F$200,5,0)),""))</f>
        <v/>
      </c>
      <c r="N105" s="69" t="n"/>
      <c r="O105" s="69" t="n"/>
      <c r="P105" s="70">
        <f>IF(C105="","",N(L105)+N(M105)+N(N105)+N(O105))</f>
        <v/>
      </c>
      <c r="Q105" s="58" t="n"/>
      <c r="R105" s="57" t="n"/>
      <c r="S105" s="57" t="n"/>
      <c r="T105" s="57" t="n"/>
      <c r="U105" s="62">
        <f>IF(C105="","",IF(COUNTIF(Tarieven!$A$2:$A$200,C105)=0,"Klant niet in Tarieven",IF(MOD(N(H105),1)*100&gt;59.4,"Tijd ongeldig: minuten boven 59",IF(J105="Nog bepalen","Prijstype nog bepalen",IF(AND(J105="Per uur",N(K105)=0),"Uurtarief ontbreekt",IF(AND(J105="Vaste prijs",N(K105)=0),"Vaste prijs ontbreekt",IF(AND(N(I105)=0,Q105&lt;&gt;"Niet doorgegaan / verplaatst",Q105&lt;&gt;"Geen factuur nodig"),"Geen uren",IF(AND(G105="NEE",Q105="Verstuurd"),"Verstuurd terwijl werk niet af",IF(IFERROR(VLOOKUP(C105,Tarieven!$A$2:$F$200,2,0),"")="Beide","Beide-klant: controleer prijstype","OK")))))))))</f>
        <v/>
      </c>
    </row>
    <row r="106" ht="15" customHeight="1" s="42">
      <c r="A106" s="56">
        <f>IF(B106="","",WEEKNUM(B106,21))</f>
        <v/>
      </c>
      <c r="B106" s="55" t="n"/>
      <c r="C106" s="57" t="n"/>
      <c r="D106" s="57" t="n"/>
      <c r="E106" s="57" t="n"/>
      <c r="F106" s="57" t="n"/>
      <c r="G106" s="67" t="n"/>
      <c r="H106" s="68" t="n"/>
      <c r="I106" s="61">
        <f>IF(C106="","",IF(H106&lt;&gt;"",INT(H106)+ROUND(MOD(H106,1)*100/60,2),SUMIFS(Registraties!$L$5:$L$3004,Registraties!$D$5:$D$3004,C106,Registraties!$A$5:$A$3004,B106)))</f>
        <v/>
      </c>
      <c r="J106" s="58">
        <f>IF(C106="","",IFERROR(IF(VLOOKUP(C106,Tarieven!$A$2:$F$200,2,0)="Beide","Per uur",VLOOKUP(C106,Tarieven!$A$2:$F$200,2,0)),"Nog bepalen"))</f>
        <v/>
      </c>
      <c r="K106" s="69">
        <f>IF(C106="","",IF(J106="Per uur",IFERROR(VLOOKUP(C106,Tarieven!$A$2:$F$200,3,0),""),IF(J106="Vaste prijs",IFERROR(VLOOKUP(C106,Tarieven!$A$2:$F$200,4,0),""),"")))</f>
        <v/>
      </c>
      <c r="L106" s="70">
        <f>IF(C106="","",IF(J106="Per uur",N(I106)*N(K106),IF(J106="Vaste prijs",N(K106),0)))</f>
        <v/>
      </c>
      <c r="M106" s="69">
        <f>IF(C106="","",IFERROR(IF(N(VLOOKUP(C106,Tarieven!$A$2:$F$200,5,0))=0,"",VLOOKUP(C106,Tarieven!$A$2:$F$200,5,0)),""))</f>
        <v/>
      </c>
      <c r="N106" s="69" t="n"/>
      <c r="O106" s="69" t="n"/>
      <c r="P106" s="70">
        <f>IF(C106="","",N(L106)+N(M106)+N(N106)+N(O106))</f>
        <v/>
      </c>
      <c r="Q106" s="58" t="n"/>
      <c r="R106" s="57" t="n"/>
      <c r="S106" s="57" t="n"/>
      <c r="T106" s="57" t="n"/>
      <c r="U106" s="62">
        <f>IF(C106="","",IF(COUNTIF(Tarieven!$A$2:$A$200,C106)=0,"Klant niet in Tarieven",IF(MOD(N(H106),1)*100&gt;59.4,"Tijd ongeldig: minuten boven 59",IF(J106="Nog bepalen","Prijstype nog bepalen",IF(AND(J106="Per uur",N(K106)=0),"Uurtarief ontbreekt",IF(AND(J106="Vaste prijs",N(K106)=0),"Vaste prijs ontbreekt",IF(AND(N(I106)=0,Q106&lt;&gt;"Niet doorgegaan / verplaatst",Q106&lt;&gt;"Geen factuur nodig"),"Geen uren",IF(AND(G106="NEE",Q106="Verstuurd"),"Verstuurd terwijl werk niet af",IF(IFERROR(VLOOKUP(C106,Tarieven!$A$2:$F$200,2,0),"")="Beide","Beide-klant: controleer prijstype","OK")))))))))</f>
        <v/>
      </c>
    </row>
    <row r="107" ht="15" customHeight="1" s="42">
      <c r="A107" s="56">
        <f>IF(B107="","",WEEKNUM(B107,21))</f>
        <v/>
      </c>
      <c r="B107" s="55" t="n"/>
      <c r="C107" s="57" t="n"/>
      <c r="D107" s="57" t="n"/>
      <c r="E107" s="57" t="n"/>
      <c r="F107" s="57" t="n"/>
      <c r="G107" s="67" t="n"/>
      <c r="H107" s="68" t="n"/>
      <c r="I107" s="61">
        <f>IF(C107="","",IF(H107&lt;&gt;"",INT(H107)+ROUND(MOD(H107,1)*100/60,2),SUMIFS(Registraties!$L$5:$L$3004,Registraties!$D$5:$D$3004,C107,Registraties!$A$5:$A$3004,B107)))</f>
        <v/>
      </c>
      <c r="J107" s="58">
        <f>IF(C107="","",IFERROR(IF(VLOOKUP(C107,Tarieven!$A$2:$F$200,2,0)="Beide","Per uur",VLOOKUP(C107,Tarieven!$A$2:$F$200,2,0)),"Nog bepalen"))</f>
        <v/>
      </c>
      <c r="K107" s="69">
        <f>IF(C107="","",IF(J107="Per uur",IFERROR(VLOOKUP(C107,Tarieven!$A$2:$F$200,3,0),""),IF(J107="Vaste prijs",IFERROR(VLOOKUP(C107,Tarieven!$A$2:$F$200,4,0),""),"")))</f>
        <v/>
      </c>
      <c r="L107" s="70">
        <f>IF(C107="","",IF(J107="Per uur",N(I107)*N(K107),IF(J107="Vaste prijs",N(K107),0)))</f>
        <v/>
      </c>
      <c r="M107" s="69">
        <f>IF(C107="","",IFERROR(IF(N(VLOOKUP(C107,Tarieven!$A$2:$F$200,5,0))=0,"",VLOOKUP(C107,Tarieven!$A$2:$F$200,5,0)),""))</f>
        <v/>
      </c>
      <c r="N107" s="69" t="n"/>
      <c r="O107" s="69" t="n"/>
      <c r="P107" s="70">
        <f>IF(C107="","",N(L107)+N(M107)+N(N107)+N(O107))</f>
        <v/>
      </c>
      <c r="Q107" s="58" t="n"/>
      <c r="R107" s="57" t="n"/>
      <c r="S107" s="57" t="n"/>
      <c r="T107" s="57" t="n"/>
      <c r="U107" s="62">
        <f>IF(C107="","",IF(COUNTIF(Tarieven!$A$2:$A$200,C107)=0,"Klant niet in Tarieven",IF(MOD(N(H107),1)*100&gt;59.4,"Tijd ongeldig: minuten boven 59",IF(J107="Nog bepalen","Prijstype nog bepalen",IF(AND(J107="Per uur",N(K107)=0),"Uurtarief ontbreekt",IF(AND(J107="Vaste prijs",N(K107)=0),"Vaste prijs ontbreekt",IF(AND(N(I107)=0,Q107&lt;&gt;"Niet doorgegaan / verplaatst",Q107&lt;&gt;"Geen factuur nodig"),"Geen uren",IF(AND(G107="NEE",Q107="Verstuurd"),"Verstuurd terwijl werk niet af",IF(IFERROR(VLOOKUP(C107,Tarieven!$A$2:$F$200,2,0),"")="Beide","Beide-klant: controleer prijstype","OK")))))))))</f>
        <v/>
      </c>
    </row>
    <row r="108" ht="15" customHeight="1" s="42">
      <c r="A108" s="56">
        <f>IF(B108="","",WEEKNUM(B108,21))</f>
        <v/>
      </c>
      <c r="B108" s="55" t="n"/>
      <c r="C108" s="57" t="n"/>
      <c r="D108" s="57" t="n"/>
      <c r="E108" s="57" t="n"/>
      <c r="F108" s="57" t="n"/>
      <c r="G108" s="67" t="n"/>
      <c r="H108" s="68" t="n"/>
      <c r="I108" s="61">
        <f>IF(C108="","",IF(H108&lt;&gt;"",INT(H108)+ROUND(MOD(H108,1)*100/60,2),SUMIFS(Registraties!$L$5:$L$3004,Registraties!$D$5:$D$3004,C108,Registraties!$A$5:$A$3004,B108)))</f>
        <v/>
      </c>
      <c r="J108" s="58">
        <f>IF(C108="","",IFERROR(IF(VLOOKUP(C108,Tarieven!$A$2:$F$200,2,0)="Beide","Per uur",VLOOKUP(C108,Tarieven!$A$2:$F$200,2,0)),"Nog bepalen"))</f>
        <v/>
      </c>
      <c r="K108" s="69">
        <f>IF(C108="","",IF(J108="Per uur",IFERROR(VLOOKUP(C108,Tarieven!$A$2:$F$200,3,0),""),IF(J108="Vaste prijs",IFERROR(VLOOKUP(C108,Tarieven!$A$2:$F$200,4,0),""),"")))</f>
        <v/>
      </c>
      <c r="L108" s="70">
        <f>IF(C108="","",IF(J108="Per uur",N(I108)*N(K108),IF(J108="Vaste prijs",N(K108),0)))</f>
        <v/>
      </c>
      <c r="M108" s="69">
        <f>IF(C108="","",IFERROR(IF(N(VLOOKUP(C108,Tarieven!$A$2:$F$200,5,0))=0,"",VLOOKUP(C108,Tarieven!$A$2:$F$200,5,0)),""))</f>
        <v/>
      </c>
      <c r="N108" s="69" t="n"/>
      <c r="O108" s="69" t="n"/>
      <c r="P108" s="70">
        <f>IF(C108="","",N(L108)+N(M108)+N(N108)+N(O108))</f>
        <v/>
      </c>
      <c r="Q108" s="58" t="n"/>
      <c r="R108" s="57" t="n"/>
      <c r="S108" s="57" t="n"/>
      <c r="T108" s="57" t="n"/>
      <c r="U108" s="62">
        <f>IF(C108="","",IF(COUNTIF(Tarieven!$A$2:$A$200,C108)=0,"Klant niet in Tarieven",IF(MOD(N(H108),1)*100&gt;59.4,"Tijd ongeldig: minuten boven 59",IF(J108="Nog bepalen","Prijstype nog bepalen",IF(AND(J108="Per uur",N(K108)=0),"Uurtarief ontbreekt",IF(AND(J108="Vaste prijs",N(K108)=0),"Vaste prijs ontbreekt",IF(AND(N(I108)=0,Q108&lt;&gt;"Niet doorgegaan / verplaatst",Q108&lt;&gt;"Geen factuur nodig"),"Geen uren",IF(AND(G108="NEE",Q108="Verstuurd"),"Verstuurd terwijl werk niet af",IF(IFERROR(VLOOKUP(C108,Tarieven!$A$2:$F$200,2,0),"")="Beide","Beide-klant: controleer prijstype","OK")))))))))</f>
        <v/>
      </c>
    </row>
    <row r="109" ht="15" customHeight="1" s="42">
      <c r="A109" s="56">
        <f>IF(B109="","",WEEKNUM(B109,21))</f>
        <v/>
      </c>
      <c r="B109" s="55" t="n"/>
      <c r="C109" s="57" t="n"/>
      <c r="D109" s="57" t="n"/>
      <c r="E109" s="57" t="n"/>
      <c r="F109" s="57" t="n"/>
      <c r="G109" s="67" t="n"/>
      <c r="H109" s="68" t="n"/>
      <c r="I109" s="61">
        <f>IF(C109="","",IF(H109&lt;&gt;"",INT(H109)+ROUND(MOD(H109,1)*100/60,2),SUMIFS(Registraties!$L$5:$L$3004,Registraties!$D$5:$D$3004,C109,Registraties!$A$5:$A$3004,B109)))</f>
        <v/>
      </c>
      <c r="J109" s="58">
        <f>IF(C109="","",IFERROR(IF(VLOOKUP(C109,Tarieven!$A$2:$F$200,2,0)="Beide","Per uur",VLOOKUP(C109,Tarieven!$A$2:$F$200,2,0)),"Nog bepalen"))</f>
        <v/>
      </c>
      <c r="K109" s="69">
        <f>IF(C109="","",IF(J109="Per uur",IFERROR(VLOOKUP(C109,Tarieven!$A$2:$F$200,3,0),""),IF(J109="Vaste prijs",IFERROR(VLOOKUP(C109,Tarieven!$A$2:$F$200,4,0),""),"")))</f>
        <v/>
      </c>
      <c r="L109" s="70">
        <f>IF(C109="","",IF(J109="Per uur",N(I109)*N(K109),IF(J109="Vaste prijs",N(K109),0)))</f>
        <v/>
      </c>
      <c r="M109" s="69">
        <f>IF(C109="","",IFERROR(IF(N(VLOOKUP(C109,Tarieven!$A$2:$F$200,5,0))=0,"",VLOOKUP(C109,Tarieven!$A$2:$F$200,5,0)),""))</f>
        <v/>
      </c>
      <c r="N109" s="69" t="n"/>
      <c r="O109" s="69" t="n"/>
      <c r="P109" s="70">
        <f>IF(C109="","",N(L109)+N(M109)+N(N109)+N(O109))</f>
        <v/>
      </c>
      <c r="Q109" s="58" t="n"/>
      <c r="R109" s="57" t="n"/>
      <c r="S109" s="57" t="n"/>
      <c r="T109" s="57" t="n"/>
      <c r="U109" s="62">
        <f>IF(C109="","",IF(COUNTIF(Tarieven!$A$2:$A$200,C109)=0,"Klant niet in Tarieven",IF(MOD(N(H109),1)*100&gt;59.4,"Tijd ongeldig: minuten boven 59",IF(J109="Nog bepalen","Prijstype nog bepalen",IF(AND(J109="Per uur",N(K109)=0),"Uurtarief ontbreekt",IF(AND(J109="Vaste prijs",N(K109)=0),"Vaste prijs ontbreekt",IF(AND(N(I109)=0,Q109&lt;&gt;"Niet doorgegaan / verplaatst",Q109&lt;&gt;"Geen factuur nodig"),"Geen uren",IF(AND(G109="NEE",Q109="Verstuurd"),"Verstuurd terwijl werk niet af",IF(IFERROR(VLOOKUP(C109,Tarieven!$A$2:$F$200,2,0),"")="Beide","Beide-klant: controleer prijstype","OK")))))))))</f>
        <v/>
      </c>
    </row>
    <row r="110" ht="15" customHeight="1" s="42">
      <c r="A110" s="56">
        <f>IF(B110="","",WEEKNUM(B110,21))</f>
        <v/>
      </c>
      <c r="B110" s="55" t="n"/>
      <c r="C110" s="57" t="n"/>
      <c r="D110" s="57" t="n"/>
      <c r="E110" s="57" t="n"/>
      <c r="F110" s="57" t="n"/>
      <c r="G110" s="67" t="n"/>
      <c r="H110" s="68" t="n"/>
      <c r="I110" s="61">
        <f>IF(C110="","",IF(H110&lt;&gt;"",INT(H110)+ROUND(MOD(H110,1)*100/60,2),SUMIFS(Registraties!$L$5:$L$3004,Registraties!$D$5:$D$3004,C110,Registraties!$A$5:$A$3004,B110)))</f>
        <v/>
      </c>
      <c r="J110" s="58">
        <f>IF(C110="","",IFERROR(IF(VLOOKUP(C110,Tarieven!$A$2:$F$200,2,0)="Beide","Per uur",VLOOKUP(C110,Tarieven!$A$2:$F$200,2,0)),"Nog bepalen"))</f>
        <v/>
      </c>
      <c r="K110" s="69">
        <f>IF(C110="","",IF(J110="Per uur",IFERROR(VLOOKUP(C110,Tarieven!$A$2:$F$200,3,0),""),IF(J110="Vaste prijs",IFERROR(VLOOKUP(C110,Tarieven!$A$2:$F$200,4,0),""),"")))</f>
        <v/>
      </c>
      <c r="L110" s="70">
        <f>IF(C110="","",IF(J110="Per uur",N(I110)*N(K110),IF(J110="Vaste prijs",N(K110),0)))</f>
        <v/>
      </c>
      <c r="M110" s="69">
        <f>IF(C110="","",IFERROR(IF(N(VLOOKUP(C110,Tarieven!$A$2:$F$200,5,0))=0,"",VLOOKUP(C110,Tarieven!$A$2:$F$200,5,0)),""))</f>
        <v/>
      </c>
      <c r="N110" s="69" t="n"/>
      <c r="O110" s="69" t="n"/>
      <c r="P110" s="70">
        <f>IF(C110="","",N(L110)+N(M110)+N(N110)+N(O110))</f>
        <v/>
      </c>
      <c r="Q110" s="58" t="n"/>
      <c r="R110" s="57" t="n"/>
      <c r="S110" s="57" t="n"/>
      <c r="T110" s="57" t="n"/>
      <c r="U110" s="62">
        <f>IF(C110="","",IF(COUNTIF(Tarieven!$A$2:$A$200,C110)=0,"Klant niet in Tarieven",IF(MOD(N(H110),1)*100&gt;59.4,"Tijd ongeldig: minuten boven 59",IF(J110="Nog bepalen","Prijstype nog bepalen",IF(AND(J110="Per uur",N(K110)=0),"Uurtarief ontbreekt",IF(AND(J110="Vaste prijs",N(K110)=0),"Vaste prijs ontbreekt",IF(AND(N(I110)=0,Q110&lt;&gt;"Niet doorgegaan / verplaatst",Q110&lt;&gt;"Geen factuur nodig"),"Geen uren",IF(AND(G110="NEE",Q110="Verstuurd"),"Verstuurd terwijl werk niet af",IF(IFERROR(VLOOKUP(C110,Tarieven!$A$2:$F$200,2,0),"")="Beide","Beide-klant: controleer prijstype","OK")))))))))</f>
        <v/>
      </c>
    </row>
    <row r="111" ht="15" customHeight="1" s="42">
      <c r="A111" s="56">
        <f>IF(B111="","",WEEKNUM(B111,21))</f>
        <v/>
      </c>
      <c r="B111" s="55" t="n"/>
      <c r="C111" s="57" t="n"/>
      <c r="D111" s="57" t="n"/>
      <c r="E111" s="57" t="n"/>
      <c r="F111" s="57" t="n"/>
      <c r="G111" s="67" t="n"/>
      <c r="H111" s="68" t="n"/>
      <c r="I111" s="61">
        <f>IF(C111="","",IF(H111&lt;&gt;"",INT(H111)+ROUND(MOD(H111,1)*100/60,2),SUMIFS(Registraties!$L$5:$L$3004,Registraties!$D$5:$D$3004,C111,Registraties!$A$5:$A$3004,B111)))</f>
        <v/>
      </c>
      <c r="J111" s="58">
        <f>IF(C111="","",IFERROR(IF(VLOOKUP(C111,Tarieven!$A$2:$F$200,2,0)="Beide","Per uur",VLOOKUP(C111,Tarieven!$A$2:$F$200,2,0)),"Nog bepalen"))</f>
        <v/>
      </c>
      <c r="K111" s="69">
        <f>IF(C111="","",IF(J111="Per uur",IFERROR(VLOOKUP(C111,Tarieven!$A$2:$F$200,3,0),""),IF(J111="Vaste prijs",IFERROR(VLOOKUP(C111,Tarieven!$A$2:$F$200,4,0),""),"")))</f>
        <v/>
      </c>
      <c r="L111" s="70">
        <f>IF(C111="","",IF(J111="Per uur",N(I111)*N(K111),IF(J111="Vaste prijs",N(K111),0)))</f>
        <v/>
      </c>
      <c r="M111" s="69">
        <f>IF(C111="","",IFERROR(IF(N(VLOOKUP(C111,Tarieven!$A$2:$F$200,5,0))=0,"",VLOOKUP(C111,Tarieven!$A$2:$F$200,5,0)),""))</f>
        <v/>
      </c>
      <c r="N111" s="69" t="n"/>
      <c r="O111" s="69" t="n"/>
      <c r="P111" s="70">
        <f>IF(C111="","",N(L111)+N(M111)+N(N111)+N(O111))</f>
        <v/>
      </c>
      <c r="Q111" s="58" t="n"/>
      <c r="R111" s="57" t="n"/>
      <c r="S111" s="57" t="n"/>
      <c r="T111" s="57" t="n"/>
      <c r="U111" s="62">
        <f>IF(C111="","",IF(COUNTIF(Tarieven!$A$2:$A$200,C111)=0,"Klant niet in Tarieven",IF(MOD(N(H111),1)*100&gt;59.4,"Tijd ongeldig: minuten boven 59",IF(J111="Nog bepalen","Prijstype nog bepalen",IF(AND(J111="Per uur",N(K111)=0),"Uurtarief ontbreekt",IF(AND(J111="Vaste prijs",N(K111)=0),"Vaste prijs ontbreekt",IF(AND(N(I111)=0,Q111&lt;&gt;"Niet doorgegaan / verplaatst",Q111&lt;&gt;"Geen factuur nodig"),"Geen uren",IF(AND(G111="NEE",Q111="Verstuurd"),"Verstuurd terwijl werk niet af",IF(IFERROR(VLOOKUP(C111,Tarieven!$A$2:$F$200,2,0),"")="Beide","Beide-klant: controleer prijstype","OK")))))))))</f>
        <v/>
      </c>
    </row>
    <row r="112" ht="15" customHeight="1" s="42">
      <c r="A112" s="56">
        <f>IF(B112="","",WEEKNUM(B112,21))</f>
        <v/>
      </c>
      <c r="B112" s="55" t="n"/>
      <c r="C112" s="57" t="n"/>
      <c r="D112" s="57" t="n"/>
      <c r="E112" s="57" t="n"/>
      <c r="F112" s="57" t="n"/>
      <c r="G112" s="67" t="n"/>
      <c r="H112" s="68" t="n"/>
      <c r="I112" s="61">
        <f>IF(C112="","",IF(H112&lt;&gt;"",INT(H112)+ROUND(MOD(H112,1)*100/60,2),SUMIFS(Registraties!$L$5:$L$3004,Registraties!$D$5:$D$3004,C112,Registraties!$A$5:$A$3004,B112)))</f>
        <v/>
      </c>
      <c r="J112" s="58">
        <f>IF(C112="","",IFERROR(IF(VLOOKUP(C112,Tarieven!$A$2:$F$200,2,0)="Beide","Per uur",VLOOKUP(C112,Tarieven!$A$2:$F$200,2,0)),"Nog bepalen"))</f>
        <v/>
      </c>
      <c r="K112" s="69">
        <f>IF(C112="","",IF(J112="Per uur",IFERROR(VLOOKUP(C112,Tarieven!$A$2:$F$200,3,0),""),IF(J112="Vaste prijs",IFERROR(VLOOKUP(C112,Tarieven!$A$2:$F$200,4,0),""),"")))</f>
        <v/>
      </c>
      <c r="L112" s="70">
        <f>IF(C112="","",IF(J112="Per uur",N(I112)*N(K112),IF(J112="Vaste prijs",N(K112),0)))</f>
        <v/>
      </c>
      <c r="M112" s="69">
        <f>IF(C112="","",IFERROR(IF(N(VLOOKUP(C112,Tarieven!$A$2:$F$200,5,0))=0,"",VLOOKUP(C112,Tarieven!$A$2:$F$200,5,0)),""))</f>
        <v/>
      </c>
      <c r="N112" s="69" t="n"/>
      <c r="O112" s="69" t="n"/>
      <c r="P112" s="70">
        <f>IF(C112="","",N(L112)+N(M112)+N(N112)+N(O112))</f>
        <v/>
      </c>
      <c r="Q112" s="58" t="n"/>
      <c r="R112" s="57" t="n"/>
      <c r="S112" s="57" t="n"/>
      <c r="T112" s="57" t="n"/>
      <c r="U112" s="62">
        <f>IF(C112="","",IF(COUNTIF(Tarieven!$A$2:$A$200,C112)=0,"Klant niet in Tarieven",IF(MOD(N(H112),1)*100&gt;59.4,"Tijd ongeldig: minuten boven 59",IF(J112="Nog bepalen","Prijstype nog bepalen",IF(AND(J112="Per uur",N(K112)=0),"Uurtarief ontbreekt",IF(AND(J112="Vaste prijs",N(K112)=0),"Vaste prijs ontbreekt",IF(AND(N(I112)=0,Q112&lt;&gt;"Niet doorgegaan / verplaatst",Q112&lt;&gt;"Geen factuur nodig"),"Geen uren",IF(AND(G112="NEE",Q112="Verstuurd"),"Verstuurd terwijl werk niet af",IF(IFERROR(VLOOKUP(C112,Tarieven!$A$2:$F$200,2,0),"")="Beide","Beide-klant: controleer prijstype","OK")))))))))</f>
        <v/>
      </c>
    </row>
    <row r="113" ht="15" customHeight="1" s="42">
      <c r="A113" s="56">
        <f>IF(B113="","",WEEKNUM(B113,21))</f>
        <v/>
      </c>
      <c r="B113" s="55" t="n"/>
      <c r="C113" s="57" t="n"/>
      <c r="D113" s="57" t="n"/>
      <c r="E113" s="57" t="n"/>
      <c r="F113" s="57" t="n"/>
      <c r="G113" s="67" t="n"/>
      <c r="H113" s="68" t="n"/>
      <c r="I113" s="61">
        <f>IF(C113="","",IF(H113&lt;&gt;"",INT(H113)+ROUND(MOD(H113,1)*100/60,2),SUMIFS(Registraties!$L$5:$L$3004,Registraties!$D$5:$D$3004,C113,Registraties!$A$5:$A$3004,B113)))</f>
        <v/>
      </c>
      <c r="J113" s="58">
        <f>IF(C113="","",IFERROR(IF(VLOOKUP(C113,Tarieven!$A$2:$F$200,2,0)="Beide","Per uur",VLOOKUP(C113,Tarieven!$A$2:$F$200,2,0)),"Nog bepalen"))</f>
        <v/>
      </c>
      <c r="K113" s="69">
        <f>IF(C113="","",IF(J113="Per uur",IFERROR(VLOOKUP(C113,Tarieven!$A$2:$F$200,3,0),""),IF(J113="Vaste prijs",IFERROR(VLOOKUP(C113,Tarieven!$A$2:$F$200,4,0),""),"")))</f>
        <v/>
      </c>
      <c r="L113" s="70">
        <f>IF(C113="","",IF(J113="Per uur",N(I113)*N(K113),IF(J113="Vaste prijs",N(K113),0)))</f>
        <v/>
      </c>
      <c r="M113" s="69">
        <f>IF(C113="","",IFERROR(IF(N(VLOOKUP(C113,Tarieven!$A$2:$F$200,5,0))=0,"",VLOOKUP(C113,Tarieven!$A$2:$F$200,5,0)),""))</f>
        <v/>
      </c>
      <c r="N113" s="69" t="n"/>
      <c r="O113" s="69" t="n"/>
      <c r="P113" s="70">
        <f>IF(C113="","",N(L113)+N(M113)+N(N113)+N(O113))</f>
        <v/>
      </c>
      <c r="Q113" s="58" t="n"/>
      <c r="R113" s="57" t="n"/>
      <c r="S113" s="57" t="n"/>
      <c r="T113" s="57" t="n"/>
      <c r="U113" s="62">
        <f>IF(C113="","",IF(COUNTIF(Tarieven!$A$2:$A$200,C113)=0,"Klant niet in Tarieven",IF(MOD(N(H113),1)*100&gt;59.4,"Tijd ongeldig: minuten boven 59",IF(J113="Nog bepalen","Prijstype nog bepalen",IF(AND(J113="Per uur",N(K113)=0),"Uurtarief ontbreekt",IF(AND(J113="Vaste prijs",N(K113)=0),"Vaste prijs ontbreekt",IF(AND(N(I113)=0,Q113&lt;&gt;"Niet doorgegaan / verplaatst",Q113&lt;&gt;"Geen factuur nodig"),"Geen uren",IF(AND(G113="NEE",Q113="Verstuurd"),"Verstuurd terwijl werk niet af",IF(IFERROR(VLOOKUP(C113,Tarieven!$A$2:$F$200,2,0),"")="Beide","Beide-klant: controleer prijstype","OK")))))))))</f>
        <v/>
      </c>
    </row>
    <row r="114" ht="15" customHeight="1" s="42">
      <c r="A114" s="56">
        <f>IF(B114="","",WEEKNUM(B114,21))</f>
        <v/>
      </c>
      <c r="B114" s="55" t="n"/>
      <c r="C114" s="57" t="n"/>
      <c r="D114" s="57" t="n"/>
      <c r="E114" s="57" t="n"/>
      <c r="F114" s="57" t="n"/>
      <c r="G114" s="67" t="n"/>
      <c r="H114" s="68" t="n"/>
      <c r="I114" s="61">
        <f>IF(C114="","",IF(H114&lt;&gt;"",INT(H114)+ROUND(MOD(H114,1)*100/60,2),SUMIFS(Registraties!$L$5:$L$3004,Registraties!$D$5:$D$3004,C114,Registraties!$A$5:$A$3004,B114)))</f>
        <v/>
      </c>
      <c r="J114" s="58">
        <f>IF(C114="","",IFERROR(IF(VLOOKUP(C114,Tarieven!$A$2:$F$200,2,0)="Beide","Per uur",VLOOKUP(C114,Tarieven!$A$2:$F$200,2,0)),"Nog bepalen"))</f>
        <v/>
      </c>
      <c r="K114" s="69">
        <f>IF(C114="","",IF(J114="Per uur",IFERROR(VLOOKUP(C114,Tarieven!$A$2:$F$200,3,0),""),IF(J114="Vaste prijs",IFERROR(VLOOKUP(C114,Tarieven!$A$2:$F$200,4,0),""),"")))</f>
        <v/>
      </c>
      <c r="L114" s="70">
        <f>IF(C114="","",IF(J114="Per uur",N(I114)*N(K114),IF(J114="Vaste prijs",N(K114),0)))</f>
        <v/>
      </c>
      <c r="M114" s="69">
        <f>IF(C114="","",IFERROR(IF(N(VLOOKUP(C114,Tarieven!$A$2:$F$200,5,0))=0,"",VLOOKUP(C114,Tarieven!$A$2:$F$200,5,0)),""))</f>
        <v/>
      </c>
      <c r="N114" s="69" t="n"/>
      <c r="O114" s="69" t="n"/>
      <c r="P114" s="70">
        <f>IF(C114="","",N(L114)+N(M114)+N(N114)+N(O114))</f>
        <v/>
      </c>
      <c r="Q114" s="58" t="n"/>
      <c r="R114" s="57" t="n"/>
      <c r="S114" s="57" t="n"/>
      <c r="T114" s="57" t="n"/>
      <c r="U114" s="62">
        <f>IF(C114="","",IF(COUNTIF(Tarieven!$A$2:$A$200,C114)=0,"Klant niet in Tarieven",IF(MOD(N(H114),1)*100&gt;59.4,"Tijd ongeldig: minuten boven 59",IF(J114="Nog bepalen","Prijstype nog bepalen",IF(AND(J114="Per uur",N(K114)=0),"Uurtarief ontbreekt",IF(AND(J114="Vaste prijs",N(K114)=0),"Vaste prijs ontbreekt",IF(AND(N(I114)=0,Q114&lt;&gt;"Niet doorgegaan / verplaatst",Q114&lt;&gt;"Geen factuur nodig"),"Geen uren",IF(AND(G114="NEE",Q114="Verstuurd"),"Verstuurd terwijl werk niet af",IF(IFERROR(VLOOKUP(C114,Tarieven!$A$2:$F$200,2,0),"")="Beide","Beide-klant: controleer prijstype","OK")))))))))</f>
        <v/>
      </c>
    </row>
    <row r="115" ht="15" customHeight="1" s="42">
      <c r="A115" s="56">
        <f>IF(B115="","",WEEKNUM(B115,21))</f>
        <v/>
      </c>
      <c r="B115" s="55" t="n"/>
      <c r="C115" s="57" t="n"/>
      <c r="D115" s="57" t="n"/>
      <c r="E115" s="57" t="n"/>
      <c r="F115" s="57" t="n"/>
      <c r="G115" s="67" t="n"/>
      <c r="H115" s="68" t="n"/>
      <c r="I115" s="61">
        <f>IF(C115="","",IF(H115&lt;&gt;"",INT(H115)+ROUND(MOD(H115,1)*100/60,2),SUMIFS(Registraties!$L$5:$L$3004,Registraties!$D$5:$D$3004,C115,Registraties!$A$5:$A$3004,B115)))</f>
        <v/>
      </c>
      <c r="J115" s="58">
        <f>IF(C115="","",IFERROR(IF(VLOOKUP(C115,Tarieven!$A$2:$F$200,2,0)="Beide","Per uur",VLOOKUP(C115,Tarieven!$A$2:$F$200,2,0)),"Nog bepalen"))</f>
        <v/>
      </c>
      <c r="K115" s="69">
        <f>IF(C115="","",IF(J115="Per uur",IFERROR(VLOOKUP(C115,Tarieven!$A$2:$F$200,3,0),""),IF(J115="Vaste prijs",IFERROR(VLOOKUP(C115,Tarieven!$A$2:$F$200,4,0),""),"")))</f>
        <v/>
      </c>
      <c r="L115" s="70">
        <f>IF(C115="","",IF(J115="Per uur",N(I115)*N(K115),IF(J115="Vaste prijs",N(K115),0)))</f>
        <v/>
      </c>
      <c r="M115" s="69">
        <f>IF(C115="","",IFERROR(IF(N(VLOOKUP(C115,Tarieven!$A$2:$F$200,5,0))=0,"",VLOOKUP(C115,Tarieven!$A$2:$F$200,5,0)),""))</f>
        <v/>
      </c>
      <c r="N115" s="69" t="n"/>
      <c r="O115" s="69" t="n"/>
      <c r="P115" s="70">
        <f>IF(C115="","",N(L115)+N(M115)+N(N115)+N(O115))</f>
        <v/>
      </c>
      <c r="Q115" s="58" t="n"/>
      <c r="R115" s="57" t="n"/>
      <c r="S115" s="57" t="n"/>
      <c r="T115" s="57" t="n"/>
      <c r="U115" s="62">
        <f>IF(C115="","",IF(COUNTIF(Tarieven!$A$2:$A$200,C115)=0,"Klant niet in Tarieven",IF(MOD(N(H115),1)*100&gt;59.4,"Tijd ongeldig: minuten boven 59",IF(J115="Nog bepalen","Prijstype nog bepalen",IF(AND(J115="Per uur",N(K115)=0),"Uurtarief ontbreekt",IF(AND(J115="Vaste prijs",N(K115)=0),"Vaste prijs ontbreekt",IF(AND(N(I115)=0,Q115&lt;&gt;"Niet doorgegaan / verplaatst",Q115&lt;&gt;"Geen factuur nodig"),"Geen uren",IF(AND(G115="NEE",Q115="Verstuurd"),"Verstuurd terwijl werk niet af",IF(IFERROR(VLOOKUP(C115,Tarieven!$A$2:$F$200,2,0),"")="Beide","Beide-klant: controleer prijstype","OK")))))))))</f>
        <v/>
      </c>
    </row>
    <row r="116" ht="15" customHeight="1" s="42">
      <c r="A116" s="56">
        <f>IF(B116="","",WEEKNUM(B116,21))</f>
        <v/>
      </c>
      <c r="B116" s="55" t="n"/>
      <c r="C116" s="57" t="n"/>
      <c r="D116" s="57" t="n"/>
      <c r="E116" s="57" t="n"/>
      <c r="F116" s="57" t="n"/>
      <c r="G116" s="67" t="n"/>
      <c r="H116" s="68" t="n"/>
      <c r="I116" s="61">
        <f>IF(C116="","",IF(H116&lt;&gt;"",INT(H116)+ROUND(MOD(H116,1)*100/60,2),SUMIFS(Registraties!$L$5:$L$3004,Registraties!$D$5:$D$3004,C116,Registraties!$A$5:$A$3004,B116)))</f>
        <v/>
      </c>
      <c r="J116" s="58">
        <f>IF(C116="","",IFERROR(IF(VLOOKUP(C116,Tarieven!$A$2:$F$200,2,0)="Beide","Per uur",VLOOKUP(C116,Tarieven!$A$2:$F$200,2,0)),"Nog bepalen"))</f>
        <v/>
      </c>
      <c r="K116" s="69">
        <f>IF(C116="","",IF(J116="Per uur",IFERROR(VLOOKUP(C116,Tarieven!$A$2:$F$200,3,0),""),IF(J116="Vaste prijs",IFERROR(VLOOKUP(C116,Tarieven!$A$2:$F$200,4,0),""),"")))</f>
        <v/>
      </c>
      <c r="L116" s="70">
        <f>IF(C116="","",IF(J116="Per uur",N(I116)*N(K116),IF(J116="Vaste prijs",N(K116),0)))</f>
        <v/>
      </c>
      <c r="M116" s="69">
        <f>IF(C116="","",IFERROR(IF(N(VLOOKUP(C116,Tarieven!$A$2:$F$200,5,0))=0,"",VLOOKUP(C116,Tarieven!$A$2:$F$200,5,0)),""))</f>
        <v/>
      </c>
      <c r="N116" s="69" t="n"/>
      <c r="O116" s="69" t="n"/>
      <c r="P116" s="70">
        <f>IF(C116="","",N(L116)+N(M116)+N(N116)+N(O116))</f>
        <v/>
      </c>
      <c r="Q116" s="58" t="n"/>
      <c r="R116" s="57" t="n"/>
      <c r="S116" s="57" t="n"/>
      <c r="T116" s="57" t="n"/>
      <c r="U116" s="62">
        <f>IF(C116="","",IF(COUNTIF(Tarieven!$A$2:$A$200,C116)=0,"Klant niet in Tarieven",IF(MOD(N(H116),1)*100&gt;59.4,"Tijd ongeldig: minuten boven 59",IF(J116="Nog bepalen","Prijstype nog bepalen",IF(AND(J116="Per uur",N(K116)=0),"Uurtarief ontbreekt",IF(AND(J116="Vaste prijs",N(K116)=0),"Vaste prijs ontbreekt",IF(AND(N(I116)=0,Q116&lt;&gt;"Niet doorgegaan / verplaatst",Q116&lt;&gt;"Geen factuur nodig"),"Geen uren",IF(AND(G116="NEE",Q116="Verstuurd"),"Verstuurd terwijl werk niet af",IF(IFERROR(VLOOKUP(C116,Tarieven!$A$2:$F$200,2,0),"")="Beide","Beide-klant: controleer prijstype","OK")))))))))</f>
        <v/>
      </c>
    </row>
    <row r="117" ht="15" customHeight="1" s="42">
      <c r="A117" s="56">
        <f>IF(B117="","",WEEKNUM(B117,21))</f>
        <v/>
      </c>
      <c r="B117" s="55" t="n"/>
      <c r="C117" s="57" t="n"/>
      <c r="D117" s="57" t="n"/>
      <c r="E117" s="57" t="n"/>
      <c r="F117" s="57" t="n"/>
      <c r="G117" s="67" t="n"/>
      <c r="H117" s="68" t="n"/>
      <c r="I117" s="61">
        <f>IF(C117="","",IF(H117&lt;&gt;"",INT(H117)+ROUND(MOD(H117,1)*100/60,2),SUMIFS(Registraties!$L$5:$L$3004,Registraties!$D$5:$D$3004,C117,Registraties!$A$5:$A$3004,B117)))</f>
        <v/>
      </c>
      <c r="J117" s="58">
        <f>IF(C117="","",IFERROR(IF(VLOOKUP(C117,Tarieven!$A$2:$F$200,2,0)="Beide","Per uur",VLOOKUP(C117,Tarieven!$A$2:$F$200,2,0)),"Nog bepalen"))</f>
        <v/>
      </c>
      <c r="K117" s="69">
        <f>IF(C117="","",IF(J117="Per uur",IFERROR(VLOOKUP(C117,Tarieven!$A$2:$F$200,3,0),""),IF(J117="Vaste prijs",IFERROR(VLOOKUP(C117,Tarieven!$A$2:$F$200,4,0),""),"")))</f>
        <v/>
      </c>
      <c r="L117" s="70">
        <f>IF(C117="","",IF(J117="Per uur",N(I117)*N(K117),IF(J117="Vaste prijs",N(K117),0)))</f>
        <v/>
      </c>
      <c r="M117" s="69">
        <f>IF(C117="","",IFERROR(IF(N(VLOOKUP(C117,Tarieven!$A$2:$F$200,5,0))=0,"",VLOOKUP(C117,Tarieven!$A$2:$F$200,5,0)),""))</f>
        <v/>
      </c>
      <c r="N117" s="69" t="n"/>
      <c r="O117" s="69" t="n"/>
      <c r="P117" s="70">
        <f>IF(C117="","",N(L117)+N(M117)+N(N117)+N(O117))</f>
        <v/>
      </c>
      <c r="Q117" s="58" t="n"/>
      <c r="R117" s="57" t="n"/>
      <c r="S117" s="57" t="n"/>
      <c r="T117" s="57" t="n"/>
      <c r="U117" s="62">
        <f>IF(C117="","",IF(COUNTIF(Tarieven!$A$2:$A$200,C117)=0,"Klant niet in Tarieven",IF(MOD(N(H117),1)*100&gt;59.4,"Tijd ongeldig: minuten boven 59",IF(J117="Nog bepalen","Prijstype nog bepalen",IF(AND(J117="Per uur",N(K117)=0),"Uurtarief ontbreekt",IF(AND(J117="Vaste prijs",N(K117)=0),"Vaste prijs ontbreekt",IF(AND(N(I117)=0,Q117&lt;&gt;"Niet doorgegaan / verplaatst",Q117&lt;&gt;"Geen factuur nodig"),"Geen uren",IF(AND(G117="NEE",Q117="Verstuurd"),"Verstuurd terwijl werk niet af",IF(IFERROR(VLOOKUP(C117,Tarieven!$A$2:$F$200,2,0),"")="Beide","Beide-klant: controleer prijstype","OK")))))))))</f>
        <v/>
      </c>
    </row>
    <row r="118" ht="15" customHeight="1" s="42">
      <c r="A118" s="56">
        <f>IF(B118="","",WEEKNUM(B118,21))</f>
        <v/>
      </c>
      <c r="B118" s="55" t="n"/>
      <c r="C118" s="57" t="n"/>
      <c r="D118" s="57" t="n"/>
      <c r="E118" s="57" t="n"/>
      <c r="F118" s="57" t="n"/>
      <c r="G118" s="67" t="n"/>
      <c r="H118" s="68" t="n"/>
      <c r="I118" s="61">
        <f>IF(C118="","",IF(H118&lt;&gt;"",INT(H118)+ROUND(MOD(H118,1)*100/60,2),SUMIFS(Registraties!$L$5:$L$3004,Registraties!$D$5:$D$3004,C118,Registraties!$A$5:$A$3004,B118)))</f>
        <v/>
      </c>
      <c r="J118" s="58">
        <f>IF(C118="","",IFERROR(IF(VLOOKUP(C118,Tarieven!$A$2:$F$200,2,0)="Beide","Per uur",VLOOKUP(C118,Tarieven!$A$2:$F$200,2,0)),"Nog bepalen"))</f>
        <v/>
      </c>
      <c r="K118" s="69">
        <f>IF(C118="","",IF(J118="Per uur",IFERROR(VLOOKUP(C118,Tarieven!$A$2:$F$200,3,0),""),IF(J118="Vaste prijs",IFERROR(VLOOKUP(C118,Tarieven!$A$2:$F$200,4,0),""),"")))</f>
        <v/>
      </c>
      <c r="L118" s="70">
        <f>IF(C118="","",IF(J118="Per uur",N(I118)*N(K118),IF(J118="Vaste prijs",N(K118),0)))</f>
        <v/>
      </c>
      <c r="M118" s="69">
        <f>IF(C118="","",IFERROR(IF(N(VLOOKUP(C118,Tarieven!$A$2:$F$200,5,0))=0,"",VLOOKUP(C118,Tarieven!$A$2:$F$200,5,0)),""))</f>
        <v/>
      </c>
      <c r="N118" s="69" t="n"/>
      <c r="O118" s="69" t="n"/>
      <c r="P118" s="70">
        <f>IF(C118="","",N(L118)+N(M118)+N(N118)+N(O118))</f>
        <v/>
      </c>
      <c r="Q118" s="58" t="n"/>
      <c r="R118" s="57" t="n"/>
      <c r="S118" s="57" t="n"/>
      <c r="T118" s="57" t="n"/>
      <c r="U118" s="62">
        <f>IF(C118="","",IF(COUNTIF(Tarieven!$A$2:$A$200,C118)=0,"Klant niet in Tarieven",IF(MOD(N(H118),1)*100&gt;59.4,"Tijd ongeldig: minuten boven 59",IF(J118="Nog bepalen","Prijstype nog bepalen",IF(AND(J118="Per uur",N(K118)=0),"Uurtarief ontbreekt",IF(AND(J118="Vaste prijs",N(K118)=0),"Vaste prijs ontbreekt",IF(AND(N(I118)=0,Q118&lt;&gt;"Niet doorgegaan / verplaatst",Q118&lt;&gt;"Geen factuur nodig"),"Geen uren",IF(AND(G118="NEE",Q118="Verstuurd"),"Verstuurd terwijl werk niet af",IF(IFERROR(VLOOKUP(C118,Tarieven!$A$2:$F$200,2,0),"")="Beide","Beide-klant: controleer prijstype","OK")))))))))</f>
        <v/>
      </c>
    </row>
    <row r="119" ht="15" customHeight="1" s="42">
      <c r="A119" s="56">
        <f>IF(B119="","",WEEKNUM(B119,21))</f>
        <v/>
      </c>
      <c r="B119" s="55" t="n"/>
      <c r="C119" s="57" t="n"/>
      <c r="D119" s="57" t="n"/>
      <c r="E119" s="57" t="n"/>
      <c r="F119" s="57" t="n"/>
      <c r="G119" s="67" t="n"/>
      <c r="H119" s="68" t="n"/>
      <c r="I119" s="61">
        <f>IF(C119="","",IF(H119&lt;&gt;"",INT(H119)+ROUND(MOD(H119,1)*100/60,2),SUMIFS(Registraties!$L$5:$L$3004,Registraties!$D$5:$D$3004,C119,Registraties!$A$5:$A$3004,B119)))</f>
        <v/>
      </c>
      <c r="J119" s="58">
        <f>IF(C119="","",IFERROR(IF(VLOOKUP(C119,Tarieven!$A$2:$F$200,2,0)="Beide","Per uur",VLOOKUP(C119,Tarieven!$A$2:$F$200,2,0)),"Nog bepalen"))</f>
        <v/>
      </c>
      <c r="K119" s="69">
        <f>IF(C119="","",IF(J119="Per uur",IFERROR(VLOOKUP(C119,Tarieven!$A$2:$F$200,3,0),""),IF(J119="Vaste prijs",IFERROR(VLOOKUP(C119,Tarieven!$A$2:$F$200,4,0),""),"")))</f>
        <v/>
      </c>
      <c r="L119" s="70">
        <f>IF(C119="","",IF(J119="Per uur",N(I119)*N(K119),IF(J119="Vaste prijs",N(K119),0)))</f>
        <v/>
      </c>
      <c r="M119" s="69">
        <f>IF(C119="","",IFERROR(IF(N(VLOOKUP(C119,Tarieven!$A$2:$F$200,5,0))=0,"",VLOOKUP(C119,Tarieven!$A$2:$F$200,5,0)),""))</f>
        <v/>
      </c>
      <c r="N119" s="69" t="n"/>
      <c r="O119" s="69" t="n"/>
      <c r="P119" s="70">
        <f>IF(C119="","",N(L119)+N(M119)+N(N119)+N(O119))</f>
        <v/>
      </c>
      <c r="Q119" s="58" t="n"/>
      <c r="R119" s="57" t="n"/>
      <c r="S119" s="57" t="n"/>
      <c r="T119" s="57" t="n"/>
      <c r="U119" s="62">
        <f>IF(C119="","",IF(COUNTIF(Tarieven!$A$2:$A$200,C119)=0,"Klant niet in Tarieven",IF(MOD(N(H119),1)*100&gt;59.4,"Tijd ongeldig: minuten boven 59",IF(J119="Nog bepalen","Prijstype nog bepalen",IF(AND(J119="Per uur",N(K119)=0),"Uurtarief ontbreekt",IF(AND(J119="Vaste prijs",N(K119)=0),"Vaste prijs ontbreekt",IF(AND(N(I119)=0,Q119&lt;&gt;"Niet doorgegaan / verplaatst",Q119&lt;&gt;"Geen factuur nodig"),"Geen uren",IF(AND(G119="NEE",Q119="Verstuurd"),"Verstuurd terwijl werk niet af",IF(IFERROR(VLOOKUP(C119,Tarieven!$A$2:$F$200,2,0),"")="Beide","Beide-klant: controleer prijstype","OK")))))))))</f>
        <v/>
      </c>
    </row>
    <row r="120" ht="15" customHeight="1" s="42">
      <c r="A120" s="56">
        <f>IF(B120="","",WEEKNUM(B120,21))</f>
        <v/>
      </c>
      <c r="B120" s="55" t="n"/>
      <c r="C120" s="57" t="n"/>
      <c r="D120" s="57" t="n"/>
      <c r="E120" s="57" t="n"/>
      <c r="F120" s="57" t="n"/>
      <c r="G120" s="67" t="n"/>
      <c r="H120" s="68" t="n"/>
      <c r="I120" s="61">
        <f>IF(C120="","",IF(H120&lt;&gt;"",INT(H120)+ROUND(MOD(H120,1)*100/60,2),SUMIFS(Registraties!$L$5:$L$3004,Registraties!$D$5:$D$3004,C120,Registraties!$A$5:$A$3004,B120)))</f>
        <v/>
      </c>
      <c r="J120" s="58">
        <f>IF(C120="","",IFERROR(IF(VLOOKUP(C120,Tarieven!$A$2:$F$200,2,0)="Beide","Per uur",VLOOKUP(C120,Tarieven!$A$2:$F$200,2,0)),"Nog bepalen"))</f>
        <v/>
      </c>
      <c r="K120" s="69">
        <f>IF(C120="","",IF(J120="Per uur",IFERROR(VLOOKUP(C120,Tarieven!$A$2:$F$200,3,0),""),IF(J120="Vaste prijs",IFERROR(VLOOKUP(C120,Tarieven!$A$2:$F$200,4,0),""),"")))</f>
        <v/>
      </c>
      <c r="L120" s="70">
        <f>IF(C120="","",IF(J120="Per uur",N(I120)*N(K120),IF(J120="Vaste prijs",N(K120),0)))</f>
        <v/>
      </c>
      <c r="M120" s="69">
        <f>IF(C120="","",IFERROR(IF(N(VLOOKUP(C120,Tarieven!$A$2:$F$200,5,0))=0,"",VLOOKUP(C120,Tarieven!$A$2:$F$200,5,0)),""))</f>
        <v/>
      </c>
      <c r="N120" s="69" t="n"/>
      <c r="O120" s="69" t="n"/>
      <c r="P120" s="70">
        <f>IF(C120="","",N(L120)+N(M120)+N(N120)+N(O120))</f>
        <v/>
      </c>
      <c r="Q120" s="58" t="n"/>
      <c r="R120" s="57" t="n"/>
      <c r="S120" s="57" t="n"/>
      <c r="T120" s="57" t="n"/>
      <c r="U120" s="62">
        <f>IF(C120="","",IF(COUNTIF(Tarieven!$A$2:$A$200,C120)=0,"Klant niet in Tarieven",IF(MOD(N(H120),1)*100&gt;59.4,"Tijd ongeldig: minuten boven 59",IF(J120="Nog bepalen","Prijstype nog bepalen",IF(AND(J120="Per uur",N(K120)=0),"Uurtarief ontbreekt",IF(AND(J120="Vaste prijs",N(K120)=0),"Vaste prijs ontbreekt",IF(AND(N(I120)=0,Q120&lt;&gt;"Niet doorgegaan / verplaatst",Q120&lt;&gt;"Geen factuur nodig"),"Geen uren",IF(AND(G120="NEE",Q120="Verstuurd"),"Verstuurd terwijl werk niet af",IF(IFERROR(VLOOKUP(C120,Tarieven!$A$2:$F$200,2,0),"")="Beide","Beide-klant: controleer prijstype","OK")))))))))</f>
        <v/>
      </c>
    </row>
    <row r="121" ht="15" customHeight="1" s="42">
      <c r="A121" s="56">
        <f>IF(B121="","",WEEKNUM(B121,21))</f>
        <v/>
      </c>
      <c r="B121" s="55" t="n"/>
      <c r="C121" s="57" t="n"/>
      <c r="D121" s="57" t="n"/>
      <c r="E121" s="57" t="n"/>
      <c r="F121" s="57" t="n"/>
      <c r="G121" s="67" t="n"/>
      <c r="H121" s="68" t="n"/>
      <c r="I121" s="61">
        <f>IF(C121="","",IF(H121&lt;&gt;"",INT(H121)+ROUND(MOD(H121,1)*100/60,2),SUMIFS(Registraties!$L$5:$L$3004,Registraties!$D$5:$D$3004,C121,Registraties!$A$5:$A$3004,B121)))</f>
        <v/>
      </c>
      <c r="J121" s="58">
        <f>IF(C121="","",IFERROR(IF(VLOOKUP(C121,Tarieven!$A$2:$F$200,2,0)="Beide","Per uur",VLOOKUP(C121,Tarieven!$A$2:$F$200,2,0)),"Nog bepalen"))</f>
        <v/>
      </c>
      <c r="K121" s="69">
        <f>IF(C121="","",IF(J121="Per uur",IFERROR(VLOOKUP(C121,Tarieven!$A$2:$F$200,3,0),""),IF(J121="Vaste prijs",IFERROR(VLOOKUP(C121,Tarieven!$A$2:$F$200,4,0),""),"")))</f>
        <v/>
      </c>
      <c r="L121" s="70">
        <f>IF(C121="","",IF(J121="Per uur",N(I121)*N(K121),IF(J121="Vaste prijs",N(K121),0)))</f>
        <v/>
      </c>
      <c r="M121" s="69">
        <f>IF(C121="","",IFERROR(IF(N(VLOOKUP(C121,Tarieven!$A$2:$F$200,5,0))=0,"",VLOOKUP(C121,Tarieven!$A$2:$F$200,5,0)),""))</f>
        <v/>
      </c>
      <c r="N121" s="69" t="n"/>
      <c r="O121" s="69" t="n"/>
      <c r="P121" s="70">
        <f>IF(C121="","",N(L121)+N(M121)+N(N121)+N(O121))</f>
        <v/>
      </c>
      <c r="Q121" s="58" t="n"/>
      <c r="R121" s="57" t="n"/>
      <c r="S121" s="57" t="n"/>
      <c r="T121" s="57" t="n"/>
      <c r="U121" s="62">
        <f>IF(C121="","",IF(COUNTIF(Tarieven!$A$2:$A$200,C121)=0,"Klant niet in Tarieven",IF(MOD(N(H121),1)*100&gt;59.4,"Tijd ongeldig: minuten boven 59",IF(J121="Nog bepalen","Prijstype nog bepalen",IF(AND(J121="Per uur",N(K121)=0),"Uurtarief ontbreekt",IF(AND(J121="Vaste prijs",N(K121)=0),"Vaste prijs ontbreekt",IF(AND(N(I121)=0,Q121&lt;&gt;"Niet doorgegaan / verplaatst",Q121&lt;&gt;"Geen factuur nodig"),"Geen uren",IF(AND(G121="NEE",Q121="Verstuurd"),"Verstuurd terwijl werk niet af",IF(IFERROR(VLOOKUP(C121,Tarieven!$A$2:$F$200,2,0),"")="Beide","Beide-klant: controleer prijstype","OK")))))))))</f>
        <v/>
      </c>
    </row>
    <row r="122" ht="15" customHeight="1" s="42">
      <c r="A122" s="56">
        <f>IF(B122="","",WEEKNUM(B122,21))</f>
        <v/>
      </c>
      <c r="B122" s="55" t="n"/>
      <c r="C122" s="57" t="n"/>
      <c r="D122" s="57" t="n"/>
      <c r="E122" s="57" t="n"/>
      <c r="F122" s="57" t="n"/>
      <c r="G122" s="67" t="n"/>
      <c r="H122" s="68" t="n"/>
      <c r="I122" s="61">
        <f>IF(C122="","",IF(H122&lt;&gt;"",INT(H122)+ROUND(MOD(H122,1)*100/60,2),SUMIFS(Registraties!$L$5:$L$3004,Registraties!$D$5:$D$3004,C122,Registraties!$A$5:$A$3004,B122)))</f>
        <v/>
      </c>
      <c r="J122" s="58">
        <f>IF(C122="","",IFERROR(IF(VLOOKUP(C122,Tarieven!$A$2:$F$200,2,0)="Beide","Per uur",VLOOKUP(C122,Tarieven!$A$2:$F$200,2,0)),"Nog bepalen"))</f>
        <v/>
      </c>
      <c r="K122" s="69">
        <f>IF(C122="","",IF(J122="Per uur",IFERROR(VLOOKUP(C122,Tarieven!$A$2:$F$200,3,0),""),IF(J122="Vaste prijs",IFERROR(VLOOKUP(C122,Tarieven!$A$2:$F$200,4,0),""),"")))</f>
        <v/>
      </c>
      <c r="L122" s="70">
        <f>IF(C122="","",IF(J122="Per uur",N(I122)*N(K122),IF(J122="Vaste prijs",N(K122),0)))</f>
        <v/>
      </c>
      <c r="M122" s="69">
        <f>IF(C122="","",IFERROR(IF(N(VLOOKUP(C122,Tarieven!$A$2:$F$200,5,0))=0,"",VLOOKUP(C122,Tarieven!$A$2:$F$200,5,0)),""))</f>
        <v/>
      </c>
      <c r="N122" s="69" t="n"/>
      <c r="O122" s="69" t="n"/>
      <c r="P122" s="70">
        <f>IF(C122="","",N(L122)+N(M122)+N(N122)+N(O122))</f>
        <v/>
      </c>
      <c r="Q122" s="58" t="n"/>
      <c r="R122" s="57" t="n"/>
      <c r="S122" s="57" t="n"/>
      <c r="T122" s="57" t="n"/>
      <c r="U122" s="62">
        <f>IF(C122="","",IF(COUNTIF(Tarieven!$A$2:$A$200,C122)=0,"Klant niet in Tarieven",IF(MOD(N(H122),1)*100&gt;59.4,"Tijd ongeldig: minuten boven 59",IF(J122="Nog bepalen","Prijstype nog bepalen",IF(AND(J122="Per uur",N(K122)=0),"Uurtarief ontbreekt",IF(AND(J122="Vaste prijs",N(K122)=0),"Vaste prijs ontbreekt",IF(AND(N(I122)=0,Q122&lt;&gt;"Niet doorgegaan / verplaatst",Q122&lt;&gt;"Geen factuur nodig"),"Geen uren",IF(AND(G122="NEE",Q122="Verstuurd"),"Verstuurd terwijl werk niet af",IF(IFERROR(VLOOKUP(C122,Tarieven!$A$2:$F$200,2,0),"")="Beide","Beide-klant: controleer prijstype","OK")))))))))</f>
        <v/>
      </c>
    </row>
    <row r="123" ht="15" customHeight="1" s="42">
      <c r="A123" s="56">
        <f>IF(B123="","",WEEKNUM(B123,21))</f>
        <v/>
      </c>
      <c r="B123" s="55" t="n"/>
      <c r="C123" s="57" t="n"/>
      <c r="D123" s="57" t="n"/>
      <c r="E123" s="57" t="n"/>
      <c r="F123" s="57" t="n"/>
      <c r="G123" s="67" t="n"/>
      <c r="H123" s="68" t="n"/>
      <c r="I123" s="61">
        <f>IF(C123="","",IF(H123&lt;&gt;"",INT(H123)+ROUND(MOD(H123,1)*100/60,2),SUMIFS(Registraties!$L$5:$L$3004,Registraties!$D$5:$D$3004,C123,Registraties!$A$5:$A$3004,B123)))</f>
        <v/>
      </c>
      <c r="J123" s="58">
        <f>IF(C123="","",IFERROR(IF(VLOOKUP(C123,Tarieven!$A$2:$F$200,2,0)="Beide","Per uur",VLOOKUP(C123,Tarieven!$A$2:$F$200,2,0)),"Nog bepalen"))</f>
        <v/>
      </c>
      <c r="K123" s="69">
        <f>IF(C123="","",IF(J123="Per uur",IFERROR(VLOOKUP(C123,Tarieven!$A$2:$F$200,3,0),""),IF(J123="Vaste prijs",IFERROR(VLOOKUP(C123,Tarieven!$A$2:$F$200,4,0),""),"")))</f>
        <v/>
      </c>
      <c r="L123" s="70">
        <f>IF(C123="","",IF(J123="Per uur",N(I123)*N(K123),IF(J123="Vaste prijs",N(K123),0)))</f>
        <v/>
      </c>
      <c r="M123" s="69">
        <f>IF(C123="","",IFERROR(IF(N(VLOOKUP(C123,Tarieven!$A$2:$F$200,5,0))=0,"",VLOOKUP(C123,Tarieven!$A$2:$F$200,5,0)),""))</f>
        <v/>
      </c>
      <c r="N123" s="69" t="n"/>
      <c r="O123" s="69" t="n"/>
      <c r="P123" s="70">
        <f>IF(C123="","",N(L123)+N(M123)+N(N123)+N(O123))</f>
        <v/>
      </c>
      <c r="Q123" s="58" t="n"/>
      <c r="R123" s="57" t="n"/>
      <c r="S123" s="57" t="n"/>
      <c r="T123" s="57" t="n"/>
      <c r="U123" s="62">
        <f>IF(C123="","",IF(COUNTIF(Tarieven!$A$2:$A$200,C123)=0,"Klant niet in Tarieven",IF(MOD(N(H123),1)*100&gt;59.4,"Tijd ongeldig: minuten boven 59",IF(J123="Nog bepalen","Prijstype nog bepalen",IF(AND(J123="Per uur",N(K123)=0),"Uurtarief ontbreekt",IF(AND(J123="Vaste prijs",N(K123)=0),"Vaste prijs ontbreekt",IF(AND(N(I123)=0,Q123&lt;&gt;"Niet doorgegaan / verplaatst",Q123&lt;&gt;"Geen factuur nodig"),"Geen uren",IF(AND(G123="NEE",Q123="Verstuurd"),"Verstuurd terwijl werk niet af",IF(IFERROR(VLOOKUP(C123,Tarieven!$A$2:$F$200,2,0),"")="Beide","Beide-klant: controleer prijstype","OK")))))))))</f>
        <v/>
      </c>
    </row>
    <row r="124" ht="15" customHeight="1" s="42">
      <c r="A124" s="56">
        <f>IF(B124="","",WEEKNUM(B124,21))</f>
        <v/>
      </c>
      <c r="B124" s="55" t="n"/>
      <c r="C124" s="57" t="n"/>
      <c r="D124" s="57" t="n"/>
      <c r="E124" s="57" t="n"/>
      <c r="F124" s="57" t="n"/>
      <c r="G124" s="67" t="n"/>
      <c r="H124" s="68" t="n"/>
      <c r="I124" s="61">
        <f>IF(C124="","",IF(H124&lt;&gt;"",INT(H124)+ROUND(MOD(H124,1)*100/60,2),SUMIFS(Registraties!$L$5:$L$3004,Registraties!$D$5:$D$3004,C124,Registraties!$A$5:$A$3004,B124)))</f>
        <v/>
      </c>
      <c r="J124" s="58">
        <f>IF(C124="","",IFERROR(IF(VLOOKUP(C124,Tarieven!$A$2:$F$200,2,0)="Beide","Per uur",VLOOKUP(C124,Tarieven!$A$2:$F$200,2,0)),"Nog bepalen"))</f>
        <v/>
      </c>
      <c r="K124" s="69">
        <f>IF(C124="","",IF(J124="Per uur",IFERROR(VLOOKUP(C124,Tarieven!$A$2:$F$200,3,0),""),IF(J124="Vaste prijs",IFERROR(VLOOKUP(C124,Tarieven!$A$2:$F$200,4,0),""),"")))</f>
        <v/>
      </c>
      <c r="L124" s="70">
        <f>IF(C124="","",IF(J124="Per uur",N(I124)*N(K124),IF(J124="Vaste prijs",N(K124),0)))</f>
        <v/>
      </c>
      <c r="M124" s="69">
        <f>IF(C124="","",IFERROR(IF(N(VLOOKUP(C124,Tarieven!$A$2:$F$200,5,0))=0,"",VLOOKUP(C124,Tarieven!$A$2:$F$200,5,0)),""))</f>
        <v/>
      </c>
      <c r="N124" s="69" t="n"/>
      <c r="O124" s="69" t="n"/>
      <c r="P124" s="70">
        <f>IF(C124="","",N(L124)+N(M124)+N(N124)+N(O124))</f>
        <v/>
      </c>
      <c r="Q124" s="58" t="n"/>
      <c r="R124" s="57" t="n"/>
      <c r="S124" s="57" t="n"/>
      <c r="T124" s="57" t="n"/>
      <c r="U124" s="62">
        <f>IF(C124="","",IF(COUNTIF(Tarieven!$A$2:$A$200,C124)=0,"Klant niet in Tarieven",IF(MOD(N(H124),1)*100&gt;59.4,"Tijd ongeldig: minuten boven 59",IF(J124="Nog bepalen","Prijstype nog bepalen",IF(AND(J124="Per uur",N(K124)=0),"Uurtarief ontbreekt",IF(AND(J124="Vaste prijs",N(K124)=0),"Vaste prijs ontbreekt",IF(AND(N(I124)=0,Q124&lt;&gt;"Niet doorgegaan / verplaatst",Q124&lt;&gt;"Geen factuur nodig"),"Geen uren",IF(AND(G124="NEE",Q124="Verstuurd"),"Verstuurd terwijl werk niet af",IF(IFERROR(VLOOKUP(C124,Tarieven!$A$2:$F$200,2,0),"")="Beide","Beide-klant: controleer prijstype","OK")))))))))</f>
        <v/>
      </c>
    </row>
    <row r="125" ht="15" customHeight="1" s="42">
      <c r="A125" s="56">
        <f>IF(B125="","",WEEKNUM(B125,21))</f>
        <v/>
      </c>
      <c r="B125" s="55" t="n"/>
      <c r="C125" s="57" t="n"/>
      <c r="D125" s="57" t="n"/>
      <c r="E125" s="57" t="n"/>
      <c r="F125" s="57" t="n"/>
      <c r="G125" s="67" t="n"/>
      <c r="H125" s="68" t="n"/>
      <c r="I125" s="61">
        <f>IF(C125="","",IF(H125&lt;&gt;"",INT(H125)+ROUND(MOD(H125,1)*100/60,2),SUMIFS(Registraties!$L$5:$L$3004,Registraties!$D$5:$D$3004,C125,Registraties!$A$5:$A$3004,B125)))</f>
        <v/>
      </c>
      <c r="J125" s="58">
        <f>IF(C125="","",IFERROR(IF(VLOOKUP(C125,Tarieven!$A$2:$F$200,2,0)="Beide","Per uur",VLOOKUP(C125,Tarieven!$A$2:$F$200,2,0)),"Nog bepalen"))</f>
        <v/>
      </c>
      <c r="K125" s="69">
        <f>IF(C125="","",IF(J125="Per uur",IFERROR(VLOOKUP(C125,Tarieven!$A$2:$F$200,3,0),""),IF(J125="Vaste prijs",IFERROR(VLOOKUP(C125,Tarieven!$A$2:$F$200,4,0),""),"")))</f>
        <v/>
      </c>
      <c r="L125" s="70">
        <f>IF(C125="","",IF(J125="Per uur",N(I125)*N(K125),IF(J125="Vaste prijs",N(K125),0)))</f>
        <v/>
      </c>
      <c r="M125" s="69">
        <f>IF(C125="","",IFERROR(IF(N(VLOOKUP(C125,Tarieven!$A$2:$F$200,5,0))=0,"",VLOOKUP(C125,Tarieven!$A$2:$F$200,5,0)),""))</f>
        <v/>
      </c>
      <c r="N125" s="69" t="n"/>
      <c r="O125" s="69" t="n"/>
      <c r="P125" s="70">
        <f>IF(C125="","",N(L125)+N(M125)+N(N125)+N(O125))</f>
        <v/>
      </c>
      <c r="Q125" s="58" t="n"/>
      <c r="R125" s="57" t="n"/>
      <c r="S125" s="57" t="n"/>
      <c r="T125" s="57" t="n"/>
      <c r="U125" s="62">
        <f>IF(C125="","",IF(COUNTIF(Tarieven!$A$2:$A$200,C125)=0,"Klant niet in Tarieven",IF(MOD(N(H125),1)*100&gt;59.4,"Tijd ongeldig: minuten boven 59",IF(J125="Nog bepalen","Prijstype nog bepalen",IF(AND(J125="Per uur",N(K125)=0),"Uurtarief ontbreekt",IF(AND(J125="Vaste prijs",N(K125)=0),"Vaste prijs ontbreekt",IF(AND(N(I125)=0,Q125&lt;&gt;"Niet doorgegaan / verplaatst",Q125&lt;&gt;"Geen factuur nodig"),"Geen uren",IF(AND(G125="NEE",Q125="Verstuurd"),"Verstuurd terwijl werk niet af",IF(IFERROR(VLOOKUP(C125,Tarieven!$A$2:$F$200,2,0),"")="Beide","Beide-klant: controleer prijstype","OK")))))))))</f>
        <v/>
      </c>
    </row>
    <row r="126" ht="15" customHeight="1" s="42">
      <c r="A126" s="56">
        <f>IF(B126="","",WEEKNUM(B126,21))</f>
        <v/>
      </c>
      <c r="B126" s="55" t="n"/>
      <c r="C126" s="57" t="n"/>
      <c r="D126" s="57" t="n"/>
      <c r="E126" s="57" t="n"/>
      <c r="F126" s="57" t="n"/>
      <c r="G126" s="67" t="n"/>
      <c r="H126" s="68" t="n"/>
      <c r="I126" s="61">
        <f>IF(C126="","",IF(H126&lt;&gt;"",INT(H126)+ROUND(MOD(H126,1)*100/60,2),SUMIFS(Registraties!$L$5:$L$3004,Registraties!$D$5:$D$3004,C126,Registraties!$A$5:$A$3004,B126)))</f>
        <v/>
      </c>
      <c r="J126" s="58">
        <f>IF(C126="","",IFERROR(IF(VLOOKUP(C126,Tarieven!$A$2:$F$200,2,0)="Beide","Per uur",VLOOKUP(C126,Tarieven!$A$2:$F$200,2,0)),"Nog bepalen"))</f>
        <v/>
      </c>
      <c r="K126" s="69">
        <f>IF(C126="","",IF(J126="Per uur",IFERROR(VLOOKUP(C126,Tarieven!$A$2:$F$200,3,0),""),IF(J126="Vaste prijs",IFERROR(VLOOKUP(C126,Tarieven!$A$2:$F$200,4,0),""),"")))</f>
        <v/>
      </c>
      <c r="L126" s="70">
        <f>IF(C126="","",IF(J126="Per uur",N(I126)*N(K126),IF(J126="Vaste prijs",N(K126),0)))</f>
        <v/>
      </c>
      <c r="M126" s="69">
        <f>IF(C126="","",IFERROR(IF(N(VLOOKUP(C126,Tarieven!$A$2:$F$200,5,0))=0,"",VLOOKUP(C126,Tarieven!$A$2:$F$200,5,0)),""))</f>
        <v/>
      </c>
      <c r="N126" s="69" t="n"/>
      <c r="O126" s="69" t="n"/>
      <c r="P126" s="70">
        <f>IF(C126="","",N(L126)+N(M126)+N(N126)+N(O126))</f>
        <v/>
      </c>
      <c r="Q126" s="58" t="n"/>
      <c r="R126" s="57" t="n"/>
      <c r="S126" s="57" t="n"/>
      <c r="T126" s="57" t="n"/>
      <c r="U126" s="62">
        <f>IF(C126="","",IF(COUNTIF(Tarieven!$A$2:$A$200,C126)=0,"Klant niet in Tarieven",IF(MOD(N(H126),1)*100&gt;59.4,"Tijd ongeldig: minuten boven 59",IF(J126="Nog bepalen","Prijstype nog bepalen",IF(AND(J126="Per uur",N(K126)=0),"Uurtarief ontbreekt",IF(AND(J126="Vaste prijs",N(K126)=0),"Vaste prijs ontbreekt",IF(AND(N(I126)=0,Q126&lt;&gt;"Niet doorgegaan / verplaatst",Q126&lt;&gt;"Geen factuur nodig"),"Geen uren",IF(AND(G126="NEE",Q126="Verstuurd"),"Verstuurd terwijl werk niet af",IF(IFERROR(VLOOKUP(C126,Tarieven!$A$2:$F$200,2,0),"")="Beide","Beide-klant: controleer prijstype","OK")))))))))</f>
        <v/>
      </c>
    </row>
    <row r="127" ht="15" customHeight="1" s="42">
      <c r="A127" s="56">
        <f>IF(B127="","",WEEKNUM(B127,21))</f>
        <v/>
      </c>
      <c r="B127" s="55" t="n"/>
      <c r="C127" s="57" t="n"/>
      <c r="D127" s="57" t="n"/>
      <c r="E127" s="57" t="n"/>
      <c r="F127" s="57" t="n"/>
      <c r="G127" s="67" t="n"/>
      <c r="H127" s="68" t="n"/>
      <c r="I127" s="61">
        <f>IF(C127="","",IF(H127&lt;&gt;"",INT(H127)+ROUND(MOD(H127,1)*100/60,2),SUMIFS(Registraties!$L$5:$L$3004,Registraties!$D$5:$D$3004,C127,Registraties!$A$5:$A$3004,B127)))</f>
        <v/>
      </c>
      <c r="J127" s="58">
        <f>IF(C127="","",IFERROR(IF(VLOOKUP(C127,Tarieven!$A$2:$F$200,2,0)="Beide","Per uur",VLOOKUP(C127,Tarieven!$A$2:$F$200,2,0)),"Nog bepalen"))</f>
        <v/>
      </c>
      <c r="K127" s="69">
        <f>IF(C127="","",IF(J127="Per uur",IFERROR(VLOOKUP(C127,Tarieven!$A$2:$F$200,3,0),""),IF(J127="Vaste prijs",IFERROR(VLOOKUP(C127,Tarieven!$A$2:$F$200,4,0),""),"")))</f>
        <v/>
      </c>
      <c r="L127" s="70">
        <f>IF(C127="","",IF(J127="Per uur",N(I127)*N(K127),IF(J127="Vaste prijs",N(K127),0)))</f>
        <v/>
      </c>
      <c r="M127" s="69">
        <f>IF(C127="","",IFERROR(IF(N(VLOOKUP(C127,Tarieven!$A$2:$F$200,5,0))=0,"",VLOOKUP(C127,Tarieven!$A$2:$F$200,5,0)),""))</f>
        <v/>
      </c>
      <c r="N127" s="69" t="n"/>
      <c r="O127" s="69" t="n"/>
      <c r="P127" s="70">
        <f>IF(C127="","",N(L127)+N(M127)+N(N127)+N(O127))</f>
        <v/>
      </c>
      <c r="Q127" s="58" t="n"/>
      <c r="R127" s="57" t="n"/>
      <c r="S127" s="57" t="n"/>
      <c r="T127" s="57" t="n"/>
      <c r="U127" s="62">
        <f>IF(C127="","",IF(COUNTIF(Tarieven!$A$2:$A$200,C127)=0,"Klant niet in Tarieven",IF(MOD(N(H127),1)*100&gt;59.4,"Tijd ongeldig: minuten boven 59",IF(J127="Nog bepalen","Prijstype nog bepalen",IF(AND(J127="Per uur",N(K127)=0),"Uurtarief ontbreekt",IF(AND(J127="Vaste prijs",N(K127)=0),"Vaste prijs ontbreekt",IF(AND(N(I127)=0,Q127&lt;&gt;"Niet doorgegaan / verplaatst",Q127&lt;&gt;"Geen factuur nodig"),"Geen uren",IF(AND(G127="NEE",Q127="Verstuurd"),"Verstuurd terwijl werk niet af",IF(IFERROR(VLOOKUP(C127,Tarieven!$A$2:$F$200,2,0),"")="Beide","Beide-klant: controleer prijstype","OK")))))))))</f>
        <v/>
      </c>
    </row>
    <row r="128" ht="15" customHeight="1" s="42">
      <c r="A128" s="56">
        <f>IF(B128="","",WEEKNUM(B128,21))</f>
        <v/>
      </c>
      <c r="B128" s="55" t="n"/>
      <c r="C128" s="57" t="n"/>
      <c r="D128" s="57" t="n"/>
      <c r="E128" s="57" t="n"/>
      <c r="F128" s="57" t="n"/>
      <c r="G128" s="67" t="n"/>
      <c r="H128" s="68" t="n"/>
      <c r="I128" s="61">
        <f>IF(C128="","",IF(H128&lt;&gt;"",INT(H128)+ROUND(MOD(H128,1)*100/60,2),SUMIFS(Registraties!$L$5:$L$3004,Registraties!$D$5:$D$3004,C128,Registraties!$A$5:$A$3004,B128)))</f>
        <v/>
      </c>
      <c r="J128" s="58">
        <f>IF(C128="","",IFERROR(IF(VLOOKUP(C128,Tarieven!$A$2:$F$200,2,0)="Beide","Per uur",VLOOKUP(C128,Tarieven!$A$2:$F$200,2,0)),"Nog bepalen"))</f>
        <v/>
      </c>
      <c r="K128" s="69">
        <f>IF(C128="","",IF(J128="Per uur",IFERROR(VLOOKUP(C128,Tarieven!$A$2:$F$200,3,0),""),IF(J128="Vaste prijs",IFERROR(VLOOKUP(C128,Tarieven!$A$2:$F$200,4,0),""),"")))</f>
        <v/>
      </c>
      <c r="L128" s="70">
        <f>IF(C128="","",IF(J128="Per uur",N(I128)*N(K128),IF(J128="Vaste prijs",N(K128),0)))</f>
        <v/>
      </c>
      <c r="M128" s="69">
        <f>IF(C128="","",IFERROR(IF(N(VLOOKUP(C128,Tarieven!$A$2:$F$200,5,0))=0,"",VLOOKUP(C128,Tarieven!$A$2:$F$200,5,0)),""))</f>
        <v/>
      </c>
      <c r="N128" s="69" t="n"/>
      <c r="O128" s="69" t="n"/>
      <c r="P128" s="70">
        <f>IF(C128="","",N(L128)+N(M128)+N(N128)+N(O128))</f>
        <v/>
      </c>
      <c r="Q128" s="58" t="n"/>
      <c r="R128" s="57" t="n"/>
      <c r="S128" s="57" t="n"/>
      <c r="T128" s="57" t="n"/>
      <c r="U128" s="62">
        <f>IF(C128="","",IF(COUNTIF(Tarieven!$A$2:$A$200,C128)=0,"Klant niet in Tarieven",IF(MOD(N(H128),1)*100&gt;59.4,"Tijd ongeldig: minuten boven 59",IF(J128="Nog bepalen","Prijstype nog bepalen",IF(AND(J128="Per uur",N(K128)=0),"Uurtarief ontbreekt",IF(AND(J128="Vaste prijs",N(K128)=0),"Vaste prijs ontbreekt",IF(AND(N(I128)=0,Q128&lt;&gt;"Niet doorgegaan / verplaatst",Q128&lt;&gt;"Geen factuur nodig"),"Geen uren",IF(AND(G128="NEE",Q128="Verstuurd"),"Verstuurd terwijl werk niet af",IF(IFERROR(VLOOKUP(C128,Tarieven!$A$2:$F$200,2,0),"")="Beide","Beide-klant: controleer prijstype","OK")))))))))</f>
        <v/>
      </c>
    </row>
    <row r="129" ht="15" customHeight="1" s="42">
      <c r="A129" s="56">
        <f>IF(B129="","",WEEKNUM(B129,21))</f>
        <v/>
      </c>
      <c r="B129" s="55" t="n"/>
      <c r="C129" s="57" t="n"/>
      <c r="D129" s="57" t="n"/>
      <c r="E129" s="57" t="n"/>
      <c r="F129" s="57" t="n"/>
      <c r="G129" s="67" t="n"/>
      <c r="H129" s="68" t="n"/>
      <c r="I129" s="61">
        <f>IF(C129="","",IF(H129&lt;&gt;"",INT(H129)+ROUND(MOD(H129,1)*100/60,2),SUMIFS(Registraties!$L$5:$L$3004,Registraties!$D$5:$D$3004,C129,Registraties!$A$5:$A$3004,B129)))</f>
        <v/>
      </c>
      <c r="J129" s="58">
        <f>IF(C129="","",IFERROR(IF(VLOOKUP(C129,Tarieven!$A$2:$F$200,2,0)="Beide","Per uur",VLOOKUP(C129,Tarieven!$A$2:$F$200,2,0)),"Nog bepalen"))</f>
        <v/>
      </c>
      <c r="K129" s="69">
        <f>IF(C129="","",IF(J129="Per uur",IFERROR(VLOOKUP(C129,Tarieven!$A$2:$F$200,3,0),""),IF(J129="Vaste prijs",IFERROR(VLOOKUP(C129,Tarieven!$A$2:$F$200,4,0),""),"")))</f>
        <v/>
      </c>
      <c r="L129" s="70">
        <f>IF(C129="","",IF(J129="Per uur",N(I129)*N(K129),IF(J129="Vaste prijs",N(K129),0)))</f>
        <v/>
      </c>
      <c r="M129" s="69">
        <f>IF(C129="","",IFERROR(IF(N(VLOOKUP(C129,Tarieven!$A$2:$F$200,5,0))=0,"",VLOOKUP(C129,Tarieven!$A$2:$F$200,5,0)),""))</f>
        <v/>
      </c>
      <c r="N129" s="69" t="n"/>
      <c r="O129" s="69" t="n"/>
      <c r="P129" s="70">
        <f>IF(C129="","",N(L129)+N(M129)+N(N129)+N(O129))</f>
        <v/>
      </c>
      <c r="Q129" s="58" t="n"/>
      <c r="R129" s="57" t="n"/>
      <c r="S129" s="57" t="n"/>
      <c r="T129" s="57" t="n"/>
      <c r="U129" s="62">
        <f>IF(C129="","",IF(COUNTIF(Tarieven!$A$2:$A$200,C129)=0,"Klant niet in Tarieven",IF(MOD(N(H129),1)*100&gt;59.4,"Tijd ongeldig: minuten boven 59",IF(J129="Nog bepalen","Prijstype nog bepalen",IF(AND(J129="Per uur",N(K129)=0),"Uurtarief ontbreekt",IF(AND(J129="Vaste prijs",N(K129)=0),"Vaste prijs ontbreekt",IF(AND(N(I129)=0,Q129&lt;&gt;"Niet doorgegaan / verplaatst",Q129&lt;&gt;"Geen factuur nodig"),"Geen uren",IF(AND(G129="NEE",Q129="Verstuurd"),"Verstuurd terwijl werk niet af",IF(IFERROR(VLOOKUP(C129,Tarieven!$A$2:$F$200,2,0),"")="Beide","Beide-klant: controleer prijstype","OK")))))))))</f>
        <v/>
      </c>
    </row>
    <row r="130" ht="15" customHeight="1" s="42">
      <c r="A130" s="56">
        <f>IF(B130="","",WEEKNUM(B130,21))</f>
        <v/>
      </c>
      <c r="B130" s="55" t="n"/>
      <c r="C130" s="57" t="n"/>
      <c r="D130" s="57" t="n"/>
      <c r="E130" s="57" t="n"/>
      <c r="F130" s="57" t="n"/>
      <c r="G130" s="67" t="n"/>
      <c r="H130" s="68" t="n"/>
      <c r="I130" s="61">
        <f>IF(C130="","",IF(H130&lt;&gt;"",INT(H130)+ROUND(MOD(H130,1)*100/60,2),SUMIFS(Registraties!$L$5:$L$3004,Registraties!$D$5:$D$3004,C130,Registraties!$A$5:$A$3004,B130)))</f>
        <v/>
      </c>
      <c r="J130" s="58">
        <f>IF(C130="","",IFERROR(IF(VLOOKUP(C130,Tarieven!$A$2:$F$200,2,0)="Beide","Per uur",VLOOKUP(C130,Tarieven!$A$2:$F$200,2,0)),"Nog bepalen"))</f>
        <v/>
      </c>
      <c r="K130" s="69">
        <f>IF(C130="","",IF(J130="Per uur",IFERROR(VLOOKUP(C130,Tarieven!$A$2:$F$200,3,0),""),IF(J130="Vaste prijs",IFERROR(VLOOKUP(C130,Tarieven!$A$2:$F$200,4,0),""),"")))</f>
        <v/>
      </c>
      <c r="L130" s="70">
        <f>IF(C130="","",IF(J130="Per uur",N(I130)*N(K130),IF(J130="Vaste prijs",N(K130),0)))</f>
        <v/>
      </c>
      <c r="M130" s="69">
        <f>IF(C130="","",IFERROR(IF(N(VLOOKUP(C130,Tarieven!$A$2:$F$200,5,0))=0,"",VLOOKUP(C130,Tarieven!$A$2:$F$200,5,0)),""))</f>
        <v/>
      </c>
      <c r="N130" s="69" t="n"/>
      <c r="O130" s="69" t="n"/>
      <c r="P130" s="70">
        <f>IF(C130="","",N(L130)+N(M130)+N(N130)+N(O130))</f>
        <v/>
      </c>
      <c r="Q130" s="58" t="n"/>
      <c r="R130" s="57" t="n"/>
      <c r="S130" s="57" t="n"/>
      <c r="T130" s="57" t="n"/>
      <c r="U130" s="62">
        <f>IF(C130="","",IF(COUNTIF(Tarieven!$A$2:$A$200,C130)=0,"Klant niet in Tarieven",IF(MOD(N(H130),1)*100&gt;59.4,"Tijd ongeldig: minuten boven 59",IF(J130="Nog bepalen","Prijstype nog bepalen",IF(AND(J130="Per uur",N(K130)=0),"Uurtarief ontbreekt",IF(AND(J130="Vaste prijs",N(K130)=0),"Vaste prijs ontbreekt",IF(AND(N(I130)=0,Q130&lt;&gt;"Niet doorgegaan / verplaatst",Q130&lt;&gt;"Geen factuur nodig"),"Geen uren",IF(AND(G130="NEE",Q130="Verstuurd"),"Verstuurd terwijl werk niet af",IF(IFERROR(VLOOKUP(C130,Tarieven!$A$2:$F$200,2,0),"")="Beide","Beide-klant: controleer prijstype","OK")))))))))</f>
        <v/>
      </c>
    </row>
    <row r="131" ht="15" customHeight="1" s="42">
      <c r="A131" s="56">
        <f>IF(B131="","",WEEKNUM(B131,21))</f>
        <v/>
      </c>
      <c r="B131" s="55" t="n"/>
      <c r="C131" s="57" t="n"/>
      <c r="D131" s="57" t="n"/>
      <c r="E131" s="57" t="n"/>
      <c r="F131" s="57" t="n"/>
      <c r="G131" s="67" t="n"/>
      <c r="H131" s="68" t="n"/>
      <c r="I131" s="61">
        <f>IF(C131="","",IF(H131&lt;&gt;"",INT(H131)+ROUND(MOD(H131,1)*100/60,2),SUMIFS(Registraties!$L$5:$L$3004,Registraties!$D$5:$D$3004,C131,Registraties!$A$5:$A$3004,B131)))</f>
        <v/>
      </c>
      <c r="J131" s="58">
        <f>IF(C131="","",IFERROR(IF(VLOOKUP(C131,Tarieven!$A$2:$F$200,2,0)="Beide","Per uur",VLOOKUP(C131,Tarieven!$A$2:$F$200,2,0)),"Nog bepalen"))</f>
        <v/>
      </c>
      <c r="K131" s="69">
        <f>IF(C131="","",IF(J131="Per uur",IFERROR(VLOOKUP(C131,Tarieven!$A$2:$F$200,3,0),""),IF(J131="Vaste prijs",IFERROR(VLOOKUP(C131,Tarieven!$A$2:$F$200,4,0),""),"")))</f>
        <v/>
      </c>
      <c r="L131" s="70">
        <f>IF(C131="","",IF(J131="Per uur",N(I131)*N(K131),IF(J131="Vaste prijs",N(K131),0)))</f>
        <v/>
      </c>
      <c r="M131" s="69">
        <f>IF(C131="","",IFERROR(IF(N(VLOOKUP(C131,Tarieven!$A$2:$F$200,5,0))=0,"",VLOOKUP(C131,Tarieven!$A$2:$F$200,5,0)),""))</f>
        <v/>
      </c>
      <c r="N131" s="69" t="n"/>
      <c r="O131" s="69" t="n"/>
      <c r="P131" s="70">
        <f>IF(C131="","",N(L131)+N(M131)+N(N131)+N(O131))</f>
        <v/>
      </c>
      <c r="Q131" s="58" t="n"/>
      <c r="R131" s="57" t="n"/>
      <c r="S131" s="57" t="n"/>
      <c r="T131" s="57" t="n"/>
      <c r="U131" s="62">
        <f>IF(C131="","",IF(COUNTIF(Tarieven!$A$2:$A$200,C131)=0,"Klant niet in Tarieven",IF(MOD(N(H131),1)*100&gt;59.4,"Tijd ongeldig: minuten boven 59",IF(J131="Nog bepalen","Prijstype nog bepalen",IF(AND(J131="Per uur",N(K131)=0),"Uurtarief ontbreekt",IF(AND(J131="Vaste prijs",N(K131)=0),"Vaste prijs ontbreekt",IF(AND(N(I131)=0,Q131&lt;&gt;"Niet doorgegaan / verplaatst",Q131&lt;&gt;"Geen factuur nodig"),"Geen uren",IF(AND(G131="NEE",Q131="Verstuurd"),"Verstuurd terwijl werk niet af",IF(IFERROR(VLOOKUP(C131,Tarieven!$A$2:$F$200,2,0),"")="Beide","Beide-klant: controleer prijstype","OK")))))))))</f>
        <v/>
      </c>
    </row>
    <row r="132" ht="15" customHeight="1" s="42">
      <c r="A132" s="56">
        <f>IF(B132="","",WEEKNUM(B132,21))</f>
        <v/>
      </c>
      <c r="B132" s="55" t="n"/>
      <c r="C132" s="57" t="n"/>
      <c r="D132" s="57" t="n"/>
      <c r="E132" s="57" t="n"/>
      <c r="F132" s="57" t="n"/>
      <c r="G132" s="67" t="n"/>
      <c r="H132" s="68" t="n"/>
      <c r="I132" s="61">
        <f>IF(C132="","",IF(H132&lt;&gt;"",INT(H132)+ROUND(MOD(H132,1)*100/60,2),SUMIFS(Registraties!$L$5:$L$3004,Registraties!$D$5:$D$3004,C132,Registraties!$A$5:$A$3004,B132)))</f>
        <v/>
      </c>
      <c r="J132" s="58">
        <f>IF(C132="","",IFERROR(IF(VLOOKUP(C132,Tarieven!$A$2:$F$200,2,0)="Beide","Per uur",VLOOKUP(C132,Tarieven!$A$2:$F$200,2,0)),"Nog bepalen"))</f>
        <v/>
      </c>
      <c r="K132" s="69">
        <f>IF(C132="","",IF(J132="Per uur",IFERROR(VLOOKUP(C132,Tarieven!$A$2:$F$200,3,0),""),IF(J132="Vaste prijs",IFERROR(VLOOKUP(C132,Tarieven!$A$2:$F$200,4,0),""),"")))</f>
        <v/>
      </c>
      <c r="L132" s="70">
        <f>IF(C132="","",IF(J132="Per uur",N(I132)*N(K132),IF(J132="Vaste prijs",N(K132),0)))</f>
        <v/>
      </c>
      <c r="M132" s="69">
        <f>IF(C132="","",IFERROR(IF(N(VLOOKUP(C132,Tarieven!$A$2:$F$200,5,0))=0,"",VLOOKUP(C132,Tarieven!$A$2:$F$200,5,0)),""))</f>
        <v/>
      </c>
      <c r="N132" s="69" t="n"/>
      <c r="O132" s="69" t="n"/>
      <c r="P132" s="70">
        <f>IF(C132="","",N(L132)+N(M132)+N(N132)+N(O132))</f>
        <v/>
      </c>
      <c r="Q132" s="58" t="n"/>
      <c r="R132" s="57" t="n"/>
      <c r="S132" s="57" t="n"/>
      <c r="T132" s="57" t="n"/>
      <c r="U132" s="62">
        <f>IF(C132="","",IF(COUNTIF(Tarieven!$A$2:$A$200,C132)=0,"Klant niet in Tarieven",IF(MOD(N(H132),1)*100&gt;59.4,"Tijd ongeldig: minuten boven 59",IF(J132="Nog bepalen","Prijstype nog bepalen",IF(AND(J132="Per uur",N(K132)=0),"Uurtarief ontbreekt",IF(AND(J132="Vaste prijs",N(K132)=0),"Vaste prijs ontbreekt",IF(AND(N(I132)=0,Q132&lt;&gt;"Niet doorgegaan / verplaatst",Q132&lt;&gt;"Geen factuur nodig"),"Geen uren",IF(AND(G132="NEE",Q132="Verstuurd"),"Verstuurd terwijl werk niet af",IF(IFERROR(VLOOKUP(C132,Tarieven!$A$2:$F$200,2,0),"")="Beide","Beide-klant: controleer prijstype","OK")))))))))</f>
        <v/>
      </c>
    </row>
    <row r="133" ht="15" customHeight="1" s="42">
      <c r="A133" s="56">
        <f>IF(B133="","",WEEKNUM(B133,21))</f>
        <v/>
      </c>
      <c r="B133" s="55" t="n"/>
      <c r="C133" s="57" t="n"/>
      <c r="D133" s="57" t="n"/>
      <c r="E133" s="57" t="n"/>
      <c r="F133" s="57" t="n"/>
      <c r="G133" s="67" t="n"/>
      <c r="H133" s="68" t="n"/>
      <c r="I133" s="61">
        <f>IF(C133="","",IF(H133&lt;&gt;"",INT(H133)+ROUND(MOD(H133,1)*100/60,2),SUMIFS(Registraties!$L$5:$L$3004,Registraties!$D$5:$D$3004,C133,Registraties!$A$5:$A$3004,B133)))</f>
        <v/>
      </c>
      <c r="J133" s="58">
        <f>IF(C133="","",IFERROR(IF(VLOOKUP(C133,Tarieven!$A$2:$F$200,2,0)="Beide","Per uur",VLOOKUP(C133,Tarieven!$A$2:$F$200,2,0)),"Nog bepalen"))</f>
        <v/>
      </c>
      <c r="K133" s="69">
        <f>IF(C133="","",IF(J133="Per uur",IFERROR(VLOOKUP(C133,Tarieven!$A$2:$F$200,3,0),""),IF(J133="Vaste prijs",IFERROR(VLOOKUP(C133,Tarieven!$A$2:$F$200,4,0),""),"")))</f>
        <v/>
      </c>
      <c r="L133" s="70">
        <f>IF(C133="","",IF(J133="Per uur",N(I133)*N(K133),IF(J133="Vaste prijs",N(K133),0)))</f>
        <v/>
      </c>
      <c r="M133" s="69">
        <f>IF(C133="","",IFERROR(IF(N(VLOOKUP(C133,Tarieven!$A$2:$F$200,5,0))=0,"",VLOOKUP(C133,Tarieven!$A$2:$F$200,5,0)),""))</f>
        <v/>
      </c>
      <c r="N133" s="69" t="n"/>
      <c r="O133" s="69" t="n"/>
      <c r="P133" s="70">
        <f>IF(C133="","",N(L133)+N(M133)+N(N133)+N(O133))</f>
        <v/>
      </c>
      <c r="Q133" s="58" t="n"/>
      <c r="R133" s="57" t="n"/>
      <c r="S133" s="57" t="n"/>
      <c r="T133" s="57" t="n"/>
      <c r="U133" s="62">
        <f>IF(C133="","",IF(COUNTIF(Tarieven!$A$2:$A$200,C133)=0,"Klant niet in Tarieven",IF(MOD(N(H133),1)*100&gt;59.4,"Tijd ongeldig: minuten boven 59",IF(J133="Nog bepalen","Prijstype nog bepalen",IF(AND(J133="Per uur",N(K133)=0),"Uurtarief ontbreekt",IF(AND(J133="Vaste prijs",N(K133)=0),"Vaste prijs ontbreekt",IF(AND(N(I133)=0,Q133&lt;&gt;"Niet doorgegaan / verplaatst",Q133&lt;&gt;"Geen factuur nodig"),"Geen uren",IF(AND(G133="NEE",Q133="Verstuurd"),"Verstuurd terwijl werk niet af",IF(IFERROR(VLOOKUP(C133,Tarieven!$A$2:$F$200,2,0),"")="Beide","Beide-klant: controleer prijstype","OK")))))))))</f>
        <v/>
      </c>
    </row>
    <row r="134" ht="15" customHeight="1" s="42">
      <c r="A134" s="56">
        <f>IF(B134="","",WEEKNUM(B134,21))</f>
        <v/>
      </c>
      <c r="B134" s="55" t="n"/>
      <c r="C134" s="57" t="n"/>
      <c r="D134" s="57" t="n"/>
      <c r="E134" s="57" t="n"/>
      <c r="F134" s="57" t="n"/>
      <c r="G134" s="67" t="n"/>
      <c r="H134" s="68" t="n"/>
      <c r="I134" s="61">
        <f>IF(C134="","",IF(H134&lt;&gt;"",INT(H134)+ROUND(MOD(H134,1)*100/60,2),SUMIFS(Registraties!$L$5:$L$3004,Registraties!$D$5:$D$3004,C134,Registraties!$A$5:$A$3004,B134)))</f>
        <v/>
      </c>
      <c r="J134" s="58">
        <f>IF(C134="","",IFERROR(IF(VLOOKUP(C134,Tarieven!$A$2:$F$200,2,0)="Beide","Per uur",VLOOKUP(C134,Tarieven!$A$2:$F$200,2,0)),"Nog bepalen"))</f>
        <v/>
      </c>
      <c r="K134" s="69">
        <f>IF(C134="","",IF(J134="Per uur",IFERROR(VLOOKUP(C134,Tarieven!$A$2:$F$200,3,0),""),IF(J134="Vaste prijs",IFERROR(VLOOKUP(C134,Tarieven!$A$2:$F$200,4,0),""),"")))</f>
        <v/>
      </c>
      <c r="L134" s="70">
        <f>IF(C134="","",IF(J134="Per uur",N(I134)*N(K134),IF(J134="Vaste prijs",N(K134),0)))</f>
        <v/>
      </c>
      <c r="M134" s="69">
        <f>IF(C134="","",IFERROR(IF(N(VLOOKUP(C134,Tarieven!$A$2:$F$200,5,0))=0,"",VLOOKUP(C134,Tarieven!$A$2:$F$200,5,0)),""))</f>
        <v/>
      </c>
      <c r="N134" s="69" t="n"/>
      <c r="O134" s="69" t="n"/>
      <c r="P134" s="70">
        <f>IF(C134="","",N(L134)+N(M134)+N(N134)+N(O134))</f>
        <v/>
      </c>
      <c r="Q134" s="58" t="n"/>
      <c r="R134" s="57" t="n"/>
      <c r="S134" s="57" t="n"/>
      <c r="T134" s="57" t="n"/>
      <c r="U134" s="62">
        <f>IF(C134="","",IF(COUNTIF(Tarieven!$A$2:$A$200,C134)=0,"Klant niet in Tarieven",IF(MOD(N(H134),1)*100&gt;59.4,"Tijd ongeldig: minuten boven 59",IF(J134="Nog bepalen","Prijstype nog bepalen",IF(AND(J134="Per uur",N(K134)=0),"Uurtarief ontbreekt",IF(AND(J134="Vaste prijs",N(K134)=0),"Vaste prijs ontbreekt",IF(AND(N(I134)=0,Q134&lt;&gt;"Niet doorgegaan / verplaatst",Q134&lt;&gt;"Geen factuur nodig"),"Geen uren",IF(AND(G134="NEE",Q134="Verstuurd"),"Verstuurd terwijl werk niet af",IF(IFERROR(VLOOKUP(C134,Tarieven!$A$2:$F$200,2,0),"")="Beide","Beide-klant: controleer prijstype","OK")))))))))</f>
        <v/>
      </c>
    </row>
    <row r="135" ht="15" customHeight="1" s="42">
      <c r="A135" s="56">
        <f>IF(B135="","",WEEKNUM(B135,21))</f>
        <v/>
      </c>
      <c r="B135" s="55" t="n"/>
      <c r="C135" s="57" t="n"/>
      <c r="D135" s="57" t="n"/>
      <c r="E135" s="57" t="n"/>
      <c r="F135" s="57" t="n"/>
      <c r="G135" s="67" t="n"/>
      <c r="H135" s="68" t="n"/>
      <c r="I135" s="61">
        <f>IF(C135="","",IF(H135&lt;&gt;"",INT(H135)+ROUND(MOD(H135,1)*100/60,2),SUMIFS(Registraties!$L$5:$L$3004,Registraties!$D$5:$D$3004,C135,Registraties!$A$5:$A$3004,B135)))</f>
        <v/>
      </c>
      <c r="J135" s="58">
        <f>IF(C135="","",IFERROR(IF(VLOOKUP(C135,Tarieven!$A$2:$F$200,2,0)="Beide","Per uur",VLOOKUP(C135,Tarieven!$A$2:$F$200,2,0)),"Nog bepalen"))</f>
        <v/>
      </c>
      <c r="K135" s="69">
        <f>IF(C135="","",IF(J135="Per uur",IFERROR(VLOOKUP(C135,Tarieven!$A$2:$F$200,3,0),""),IF(J135="Vaste prijs",IFERROR(VLOOKUP(C135,Tarieven!$A$2:$F$200,4,0),""),"")))</f>
        <v/>
      </c>
      <c r="L135" s="70">
        <f>IF(C135="","",IF(J135="Per uur",N(I135)*N(K135),IF(J135="Vaste prijs",N(K135),0)))</f>
        <v/>
      </c>
      <c r="M135" s="69">
        <f>IF(C135="","",IFERROR(IF(N(VLOOKUP(C135,Tarieven!$A$2:$F$200,5,0))=0,"",VLOOKUP(C135,Tarieven!$A$2:$F$200,5,0)),""))</f>
        <v/>
      </c>
      <c r="N135" s="69" t="n"/>
      <c r="O135" s="69" t="n"/>
      <c r="P135" s="70">
        <f>IF(C135="","",N(L135)+N(M135)+N(N135)+N(O135))</f>
        <v/>
      </c>
      <c r="Q135" s="58" t="n"/>
      <c r="R135" s="57" t="n"/>
      <c r="S135" s="57" t="n"/>
      <c r="T135" s="57" t="n"/>
      <c r="U135" s="62">
        <f>IF(C135="","",IF(COUNTIF(Tarieven!$A$2:$A$200,C135)=0,"Klant niet in Tarieven",IF(MOD(N(H135),1)*100&gt;59.4,"Tijd ongeldig: minuten boven 59",IF(J135="Nog bepalen","Prijstype nog bepalen",IF(AND(J135="Per uur",N(K135)=0),"Uurtarief ontbreekt",IF(AND(J135="Vaste prijs",N(K135)=0),"Vaste prijs ontbreekt",IF(AND(N(I135)=0,Q135&lt;&gt;"Niet doorgegaan / verplaatst",Q135&lt;&gt;"Geen factuur nodig"),"Geen uren",IF(AND(G135="NEE",Q135="Verstuurd"),"Verstuurd terwijl werk niet af",IF(IFERROR(VLOOKUP(C135,Tarieven!$A$2:$F$200,2,0),"")="Beide","Beide-klant: controleer prijstype","OK")))))))))</f>
        <v/>
      </c>
    </row>
    <row r="136" ht="15" customHeight="1" s="42">
      <c r="A136" s="56">
        <f>IF(B136="","",WEEKNUM(B136,21))</f>
        <v/>
      </c>
      <c r="B136" s="55" t="n"/>
      <c r="C136" s="57" t="n"/>
      <c r="D136" s="57" t="n"/>
      <c r="E136" s="57" t="n"/>
      <c r="F136" s="57" t="n"/>
      <c r="G136" s="67" t="n"/>
      <c r="H136" s="68" t="n"/>
      <c r="I136" s="61">
        <f>IF(C136="","",IF(H136&lt;&gt;"",INT(H136)+ROUND(MOD(H136,1)*100/60,2),SUMIFS(Registraties!$L$5:$L$3004,Registraties!$D$5:$D$3004,C136,Registraties!$A$5:$A$3004,B136)))</f>
        <v/>
      </c>
      <c r="J136" s="58">
        <f>IF(C136="","",IFERROR(IF(VLOOKUP(C136,Tarieven!$A$2:$F$200,2,0)="Beide","Per uur",VLOOKUP(C136,Tarieven!$A$2:$F$200,2,0)),"Nog bepalen"))</f>
        <v/>
      </c>
      <c r="K136" s="69">
        <f>IF(C136="","",IF(J136="Per uur",IFERROR(VLOOKUP(C136,Tarieven!$A$2:$F$200,3,0),""),IF(J136="Vaste prijs",IFERROR(VLOOKUP(C136,Tarieven!$A$2:$F$200,4,0),""),"")))</f>
        <v/>
      </c>
      <c r="L136" s="70">
        <f>IF(C136="","",IF(J136="Per uur",N(I136)*N(K136),IF(J136="Vaste prijs",N(K136),0)))</f>
        <v/>
      </c>
      <c r="M136" s="69">
        <f>IF(C136="","",IFERROR(IF(N(VLOOKUP(C136,Tarieven!$A$2:$F$200,5,0))=0,"",VLOOKUP(C136,Tarieven!$A$2:$F$200,5,0)),""))</f>
        <v/>
      </c>
      <c r="N136" s="69" t="n"/>
      <c r="O136" s="69" t="n"/>
      <c r="P136" s="70">
        <f>IF(C136="","",N(L136)+N(M136)+N(N136)+N(O136))</f>
        <v/>
      </c>
      <c r="Q136" s="58" t="n"/>
      <c r="R136" s="57" t="n"/>
      <c r="S136" s="57" t="n"/>
      <c r="T136" s="57" t="n"/>
      <c r="U136" s="62">
        <f>IF(C136="","",IF(COUNTIF(Tarieven!$A$2:$A$200,C136)=0,"Klant niet in Tarieven",IF(MOD(N(H136),1)*100&gt;59.4,"Tijd ongeldig: minuten boven 59",IF(J136="Nog bepalen","Prijstype nog bepalen",IF(AND(J136="Per uur",N(K136)=0),"Uurtarief ontbreekt",IF(AND(J136="Vaste prijs",N(K136)=0),"Vaste prijs ontbreekt",IF(AND(N(I136)=0,Q136&lt;&gt;"Niet doorgegaan / verplaatst",Q136&lt;&gt;"Geen factuur nodig"),"Geen uren",IF(AND(G136="NEE",Q136="Verstuurd"),"Verstuurd terwijl werk niet af",IF(IFERROR(VLOOKUP(C136,Tarieven!$A$2:$F$200,2,0),"")="Beide","Beide-klant: controleer prijstype","OK")))))))))</f>
        <v/>
      </c>
    </row>
    <row r="137" ht="15" customHeight="1" s="42">
      <c r="A137" s="56">
        <f>IF(B137="","",WEEKNUM(B137,21))</f>
        <v/>
      </c>
      <c r="B137" s="55" t="n"/>
      <c r="C137" s="57" t="n"/>
      <c r="D137" s="57" t="n"/>
      <c r="E137" s="57" t="n"/>
      <c r="F137" s="57" t="n"/>
      <c r="G137" s="67" t="n"/>
      <c r="H137" s="68" t="n"/>
      <c r="I137" s="61">
        <f>IF(C137="","",IF(H137&lt;&gt;"",INT(H137)+ROUND(MOD(H137,1)*100/60,2),SUMIFS(Registraties!$L$5:$L$3004,Registraties!$D$5:$D$3004,C137,Registraties!$A$5:$A$3004,B137)))</f>
        <v/>
      </c>
      <c r="J137" s="58">
        <f>IF(C137="","",IFERROR(IF(VLOOKUP(C137,Tarieven!$A$2:$F$200,2,0)="Beide","Per uur",VLOOKUP(C137,Tarieven!$A$2:$F$200,2,0)),"Nog bepalen"))</f>
        <v/>
      </c>
      <c r="K137" s="69">
        <f>IF(C137="","",IF(J137="Per uur",IFERROR(VLOOKUP(C137,Tarieven!$A$2:$F$200,3,0),""),IF(J137="Vaste prijs",IFERROR(VLOOKUP(C137,Tarieven!$A$2:$F$200,4,0),""),"")))</f>
        <v/>
      </c>
      <c r="L137" s="70">
        <f>IF(C137="","",IF(J137="Per uur",N(I137)*N(K137),IF(J137="Vaste prijs",N(K137),0)))</f>
        <v/>
      </c>
      <c r="M137" s="69">
        <f>IF(C137="","",IFERROR(IF(N(VLOOKUP(C137,Tarieven!$A$2:$F$200,5,0))=0,"",VLOOKUP(C137,Tarieven!$A$2:$F$200,5,0)),""))</f>
        <v/>
      </c>
      <c r="N137" s="69" t="n"/>
      <c r="O137" s="69" t="n"/>
      <c r="P137" s="70">
        <f>IF(C137="","",N(L137)+N(M137)+N(N137)+N(O137))</f>
        <v/>
      </c>
      <c r="Q137" s="58" t="n"/>
      <c r="R137" s="57" t="n"/>
      <c r="S137" s="57" t="n"/>
      <c r="T137" s="57" t="n"/>
      <c r="U137" s="62">
        <f>IF(C137="","",IF(COUNTIF(Tarieven!$A$2:$A$200,C137)=0,"Klant niet in Tarieven",IF(MOD(N(H137),1)*100&gt;59.4,"Tijd ongeldig: minuten boven 59",IF(J137="Nog bepalen","Prijstype nog bepalen",IF(AND(J137="Per uur",N(K137)=0),"Uurtarief ontbreekt",IF(AND(J137="Vaste prijs",N(K137)=0),"Vaste prijs ontbreekt",IF(AND(N(I137)=0,Q137&lt;&gt;"Niet doorgegaan / verplaatst",Q137&lt;&gt;"Geen factuur nodig"),"Geen uren",IF(AND(G137="NEE",Q137="Verstuurd"),"Verstuurd terwijl werk niet af",IF(IFERROR(VLOOKUP(C137,Tarieven!$A$2:$F$200,2,0),"")="Beide","Beide-klant: controleer prijstype","OK")))))))))</f>
        <v/>
      </c>
    </row>
    <row r="138" ht="15" customHeight="1" s="42">
      <c r="A138" s="56">
        <f>IF(B138="","",WEEKNUM(B138,21))</f>
        <v/>
      </c>
      <c r="B138" s="55" t="n"/>
      <c r="C138" s="57" t="n"/>
      <c r="D138" s="57" t="n"/>
      <c r="E138" s="57" t="n"/>
      <c r="F138" s="57" t="n"/>
      <c r="G138" s="67" t="n"/>
      <c r="H138" s="68" t="n"/>
      <c r="I138" s="61">
        <f>IF(C138="","",IF(H138&lt;&gt;"",INT(H138)+ROUND(MOD(H138,1)*100/60,2),SUMIFS(Registraties!$L$5:$L$3004,Registraties!$D$5:$D$3004,C138,Registraties!$A$5:$A$3004,B138)))</f>
        <v/>
      </c>
      <c r="J138" s="58">
        <f>IF(C138="","",IFERROR(IF(VLOOKUP(C138,Tarieven!$A$2:$F$200,2,0)="Beide","Per uur",VLOOKUP(C138,Tarieven!$A$2:$F$200,2,0)),"Nog bepalen"))</f>
        <v/>
      </c>
      <c r="K138" s="69">
        <f>IF(C138="","",IF(J138="Per uur",IFERROR(VLOOKUP(C138,Tarieven!$A$2:$F$200,3,0),""),IF(J138="Vaste prijs",IFERROR(VLOOKUP(C138,Tarieven!$A$2:$F$200,4,0),""),"")))</f>
        <v/>
      </c>
      <c r="L138" s="70">
        <f>IF(C138="","",IF(J138="Per uur",N(I138)*N(K138),IF(J138="Vaste prijs",N(K138),0)))</f>
        <v/>
      </c>
      <c r="M138" s="69">
        <f>IF(C138="","",IFERROR(IF(N(VLOOKUP(C138,Tarieven!$A$2:$F$200,5,0))=0,"",VLOOKUP(C138,Tarieven!$A$2:$F$200,5,0)),""))</f>
        <v/>
      </c>
      <c r="N138" s="69" t="n"/>
      <c r="O138" s="69" t="n"/>
      <c r="P138" s="70">
        <f>IF(C138="","",N(L138)+N(M138)+N(N138)+N(O138))</f>
        <v/>
      </c>
      <c r="Q138" s="58" t="n"/>
      <c r="R138" s="57" t="n"/>
      <c r="S138" s="57" t="n"/>
      <c r="T138" s="57" t="n"/>
      <c r="U138" s="62">
        <f>IF(C138="","",IF(COUNTIF(Tarieven!$A$2:$A$200,C138)=0,"Klant niet in Tarieven",IF(MOD(N(H138),1)*100&gt;59.4,"Tijd ongeldig: minuten boven 59",IF(J138="Nog bepalen","Prijstype nog bepalen",IF(AND(J138="Per uur",N(K138)=0),"Uurtarief ontbreekt",IF(AND(J138="Vaste prijs",N(K138)=0),"Vaste prijs ontbreekt",IF(AND(N(I138)=0,Q138&lt;&gt;"Niet doorgegaan / verplaatst",Q138&lt;&gt;"Geen factuur nodig"),"Geen uren",IF(AND(G138="NEE",Q138="Verstuurd"),"Verstuurd terwijl werk niet af",IF(IFERROR(VLOOKUP(C138,Tarieven!$A$2:$F$200,2,0),"")="Beide","Beide-klant: controleer prijstype","OK")))))))))</f>
        <v/>
      </c>
    </row>
    <row r="139" ht="15" customHeight="1" s="42">
      <c r="A139" s="56">
        <f>IF(B139="","",WEEKNUM(B139,21))</f>
        <v/>
      </c>
      <c r="B139" s="55" t="n"/>
      <c r="C139" s="57" t="n"/>
      <c r="D139" s="57" t="n"/>
      <c r="E139" s="57" t="n"/>
      <c r="F139" s="57" t="n"/>
      <c r="G139" s="67" t="n"/>
      <c r="H139" s="68" t="n"/>
      <c r="I139" s="61">
        <f>IF(C139="","",IF(H139&lt;&gt;"",INT(H139)+ROUND(MOD(H139,1)*100/60,2),SUMIFS(Registraties!$L$5:$L$3004,Registraties!$D$5:$D$3004,C139,Registraties!$A$5:$A$3004,B139)))</f>
        <v/>
      </c>
      <c r="J139" s="58">
        <f>IF(C139="","",IFERROR(IF(VLOOKUP(C139,Tarieven!$A$2:$F$200,2,0)="Beide","Per uur",VLOOKUP(C139,Tarieven!$A$2:$F$200,2,0)),"Nog bepalen"))</f>
        <v/>
      </c>
      <c r="K139" s="69">
        <f>IF(C139="","",IF(J139="Per uur",IFERROR(VLOOKUP(C139,Tarieven!$A$2:$F$200,3,0),""),IF(J139="Vaste prijs",IFERROR(VLOOKUP(C139,Tarieven!$A$2:$F$200,4,0),""),"")))</f>
        <v/>
      </c>
      <c r="L139" s="70">
        <f>IF(C139="","",IF(J139="Per uur",N(I139)*N(K139),IF(J139="Vaste prijs",N(K139),0)))</f>
        <v/>
      </c>
      <c r="M139" s="69">
        <f>IF(C139="","",IFERROR(IF(N(VLOOKUP(C139,Tarieven!$A$2:$F$200,5,0))=0,"",VLOOKUP(C139,Tarieven!$A$2:$F$200,5,0)),""))</f>
        <v/>
      </c>
      <c r="N139" s="69" t="n"/>
      <c r="O139" s="69" t="n"/>
      <c r="P139" s="70">
        <f>IF(C139="","",N(L139)+N(M139)+N(N139)+N(O139))</f>
        <v/>
      </c>
      <c r="Q139" s="58" t="n"/>
      <c r="R139" s="57" t="n"/>
      <c r="S139" s="57" t="n"/>
      <c r="T139" s="57" t="n"/>
      <c r="U139" s="62">
        <f>IF(C139="","",IF(COUNTIF(Tarieven!$A$2:$A$200,C139)=0,"Klant niet in Tarieven",IF(MOD(N(H139),1)*100&gt;59.4,"Tijd ongeldig: minuten boven 59",IF(J139="Nog bepalen","Prijstype nog bepalen",IF(AND(J139="Per uur",N(K139)=0),"Uurtarief ontbreekt",IF(AND(J139="Vaste prijs",N(K139)=0),"Vaste prijs ontbreekt",IF(AND(N(I139)=0,Q139&lt;&gt;"Niet doorgegaan / verplaatst",Q139&lt;&gt;"Geen factuur nodig"),"Geen uren",IF(AND(G139="NEE",Q139="Verstuurd"),"Verstuurd terwijl werk niet af",IF(IFERROR(VLOOKUP(C139,Tarieven!$A$2:$F$200,2,0),"")="Beide","Beide-klant: controleer prijstype","OK")))))))))</f>
        <v/>
      </c>
    </row>
    <row r="140" ht="15" customHeight="1" s="42">
      <c r="A140" s="56">
        <f>IF(B140="","",WEEKNUM(B140,21))</f>
        <v/>
      </c>
      <c r="B140" s="55" t="n"/>
      <c r="C140" s="57" t="n"/>
      <c r="D140" s="57" t="n"/>
      <c r="E140" s="57" t="n"/>
      <c r="F140" s="57" t="n"/>
      <c r="G140" s="67" t="n"/>
      <c r="H140" s="68" t="n"/>
      <c r="I140" s="61">
        <f>IF(C140="","",IF(H140&lt;&gt;"",INT(H140)+ROUND(MOD(H140,1)*100/60,2),SUMIFS(Registraties!$L$5:$L$3004,Registraties!$D$5:$D$3004,C140,Registraties!$A$5:$A$3004,B140)))</f>
        <v/>
      </c>
      <c r="J140" s="58">
        <f>IF(C140="","",IFERROR(IF(VLOOKUP(C140,Tarieven!$A$2:$F$200,2,0)="Beide","Per uur",VLOOKUP(C140,Tarieven!$A$2:$F$200,2,0)),"Nog bepalen"))</f>
        <v/>
      </c>
      <c r="K140" s="69">
        <f>IF(C140="","",IF(J140="Per uur",IFERROR(VLOOKUP(C140,Tarieven!$A$2:$F$200,3,0),""),IF(J140="Vaste prijs",IFERROR(VLOOKUP(C140,Tarieven!$A$2:$F$200,4,0),""),"")))</f>
        <v/>
      </c>
      <c r="L140" s="70">
        <f>IF(C140="","",IF(J140="Per uur",N(I140)*N(K140),IF(J140="Vaste prijs",N(K140),0)))</f>
        <v/>
      </c>
      <c r="M140" s="69">
        <f>IF(C140="","",IFERROR(IF(N(VLOOKUP(C140,Tarieven!$A$2:$F$200,5,0))=0,"",VLOOKUP(C140,Tarieven!$A$2:$F$200,5,0)),""))</f>
        <v/>
      </c>
      <c r="N140" s="69" t="n"/>
      <c r="O140" s="69" t="n"/>
      <c r="P140" s="70">
        <f>IF(C140="","",N(L140)+N(M140)+N(N140)+N(O140))</f>
        <v/>
      </c>
      <c r="Q140" s="58" t="n"/>
      <c r="R140" s="57" t="n"/>
      <c r="S140" s="57" t="n"/>
      <c r="T140" s="57" t="n"/>
      <c r="U140" s="62">
        <f>IF(C140="","",IF(COUNTIF(Tarieven!$A$2:$A$200,C140)=0,"Klant niet in Tarieven",IF(MOD(N(H140),1)*100&gt;59.4,"Tijd ongeldig: minuten boven 59",IF(J140="Nog bepalen","Prijstype nog bepalen",IF(AND(J140="Per uur",N(K140)=0),"Uurtarief ontbreekt",IF(AND(J140="Vaste prijs",N(K140)=0),"Vaste prijs ontbreekt",IF(AND(N(I140)=0,Q140&lt;&gt;"Niet doorgegaan / verplaatst",Q140&lt;&gt;"Geen factuur nodig"),"Geen uren",IF(AND(G140="NEE",Q140="Verstuurd"),"Verstuurd terwijl werk niet af",IF(IFERROR(VLOOKUP(C140,Tarieven!$A$2:$F$200,2,0),"")="Beide","Beide-klant: controleer prijstype","OK")))))))))</f>
        <v/>
      </c>
    </row>
    <row r="141" ht="15" customHeight="1" s="42">
      <c r="A141" s="56">
        <f>IF(B141="","",WEEKNUM(B141,21))</f>
        <v/>
      </c>
      <c r="B141" s="55" t="n"/>
      <c r="C141" s="57" t="n"/>
      <c r="D141" s="57" t="n"/>
      <c r="E141" s="57" t="n"/>
      <c r="F141" s="57" t="n"/>
      <c r="G141" s="67" t="n"/>
      <c r="H141" s="68" t="n"/>
      <c r="I141" s="61">
        <f>IF(C141="","",IF(H141&lt;&gt;"",INT(H141)+ROUND(MOD(H141,1)*100/60,2),SUMIFS(Registraties!$L$5:$L$3004,Registraties!$D$5:$D$3004,C141,Registraties!$A$5:$A$3004,B141)))</f>
        <v/>
      </c>
      <c r="J141" s="58">
        <f>IF(C141="","",IFERROR(IF(VLOOKUP(C141,Tarieven!$A$2:$F$200,2,0)="Beide","Per uur",VLOOKUP(C141,Tarieven!$A$2:$F$200,2,0)),"Nog bepalen"))</f>
        <v/>
      </c>
      <c r="K141" s="69">
        <f>IF(C141="","",IF(J141="Per uur",IFERROR(VLOOKUP(C141,Tarieven!$A$2:$F$200,3,0),""),IF(J141="Vaste prijs",IFERROR(VLOOKUP(C141,Tarieven!$A$2:$F$200,4,0),""),"")))</f>
        <v/>
      </c>
      <c r="L141" s="70">
        <f>IF(C141="","",IF(J141="Per uur",N(I141)*N(K141),IF(J141="Vaste prijs",N(K141),0)))</f>
        <v/>
      </c>
      <c r="M141" s="69">
        <f>IF(C141="","",IFERROR(IF(N(VLOOKUP(C141,Tarieven!$A$2:$F$200,5,0))=0,"",VLOOKUP(C141,Tarieven!$A$2:$F$200,5,0)),""))</f>
        <v/>
      </c>
      <c r="N141" s="69" t="n"/>
      <c r="O141" s="69" t="n"/>
      <c r="P141" s="70">
        <f>IF(C141="","",N(L141)+N(M141)+N(N141)+N(O141))</f>
        <v/>
      </c>
      <c r="Q141" s="58" t="n"/>
      <c r="R141" s="57" t="n"/>
      <c r="S141" s="57" t="n"/>
      <c r="T141" s="57" t="n"/>
      <c r="U141" s="62">
        <f>IF(C141="","",IF(COUNTIF(Tarieven!$A$2:$A$200,C141)=0,"Klant niet in Tarieven",IF(MOD(N(H141),1)*100&gt;59.4,"Tijd ongeldig: minuten boven 59",IF(J141="Nog bepalen","Prijstype nog bepalen",IF(AND(J141="Per uur",N(K141)=0),"Uurtarief ontbreekt",IF(AND(J141="Vaste prijs",N(K141)=0),"Vaste prijs ontbreekt",IF(AND(N(I141)=0,Q141&lt;&gt;"Niet doorgegaan / verplaatst",Q141&lt;&gt;"Geen factuur nodig"),"Geen uren",IF(AND(G141="NEE",Q141="Verstuurd"),"Verstuurd terwijl werk niet af",IF(IFERROR(VLOOKUP(C141,Tarieven!$A$2:$F$200,2,0),"")="Beide","Beide-klant: controleer prijstype","OK")))))))))</f>
        <v/>
      </c>
    </row>
    <row r="142" ht="15" customHeight="1" s="42">
      <c r="A142" s="56">
        <f>IF(B142="","",WEEKNUM(B142,21))</f>
        <v/>
      </c>
      <c r="B142" s="55" t="n"/>
      <c r="C142" s="57" t="n"/>
      <c r="D142" s="57" t="n"/>
      <c r="E142" s="57" t="n"/>
      <c r="F142" s="57" t="n"/>
      <c r="G142" s="67" t="n"/>
      <c r="H142" s="68" t="n"/>
      <c r="I142" s="61">
        <f>IF(C142="","",IF(H142&lt;&gt;"",INT(H142)+ROUND(MOD(H142,1)*100/60,2),SUMIFS(Registraties!$L$5:$L$3004,Registraties!$D$5:$D$3004,C142,Registraties!$A$5:$A$3004,B142)))</f>
        <v/>
      </c>
      <c r="J142" s="58">
        <f>IF(C142="","",IFERROR(IF(VLOOKUP(C142,Tarieven!$A$2:$F$200,2,0)="Beide","Per uur",VLOOKUP(C142,Tarieven!$A$2:$F$200,2,0)),"Nog bepalen"))</f>
        <v/>
      </c>
      <c r="K142" s="69">
        <f>IF(C142="","",IF(J142="Per uur",IFERROR(VLOOKUP(C142,Tarieven!$A$2:$F$200,3,0),""),IF(J142="Vaste prijs",IFERROR(VLOOKUP(C142,Tarieven!$A$2:$F$200,4,0),""),"")))</f>
        <v/>
      </c>
      <c r="L142" s="70">
        <f>IF(C142="","",IF(J142="Per uur",N(I142)*N(K142),IF(J142="Vaste prijs",N(K142),0)))</f>
        <v/>
      </c>
      <c r="M142" s="69">
        <f>IF(C142="","",IFERROR(IF(N(VLOOKUP(C142,Tarieven!$A$2:$F$200,5,0))=0,"",VLOOKUP(C142,Tarieven!$A$2:$F$200,5,0)),""))</f>
        <v/>
      </c>
      <c r="N142" s="69" t="n"/>
      <c r="O142" s="69" t="n"/>
      <c r="P142" s="70">
        <f>IF(C142="","",N(L142)+N(M142)+N(N142)+N(O142))</f>
        <v/>
      </c>
      <c r="Q142" s="58" t="n"/>
      <c r="R142" s="57" t="n"/>
      <c r="S142" s="57" t="n"/>
      <c r="T142" s="57" t="n"/>
      <c r="U142" s="62">
        <f>IF(C142="","",IF(COUNTIF(Tarieven!$A$2:$A$200,C142)=0,"Klant niet in Tarieven",IF(MOD(N(H142),1)*100&gt;59.4,"Tijd ongeldig: minuten boven 59",IF(J142="Nog bepalen","Prijstype nog bepalen",IF(AND(J142="Per uur",N(K142)=0),"Uurtarief ontbreekt",IF(AND(J142="Vaste prijs",N(K142)=0),"Vaste prijs ontbreekt",IF(AND(N(I142)=0,Q142&lt;&gt;"Niet doorgegaan / verplaatst",Q142&lt;&gt;"Geen factuur nodig"),"Geen uren",IF(AND(G142="NEE",Q142="Verstuurd"),"Verstuurd terwijl werk niet af",IF(IFERROR(VLOOKUP(C142,Tarieven!$A$2:$F$200,2,0),"")="Beide","Beide-klant: controleer prijstype","OK")))))))))</f>
        <v/>
      </c>
    </row>
    <row r="143" ht="15" customHeight="1" s="42">
      <c r="A143" s="56">
        <f>IF(B143="","",WEEKNUM(B143,21))</f>
        <v/>
      </c>
      <c r="B143" s="55" t="n"/>
      <c r="C143" s="57" t="n"/>
      <c r="D143" s="57" t="n"/>
      <c r="E143" s="57" t="n"/>
      <c r="F143" s="57" t="n"/>
      <c r="G143" s="67" t="n"/>
      <c r="H143" s="68" t="n"/>
      <c r="I143" s="61">
        <f>IF(C143="","",IF(H143&lt;&gt;"",INT(H143)+ROUND(MOD(H143,1)*100/60,2),SUMIFS(Registraties!$L$5:$L$3004,Registraties!$D$5:$D$3004,C143,Registraties!$A$5:$A$3004,B143)))</f>
        <v/>
      </c>
      <c r="J143" s="58">
        <f>IF(C143="","",IFERROR(IF(VLOOKUP(C143,Tarieven!$A$2:$F$200,2,0)="Beide","Per uur",VLOOKUP(C143,Tarieven!$A$2:$F$200,2,0)),"Nog bepalen"))</f>
        <v/>
      </c>
      <c r="K143" s="69">
        <f>IF(C143="","",IF(J143="Per uur",IFERROR(VLOOKUP(C143,Tarieven!$A$2:$F$200,3,0),""),IF(J143="Vaste prijs",IFERROR(VLOOKUP(C143,Tarieven!$A$2:$F$200,4,0),""),"")))</f>
        <v/>
      </c>
      <c r="L143" s="70">
        <f>IF(C143="","",IF(J143="Per uur",N(I143)*N(K143),IF(J143="Vaste prijs",N(K143),0)))</f>
        <v/>
      </c>
      <c r="M143" s="69">
        <f>IF(C143="","",IFERROR(IF(N(VLOOKUP(C143,Tarieven!$A$2:$F$200,5,0))=0,"",VLOOKUP(C143,Tarieven!$A$2:$F$200,5,0)),""))</f>
        <v/>
      </c>
      <c r="N143" s="69" t="n"/>
      <c r="O143" s="69" t="n"/>
      <c r="P143" s="70">
        <f>IF(C143="","",N(L143)+N(M143)+N(N143)+N(O143))</f>
        <v/>
      </c>
      <c r="Q143" s="58" t="n"/>
      <c r="R143" s="57" t="n"/>
      <c r="S143" s="57" t="n"/>
      <c r="T143" s="57" t="n"/>
      <c r="U143" s="62">
        <f>IF(C143="","",IF(COUNTIF(Tarieven!$A$2:$A$200,C143)=0,"Klant niet in Tarieven",IF(MOD(N(H143),1)*100&gt;59.4,"Tijd ongeldig: minuten boven 59",IF(J143="Nog bepalen","Prijstype nog bepalen",IF(AND(J143="Per uur",N(K143)=0),"Uurtarief ontbreekt",IF(AND(J143="Vaste prijs",N(K143)=0),"Vaste prijs ontbreekt",IF(AND(N(I143)=0,Q143&lt;&gt;"Niet doorgegaan / verplaatst",Q143&lt;&gt;"Geen factuur nodig"),"Geen uren",IF(AND(G143="NEE",Q143="Verstuurd"),"Verstuurd terwijl werk niet af",IF(IFERROR(VLOOKUP(C143,Tarieven!$A$2:$F$200,2,0),"")="Beide","Beide-klant: controleer prijstype","OK")))))))))</f>
        <v/>
      </c>
    </row>
    <row r="144" ht="15" customHeight="1" s="42">
      <c r="A144" s="56">
        <f>IF(B144="","",WEEKNUM(B144,21))</f>
        <v/>
      </c>
      <c r="B144" s="55" t="n"/>
      <c r="C144" s="57" t="n"/>
      <c r="D144" s="57" t="n"/>
      <c r="E144" s="57" t="n"/>
      <c r="F144" s="57" t="n"/>
      <c r="G144" s="67" t="n"/>
      <c r="H144" s="68" t="n"/>
      <c r="I144" s="61">
        <f>IF(C144="","",IF(H144&lt;&gt;"",INT(H144)+ROUND(MOD(H144,1)*100/60,2),SUMIFS(Registraties!$L$5:$L$3004,Registraties!$D$5:$D$3004,C144,Registraties!$A$5:$A$3004,B144)))</f>
        <v/>
      </c>
      <c r="J144" s="58">
        <f>IF(C144="","",IFERROR(IF(VLOOKUP(C144,Tarieven!$A$2:$F$200,2,0)="Beide","Per uur",VLOOKUP(C144,Tarieven!$A$2:$F$200,2,0)),"Nog bepalen"))</f>
        <v/>
      </c>
      <c r="K144" s="69">
        <f>IF(C144="","",IF(J144="Per uur",IFERROR(VLOOKUP(C144,Tarieven!$A$2:$F$200,3,0),""),IF(J144="Vaste prijs",IFERROR(VLOOKUP(C144,Tarieven!$A$2:$F$200,4,0),""),"")))</f>
        <v/>
      </c>
      <c r="L144" s="70">
        <f>IF(C144="","",IF(J144="Per uur",N(I144)*N(K144),IF(J144="Vaste prijs",N(K144),0)))</f>
        <v/>
      </c>
      <c r="M144" s="69">
        <f>IF(C144="","",IFERROR(IF(N(VLOOKUP(C144,Tarieven!$A$2:$F$200,5,0))=0,"",VLOOKUP(C144,Tarieven!$A$2:$F$200,5,0)),""))</f>
        <v/>
      </c>
      <c r="N144" s="69" t="n"/>
      <c r="O144" s="69" t="n"/>
      <c r="P144" s="70">
        <f>IF(C144="","",N(L144)+N(M144)+N(N144)+N(O144))</f>
        <v/>
      </c>
      <c r="Q144" s="58" t="n"/>
      <c r="R144" s="57" t="n"/>
      <c r="S144" s="57" t="n"/>
      <c r="T144" s="57" t="n"/>
      <c r="U144" s="62">
        <f>IF(C144="","",IF(COUNTIF(Tarieven!$A$2:$A$200,C144)=0,"Klant niet in Tarieven",IF(MOD(N(H144),1)*100&gt;59.4,"Tijd ongeldig: minuten boven 59",IF(J144="Nog bepalen","Prijstype nog bepalen",IF(AND(J144="Per uur",N(K144)=0),"Uurtarief ontbreekt",IF(AND(J144="Vaste prijs",N(K144)=0),"Vaste prijs ontbreekt",IF(AND(N(I144)=0,Q144&lt;&gt;"Niet doorgegaan / verplaatst",Q144&lt;&gt;"Geen factuur nodig"),"Geen uren",IF(AND(G144="NEE",Q144="Verstuurd"),"Verstuurd terwijl werk niet af",IF(IFERROR(VLOOKUP(C144,Tarieven!$A$2:$F$200,2,0),"")="Beide","Beide-klant: controleer prijstype","OK")))))))))</f>
        <v/>
      </c>
    </row>
    <row r="145" ht="15" customHeight="1" s="42">
      <c r="A145" s="56">
        <f>IF(B145="","",WEEKNUM(B145,21))</f>
        <v/>
      </c>
      <c r="B145" s="55" t="n"/>
      <c r="C145" s="57" t="n"/>
      <c r="D145" s="57" t="n"/>
      <c r="E145" s="57" t="n"/>
      <c r="F145" s="57" t="n"/>
      <c r="G145" s="67" t="n"/>
      <c r="H145" s="68" t="n"/>
      <c r="I145" s="61">
        <f>IF(C145="","",IF(H145&lt;&gt;"",INT(H145)+ROUND(MOD(H145,1)*100/60,2),SUMIFS(Registraties!$L$5:$L$3004,Registraties!$D$5:$D$3004,C145,Registraties!$A$5:$A$3004,B145)))</f>
        <v/>
      </c>
      <c r="J145" s="58">
        <f>IF(C145="","",IFERROR(IF(VLOOKUP(C145,Tarieven!$A$2:$F$200,2,0)="Beide","Per uur",VLOOKUP(C145,Tarieven!$A$2:$F$200,2,0)),"Nog bepalen"))</f>
        <v/>
      </c>
      <c r="K145" s="69">
        <f>IF(C145="","",IF(J145="Per uur",IFERROR(VLOOKUP(C145,Tarieven!$A$2:$F$200,3,0),""),IF(J145="Vaste prijs",IFERROR(VLOOKUP(C145,Tarieven!$A$2:$F$200,4,0),""),"")))</f>
        <v/>
      </c>
      <c r="L145" s="70">
        <f>IF(C145="","",IF(J145="Per uur",N(I145)*N(K145),IF(J145="Vaste prijs",N(K145),0)))</f>
        <v/>
      </c>
      <c r="M145" s="69">
        <f>IF(C145="","",IFERROR(IF(N(VLOOKUP(C145,Tarieven!$A$2:$F$200,5,0))=0,"",VLOOKUP(C145,Tarieven!$A$2:$F$200,5,0)),""))</f>
        <v/>
      </c>
      <c r="N145" s="69" t="n"/>
      <c r="O145" s="69" t="n"/>
      <c r="P145" s="70">
        <f>IF(C145="","",N(L145)+N(M145)+N(N145)+N(O145))</f>
        <v/>
      </c>
      <c r="Q145" s="58" t="n"/>
      <c r="R145" s="57" t="n"/>
      <c r="S145" s="57" t="n"/>
      <c r="T145" s="57" t="n"/>
      <c r="U145" s="62">
        <f>IF(C145="","",IF(COUNTIF(Tarieven!$A$2:$A$200,C145)=0,"Klant niet in Tarieven",IF(MOD(N(H145),1)*100&gt;59.4,"Tijd ongeldig: minuten boven 59",IF(J145="Nog bepalen","Prijstype nog bepalen",IF(AND(J145="Per uur",N(K145)=0),"Uurtarief ontbreekt",IF(AND(J145="Vaste prijs",N(K145)=0),"Vaste prijs ontbreekt",IF(AND(N(I145)=0,Q145&lt;&gt;"Niet doorgegaan / verplaatst",Q145&lt;&gt;"Geen factuur nodig"),"Geen uren",IF(AND(G145="NEE",Q145="Verstuurd"),"Verstuurd terwijl werk niet af",IF(IFERROR(VLOOKUP(C145,Tarieven!$A$2:$F$200,2,0),"")="Beide","Beide-klant: controleer prijstype","OK")))))))))</f>
        <v/>
      </c>
    </row>
    <row r="146" ht="15" customHeight="1" s="42">
      <c r="A146" s="56">
        <f>IF(B146="","",WEEKNUM(B146,21))</f>
        <v/>
      </c>
      <c r="B146" s="55" t="n"/>
      <c r="C146" s="57" t="n"/>
      <c r="D146" s="57" t="n"/>
      <c r="E146" s="57" t="n"/>
      <c r="F146" s="57" t="n"/>
      <c r="G146" s="67" t="n"/>
      <c r="H146" s="68" t="n"/>
      <c r="I146" s="61">
        <f>IF(C146="","",IF(H146&lt;&gt;"",INT(H146)+ROUND(MOD(H146,1)*100/60,2),SUMIFS(Registraties!$L$5:$L$3004,Registraties!$D$5:$D$3004,C146,Registraties!$A$5:$A$3004,B146)))</f>
        <v/>
      </c>
      <c r="J146" s="58">
        <f>IF(C146="","",IFERROR(IF(VLOOKUP(C146,Tarieven!$A$2:$F$200,2,0)="Beide","Per uur",VLOOKUP(C146,Tarieven!$A$2:$F$200,2,0)),"Nog bepalen"))</f>
        <v/>
      </c>
      <c r="K146" s="69">
        <f>IF(C146="","",IF(J146="Per uur",IFERROR(VLOOKUP(C146,Tarieven!$A$2:$F$200,3,0),""),IF(J146="Vaste prijs",IFERROR(VLOOKUP(C146,Tarieven!$A$2:$F$200,4,0),""),"")))</f>
        <v/>
      </c>
      <c r="L146" s="70">
        <f>IF(C146="","",IF(J146="Per uur",N(I146)*N(K146),IF(J146="Vaste prijs",N(K146),0)))</f>
        <v/>
      </c>
      <c r="M146" s="69">
        <f>IF(C146="","",IFERROR(IF(N(VLOOKUP(C146,Tarieven!$A$2:$F$200,5,0))=0,"",VLOOKUP(C146,Tarieven!$A$2:$F$200,5,0)),""))</f>
        <v/>
      </c>
      <c r="N146" s="69" t="n"/>
      <c r="O146" s="69" t="n"/>
      <c r="P146" s="70">
        <f>IF(C146="","",N(L146)+N(M146)+N(N146)+N(O146))</f>
        <v/>
      </c>
      <c r="Q146" s="58" t="n"/>
      <c r="R146" s="57" t="n"/>
      <c r="S146" s="57" t="n"/>
      <c r="T146" s="57" t="n"/>
      <c r="U146" s="62">
        <f>IF(C146="","",IF(COUNTIF(Tarieven!$A$2:$A$200,C146)=0,"Klant niet in Tarieven",IF(MOD(N(H146),1)*100&gt;59.4,"Tijd ongeldig: minuten boven 59",IF(J146="Nog bepalen","Prijstype nog bepalen",IF(AND(J146="Per uur",N(K146)=0),"Uurtarief ontbreekt",IF(AND(J146="Vaste prijs",N(K146)=0),"Vaste prijs ontbreekt",IF(AND(N(I146)=0,Q146&lt;&gt;"Niet doorgegaan / verplaatst",Q146&lt;&gt;"Geen factuur nodig"),"Geen uren",IF(AND(G146="NEE",Q146="Verstuurd"),"Verstuurd terwijl werk niet af",IF(IFERROR(VLOOKUP(C146,Tarieven!$A$2:$F$200,2,0),"")="Beide","Beide-klant: controleer prijstype","OK")))))))))</f>
        <v/>
      </c>
    </row>
    <row r="147" ht="15" customHeight="1" s="42">
      <c r="A147" s="56">
        <f>IF(B147="","",WEEKNUM(B147,21))</f>
        <v/>
      </c>
      <c r="B147" s="55" t="n"/>
      <c r="C147" s="57" t="n"/>
      <c r="D147" s="57" t="n"/>
      <c r="E147" s="57" t="n"/>
      <c r="F147" s="57" t="n"/>
      <c r="G147" s="67" t="n"/>
      <c r="H147" s="68" t="n"/>
      <c r="I147" s="61">
        <f>IF(C147="","",IF(H147&lt;&gt;"",INT(H147)+ROUND(MOD(H147,1)*100/60,2),SUMIFS(Registraties!$L$5:$L$3004,Registraties!$D$5:$D$3004,C147,Registraties!$A$5:$A$3004,B147)))</f>
        <v/>
      </c>
      <c r="J147" s="58">
        <f>IF(C147="","",IFERROR(IF(VLOOKUP(C147,Tarieven!$A$2:$F$200,2,0)="Beide","Per uur",VLOOKUP(C147,Tarieven!$A$2:$F$200,2,0)),"Nog bepalen"))</f>
        <v/>
      </c>
      <c r="K147" s="69">
        <f>IF(C147="","",IF(J147="Per uur",IFERROR(VLOOKUP(C147,Tarieven!$A$2:$F$200,3,0),""),IF(J147="Vaste prijs",IFERROR(VLOOKUP(C147,Tarieven!$A$2:$F$200,4,0),""),"")))</f>
        <v/>
      </c>
      <c r="L147" s="70">
        <f>IF(C147="","",IF(J147="Per uur",N(I147)*N(K147),IF(J147="Vaste prijs",N(K147),0)))</f>
        <v/>
      </c>
      <c r="M147" s="69">
        <f>IF(C147="","",IFERROR(IF(N(VLOOKUP(C147,Tarieven!$A$2:$F$200,5,0))=0,"",VLOOKUP(C147,Tarieven!$A$2:$F$200,5,0)),""))</f>
        <v/>
      </c>
      <c r="N147" s="69" t="n"/>
      <c r="O147" s="69" t="n"/>
      <c r="P147" s="70">
        <f>IF(C147="","",N(L147)+N(M147)+N(N147)+N(O147))</f>
        <v/>
      </c>
      <c r="Q147" s="58" t="n"/>
      <c r="R147" s="57" t="n"/>
      <c r="S147" s="57" t="n"/>
      <c r="T147" s="57" t="n"/>
      <c r="U147" s="62">
        <f>IF(C147="","",IF(COUNTIF(Tarieven!$A$2:$A$200,C147)=0,"Klant niet in Tarieven",IF(MOD(N(H147),1)*100&gt;59.4,"Tijd ongeldig: minuten boven 59",IF(J147="Nog bepalen","Prijstype nog bepalen",IF(AND(J147="Per uur",N(K147)=0),"Uurtarief ontbreekt",IF(AND(J147="Vaste prijs",N(K147)=0),"Vaste prijs ontbreekt",IF(AND(N(I147)=0,Q147&lt;&gt;"Niet doorgegaan / verplaatst",Q147&lt;&gt;"Geen factuur nodig"),"Geen uren",IF(AND(G147="NEE",Q147="Verstuurd"),"Verstuurd terwijl werk niet af",IF(IFERROR(VLOOKUP(C147,Tarieven!$A$2:$F$200,2,0),"")="Beide","Beide-klant: controleer prijstype","OK")))))))))</f>
        <v/>
      </c>
    </row>
    <row r="148" ht="15" customHeight="1" s="42">
      <c r="A148" s="56">
        <f>IF(B148="","",WEEKNUM(B148,21))</f>
        <v/>
      </c>
      <c r="B148" s="55" t="n"/>
      <c r="C148" s="57" t="n"/>
      <c r="D148" s="57" t="n"/>
      <c r="E148" s="57" t="n"/>
      <c r="F148" s="57" t="n"/>
      <c r="G148" s="67" t="n"/>
      <c r="H148" s="68" t="n"/>
      <c r="I148" s="61">
        <f>IF(C148="","",IF(H148&lt;&gt;"",INT(H148)+ROUND(MOD(H148,1)*100/60,2),SUMIFS(Registraties!$L$5:$L$3004,Registraties!$D$5:$D$3004,C148,Registraties!$A$5:$A$3004,B148)))</f>
        <v/>
      </c>
      <c r="J148" s="58">
        <f>IF(C148="","",IFERROR(IF(VLOOKUP(C148,Tarieven!$A$2:$F$200,2,0)="Beide","Per uur",VLOOKUP(C148,Tarieven!$A$2:$F$200,2,0)),"Nog bepalen"))</f>
        <v/>
      </c>
      <c r="K148" s="69">
        <f>IF(C148="","",IF(J148="Per uur",IFERROR(VLOOKUP(C148,Tarieven!$A$2:$F$200,3,0),""),IF(J148="Vaste prijs",IFERROR(VLOOKUP(C148,Tarieven!$A$2:$F$200,4,0),""),"")))</f>
        <v/>
      </c>
      <c r="L148" s="70">
        <f>IF(C148="","",IF(J148="Per uur",N(I148)*N(K148),IF(J148="Vaste prijs",N(K148),0)))</f>
        <v/>
      </c>
      <c r="M148" s="69">
        <f>IF(C148="","",IFERROR(IF(N(VLOOKUP(C148,Tarieven!$A$2:$F$200,5,0))=0,"",VLOOKUP(C148,Tarieven!$A$2:$F$200,5,0)),""))</f>
        <v/>
      </c>
      <c r="N148" s="69" t="n"/>
      <c r="O148" s="69" t="n"/>
      <c r="P148" s="70">
        <f>IF(C148="","",N(L148)+N(M148)+N(N148)+N(O148))</f>
        <v/>
      </c>
      <c r="Q148" s="58" t="n"/>
      <c r="R148" s="57" t="n"/>
      <c r="S148" s="57" t="n"/>
      <c r="T148" s="57" t="n"/>
      <c r="U148" s="62">
        <f>IF(C148="","",IF(COUNTIF(Tarieven!$A$2:$A$200,C148)=0,"Klant niet in Tarieven",IF(MOD(N(H148),1)*100&gt;59.4,"Tijd ongeldig: minuten boven 59",IF(J148="Nog bepalen","Prijstype nog bepalen",IF(AND(J148="Per uur",N(K148)=0),"Uurtarief ontbreekt",IF(AND(J148="Vaste prijs",N(K148)=0),"Vaste prijs ontbreekt",IF(AND(N(I148)=0,Q148&lt;&gt;"Niet doorgegaan / verplaatst",Q148&lt;&gt;"Geen factuur nodig"),"Geen uren",IF(AND(G148="NEE",Q148="Verstuurd"),"Verstuurd terwijl werk niet af",IF(IFERROR(VLOOKUP(C148,Tarieven!$A$2:$F$200,2,0),"")="Beide","Beide-klant: controleer prijstype","OK")))))))))</f>
        <v/>
      </c>
    </row>
    <row r="149" ht="15" customHeight="1" s="42">
      <c r="A149" s="56">
        <f>IF(B149="","",WEEKNUM(B149,21))</f>
        <v/>
      </c>
      <c r="B149" s="55" t="n"/>
      <c r="C149" s="57" t="n"/>
      <c r="D149" s="57" t="n"/>
      <c r="E149" s="57" t="n"/>
      <c r="F149" s="57" t="n"/>
      <c r="G149" s="67" t="n"/>
      <c r="H149" s="68" t="n"/>
      <c r="I149" s="61">
        <f>IF(C149="","",IF(H149&lt;&gt;"",INT(H149)+ROUND(MOD(H149,1)*100/60,2),SUMIFS(Registraties!$L$5:$L$3004,Registraties!$D$5:$D$3004,C149,Registraties!$A$5:$A$3004,B149)))</f>
        <v/>
      </c>
      <c r="J149" s="58">
        <f>IF(C149="","",IFERROR(IF(VLOOKUP(C149,Tarieven!$A$2:$F$200,2,0)="Beide","Per uur",VLOOKUP(C149,Tarieven!$A$2:$F$200,2,0)),"Nog bepalen"))</f>
        <v/>
      </c>
      <c r="K149" s="69">
        <f>IF(C149="","",IF(J149="Per uur",IFERROR(VLOOKUP(C149,Tarieven!$A$2:$F$200,3,0),""),IF(J149="Vaste prijs",IFERROR(VLOOKUP(C149,Tarieven!$A$2:$F$200,4,0),""),"")))</f>
        <v/>
      </c>
      <c r="L149" s="70">
        <f>IF(C149="","",IF(J149="Per uur",N(I149)*N(K149),IF(J149="Vaste prijs",N(K149),0)))</f>
        <v/>
      </c>
      <c r="M149" s="69">
        <f>IF(C149="","",IFERROR(IF(N(VLOOKUP(C149,Tarieven!$A$2:$F$200,5,0))=0,"",VLOOKUP(C149,Tarieven!$A$2:$F$200,5,0)),""))</f>
        <v/>
      </c>
      <c r="N149" s="69" t="n"/>
      <c r="O149" s="69" t="n"/>
      <c r="P149" s="70">
        <f>IF(C149="","",N(L149)+N(M149)+N(N149)+N(O149))</f>
        <v/>
      </c>
      <c r="Q149" s="58" t="n"/>
      <c r="R149" s="57" t="n"/>
      <c r="S149" s="57" t="n"/>
      <c r="T149" s="57" t="n"/>
      <c r="U149" s="62">
        <f>IF(C149="","",IF(COUNTIF(Tarieven!$A$2:$A$200,C149)=0,"Klant niet in Tarieven",IF(MOD(N(H149),1)*100&gt;59.4,"Tijd ongeldig: minuten boven 59",IF(J149="Nog bepalen","Prijstype nog bepalen",IF(AND(J149="Per uur",N(K149)=0),"Uurtarief ontbreekt",IF(AND(J149="Vaste prijs",N(K149)=0),"Vaste prijs ontbreekt",IF(AND(N(I149)=0,Q149&lt;&gt;"Niet doorgegaan / verplaatst",Q149&lt;&gt;"Geen factuur nodig"),"Geen uren",IF(AND(G149="NEE",Q149="Verstuurd"),"Verstuurd terwijl werk niet af",IF(IFERROR(VLOOKUP(C149,Tarieven!$A$2:$F$200,2,0),"")="Beide","Beide-klant: controleer prijstype","OK")))))))))</f>
        <v/>
      </c>
    </row>
    <row r="150" ht="15" customHeight="1" s="42">
      <c r="A150" s="56">
        <f>IF(B150="","",WEEKNUM(B150,21))</f>
        <v/>
      </c>
      <c r="B150" s="55" t="n"/>
      <c r="C150" s="57" t="n"/>
      <c r="D150" s="57" t="n"/>
      <c r="E150" s="57" t="n"/>
      <c r="F150" s="57" t="n"/>
      <c r="G150" s="67" t="n"/>
      <c r="H150" s="68" t="n"/>
      <c r="I150" s="61">
        <f>IF(C150="","",IF(H150&lt;&gt;"",INT(H150)+ROUND(MOD(H150,1)*100/60,2),SUMIFS(Registraties!$L$5:$L$3004,Registraties!$D$5:$D$3004,C150,Registraties!$A$5:$A$3004,B150)))</f>
        <v/>
      </c>
      <c r="J150" s="58">
        <f>IF(C150="","",IFERROR(IF(VLOOKUP(C150,Tarieven!$A$2:$F$200,2,0)="Beide","Per uur",VLOOKUP(C150,Tarieven!$A$2:$F$200,2,0)),"Nog bepalen"))</f>
        <v/>
      </c>
      <c r="K150" s="69">
        <f>IF(C150="","",IF(J150="Per uur",IFERROR(VLOOKUP(C150,Tarieven!$A$2:$F$200,3,0),""),IF(J150="Vaste prijs",IFERROR(VLOOKUP(C150,Tarieven!$A$2:$F$200,4,0),""),"")))</f>
        <v/>
      </c>
      <c r="L150" s="70">
        <f>IF(C150="","",IF(J150="Per uur",N(I150)*N(K150),IF(J150="Vaste prijs",N(K150),0)))</f>
        <v/>
      </c>
      <c r="M150" s="69">
        <f>IF(C150="","",IFERROR(IF(N(VLOOKUP(C150,Tarieven!$A$2:$F$200,5,0))=0,"",VLOOKUP(C150,Tarieven!$A$2:$F$200,5,0)),""))</f>
        <v/>
      </c>
      <c r="N150" s="69" t="n"/>
      <c r="O150" s="69" t="n"/>
      <c r="P150" s="70">
        <f>IF(C150="","",N(L150)+N(M150)+N(N150)+N(O150))</f>
        <v/>
      </c>
      <c r="Q150" s="58" t="n"/>
      <c r="R150" s="57" t="n"/>
      <c r="S150" s="57" t="n"/>
      <c r="T150" s="57" t="n"/>
      <c r="U150" s="62">
        <f>IF(C150="","",IF(COUNTIF(Tarieven!$A$2:$A$200,C150)=0,"Klant niet in Tarieven",IF(MOD(N(H150),1)*100&gt;59.4,"Tijd ongeldig: minuten boven 59",IF(J150="Nog bepalen","Prijstype nog bepalen",IF(AND(J150="Per uur",N(K150)=0),"Uurtarief ontbreekt",IF(AND(J150="Vaste prijs",N(K150)=0),"Vaste prijs ontbreekt",IF(AND(N(I150)=0,Q150&lt;&gt;"Niet doorgegaan / verplaatst",Q150&lt;&gt;"Geen factuur nodig"),"Geen uren",IF(AND(G150="NEE",Q150="Verstuurd"),"Verstuurd terwijl werk niet af",IF(IFERROR(VLOOKUP(C150,Tarieven!$A$2:$F$200,2,0),"")="Beide","Beide-klant: controleer prijstype","OK")))))))))</f>
        <v/>
      </c>
    </row>
    <row r="151" ht="15" customHeight="1" s="42">
      <c r="A151" s="56">
        <f>IF(B151="","",WEEKNUM(B151,21))</f>
        <v/>
      </c>
      <c r="B151" s="55" t="n"/>
      <c r="C151" s="57" t="n"/>
      <c r="D151" s="57" t="n"/>
      <c r="E151" s="57" t="n"/>
      <c r="F151" s="57" t="n"/>
      <c r="G151" s="67" t="n"/>
      <c r="H151" s="68" t="n"/>
      <c r="I151" s="61">
        <f>IF(C151="","",IF(H151&lt;&gt;"",INT(H151)+ROUND(MOD(H151,1)*100/60,2),SUMIFS(Registraties!$L$5:$L$3004,Registraties!$D$5:$D$3004,C151,Registraties!$A$5:$A$3004,B151)))</f>
        <v/>
      </c>
      <c r="J151" s="58">
        <f>IF(C151="","",IFERROR(IF(VLOOKUP(C151,Tarieven!$A$2:$F$200,2,0)="Beide","Per uur",VLOOKUP(C151,Tarieven!$A$2:$F$200,2,0)),"Nog bepalen"))</f>
        <v/>
      </c>
      <c r="K151" s="69">
        <f>IF(C151="","",IF(J151="Per uur",IFERROR(VLOOKUP(C151,Tarieven!$A$2:$F$200,3,0),""),IF(J151="Vaste prijs",IFERROR(VLOOKUP(C151,Tarieven!$A$2:$F$200,4,0),""),"")))</f>
        <v/>
      </c>
      <c r="L151" s="70">
        <f>IF(C151="","",IF(J151="Per uur",N(I151)*N(K151),IF(J151="Vaste prijs",N(K151),0)))</f>
        <v/>
      </c>
      <c r="M151" s="69">
        <f>IF(C151="","",IFERROR(IF(N(VLOOKUP(C151,Tarieven!$A$2:$F$200,5,0))=0,"",VLOOKUP(C151,Tarieven!$A$2:$F$200,5,0)),""))</f>
        <v/>
      </c>
      <c r="N151" s="69" t="n"/>
      <c r="O151" s="69" t="n"/>
      <c r="P151" s="70">
        <f>IF(C151="","",N(L151)+N(M151)+N(N151)+N(O151))</f>
        <v/>
      </c>
      <c r="Q151" s="58" t="n"/>
      <c r="R151" s="57" t="n"/>
      <c r="S151" s="57" t="n"/>
      <c r="T151" s="57" t="n"/>
      <c r="U151" s="62">
        <f>IF(C151="","",IF(COUNTIF(Tarieven!$A$2:$A$200,C151)=0,"Klant niet in Tarieven",IF(MOD(N(H151),1)*100&gt;59.4,"Tijd ongeldig: minuten boven 59",IF(J151="Nog bepalen","Prijstype nog bepalen",IF(AND(J151="Per uur",N(K151)=0),"Uurtarief ontbreekt",IF(AND(J151="Vaste prijs",N(K151)=0),"Vaste prijs ontbreekt",IF(AND(N(I151)=0,Q151&lt;&gt;"Niet doorgegaan / verplaatst",Q151&lt;&gt;"Geen factuur nodig"),"Geen uren",IF(AND(G151="NEE",Q151="Verstuurd"),"Verstuurd terwijl werk niet af",IF(IFERROR(VLOOKUP(C151,Tarieven!$A$2:$F$200,2,0),"")="Beide","Beide-klant: controleer prijstype","OK")))))))))</f>
        <v/>
      </c>
    </row>
    <row r="152" ht="15" customHeight="1" s="42">
      <c r="A152" s="56">
        <f>IF(B152="","",WEEKNUM(B152,21))</f>
        <v/>
      </c>
      <c r="B152" s="55" t="n"/>
      <c r="C152" s="57" t="n"/>
      <c r="D152" s="57" t="n"/>
      <c r="E152" s="57" t="n"/>
      <c r="F152" s="57" t="n"/>
      <c r="G152" s="67" t="n"/>
      <c r="H152" s="68" t="n"/>
      <c r="I152" s="61">
        <f>IF(C152="","",IF(H152&lt;&gt;"",INT(H152)+ROUND(MOD(H152,1)*100/60,2),SUMIFS(Registraties!$L$5:$L$3004,Registraties!$D$5:$D$3004,C152,Registraties!$A$5:$A$3004,B152)))</f>
        <v/>
      </c>
      <c r="J152" s="58">
        <f>IF(C152="","",IFERROR(IF(VLOOKUP(C152,Tarieven!$A$2:$F$200,2,0)="Beide","Per uur",VLOOKUP(C152,Tarieven!$A$2:$F$200,2,0)),"Nog bepalen"))</f>
        <v/>
      </c>
      <c r="K152" s="69">
        <f>IF(C152="","",IF(J152="Per uur",IFERROR(VLOOKUP(C152,Tarieven!$A$2:$F$200,3,0),""),IF(J152="Vaste prijs",IFERROR(VLOOKUP(C152,Tarieven!$A$2:$F$200,4,0),""),"")))</f>
        <v/>
      </c>
      <c r="L152" s="70">
        <f>IF(C152="","",IF(J152="Per uur",N(I152)*N(K152),IF(J152="Vaste prijs",N(K152),0)))</f>
        <v/>
      </c>
      <c r="M152" s="69">
        <f>IF(C152="","",IFERROR(IF(N(VLOOKUP(C152,Tarieven!$A$2:$F$200,5,0))=0,"",VLOOKUP(C152,Tarieven!$A$2:$F$200,5,0)),""))</f>
        <v/>
      </c>
      <c r="N152" s="69" t="n"/>
      <c r="O152" s="69" t="n"/>
      <c r="P152" s="70">
        <f>IF(C152="","",N(L152)+N(M152)+N(N152)+N(O152))</f>
        <v/>
      </c>
      <c r="Q152" s="58" t="n"/>
      <c r="R152" s="57" t="n"/>
      <c r="S152" s="57" t="n"/>
      <c r="T152" s="57" t="n"/>
      <c r="U152" s="62">
        <f>IF(C152="","",IF(COUNTIF(Tarieven!$A$2:$A$200,C152)=0,"Klant niet in Tarieven",IF(MOD(N(H152),1)*100&gt;59.4,"Tijd ongeldig: minuten boven 59",IF(J152="Nog bepalen","Prijstype nog bepalen",IF(AND(J152="Per uur",N(K152)=0),"Uurtarief ontbreekt",IF(AND(J152="Vaste prijs",N(K152)=0),"Vaste prijs ontbreekt",IF(AND(N(I152)=0,Q152&lt;&gt;"Niet doorgegaan / verplaatst",Q152&lt;&gt;"Geen factuur nodig"),"Geen uren",IF(AND(G152="NEE",Q152="Verstuurd"),"Verstuurd terwijl werk niet af",IF(IFERROR(VLOOKUP(C152,Tarieven!$A$2:$F$200,2,0),"")="Beide","Beide-klant: controleer prijstype","OK")))))))))</f>
        <v/>
      </c>
    </row>
    <row r="153" ht="15" customHeight="1" s="42">
      <c r="A153" s="56">
        <f>IF(B153="","",WEEKNUM(B153,21))</f>
        <v/>
      </c>
      <c r="B153" s="55" t="n"/>
      <c r="C153" s="57" t="n"/>
      <c r="D153" s="57" t="n"/>
      <c r="E153" s="57" t="n"/>
      <c r="F153" s="57" t="n"/>
      <c r="G153" s="67" t="n"/>
      <c r="H153" s="68" t="n"/>
      <c r="I153" s="61">
        <f>IF(C153="","",IF(H153&lt;&gt;"",INT(H153)+ROUND(MOD(H153,1)*100/60,2),SUMIFS(Registraties!$L$5:$L$3004,Registraties!$D$5:$D$3004,C153,Registraties!$A$5:$A$3004,B153)))</f>
        <v/>
      </c>
      <c r="J153" s="58">
        <f>IF(C153="","",IFERROR(IF(VLOOKUP(C153,Tarieven!$A$2:$F$200,2,0)="Beide","Per uur",VLOOKUP(C153,Tarieven!$A$2:$F$200,2,0)),"Nog bepalen"))</f>
        <v/>
      </c>
      <c r="K153" s="69">
        <f>IF(C153="","",IF(J153="Per uur",IFERROR(VLOOKUP(C153,Tarieven!$A$2:$F$200,3,0),""),IF(J153="Vaste prijs",IFERROR(VLOOKUP(C153,Tarieven!$A$2:$F$200,4,0),""),"")))</f>
        <v/>
      </c>
      <c r="L153" s="70">
        <f>IF(C153="","",IF(J153="Per uur",N(I153)*N(K153),IF(J153="Vaste prijs",N(K153),0)))</f>
        <v/>
      </c>
      <c r="M153" s="69">
        <f>IF(C153="","",IFERROR(IF(N(VLOOKUP(C153,Tarieven!$A$2:$F$200,5,0))=0,"",VLOOKUP(C153,Tarieven!$A$2:$F$200,5,0)),""))</f>
        <v/>
      </c>
      <c r="N153" s="69" t="n"/>
      <c r="O153" s="69" t="n"/>
      <c r="P153" s="70">
        <f>IF(C153="","",N(L153)+N(M153)+N(N153)+N(O153))</f>
        <v/>
      </c>
      <c r="Q153" s="58" t="n"/>
      <c r="R153" s="57" t="n"/>
      <c r="S153" s="57" t="n"/>
      <c r="T153" s="57" t="n"/>
      <c r="U153" s="62">
        <f>IF(C153="","",IF(COUNTIF(Tarieven!$A$2:$A$200,C153)=0,"Klant niet in Tarieven",IF(MOD(N(H153),1)*100&gt;59.4,"Tijd ongeldig: minuten boven 59",IF(J153="Nog bepalen","Prijstype nog bepalen",IF(AND(J153="Per uur",N(K153)=0),"Uurtarief ontbreekt",IF(AND(J153="Vaste prijs",N(K153)=0),"Vaste prijs ontbreekt",IF(AND(N(I153)=0,Q153&lt;&gt;"Niet doorgegaan / verplaatst",Q153&lt;&gt;"Geen factuur nodig"),"Geen uren",IF(AND(G153="NEE",Q153="Verstuurd"),"Verstuurd terwijl werk niet af",IF(IFERROR(VLOOKUP(C153,Tarieven!$A$2:$F$200,2,0),"")="Beide","Beide-klant: controleer prijstype","OK")))))))))</f>
        <v/>
      </c>
    </row>
    <row r="154" ht="15" customHeight="1" s="42">
      <c r="A154" s="56">
        <f>IF(B154="","",WEEKNUM(B154,21))</f>
        <v/>
      </c>
      <c r="B154" s="55" t="n"/>
      <c r="C154" s="57" t="n"/>
      <c r="D154" s="57" t="n"/>
      <c r="E154" s="57" t="n"/>
      <c r="F154" s="57" t="n"/>
      <c r="G154" s="67" t="n"/>
      <c r="H154" s="68" t="n"/>
      <c r="I154" s="61">
        <f>IF(C154="","",IF(H154&lt;&gt;"",INT(H154)+ROUND(MOD(H154,1)*100/60,2),SUMIFS(Registraties!$L$5:$L$3004,Registraties!$D$5:$D$3004,C154,Registraties!$A$5:$A$3004,B154)))</f>
        <v/>
      </c>
      <c r="J154" s="58">
        <f>IF(C154="","",IFERROR(IF(VLOOKUP(C154,Tarieven!$A$2:$F$200,2,0)="Beide","Per uur",VLOOKUP(C154,Tarieven!$A$2:$F$200,2,0)),"Nog bepalen"))</f>
        <v/>
      </c>
      <c r="K154" s="69">
        <f>IF(C154="","",IF(J154="Per uur",IFERROR(VLOOKUP(C154,Tarieven!$A$2:$F$200,3,0),""),IF(J154="Vaste prijs",IFERROR(VLOOKUP(C154,Tarieven!$A$2:$F$200,4,0),""),"")))</f>
        <v/>
      </c>
      <c r="L154" s="70">
        <f>IF(C154="","",IF(J154="Per uur",N(I154)*N(K154),IF(J154="Vaste prijs",N(K154),0)))</f>
        <v/>
      </c>
      <c r="M154" s="69">
        <f>IF(C154="","",IFERROR(IF(N(VLOOKUP(C154,Tarieven!$A$2:$F$200,5,0))=0,"",VLOOKUP(C154,Tarieven!$A$2:$F$200,5,0)),""))</f>
        <v/>
      </c>
      <c r="N154" s="69" t="n"/>
      <c r="O154" s="69" t="n"/>
      <c r="P154" s="70">
        <f>IF(C154="","",N(L154)+N(M154)+N(N154)+N(O154))</f>
        <v/>
      </c>
      <c r="Q154" s="58" t="n"/>
      <c r="R154" s="57" t="n"/>
      <c r="S154" s="57" t="n"/>
      <c r="T154" s="57" t="n"/>
      <c r="U154" s="62">
        <f>IF(C154="","",IF(COUNTIF(Tarieven!$A$2:$A$200,C154)=0,"Klant niet in Tarieven",IF(MOD(N(H154),1)*100&gt;59.4,"Tijd ongeldig: minuten boven 59",IF(J154="Nog bepalen","Prijstype nog bepalen",IF(AND(J154="Per uur",N(K154)=0),"Uurtarief ontbreekt",IF(AND(J154="Vaste prijs",N(K154)=0),"Vaste prijs ontbreekt",IF(AND(N(I154)=0,Q154&lt;&gt;"Niet doorgegaan / verplaatst",Q154&lt;&gt;"Geen factuur nodig"),"Geen uren",IF(AND(G154="NEE",Q154="Verstuurd"),"Verstuurd terwijl werk niet af",IF(IFERROR(VLOOKUP(C154,Tarieven!$A$2:$F$200,2,0),"")="Beide","Beide-klant: controleer prijstype","OK")))))))))</f>
        <v/>
      </c>
    </row>
    <row r="155" ht="15" customHeight="1" s="42">
      <c r="A155" s="56">
        <f>IF(B155="","",WEEKNUM(B155,21))</f>
        <v/>
      </c>
      <c r="B155" s="55" t="n"/>
      <c r="C155" s="57" t="n"/>
      <c r="D155" s="57" t="n"/>
      <c r="E155" s="57" t="n"/>
      <c r="F155" s="57" t="n"/>
      <c r="G155" s="67" t="n"/>
      <c r="H155" s="68" t="n"/>
      <c r="I155" s="61">
        <f>IF(C155="","",IF(H155&lt;&gt;"",INT(H155)+ROUND(MOD(H155,1)*100/60,2),SUMIFS(Registraties!$L$5:$L$3004,Registraties!$D$5:$D$3004,C155,Registraties!$A$5:$A$3004,B155)))</f>
        <v/>
      </c>
      <c r="J155" s="58">
        <f>IF(C155="","",IFERROR(IF(VLOOKUP(C155,Tarieven!$A$2:$F$200,2,0)="Beide","Per uur",VLOOKUP(C155,Tarieven!$A$2:$F$200,2,0)),"Nog bepalen"))</f>
        <v/>
      </c>
      <c r="K155" s="69">
        <f>IF(C155="","",IF(J155="Per uur",IFERROR(VLOOKUP(C155,Tarieven!$A$2:$F$200,3,0),""),IF(J155="Vaste prijs",IFERROR(VLOOKUP(C155,Tarieven!$A$2:$F$200,4,0),""),"")))</f>
        <v/>
      </c>
      <c r="L155" s="70">
        <f>IF(C155="","",IF(J155="Per uur",N(I155)*N(K155),IF(J155="Vaste prijs",N(K155),0)))</f>
        <v/>
      </c>
      <c r="M155" s="69">
        <f>IF(C155="","",IFERROR(IF(N(VLOOKUP(C155,Tarieven!$A$2:$F$200,5,0))=0,"",VLOOKUP(C155,Tarieven!$A$2:$F$200,5,0)),""))</f>
        <v/>
      </c>
      <c r="N155" s="69" t="n"/>
      <c r="O155" s="69" t="n"/>
      <c r="P155" s="70">
        <f>IF(C155="","",N(L155)+N(M155)+N(N155)+N(O155))</f>
        <v/>
      </c>
      <c r="Q155" s="58" t="n"/>
      <c r="R155" s="57" t="n"/>
      <c r="S155" s="57" t="n"/>
      <c r="T155" s="57" t="n"/>
      <c r="U155" s="62">
        <f>IF(C155="","",IF(COUNTIF(Tarieven!$A$2:$A$200,C155)=0,"Klant niet in Tarieven",IF(MOD(N(H155),1)*100&gt;59.4,"Tijd ongeldig: minuten boven 59",IF(J155="Nog bepalen","Prijstype nog bepalen",IF(AND(J155="Per uur",N(K155)=0),"Uurtarief ontbreekt",IF(AND(J155="Vaste prijs",N(K155)=0),"Vaste prijs ontbreekt",IF(AND(N(I155)=0,Q155&lt;&gt;"Niet doorgegaan / verplaatst",Q155&lt;&gt;"Geen factuur nodig"),"Geen uren",IF(AND(G155="NEE",Q155="Verstuurd"),"Verstuurd terwijl werk niet af",IF(IFERROR(VLOOKUP(C155,Tarieven!$A$2:$F$200,2,0),"")="Beide","Beide-klant: controleer prijstype","OK")))))))))</f>
        <v/>
      </c>
    </row>
    <row r="156" ht="15" customHeight="1" s="42">
      <c r="A156" s="56">
        <f>IF(B156="","",WEEKNUM(B156,21))</f>
        <v/>
      </c>
      <c r="B156" s="55" t="n"/>
      <c r="C156" s="57" t="n"/>
      <c r="D156" s="57" t="n"/>
      <c r="E156" s="57" t="n"/>
      <c r="F156" s="57" t="n"/>
      <c r="G156" s="67" t="n"/>
      <c r="H156" s="68" t="n"/>
      <c r="I156" s="61">
        <f>IF(C156="","",IF(H156&lt;&gt;"",INT(H156)+ROUND(MOD(H156,1)*100/60,2),SUMIFS(Registraties!$L$5:$L$3004,Registraties!$D$5:$D$3004,C156,Registraties!$A$5:$A$3004,B156)))</f>
        <v/>
      </c>
      <c r="J156" s="58">
        <f>IF(C156="","",IFERROR(IF(VLOOKUP(C156,Tarieven!$A$2:$F$200,2,0)="Beide","Per uur",VLOOKUP(C156,Tarieven!$A$2:$F$200,2,0)),"Nog bepalen"))</f>
        <v/>
      </c>
      <c r="K156" s="69">
        <f>IF(C156="","",IF(J156="Per uur",IFERROR(VLOOKUP(C156,Tarieven!$A$2:$F$200,3,0),""),IF(J156="Vaste prijs",IFERROR(VLOOKUP(C156,Tarieven!$A$2:$F$200,4,0),""),"")))</f>
        <v/>
      </c>
      <c r="L156" s="70">
        <f>IF(C156="","",IF(J156="Per uur",N(I156)*N(K156),IF(J156="Vaste prijs",N(K156),0)))</f>
        <v/>
      </c>
      <c r="M156" s="69">
        <f>IF(C156="","",IFERROR(IF(N(VLOOKUP(C156,Tarieven!$A$2:$F$200,5,0))=0,"",VLOOKUP(C156,Tarieven!$A$2:$F$200,5,0)),""))</f>
        <v/>
      </c>
      <c r="N156" s="69" t="n"/>
      <c r="O156" s="69" t="n"/>
      <c r="P156" s="70">
        <f>IF(C156="","",N(L156)+N(M156)+N(N156)+N(O156))</f>
        <v/>
      </c>
      <c r="Q156" s="58" t="n"/>
      <c r="R156" s="57" t="n"/>
      <c r="S156" s="57" t="n"/>
      <c r="T156" s="57" t="n"/>
      <c r="U156" s="62">
        <f>IF(C156="","",IF(COUNTIF(Tarieven!$A$2:$A$200,C156)=0,"Klant niet in Tarieven",IF(MOD(N(H156),1)*100&gt;59.4,"Tijd ongeldig: minuten boven 59",IF(J156="Nog bepalen","Prijstype nog bepalen",IF(AND(J156="Per uur",N(K156)=0),"Uurtarief ontbreekt",IF(AND(J156="Vaste prijs",N(K156)=0),"Vaste prijs ontbreekt",IF(AND(N(I156)=0,Q156&lt;&gt;"Niet doorgegaan / verplaatst",Q156&lt;&gt;"Geen factuur nodig"),"Geen uren",IF(AND(G156="NEE",Q156="Verstuurd"),"Verstuurd terwijl werk niet af",IF(IFERROR(VLOOKUP(C156,Tarieven!$A$2:$F$200,2,0),"")="Beide","Beide-klant: controleer prijstype","OK")))))))))</f>
        <v/>
      </c>
    </row>
    <row r="157" ht="15" customHeight="1" s="42">
      <c r="A157" s="56">
        <f>IF(B157="","",WEEKNUM(B157,21))</f>
        <v/>
      </c>
      <c r="B157" s="55" t="n"/>
      <c r="C157" s="57" t="n"/>
      <c r="D157" s="57" t="n"/>
      <c r="E157" s="57" t="n"/>
      <c r="F157" s="57" t="n"/>
      <c r="G157" s="67" t="n"/>
      <c r="H157" s="68" t="n"/>
      <c r="I157" s="61">
        <f>IF(C157="","",IF(H157&lt;&gt;"",INT(H157)+ROUND(MOD(H157,1)*100/60,2),SUMIFS(Registraties!$L$5:$L$3004,Registraties!$D$5:$D$3004,C157,Registraties!$A$5:$A$3004,B157)))</f>
        <v/>
      </c>
      <c r="J157" s="58">
        <f>IF(C157="","",IFERROR(IF(VLOOKUP(C157,Tarieven!$A$2:$F$200,2,0)="Beide","Per uur",VLOOKUP(C157,Tarieven!$A$2:$F$200,2,0)),"Nog bepalen"))</f>
        <v/>
      </c>
      <c r="K157" s="69">
        <f>IF(C157="","",IF(J157="Per uur",IFERROR(VLOOKUP(C157,Tarieven!$A$2:$F$200,3,0),""),IF(J157="Vaste prijs",IFERROR(VLOOKUP(C157,Tarieven!$A$2:$F$200,4,0),""),"")))</f>
        <v/>
      </c>
      <c r="L157" s="70">
        <f>IF(C157="","",IF(J157="Per uur",N(I157)*N(K157),IF(J157="Vaste prijs",N(K157),0)))</f>
        <v/>
      </c>
      <c r="M157" s="69">
        <f>IF(C157="","",IFERROR(IF(N(VLOOKUP(C157,Tarieven!$A$2:$F$200,5,0))=0,"",VLOOKUP(C157,Tarieven!$A$2:$F$200,5,0)),""))</f>
        <v/>
      </c>
      <c r="N157" s="69" t="n"/>
      <c r="O157" s="69" t="n"/>
      <c r="P157" s="70">
        <f>IF(C157="","",N(L157)+N(M157)+N(N157)+N(O157))</f>
        <v/>
      </c>
      <c r="Q157" s="58" t="n"/>
      <c r="R157" s="57" t="n"/>
      <c r="S157" s="57" t="n"/>
      <c r="T157" s="57" t="n"/>
      <c r="U157" s="62">
        <f>IF(C157="","",IF(COUNTIF(Tarieven!$A$2:$A$200,C157)=0,"Klant niet in Tarieven",IF(MOD(N(H157),1)*100&gt;59.4,"Tijd ongeldig: minuten boven 59",IF(J157="Nog bepalen","Prijstype nog bepalen",IF(AND(J157="Per uur",N(K157)=0),"Uurtarief ontbreekt",IF(AND(J157="Vaste prijs",N(K157)=0),"Vaste prijs ontbreekt",IF(AND(N(I157)=0,Q157&lt;&gt;"Niet doorgegaan / verplaatst",Q157&lt;&gt;"Geen factuur nodig"),"Geen uren",IF(AND(G157="NEE",Q157="Verstuurd"),"Verstuurd terwijl werk niet af",IF(IFERROR(VLOOKUP(C157,Tarieven!$A$2:$F$200,2,0),"")="Beide","Beide-klant: controleer prijstype","OK")))))))))</f>
        <v/>
      </c>
    </row>
    <row r="158" ht="15" customHeight="1" s="42">
      <c r="A158" s="56">
        <f>IF(B158="","",WEEKNUM(B158,21))</f>
        <v/>
      </c>
      <c r="B158" s="55" t="n"/>
      <c r="C158" s="57" t="n"/>
      <c r="D158" s="57" t="n"/>
      <c r="E158" s="57" t="n"/>
      <c r="F158" s="57" t="n"/>
      <c r="G158" s="67" t="n"/>
      <c r="H158" s="68" t="n"/>
      <c r="I158" s="61">
        <f>IF(C158="","",IF(H158&lt;&gt;"",INT(H158)+ROUND(MOD(H158,1)*100/60,2),SUMIFS(Registraties!$L$5:$L$3004,Registraties!$D$5:$D$3004,C158,Registraties!$A$5:$A$3004,B158)))</f>
        <v/>
      </c>
      <c r="J158" s="58">
        <f>IF(C158="","",IFERROR(IF(VLOOKUP(C158,Tarieven!$A$2:$F$200,2,0)="Beide","Per uur",VLOOKUP(C158,Tarieven!$A$2:$F$200,2,0)),"Nog bepalen"))</f>
        <v/>
      </c>
      <c r="K158" s="69">
        <f>IF(C158="","",IF(J158="Per uur",IFERROR(VLOOKUP(C158,Tarieven!$A$2:$F$200,3,0),""),IF(J158="Vaste prijs",IFERROR(VLOOKUP(C158,Tarieven!$A$2:$F$200,4,0),""),"")))</f>
        <v/>
      </c>
      <c r="L158" s="70">
        <f>IF(C158="","",IF(J158="Per uur",N(I158)*N(K158),IF(J158="Vaste prijs",N(K158),0)))</f>
        <v/>
      </c>
      <c r="M158" s="69">
        <f>IF(C158="","",IFERROR(IF(N(VLOOKUP(C158,Tarieven!$A$2:$F$200,5,0))=0,"",VLOOKUP(C158,Tarieven!$A$2:$F$200,5,0)),""))</f>
        <v/>
      </c>
      <c r="N158" s="69" t="n"/>
      <c r="O158" s="69" t="n"/>
      <c r="P158" s="70">
        <f>IF(C158="","",N(L158)+N(M158)+N(N158)+N(O158))</f>
        <v/>
      </c>
      <c r="Q158" s="58" t="n"/>
      <c r="R158" s="57" t="n"/>
      <c r="S158" s="57" t="n"/>
      <c r="T158" s="57" t="n"/>
      <c r="U158" s="62">
        <f>IF(C158="","",IF(COUNTIF(Tarieven!$A$2:$A$200,C158)=0,"Klant niet in Tarieven",IF(MOD(N(H158),1)*100&gt;59.4,"Tijd ongeldig: minuten boven 59",IF(J158="Nog bepalen","Prijstype nog bepalen",IF(AND(J158="Per uur",N(K158)=0),"Uurtarief ontbreekt",IF(AND(J158="Vaste prijs",N(K158)=0),"Vaste prijs ontbreekt",IF(AND(N(I158)=0,Q158&lt;&gt;"Niet doorgegaan / verplaatst",Q158&lt;&gt;"Geen factuur nodig"),"Geen uren",IF(AND(G158="NEE",Q158="Verstuurd"),"Verstuurd terwijl werk niet af",IF(IFERROR(VLOOKUP(C158,Tarieven!$A$2:$F$200,2,0),"")="Beide","Beide-klant: controleer prijstype","OK")))))))))</f>
        <v/>
      </c>
    </row>
    <row r="159" ht="15" customHeight="1" s="42">
      <c r="A159" s="56">
        <f>IF(B159="","",WEEKNUM(B159,21))</f>
        <v/>
      </c>
      <c r="B159" s="55" t="n"/>
      <c r="C159" s="57" t="n"/>
      <c r="D159" s="57" t="n"/>
      <c r="E159" s="57" t="n"/>
      <c r="F159" s="57" t="n"/>
      <c r="G159" s="67" t="n"/>
      <c r="H159" s="68" t="n"/>
      <c r="I159" s="61">
        <f>IF(C159="","",IF(H159&lt;&gt;"",INT(H159)+ROUND(MOD(H159,1)*100/60,2),SUMIFS(Registraties!$L$5:$L$3004,Registraties!$D$5:$D$3004,C159,Registraties!$A$5:$A$3004,B159)))</f>
        <v/>
      </c>
      <c r="J159" s="58">
        <f>IF(C159="","",IFERROR(IF(VLOOKUP(C159,Tarieven!$A$2:$F$200,2,0)="Beide","Per uur",VLOOKUP(C159,Tarieven!$A$2:$F$200,2,0)),"Nog bepalen"))</f>
        <v/>
      </c>
      <c r="K159" s="69">
        <f>IF(C159="","",IF(J159="Per uur",IFERROR(VLOOKUP(C159,Tarieven!$A$2:$F$200,3,0),""),IF(J159="Vaste prijs",IFERROR(VLOOKUP(C159,Tarieven!$A$2:$F$200,4,0),""),"")))</f>
        <v/>
      </c>
      <c r="L159" s="70">
        <f>IF(C159="","",IF(J159="Per uur",N(I159)*N(K159),IF(J159="Vaste prijs",N(K159),0)))</f>
        <v/>
      </c>
      <c r="M159" s="69">
        <f>IF(C159="","",IFERROR(IF(N(VLOOKUP(C159,Tarieven!$A$2:$F$200,5,0))=0,"",VLOOKUP(C159,Tarieven!$A$2:$F$200,5,0)),""))</f>
        <v/>
      </c>
      <c r="N159" s="69" t="n"/>
      <c r="O159" s="69" t="n"/>
      <c r="P159" s="70">
        <f>IF(C159="","",N(L159)+N(M159)+N(N159)+N(O159))</f>
        <v/>
      </c>
      <c r="Q159" s="58" t="n"/>
      <c r="R159" s="57" t="n"/>
      <c r="S159" s="57" t="n"/>
      <c r="T159" s="57" t="n"/>
      <c r="U159" s="62">
        <f>IF(C159="","",IF(COUNTIF(Tarieven!$A$2:$A$200,C159)=0,"Klant niet in Tarieven",IF(MOD(N(H159),1)*100&gt;59.4,"Tijd ongeldig: minuten boven 59",IF(J159="Nog bepalen","Prijstype nog bepalen",IF(AND(J159="Per uur",N(K159)=0),"Uurtarief ontbreekt",IF(AND(J159="Vaste prijs",N(K159)=0),"Vaste prijs ontbreekt",IF(AND(N(I159)=0,Q159&lt;&gt;"Niet doorgegaan / verplaatst",Q159&lt;&gt;"Geen factuur nodig"),"Geen uren",IF(AND(G159="NEE",Q159="Verstuurd"),"Verstuurd terwijl werk niet af",IF(IFERROR(VLOOKUP(C159,Tarieven!$A$2:$F$200,2,0),"")="Beide","Beide-klant: controleer prijstype","OK")))))))))</f>
        <v/>
      </c>
    </row>
    <row r="160" ht="15" customHeight="1" s="42">
      <c r="A160" s="56">
        <f>IF(B160="","",WEEKNUM(B160,21))</f>
        <v/>
      </c>
      <c r="B160" s="55" t="n"/>
      <c r="C160" s="57" t="n"/>
      <c r="D160" s="57" t="n"/>
      <c r="E160" s="57" t="n"/>
      <c r="F160" s="57" t="n"/>
      <c r="G160" s="67" t="n"/>
      <c r="H160" s="68" t="n"/>
      <c r="I160" s="61">
        <f>IF(C160="","",IF(H160&lt;&gt;"",INT(H160)+ROUND(MOD(H160,1)*100/60,2),SUMIFS(Registraties!$L$5:$L$3004,Registraties!$D$5:$D$3004,C160,Registraties!$A$5:$A$3004,B160)))</f>
        <v/>
      </c>
      <c r="J160" s="58">
        <f>IF(C160="","",IFERROR(IF(VLOOKUP(C160,Tarieven!$A$2:$F$200,2,0)="Beide","Per uur",VLOOKUP(C160,Tarieven!$A$2:$F$200,2,0)),"Nog bepalen"))</f>
        <v/>
      </c>
      <c r="K160" s="69">
        <f>IF(C160="","",IF(J160="Per uur",IFERROR(VLOOKUP(C160,Tarieven!$A$2:$F$200,3,0),""),IF(J160="Vaste prijs",IFERROR(VLOOKUP(C160,Tarieven!$A$2:$F$200,4,0),""),"")))</f>
        <v/>
      </c>
      <c r="L160" s="70">
        <f>IF(C160="","",IF(J160="Per uur",N(I160)*N(K160),IF(J160="Vaste prijs",N(K160),0)))</f>
        <v/>
      </c>
      <c r="M160" s="69">
        <f>IF(C160="","",IFERROR(IF(N(VLOOKUP(C160,Tarieven!$A$2:$F$200,5,0))=0,"",VLOOKUP(C160,Tarieven!$A$2:$F$200,5,0)),""))</f>
        <v/>
      </c>
      <c r="N160" s="69" t="n"/>
      <c r="O160" s="69" t="n"/>
      <c r="P160" s="70">
        <f>IF(C160="","",N(L160)+N(M160)+N(N160)+N(O160))</f>
        <v/>
      </c>
      <c r="Q160" s="58" t="n"/>
      <c r="R160" s="57" t="n"/>
      <c r="S160" s="57" t="n"/>
      <c r="T160" s="57" t="n"/>
      <c r="U160" s="62">
        <f>IF(C160="","",IF(COUNTIF(Tarieven!$A$2:$A$200,C160)=0,"Klant niet in Tarieven",IF(MOD(N(H160),1)*100&gt;59.4,"Tijd ongeldig: minuten boven 59",IF(J160="Nog bepalen","Prijstype nog bepalen",IF(AND(J160="Per uur",N(K160)=0),"Uurtarief ontbreekt",IF(AND(J160="Vaste prijs",N(K160)=0),"Vaste prijs ontbreekt",IF(AND(N(I160)=0,Q160&lt;&gt;"Niet doorgegaan / verplaatst",Q160&lt;&gt;"Geen factuur nodig"),"Geen uren",IF(AND(G160="NEE",Q160="Verstuurd"),"Verstuurd terwijl werk niet af",IF(IFERROR(VLOOKUP(C160,Tarieven!$A$2:$F$200,2,0),"")="Beide","Beide-klant: controleer prijstype","OK")))))))))</f>
        <v/>
      </c>
    </row>
    <row r="161" ht="15" customHeight="1" s="42">
      <c r="A161" s="56">
        <f>IF(B161="","",WEEKNUM(B161,21))</f>
        <v/>
      </c>
      <c r="B161" s="55" t="n"/>
      <c r="C161" s="57" t="n"/>
      <c r="D161" s="57" t="n"/>
      <c r="E161" s="57" t="n"/>
      <c r="F161" s="57" t="n"/>
      <c r="G161" s="67" t="n"/>
      <c r="H161" s="68" t="n"/>
      <c r="I161" s="61">
        <f>IF(C161="","",IF(H161&lt;&gt;"",INT(H161)+ROUND(MOD(H161,1)*100/60,2),SUMIFS(Registraties!$L$5:$L$3004,Registraties!$D$5:$D$3004,C161,Registraties!$A$5:$A$3004,B161)))</f>
        <v/>
      </c>
      <c r="J161" s="58">
        <f>IF(C161="","",IFERROR(IF(VLOOKUP(C161,Tarieven!$A$2:$F$200,2,0)="Beide","Per uur",VLOOKUP(C161,Tarieven!$A$2:$F$200,2,0)),"Nog bepalen"))</f>
        <v/>
      </c>
      <c r="K161" s="69">
        <f>IF(C161="","",IF(J161="Per uur",IFERROR(VLOOKUP(C161,Tarieven!$A$2:$F$200,3,0),""),IF(J161="Vaste prijs",IFERROR(VLOOKUP(C161,Tarieven!$A$2:$F$200,4,0),""),"")))</f>
        <v/>
      </c>
      <c r="L161" s="70">
        <f>IF(C161="","",IF(J161="Per uur",N(I161)*N(K161),IF(J161="Vaste prijs",N(K161),0)))</f>
        <v/>
      </c>
      <c r="M161" s="69">
        <f>IF(C161="","",IFERROR(IF(N(VLOOKUP(C161,Tarieven!$A$2:$F$200,5,0))=0,"",VLOOKUP(C161,Tarieven!$A$2:$F$200,5,0)),""))</f>
        <v/>
      </c>
      <c r="N161" s="69" t="n"/>
      <c r="O161" s="69" t="n"/>
      <c r="P161" s="70">
        <f>IF(C161="","",N(L161)+N(M161)+N(N161)+N(O161))</f>
        <v/>
      </c>
      <c r="Q161" s="58" t="n"/>
      <c r="R161" s="57" t="n"/>
      <c r="S161" s="57" t="n"/>
      <c r="T161" s="57" t="n"/>
      <c r="U161" s="62">
        <f>IF(C161="","",IF(COUNTIF(Tarieven!$A$2:$A$200,C161)=0,"Klant niet in Tarieven",IF(MOD(N(H161),1)*100&gt;59.4,"Tijd ongeldig: minuten boven 59",IF(J161="Nog bepalen","Prijstype nog bepalen",IF(AND(J161="Per uur",N(K161)=0),"Uurtarief ontbreekt",IF(AND(J161="Vaste prijs",N(K161)=0),"Vaste prijs ontbreekt",IF(AND(N(I161)=0,Q161&lt;&gt;"Niet doorgegaan / verplaatst",Q161&lt;&gt;"Geen factuur nodig"),"Geen uren",IF(AND(G161="NEE",Q161="Verstuurd"),"Verstuurd terwijl werk niet af",IF(IFERROR(VLOOKUP(C161,Tarieven!$A$2:$F$200,2,0),"")="Beide","Beide-klant: controleer prijstype","OK")))))))))</f>
        <v/>
      </c>
    </row>
    <row r="162" ht="15" customHeight="1" s="42">
      <c r="A162" s="56">
        <f>IF(B162="","",WEEKNUM(B162,21))</f>
        <v/>
      </c>
      <c r="B162" s="55" t="n"/>
      <c r="C162" s="57" t="n"/>
      <c r="D162" s="57" t="n"/>
      <c r="E162" s="57" t="n"/>
      <c r="F162" s="57" t="n"/>
      <c r="G162" s="67" t="n"/>
      <c r="H162" s="68" t="n"/>
      <c r="I162" s="61">
        <f>IF(C162="","",IF(H162&lt;&gt;"",INT(H162)+ROUND(MOD(H162,1)*100/60,2),SUMIFS(Registraties!$L$5:$L$3004,Registraties!$D$5:$D$3004,C162,Registraties!$A$5:$A$3004,B162)))</f>
        <v/>
      </c>
      <c r="J162" s="58">
        <f>IF(C162="","",IFERROR(IF(VLOOKUP(C162,Tarieven!$A$2:$F$200,2,0)="Beide","Per uur",VLOOKUP(C162,Tarieven!$A$2:$F$200,2,0)),"Nog bepalen"))</f>
        <v/>
      </c>
      <c r="K162" s="69">
        <f>IF(C162="","",IF(J162="Per uur",IFERROR(VLOOKUP(C162,Tarieven!$A$2:$F$200,3,0),""),IF(J162="Vaste prijs",IFERROR(VLOOKUP(C162,Tarieven!$A$2:$F$200,4,0),""),"")))</f>
        <v/>
      </c>
      <c r="L162" s="70">
        <f>IF(C162="","",IF(J162="Per uur",N(I162)*N(K162),IF(J162="Vaste prijs",N(K162),0)))</f>
        <v/>
      </c>
      <c r="M162" s="69">
        <f>IF(C162="","",IFERROR(IF(N(VLOOKUP(C162,Tarieven!$A$2:$F$200,5,0))=0,"",VLOOKUP(C162,Tarieven!$A$2:$F$200,5,0)),""))</f>
        <v/>
      </c>
      <c r="N162" s="69" t="n"/>
      <c r="O162" s="69" t="n"/>
      <c r="P162" s="70">
        <f>IF(C162="","",N(L162)+N(M162)+N(N162)+N(O162))</f>
        <v/>
      </c>
      <c r="Q162" s="58" t="n"/>
      <c r="R162" s="57" t="n"/>
      <c r="S162" s="57" t="n"/>
      <c r="T162" s="57" t="n"/>
      <c r="U162" s="62">
        <f>IF(C162="","",IF(COUNTIF(Tarieven!$A$2:$A$200,C162)=0,"Klant niet in Tarieven",IF(MOD(N(H162),1)*100&gt;59.4,"Tijd ongeldig: minuten boven 59",IF(J162="Nog bepalen","Prijstype nog bepalen",IF(AND(J162="Per uur",N(K162)=0),"Uurtarief ontbreekt",IF(AND(J162="Vaste prijs",N(K162)=0),"Vaste prijs ontbreekt",IF(AND(N(I162)=0,Q162&lt;&gt;"Niet doorgegaan / verplaatst",Q162&lt;&gt;"Geen factuur nodig"),"Geen uren",IF(AND(G162="NEE",Q162="Verstuurd"),"Verstuurd terwijl werk niet af",IF(IFERROR(VLOOKUP(C162,Tarieven!$A$2:$F$200,2,0),"")="Beide","Beide-klant: controleer prijstype","OK")))))))))</f>
        <v/>
      </c>
    </row>
    <row r="163" ht="15" customHeight="1" s="42">
      <c r="A163" s="56">
        <f>IF(B163="","",WEEKNUM(B163,21))</f>
        <v/>
      </c>
      <c r="B163" s="55" t="n"/>
      <c r="C163" s="57" t="n"/>
      <c r="D163" s="57" t="n"/>
      <c r="E163" s="57" t="n"/>
      <c r="F163" s="57" t="n"/>
      <c r="G163" s="67" t="n"/>
      <c r="H163" s="68" t="n"/>
      <c r="I163" s="61">
        <f>IF(C163="","",IF(H163&lt;&gt;"",INT(H163)+ROUND(MOD(H163,1)*100/60,2),SUMIFS(Registraties!$L$5:$L$3004,Registraties!$D$5:$D$3004,C163,Registraties!$A$5:$A$3004,B163)))</f>
        <v/>
      </c>
      <c r="J163" s="58">
        <f>IF(C163="","",IFERROR(IF(VLOOKUP(C163,Tarieven!$A$2:$F$200,2,0)="Beide","Per uur",VLOOKUP(C163,Tarieven!$A$2:$F$200,2,0)),"Nog bepalen"))</f>
        <v/>
      </c>
      <c r="K163" s="69">
        <f>IF(C163="","",IF(J163="Per uur",IFERROR(VLOOKUP(C163,Tarieven!$A$2:$F$200,3,0),""),IF(J163="Vaste prijs",IFERROR(VLOOKUP(C163,Tarieven!$A$2:$F$200,4,0),""),"")))</f>
        <v/>
      </c>
      <c r="L163" s="70">
        <f>IF(C163="","",IF(J163="Per uur",N(I163)*N(K163),IF(J163="Vaste prijs",N(K163),0)))</f>
        <v/>
      </c>
      <c r="M163" s="69">
        <f>IF(C163="","",IFERROR(IF(N(VLOOKUP(C163,Tarieven!$A$2:$F$200,5,0))=0,"",VLOOKUP(C163,Tarieven!$A$2:$F$200,5,0)),""))</f>
        <v/>
      </c>
      <c r="N163" s="69" t="n"/>
      <c r="O163" s="69" t="n"/>
      <c r="P163" s="70">
        <f>IF(C163="","",N(L163)+N(M163)+N(N163)+N(O163))</f>
        <v/>
      </c>
      <c r="Q163" s="58" t="n"/>
      <c r="R163" s="57" t="n"/>
      <c r="S163" s="57" t="n"/>
      <c r="T163" s="57" t="n"/>
      <c r="U163" s="62">
        <f>IF(C163="","",IF(COUNTIF(Tarieven!$A$2:$A$200,C163)=0,"Klant niet in Tarieven",IF(MOD(N(H163),1)*100&gt;59.4,"Tijd ongeldig: minuten boven 59",IF(J163="Nog bepalen","Prijstype nog bepalen",IF(AND(J163="Per uur",N(K163)=0),"Uurtarief ontbreekt",IF(AND(J163="Vaste prijs",N(K163)=0),"Vaste prijs ontbreekt",IF(AND(N(I163)=0,Q163&lt;&gt;"Niet doorgegaan / verplaatst",Q163&lt;&gt;"Geen factuur nodig"),"Geen uren",IF(AND(G163="NEE",Q163="Verstuurd"),"Verstuurd terwijl werk niet af",IF(IFERROR(VLOOKUP(C163,Tarieven!$A$2:$F$200,2,0),"")="Beide","Beide-klant: controleer prijstype","OK")))))))))</f>
        <v/>
      </c>
    </row>
    <row r="164" ht="15" customHeight="1" s="42">
      <c r="A164" s="56">
        <f>IF(B164="","",WEEKNUM(B164,21))</f>
        <v/>
      </c>
      <c r="B164" s="55" t="n"/>
      <c r="C164" s="57" t="n"/>
      <c r="D164" s="57" t="n"/>
      <c r="E164" s="57" t="n"/>
      <c r="F164" s="57" t="n"/>
      <c r="G164" s="67" t="n"/>
      <c r="H164" s="68" t="n"/>
      <c r="I164" s="61">
        <f>IF(C164="","",IF(H164&lt;&gt;"",INT(H164)+ROUND(MOD(H164,1)*100/60,2),SUMIFS(Registraties!$L$5:$L$3004,Registraties!$D$5:$D$3004,C164,Registraties!$A$5:$A$3004,B164)))</f>
        <v/>
      </c>
      <c r="J164" s="58">
        <f>IF(C164="","",IFERROR(IF(VLOOKUP(C164,Tarieven!$A$2:$F$200,2,0)="Beide","Per uur",VLOOKUP(C164,Tarieven!$A$2:$F$200,2,0)),"Nog bepalen"))</f>
        <v/>
      </c>
      <c r="K164" s="69">
        <f>IF(C164="","",IF(J164="Per uur",IFERROR(VLOOKUP(C164,Tarieven!$A$2:$F$200,3,0),""),IF(J164="Vaste prijs",IFERROR(VLOOKUP(C164,Tarieven!$A$2:$F$200,4,0),""),"")))</f>
        <v/>
      </c>
      <c r="L164" s="70">
        <f>IF(C164="","",IF(J164="Per uur",N(I164)*N(K164),IF(J164="Vaste prijs",N(K164),0)))</f>
        <v/>
      </c>
      <c r="M164" s="69">
        <f>IF(C164="","",IFERROR(IF(N(VLOOKUP(C164,Tarieven!$A$2:$F$200,5,0))=0,"",VLOOKUP(C164,Tarieven!$A$2:$F$200,5,0)),""))</f>
        <v/>
      </c>
      <c r="N164" s="69" t="n"/>
      <c r="O164" s="69" t="n"/>
      <c r="P164" s="70">
        <f>IF(C164="","",N(L164)+N(M164)+N(N164)+N(O164))</f>
        <v/>
      </c>
      <c r="Q164" s="58" t="n"/>
      <c r="R164" s="57" t="n"/>
      <c r="S164" s="57" t="n"/>
      <c r="T164" s="57" t="n"/>
      <c r="U164" s="62">
        <f>IF(C164="","",IF(COUNTIF(Tarieven!$A$2:$A$200,C164)=0,"Klant niet in Tarieven",IF(MOD(N(H164),1)*100&gt;59.4,"Tijd ongeldig: minuten boven 59",IF(J164="Nog bepalen","Prijstype nog bepalen",IF(AND(J164="Per uur",N(K164)=0),"Uurtarief ontbreekt",IF(AND(J164="Vaste prijs",N(K164)=0),"Vaste prijs ontbreekt",IF(AND(N(I164)=0,Q164&lt;&gt;"Niet doorgegaan / verplaatst",Q164&lt;&gt;"Geen factuur nodig"),"Geen uren",IF(AND(G164="NEE",Q164="Verstuurd"),"Verstuurd terwijl werk niet af",IF(IFERROR(VLOOKUP(C164,Tarieven!$A$2:$F$200,2,0),"")="Beide","Beide-klant: controleer prijstype","OK")))))))))</f>
        <v/>
      </c>
    </row>
    <row r="165" ht="15" customHeight="1" s="42">
      <c r="A165" s="56">
        <f>IF(B165="","",WEEKNUM(B165,21))</f>
        <v/>
      </c>
      <c r="B165" s="55" t="n"/>
      <c r="C165" s="57" t="n"/>
      <c r="D165" s="57" t="n"/>
      <c r="E165" s="57" t="n"/>
      <c r="F165" s="57" t="n"/>
      <c r="G165" s="67" t="n"/>
      <c r="H165" s="68" t="n"/>
      <c r="I165" s="61">
        <f>IF(C165="","",IF(H165&lt;&gt;"",INT(H165)+ROUND(MOD(H165,1)*100/60,2),SUMIFS(Registraties!$L$5:$L$3004,Registraties!$D$5:$D$3004,C165,Registraties!$A$5:$A$3004,B165)))</f>
        <v/>
      </c>
      <c r="J165" s="58">
        <f>IF(C165="","",IFERROR(IF(VLOOKUP(C165,Tarieven!$A$2:$F$200,2,0)="Beide","Per uur",VLOOKUP(C165,Tarieven!$A$2:$F$200,2,0)),"Nog bepalen"))</f>
        <v/>
      </c>
      <c r="K165" s="69">
        <f>IF(C165="","",IF(J165="Per uur",IFERROR(VLOOKUP(C165,Tarieven!$A$2:$F$200,3,0),""),IF(J165="Vaste prijs",IFERROR(VLOOKUP(C165,Tarieven!$A$2:$F$200,4,0),""),"")))</f>
        <v/>
      </c>
      <c r="L165" s="70">
        <f>IF(C165="","",IF(J165="Per uur",N(I165)*N(K165),IF(J165="Vaste prijs",N(K165),0)))</f>
        <v/>
      </c>
      <c r="M165" s="69">
        <f>IF(C165="","",IFERROR(IF(N(VLOOKUP(C165,Tarieven!$A$2:$F$200,5,0))=0,"",VLOOKUP(C165,Tarieven!$A$2:$F$200,5,0)),""))</f>
        <v/>
      </c>
      <c r="N165" s="69" t="n"/>
      <c r="O165" s="69" t="n"/>
      <c r="P165" s="70">
        <f>IF(C165="","",N(L165)+N(M165)+N(N165)+N(O165))</f>
        <v/>
      </c>
      <c r="Q165" s="58" t="n"/>
      <c r="R165" s="57" t="n"/>
      <c r="S165" s="57" t="n"/>
      <c r="T165" s="57" t="n"/>
      <c r="U165" s="62">
        <f>IF(C165="","",IF(COUNTIF(Tarieven!$A$2:$A$200,C165)=0,"Klant niet in Tarieven",IF(MOD(N(H165),1)*100&gt;59.4,"Tijd ongeldig: minuten boven 59",IF(J165="Nog bepalen","Prijstype nog bepalen",IF(AND(J165="Per uur",N(K165)=0),"Uurtarief ontbreekt",IF(AND(J165="Vaste prijs",N(K165)=0),"Vaste prijs ontbreekt",IF(AND(N(I165)=0,Q165&lt;&gt;"Niet doorgegaan / verplaatst",Q165&lt;&gt;"Geen factuur nodig"),"Geen uren",IF(AND(G165="NEE",Q165="Verstuurd"),"Verstuurd terwijl werk niet af",IF(IFERROR(VLOOKUP(C165,Tarieven!$A$2:$F$200,2,0),"")="Beide","Beide-klant: controleer prijstype","OK")))))))))</f>
        <v/>
      </c>
    </row>
    <row r="166" ht="15" customHeight="1" s="42">
      <c r="A166" s="56">
        <f>IF(B166="","",WEEKNUM(B166,21))</f>
        <v/>
      </c>
      <c r="B166" s="55" t="n"/>
      <c r="C166" s="57" t="n"/>
      <c r="D166" s="57" t="n"/>
      <c r="E166" s="57" t="n"/>
      <c r="F166" s="57" t="n"/>
      <c r="G166" s="67" t="n"/>
      <c r="H166" s="68" t="n"/>
      <c r="I166" s="61">
        <f>IF(C166="","",IF(H166&lt;&gt;"",INT(H166)+ROUND(MOD(H166,1)*100/60,2),SUMIFS(Registraties!$L$5:$L$3004,Registraties!$D$5:$D$3004,C166,Registraties!$A$5:$A$3004,B166)))</f>
        <v/>
      </c>
      <c r="J166" s="58">
        <f>IF(C166="","",IFERROR(IF(VLOOKUP(C166,Tarieven!$A$2:$F$200,2,0)="Beide","Per uur",VLOOKUP(C166,Tarieven!$A$2:$F$200,2,0)),"Nog bepalen"))</f>
        <v/>
      </c>
      <c r="K166" s="69">
        <f>IF(C166="","",IF(J166="Per uur",IFERROR(VLOOKUP(C166,Tarieven!$A$2:$F$200,3,0),""),IF(J166="Vaste prijs",IFERROR(VLOOKUP(C166,Tarieven!$A$2:$F$200,4,0),""),"")))</f>
        <v/>
      </c>
      <c r="L166" s="70">
        <f>IF(C166="","",IF(J166="Per uur",N(I166)*N(K166),IF(J166="Vaste prijs",N(K166),0)))</f>
        <v/>
      </c>
      <c r="M166" s="69">
        <f>IF(C166="","",IFERROR(IF(N(VLOOKUP(C166,Tarieven!$A$2:$F$200,5,0))=0,"",VLOOKUP(C166,Tarieven!$A$2:$F$200,5,0)),""))</f>
        <v/>
      </c>
      <c r="N166" s="69" t="n"/>
      <c r="O166" s="69" t="n"/>
      <c r="P166" s="70">
        <f>IF(C166="","",N(L166)+N(M166)+N(N166)+N(O166))</f>
        <v/>
      </c>
      <c r="Q166" s="58" t="n"/>
      <c r="R166" s="57" t="n"/>
      <c r="S166" s="57" t="n"/>
      <c r="T166" s="57" t="n"/>
      <c r="U166" s="62">
        <f>IF(C166="","",IF(COUNTIF(Tarieven!$A$2:$A$200,C166)=0,"Klant niet in Tarieven",IF(MOD(N(H166),1)*100&gt;59.4,"Tijd ongeldig: minuten boven 59",IF(J166="Nog bepalen","Prijstype nog bepalen",IF(AND(J166="Per uur",N(K166)=0),"Uurtarief ontbreekt",IF(AND(J166="Vaste prijs",N(K166)=0),"Vaste prijs ontbreekt",IF(AND(N(I166)=0,Q166&lt;&gt;"Niet doorgegaan / verplaatst",Q166&lt;&gt;"Geen factuur nodig"),"Geen uren",IF(AND(G166="NEE",Q166="Verstuurd"),"Verstuurd terwijl werk niet af",IF(IFERROR(VLOOKUP(C166,Tarieven!$A$2:$F$200,2,0),"")="Beide","Beide-klant: controleer prijstype","OK")))))))))</f>
        <v/>
      </c>
    </row>
    <row r="167" ht="15" customHeight="1" s="42">
      <c r="A167" s="56">
        <f>IF(B167="","",WEEKNUM(B167,21))</f>
        <v/>
      </c>
      <c r="B167" s="55" t="n"/>
      <c r="C167" s="57" t="n"/>
      <c r="D167" s="57" t="n"/>
      <c r="E167" s="57" t="n"/>
      <c r="F167" s="57" t="n"/>
      <c r="G167" s="67" t="n"/>
      <c r="H167" s="68" t="n"/>
      <c r="I167" s="61">
        <f>IF(C167="","",IF(H167&lt;&gt;"",INT(H167)+ROUND(MOD(H167,1)*100/60,2),SUMIFS(Registraties!$L$5:$L$3004,Registraties!$D$5:$D$3004,C167,Registraties!$A$5:$A$3004,B167)))</f>
        <v/>
      </c>
      <c r="J167" s="58">
        <f>IF(C167="","",IFERROR(IF(VLOOKUP(C167,Tarieven!$A$2:$F$200,2,0)="Beide","Per uur",VLOOKUP(C167,Tarieven!$A$2:$F$200,2,0)),"Nog bepalen"))</f>
        <v/>
      </c>
      <c r="K167" s="69">
        <f>IF(C167="","",IF(J167="Per uur",IFERROR(VLOOKUP(C167,Tarieven!$A$2:$F$200,3,0),""),IF(J167="Vaste prijs",IFERROR(VLOOKUP(C167,Tarieven!$A$2:$F$200,4,0),""),"")))</f>
        <v/>
      </c>
      <c r="L167" s="70">
        <f>IF(C167="","",IF(J167="Per uur",N(I167)*N(K167),IF(J167="Vaste prijs",N(K167),0)))</f>
        <v/>
      </c>
      <c r="M167" s="69">
        <f>IF(C167="","",IFERROR(IF(N(VLOOKUP(C167,Tarieven!$A$2:$F$200,5,0))=0,"",VLOOKUP(C167,Tarieven!$A$2:$F$200,5,0)),""))</f>
        <v/>
      </c>
      <c r="N167" s="69" t="n"/>
      <c r="O167" s="69" t="n"/>
      <c r="P167" s="70">
        <f>IF(C167="","",N(L167)+N(M167)+N(N167)+N(O167))</f>
        <v/>
      </c>
      <c r="Q167" s="58" t="n"/>
      <c r="R167" s="57" t="n"/>
      <c r="S167" s="57" t="n"/>
      <c r="T167" s="57" t="n"/>
      <c r="U167" s="62">
        <f>IF(C167="","",IF(COUNTIF(Tarieven!$A$2:$A$200,C167)=0,"Klant niet in Tarieven",IF(MOD(N(H167),1)*100&gt;59.4,"Tijd ongeldig: minuten boven 59",IF(J167="Nog bepalen","Prijstype nog bepalen",IF(AND(J167="Per uur",N(K167)=0),"Uurtarief ontbreekt",IF(AND(J167="Vaste prijs",N(K167)=0),"Vaste prijs ontbreekt",IF(AND(N(I167)=0,Q167&lt;&gt;"Niet doorgegaan / verplaatst",Q167&lt;&gt;"Geen factuur nodig"),"Geen uren",IF(AND(G167="NEE",Q167="Verstuurd"),"Verstuurd terwijl werk niet af",IF(IFERROR(VLOOKUP(C167,Tarieven!$A$2:$F$200,2,0),"")="Beide","Beide-klant: controleer prijstype","OK")))))))))</f>
        <v/>
      </c>
    </row>
    <row r="168" ht="15" customHeight="1" s="42">
      <c r="A168" s="56">
        <f>IF(B168="","",WEEKNUM(B168,21))</f>
        <v/>
      </c>
      <c r="B168" s="55" t="n"/>
      <c r="C168" s="57" t="n"/>
      <c r="D168" s="57" t="n"/>
      <c r="E168" s="57" t="n"/>
      <c r="F168" s="57" t="n"/>
      <c r="G168" s="67" t="n"/>
      <c r="H168" s="68" t="n"/>
      <c r="I168" s="61">
        <f>IF(C168="","",IF(H168&lt;&gt;"",INT(H168)+ROUND(MOD(H168,1)*100/60,2),SUMIFS(Registraties!$L$5:$L$3004,Registraties!$D$5:$D$3004,C168,Registraties!$A$5:$A$3004,B168)))</f>
        <v/>
      </c>
      <c r="J168" s="58">
        <f>IF(C168="","",IFERROR(IF(VLOOKUP(C168,Tarieven!$A$2:$F$200,2,0)="Beide","Per uur",VLOOKUP(C168,Tarieven!$A$2:$F$200,2,0)),"Nog bepalen"))</f>
        <v/>
      </c>
      <c r="K168" s="69">
        <f>IF(C168="","",IF(J168="Per uur",IFERROR(VLOOKUP(C168,Tarieven!$A$2:$F$200,3,0),""),IF(J168="Vaste prijs",IFERROR(VLOOKUP(C168,Tarieven!$A$2:$F$200,4,0),""),"")))</f>
        <v/>
      </c>
      <c r="L168" s="70">
        <f>IF(C168="","",IF(J168="Per uur",N(I168)*N(K168),IF(J168="Vaste prijs",N(K168),0)))</f>
        <v/>
      </c>
      <c r="M168" s="69">
        <f>IF(C168="","",IFERROR(IF(N(VLOOKUP(C168,Tarieven!$A$2:$F$200,5,0))=0,"",VLOOKUP(C168,Tarieven!$A$2:$F$200,5,0)),""))</f>
        <v/>
      </c>
      <c r="N168" s="69" t="n"/>
      <c r="O168" s="69" t="n"/>
      <c r="P168" s="70">
        <f>IF(C168="","",N(L168)+N(M168)+N(N168)+N(O168))</f>
        <v/>
      </c>
      <c r="Q168" s="58" t="n"/>
      <c r="R168" s="57" t="n"/>
      <c r="S168" s="57" t="n"/>
      <c r="T168" s="57" t="n"/>
      <c r="U168" s="62">
        <f>IF(C168="","",IF(COUNTIF(Tarieven!$A$2:$A$200,C168)=0,"Klant niet in Tarieven",IF(MOD(N(H168),1)*100&gt;59.4,"Tijd ongeldig: minuten boven 59",IF(J168="Nog bepalen","Prijstype nog bepalen",IF(AND(J168="Per uur",N(K168)=0),"Uurtarief ontbreekt",IF(AND(J168="Vaste prijs",N(K168)=0),"Vaste prijs ontbreekt",IF(AND(N(I168)=0,Q168&lt;&gt;"Niet doorgegaan / verplaatst",Q168&lt;&gt;"Geen factuur nodig"),"Geen uren",IF(AND(G168="NEE",Q168="Verstuurd"),"Verstuurd terwijl werk niet af",IF(IFERROR(VLOOKUP(C168,Tarieven!$A$2:$F$200,2,0),"")="Beide","Beide-klant: controleer prijstype","OK")))))))))</f>
        <v/>
      </c>
    </row>
    <row r="169" ht="15" customHeight="1" s="42">
      <c r="A169" s="56">
        <f>IF(B169="","",WEEKNUM(B169,21))</f>
        <v/>
      </c>
      <c r="B169" s="55" t="n"/>
      <c r="C169" s="57" t="n"/>
      <c r="D169" s="57" t="n"/>
      <c r="E169" s="57" t="n"/>
      <c r="F169" s="57" t="n"/>
      <c r="G169" s="67" t="n"/>
      <c r="H169" s="68" t="n"/>
      <c r="I169" s="61">
        <f>IF(C169="","",IF(H169&lt;&gt;"",INT(H169)+ROUND(MOD(H169,1)*100/60,2),SUMIFS(Registraties!$L$5:$L$3004,Registraties!$D$5:$D$3004,C169,Registraties!$A$5:$A$3004,B169)))</f>
        <v/>
      </c>
      <c r="J169" s="58">
        <f>IF(C169="","",IFERROR(IF(VLOOKUP(C169,Tarieven!$A$2:$F$200,2,0)="Beide","Per uur",VLOOKUP(C169,Tarieven!$A$2:$F$200,2,0)),"Nog bepalen"))</f>
        <v/>
      </c>
      <c r="K169" s="69">
        <f>IF(C169="","",IF(J169="Per uur",IFERROR(VLOOKUP(C169,Tarieven!$A$2:$F$200,3,0),""),IF(J169="Vaste prijs",IFERROR(VLOOKUP(C169,Tarieven!$A$2:$F$200,4,0),""),"")))</f>
        <v/>
      </c>
      <c r="L169" s="70">
        <f>IF(C169="","",IF(J169="Per uur",N(I169)*N(K169),IF(J169="Vaste prijs",N(K169),0)))</f>
        <v/>
      </c>
      <c r="M169" s="69">
        <f>IF(C169="","",IFERROR(IF(N(VLOOKUP(C169,Tarieven!$A$2:$F$200,5,0))=0,"",VLOOKUP(C169,Tarieven!$A$2:$F$200,5,0)),""))</f>
        <v/>
      </c>
      <c r="N169" s="69" t="n"/>
      <c r="O169" s="69" t="n"/>
      <c r="P169" s="70">
        <f>IF(C169="","",N(L169)+N(M169)+N(N169)+N(O169))</f>
        <v/>
      </c>
      <c r="Q169" s="58" t="n"/>
      <c r="R169" s="57" t="n"/>
      <c r="S169" s="57" t="n"/>
      <c r="T169" s="57" t="n"/>
      <c r="U169" s="62">
        <f>IF(C169="","",IF(COUNTIF(Tarieven!$A$2:$A$200,C169)=0,"Klant niet in Tarieven",IF(MOD(N(H169),1)*100&gt;59.4,"Tijd ongeldig: minuten boven 59",IF(J169="Nog bepalen","Prijstype nog bepalen",IF(AND(J169="Per uur",N(K169)=0),"Uurtarief ontbreekt",IF(AND(J169="Vaste prijs",N(K169)=0),"Vaste prijs ontbreekt",IF(AND(N(I169)=0,Q169&lt;&gt;"Niet doorgegaan / verplaatst",Q169&lt;&gt;"Geen factuur nodig"),"Geen uren",IF(AND(G169="NEE",Q169="Verstuurd"),"Verstuurd terwijl werk niet af",IF(IFERROR(VLOOKUP(C169,Tarieven!$A$2:$F$200,2,0),"")="Beide","Beide-klant: controleer prijstype","OK")))))))))</f>
        <v/>
      </c>
    </row>
    <row r="170" ht="15" customHeight="1" s="42">
      <c r="A170" s="56">
        <f>IF(B170="","",WEEKNUM(B170,21))</f>
        <v/>
      </c>
      <c r="B170" s="55" t="n"/>
      <c r="C170" s="57" t="n"/>
      <c r="D170" s="57" t="n"/>
      <c r="E170" s="57" t="n"/>
      <c r="F170" s="57" t="n"/>
      <c r="G170" s="67" t="n"/>
      <c r="H170" s="68" t="n"/>
      <c r="I170" s="61">
        <f>IF(C170="","",IF(H170&lt;&gt;"",INT(H170)+ROUND(MOD(H170,1)*100/60,2),SUMIFS(Registraties!$L$5:$L$3004,Registraties!$D$5:$D$3004,C170,Registraties!$A$5:$A$3004,B170)))</f>
        <v/>
      </c>
      <c r="J170" s="58">
        <f>IF(C170="","",IFERROR(IF(VLOOKUP(C170,Tarieven!$A$2:$F$200,2,0)="Beide","Per uur",VLOOKUP(C170,Tarieven!$A$2:$F$200,2,0)),"Nog bepalen"))</f>
        <v/>
      </c>
      <c r="K170" s="69">
        <f>IF(C170="","",IF(J170="Per uur",IFERROR(VLOOKUP(C170,Tarieven!$A$2:$F$200,3,0),""),IF(J170="Vaste prijs",IFERROR(VLOOKUP(C170,Tarieven!$A$2:$F$200,4,0),""),"")))</f>
        <v/>
      </c>
      <c r="L170" s="70">
        <f>IF(C170="","",IF(J170="Per uur",N(I170)*N(K170),IF(J170="Vaste prijs",N(K170),0)))</f>
        <v/>
      </c>
      <c r="M170" s="69">
        <f>IF(C170="","",IFERROR(IF(N(VLOOKUP(C170,Tarieven!$A$2:$F$200,5,0))=0,"",VLOOKUP(C170,Tarieven!$A$2:$F$200,5,0)),""))</f>
        <v/>
      </c>
      <c r="N170" s="69" t="n"/>
      <c r="O170" s="69" t="n"/>
      <c r="P170" s="70">
        <f>IF(C170="","",N(L170)+N(M170)+N(N170)+N(O170))</f>
        <v/>
      </c>
      <c r="Q170" s="58" t="n"/>
      <c r="R170" s="57" t="n"/>
      <c r="S170" s="57" t="n"/>
      <c r="T170" s="57" t="n"/>
      <c r="U170" s="62">
        <f>IF(C170="","",IF(COUNTIF(Tarieven!$A$2:$A$200,C170)=0,"Klant niet in Tarieven",IF(MOD(N(H170),1)*100&gt;59.4,"Tijd ongeldig: minuten boven 59",IF(J170="Nog bepalen","Prijstype nog bepalen",IF(AND(J170="Per uur",N(K170)=0),"Uurtarief ontbreekt",IF(AND(J170="Vaste prijs",N(K170)=0),"Vaste prijs ontbreekt",IF(AND(N(I170)=0,Q170&lt;&gt;"Niet doorgegaan / verplaatst",Q170&lt;&gt;"Geen factuur nodig"),"Geen uren",IF(AND(G170="NEE",Q170="Verstuurd"),"Verstuurd terwijl werk niet af",IF(IFERROR(VLOOKUP(C170,Tarieven!$A$2:$F$200,2,0),"")="Beide","Beide-klant: controleer prijstype","OK")))))))))</f>
        <v/>
      </c>
    </row>
    <row r="171" ht="15" customHeight="1" s="42">
      <c r="A171" s="56">
        <f>IF(B171="","",WEEKNUM(B171,21))</f>
        <v/>
      </c>
      <c r="B171" s="55" t="n"/>
      <c r="C171" s="57" t="n"/>
      <c r="D171" s="57" t="n"/>
      <c r="E171" s="57" t="n"/>
      <c r="F171" s="57" t="n"/>
      <c r="G171" s="67" t="n"/>
      <c r="H171" s="68" t="n"/>
      <c r="I171" s="61">
        <f>IF(C171="","",IF(H171&lt;&gt;"",INT(H171)+ROUND(MOD(H171,1)*100/60,2),SUMIFS(Registraties!$L$5:$L$3004,Registraties!$D$5:$D$3004,C171,Registraties!$A$5:$A$3004,B171)))</f>
        <v/>
      </c>
      <c r="J171" s="58">
        <f>IF(C171="","",IFERROR(IF(VLOOKUP(C171,Tarieven!$A$2:$F$200,2,0)="Beide","Per uur",VLOOKUP(C171,Tarieven!$A$2:$F$200,2,0)),"Nog bepalen"))</f>
        <v/>
      </c>
      <c r="K171" s="69">
        <f>IF(C171="","",IF(J171="Per uur",IFERROR(VLOOKUP(C171,Tarieven!$A$2:$F$200,3,0),""),IF(J171="Vaste prijs",IFERROR(VLOOKUP(C171,Tarieven!$A$2:$F$200,4,0),""),"")))</f>
        <v/>
      </c>
      <c r="L171" s="70">
        <f>IF(C171="","",IF(J171="Per uur",N(I171)*N(K171),IF(J171="Vaste prijs",N(K171),0)))</f>
        <v/>
      </c>
      <c r="M171" s="69">
        <f>IF(C171="","",IFERROR(IF(N(VLOOKUP(C171,Tarieven!$A$2:$F$200,5,0))=0,"",VLOOKUP(C171,Tarieven!$A$2:$F$200,5,0)),""))</f>
        <v/>
      </c>
      <c r="N171" s="69" t="n"/>
      <c r="O171" s="69" t="n"/>
      <c r="P171" s="70">
        <f>IF(C171="","",N(L171)+N(M171)+N(N171)+N(O171))</f>
        <v/>
      </c>
      <c r="Q171" s="58" t="n"/>
      <c r="R171" s="57" t="n"/>
      <c r="S171" s="57" t="n"/>
      <c r="T171" s="57" t="n"/>
      <c r="U171" s="62">
        <f>IF(C171="","",IF(COUNTIF(Tarieven!$A$2:$A$200,C171)=0,"Klant niet in Tarieven",IF(MOD(N(H171),1)*100&gt;59.4,"Tijd ongeldig: minuten boven 59",IF(J171="Nog bepalen","Prijstype nog bepalen",IF(AND(J171="Per uur",N(K171)=0),"Uurtarief ontbreekt",IF(AND(J171="Vaste prijs",N(K171)=0),"Vaste prijs ontbreekt",IF(AND(N(I171)=0,Q171&lt;&gt;"Niet doorgegaan / verplaatst",Q171&lt;&gt;"Geen factuur nodig"),"Geen uren",IF(AND(G171="NEE",Q171="Verstuurd"),"Verstuurd terwijl werk niet af",IF(IFERROR(VLOOKUP(C171,Tarieven!$A$2:$F$200,2,0),"")="Beide","Beide-klant: controleer prijstype","OK")))))))))</f>
        <v/>
      </c>
    </row>
    <row r="172" ht="15" customHeight="1" s="42">
      <c r="A172" s="56">
        <f>IF(B172="","",WEEKNUM(B172,21))</f>
        <v/>
      </c>
      <c r="B172" s="55" t="n"/>
      <c r="C172" s="57" t="n"/>
      <c r="D172" s="57" t="n"/>
      <c r="E172" s="57" t="n"/>
      <c r="F172" s="57" t="n"/>
      <c r="G172" s="67" t="n"/>
      <c r="H172" s="68" t="n"/>
      <c r="I172" s="61">
        <f>IF(C172="","",IF(H172&lt;&gt;"",INT(H172)+ROUND(MOD(H172,1)*100/60,2),SUMIFS(Registraties!$L$5:$L$3004,Registraties!$D$5:$D$3004,C172,Registraties!$A$5:$A$3004,B172)))</f>
        <v/>
      </c>
      <c r="J172" s="58">
        <f>IF(C172="","",IFERROR(IF(VLOOKUP(C172,Tarieven!$A$2:$F$200,2,0)="Beide","Per uur",VLOOKUP(C172,Tarieven!$A$2:$F$200,2,0)),"Nog bepalen"))</f>
        <v/>
      </c>
      <c r="K172" s="69">
        <f>IF(C172="","",IF(J172="Per uur",IFERROR(VLOOKUP(C172,Tarieven!$A$2:$F$200,3,0),""),IF(J172="Vaste prijs",IFERROR(VLOOKUP(C172,Tarieven!$A$2:$F$200,4,0),""),"")))</f>
        <v/>
      </c>
      <c r="L172" s="70">
        <f>IF(C172="","",IF(J172="Per uur",N(I172)*N(K172),IF(J172="Vaste prijs",N(K172),0)))</f>
        <v/>
      </c>
      <c r="M172" s="69">
        <f>IF(C172="","",IFERROR(IF(N(VLOOKUP(C172,Tarieven!$A$2:$F$200,5,0))=0,"",VLOOKUP(C172,Tarieven!$A$2:$F$200,5,0)),""))</f>
        <v/>
      </c>
      <c r="N172" s="69" t="n"/>
      <c r="O172" s="69" t="n"/>
      <c r="P172" s="70">
        <f>IF(C172="","",N(L172)+N(M172)+N(N172)+N(O172))</f>
        <v/>
      </c>
      <c r="Q172" s="58" t="n"/>
      <c r="R172" s="57" t="n"/>
      <c r="S172" s="57" t="n"/>
      <c r="T172" s="57" t="n"/>
      <c r="U172" s="62">
        <f>IF(C172="","",IF(COUNTIF(Tarieven!$A$2:$A$200,C172)=0,"Klant niet in Tarieven",IF(MOD(N(H172),1)*100&gt;59.4,"Tijd ongeldig: minuten boven 59",IF(J172="Nog bepalen","Prijstype nog bepalen",IF(AND(J172="Per uur",N(K172)=0),"Uurtarief ontbreekt",IF(AND(J172="Vaste prijs",N(K172)=0),"Vaste prijs ontbreekt",IF(AND(N(I172)=0,Q172&lt;&gt;"Niet doorgegaan / verplaatst",Q172&lt;&gt;"Geen factuur nodig"),"Geen uren",IF(AND(G172="NEE",Q172="Verstuurd"),"Verstuurd terwijl werk niet af",IF(IFERROR(VLOOKUP(C172,Tarieven!$A$2:$F$200,2,0),"")="Beide","Beide-klant: controleer prijstype","OK")))))))))</f>
        <v/>
      </c>
    </row>
    <row r="173" ht="15" customHeight="1" s="42">
      <c r="A173" s="56">
        <f>IF(B173="","",WEEKNUM(B173,21))</f>
        <v/>
      </c>
      <c r="B173" s="55" t="n"/>
      <c r="C173" s="57" t="n"/>
      <c r="D173" s="57" t="n"/>
      <c r="E173" s="57" t="n"/>
      <c r="F173" s="57" t="n"/>
      <c r="G173" s="67" t="n"/>
      <c r="H173" s="68" t="n"/>
      <c r="I173" s="61">
        <f>IF(C173="","",IF(H173&lt;&gt;"",INT(H173)+ROUND(MOD(H173,1)*100/60,2),SUMIFS(Registraties!$L$5:$L$3004,Registraties!$D$5:$D$3004,C173,Registraties!$A$5:$A$3004,B173)))</f>
        <v/>
      </c>
      <c r="J173" s="58">
        <f>IF(C173="","",IFERROR(IF(VLOOKUP(C173,Tarieven!$A$2:$F$200,2,0)="Beide","Per uur",VLOOKUP(C173,Tarieven!$A$2:$F$200,2,0)),"Nog bepalen"))</f>
        <v/>
      </c>
      <c r="K173" s="69">
        <f>IF(C173="","",IF(J173="Per uur",IFERROR(VLOOKUP(C173,Tarieven!$A$2:$F$200,3,0),""),IF(J173="Vaste prijs",IFERROR(VLOOKUP(C173,Tarieven!$A$2:$F$200,4,0),""),"")))</f>
        <v/>
      </c>
      <c r="L173" s="70">
        <f>IF(C173="","",IF(J173="Per uur",N(I173)*N(K173),IF(J173="Vaste prijs",N(K173),0)))</f>
        <v/>
      </c>
      <c r="M173" s="69">
        <f>IF(C173="","",IFERROR(IF(N(VLOOKUP(C173,Tarieven!$A$2:$F$200,5,0))=0,"",VLOOKUP(C173,Tarieven!$A$2:$F$200,5,0)),""))</f>
        <v/>
      </c>
      <c r="N173" s="69" t="n"/>
      <c r="O173" s="69" t="n"/>
      <c r="P173" s="70">
        <f>IF(C173="","",N(L173)+N(M173)+N(N173)+N(O173))</f>
        <v/>
      </c>
      <c r="Q173" s="58" t="n"/>
      <c r="R173" s="57" t="n"/>
      <c r="S173" s="57" t="n"/>
      <c r="T173" s="57" t="n"/>
      <c r="U173" s="62">
        <f>IF(C173="","",IF(COUNTIF(Tarieven!$A$2:$A$200,C173)=0,"Klant niet in Tarieven",IF(MOD(N(H173),1)*100&gt;59.4,"Tijd ongeldig: minuten boven 59",IF(J173="Nog bepalen","Prijstype nog bepalen",IF(AND(J173="Per uur",N(K173)=0),"Uurtarief ontbreekt",IF(AND(J173="Vaste prijs",N(K173)=0),"Vaste prijs ontbreekt",IF(AND(N(I173)=0,Q173&lt;&gt;"Niet doorgegaan / verplaatst",Q173&lt;&gt;"Geen factuur nodig"),"Geen uren",IF(AND(G173="NEE",Q173="Verstuurd"),"Verstuurd terwijl werk niet af",IF(IFERROR(VLOOKUP(C173,Tarieven!$A$2:$F$200,2,0),"")="Beide","Beide-klant: controleer prijstype","OK")))))))))</f>
        <v/>
      </c>
    </row>
    <row r="174" ht="15" customHeight="1" s="42">
      <c r="A174" s="56">
        <f>IF(B174="","",WEEKNUM(B174,21))</f>
        <v/>
      </c>
      <c r="B174" s="55" t="n"/>
      <c r="C174" s="57" t="n"/>
      <c r="D174" s="57" t="n"/>
      <c r="E174" s="57" t="n"/>
      <c r="F174" s="57" t="n"/>
      <c r="G174" s="67" t="n"/>
      <c r="H174" s="68" t="n"/>
      <c r="I174" s="61">
        <f>IF(C174="","",IF(H174&lt;&gt;"",INT(H174)+ROUND(MOD(H174,1)*100/60,2),SUMIFS(Registraties!$L$5:$L$3004,Registraties!$D$5:$D$3004,C174,Registraties!$A$5:$A$3004,B174)))</f>
        <v/>
      </c>
      <c r="J174" s="58">
        <f>IF(C174="","",IFERROR(IF(VLOOKUP(C174,Tarieven!$A$2:$F$200,2,0)="Beide","Per uur",VLOOKUP(C174,Tarieven!$A$2:$F$200,2,0)),"Nog bepalen"))</f>
        <v/>
      </c>
      <c r="K174" s="69">
        <f>IF(C174="","",IF(J174="Per uur",IFERROR(VLOOKUP(C174,Tarieven!$A$2:$F$200,3,0),""),IF(J174="Vaste prijs",IFERROR(VLOOKUP(C174,Tarieven!$A$2:$F$200,4,0),""),"")))</f>
        <v/>
      </c>
      <c r="L174" s="70">
        <f>IF(C174="","",IF(J174="Per uur",N(I174)*N(K174),IF(J174="Vaste prijs",N(K174),0)))</f>
        <v/>
      </c>
      <c r="M174" s="69">
        <f>IF(C174="","",IFERROR(IF(N(VLOOKUP(C174,Tarieven!$A$2:$F$200,5,0))=0,"",VLOOKUP(C174,Tarieven!$A$2:$F$200,5,0)),""))</f>
        <v/>
      </c>
      <c r="N174" s="69" t="n"/>
      <c r="O174" s="69" t="n"/>
      <c r="P174" s="70">
        <f>IF(C174="","",N(L174)+N(M174)+N(N174)+N(O174))</f>
        <v/>
      </c>
      <c r="Q174" s="58" t="n"/>
      <c r="R174" s="57" t="n"/>
      <c r="S174" s="57" t="n"/>
      <c r="T174" s="57" t="n"/>
      <c r="U174" s="62">
        <f>IF(C174="","",IF(COUNTIF(Tarieven!$A$2:$A$200,C174)=0,"Klant niet in Tarieven",IF(MOD(N(H174),1)*100&gt;59.4,"Tijd ongeldig: minuten boven 59",IF(J174="Nog bepalen","Prijstype nog bepalen",IF(AND(J174="Per uur",N(K174)=0),"Uurtarief ontbreekt",IF(AND(J174="Vaste prijs",N(K174)=0),"Vaste prijs ontbreekt",IF(AND(N(I174)=0,Q174&lt;&gt;"Niet doorgegaan / verplaatst",Q174&lt;&gt;"Geen factuur nodig"),"Geen uren",IF(AND(G174="NEE",Q174="Verstuurd"),"Verstuurd terwijl werk niet af",IF(IFERROR(VLOOKUP(C174,Tarieven!$A$2:$F$200,2,0),"")="Beide","Beide-klant: controleer prijstype","OK")))))))))</f>
        <v/>
      </c>
    </row>
    <row r="175" ht="15" customHeight="1" s="42">
      <c r="A175" s="56">
        <f>IF(B175="","",WEEKNUM(B175,21))</f>
        <v/>
      </c>
      <c r="B175" s="55" t="n"/>
      <c r="C175" s="57" t="n"/>
      <c r="D175" s="57" t="n"/>
      <c r="E175" s="57" t="n"/>
      <c r="F175" s="57" t="n"/>
      <c r="G175" s="67" t="n"/>
      <c r="H175" s="68" t="n"/>
      <c r="I175" s="61">
        <f>IF(C175="","",IF(H175&lt;&gt;"",INT(H175)+ROUND(MOD(H175,1)*100/60,2),SUMIFS(Registraties!$L$5:$L$3004,Registraties!$D$5:$D$3004,C175,Registraties!$A$5:$A$3004,B175)))</f>
        <v/>
      </c>
      <c r="J175" s="58">
        <f>IF(C175="","",IFERROR(IF(VLOOKUP(C175,Tarieven!$A$2:$F$200,2,0)="Beide","Per uur",VLOOKUP(C175,Tarieven!$A$2:$F$200,2,0)),"Nog bepalen"))</f>
        <v/>
      </c>
      <c r="K175" s="69">
        <f>IF(C175="","",IF(J175="Per uur",IFERROR(VLOOKUP(C175,Tarieven!$A$2:$F$200,3,0),""),IF(J175="Vaste prijs",IFERROR(VLOOKUP(C175,Tarieven!$A$2:$F$200,4,0),""),"")))</f>
        <v/>
      </c>
      <c r="L175" s="70">
        <f>IF(C175="","",IF(J175="Per uur",N(I175)*N(K175),IF(J175="Vaste prijs",N(K175),0)))</f>
        <v/>
      </c>
      <c r="M175" s="69">
        <f>IF(C175="","",IFERROR(IF(N(VLOOKUP(C175,Tarieven!$A$2:$F$200,5,0))=0,"",VLOOKUP(C175,Tarieven!$A$2:$F$200,5,0)),""))</f>
        <v/>
      </c>
      <c r="N175" s="69" t="n"/>
      <c r="O175" s="69" t="n"/>
      <c r="P175" s="70">
        <f>IF(C175="","",N(L175)+N(M175)+N(N175)+N(O175))</f>
        <v/>
      </c>
      <c r="Q175" s="58" t="n"/>
      <c r="R175" s="57" t="n"/>
      <c r="S175" s="57" t="n"/>
      <c r="T175" s="57" t="n"/>
      <c r="U175" s="62">
        <f>IF(C175="","",IF(COUNTIF(Tarieven!$A$2:$A$200,C175)=0,"Klant niet in Tarieven",IF(MOD(N(H175),1)*100&gt;59.4,"Tijd ongeldig: minuten boven 59",IF(J175="Nog bepalen","Prijstype nog bepalen",IF(AND(J175="Per uur",N(K175)=0),"Uurtarief ontbreekt",IF(AND(J175="Vaste prijs",N(K175)=0),"Vaste prijs ontbreekt",IF(AND(N(I175)=0,Q175&lt;&gt;"Niet doorgegaan / verplaatst",Q175&lt;&gt;"Geen factuur nodig"),"Geen uren",IF(AND(G175="NEE",Q175="Verstuurd"),"Verstuurd terwijl werk niet af",IF(IFERROR(VLOOKUP(C175,Tarieven!$A$2:$F$200,2,0),"")="Beide","Beide-klant: controleer prijstype","OK")))))))))</f>
        <v/>
      </c>
    </row>
    <row r="176" ht="15" customHeight="1" s="42">
      <c r="A176" s="56">
        <f>IF(B176="","",WEEKNUM(B176,21))</f>
        <v/>
      </c>
      <c r="B176" s="55" t="n"/>
      <c r="C176" s="57" t="n"/>
      <c r="D176" s="57" t="n"/>
      <c r="E176" s="57" t="n"/>
      <c r="F176" s="57" t="n"/>
      <c r="G176" s="67" t="n"/>
      <c r="H176" s="68" t="n"/>
      <c r="I176" s="61">
        <f>IF(C176="","",IF(H176&lt;&gt;"",INT(H176)+ROUND(MOD(H176,1)*100/60,2),SUMIFS(Registraties!$L$5:$L$3004,Registraties!$D$5:$D$3004,C176,Registraties!$A$5:$A$3004,B176)))</f>
        <v/>
      </c>
      <c r="J176" s="58">
        <f>IF(C176="","",IFERROR(IF(VLOOKUP(C176,Tarieven!$A$2:$F$200,2,0)="Beide","Per uur",VLOOKUP(C176,Tarieven!$A$2:$F$200,2,0)),"Nog bepalen"))</f>
        <v/>
      </c>
      <c r="K176" s="69">
        <f>IF(C176="","",IF(J176="Per uur",IFERROR(VLOOKUP(C176,Tarieven!$A$2:$F$200,3,0),""),IF(J176="Vaste prijs",IFERROR(VLOOKUP(C176,Tarieven!$A$2:$F$200,4,0),""),"")))</f>
        <v/>
      </c>
      <c r="L176" s="70">
        <f>IF(C176="","",IF(J176="Per uur",N(I176)*N(K176),IF(J176="Vaste prijs",N(K176),0)))</f>
        <v/>
      </c>
      <c r="M176" s="69">
        <f>IF(C176="","",IFERROR(IF(N(VLOOKUP(C176,Tarieven!$A$2:$F$200,5,0))=0,"",VLOOKUP(C176,Tarieven!$A$2:$F$200,5,0)),""))</f>
        <v/>
      </c>
      <c r="N176" s="69" t="n"/>
      <c r="O176" s="69" t="n"/>
      <c r="P176" s="70">
        <f>IF(C176="","",N(L176)+N(M176)+N(N176)+N(O176))</f>
        <v/>
      </c>
      <c r="Q176" s="58" t="n"/>
      <c r="R176" s="57" t="n"/>
      <c r="S176" s="57" t="n"/>
      <c r="T176" s="57" t="n"/>
      <c r="U176" s="62">
        <f>IF(C176="","",IF(COUNTIF(Tarieven!$A$2:$A$200,C176)=0,"Klant niet in Tarieven",IF(MOD(N(H176),1)*100&gt;59.4,"Tijd ongeldig: minuten boven 59",IF(J176="Nog bepalen","Prijstype nog bepalen",IF(AND(J176="Per uur",N(K176)=0),"Uurtarief ontbreekt",IF(AND(J176="Vaste prijs",N(K176)=0),"Vaste prijs ontbreekt",IF(AND(N(I176)=0,Q176&lt;&gt;"Niet doorgegaan / verplaatst",Q176&lt;&gt;"Geen factuur nodig"),"Geen uren",IF(AND(G176="NEE",Q176="Verstuurd"),"Verstuurd terwijl werk niet af",IF(IFERROR(VLOOKUP(C176,Tarieven!$A$2:$F$200,2,0),"")="Beide","Beide-klant: controleer prijstype","OK")))))))))</f>
        <v/>
      </c>
    </row>
    <row r="177" ht="15" customHeight="1" s="42">
      <c r="A177" s="56">
        <f>IF(B177="","",WEEKNUM(B177,21))</f>
        <v/>
      </c>
      <c r="B177" s="55" t="n"/>
      <c r="C177" s="57" t="n"/>
      <c r="D177" s="57" t="n"/>
      <c r="E177" s="57" t="n"/>
      <c r="F177" s="57" t="n"/>
      <c r="G177" s="67" t="n"/>
      <c r="H177" s="68" t="n"/>
      <c r="I177" s="61">
        <f>IF(C177="","",IF(H177&lt;&gt;"",INT(H177)+ROUND(MOD(H177,1)*100/60,2),SUMIFS(Registraties!$L$5:$L$3004,Registraties!$D$5:$D$3004,C177,Registraties!$A$5:$A$3004,B177)))</f>
        <v/>
      </c>
      <c r="J177" s="58">
        <f>IF(C177="","",IFERROR(IF(VLOOKUP(C177,Tarieven!$A$2:$F$200,2,0)="Beide","Per uur",VLOOKUP(C177,Tarieven!$A$2:$F$200,2,0)),"Nog bepalen"))</f>
        <v/>
      </c>
      <c r="K177" s="69">
        <f>IF(C177="","",IF(J177="Per uur",IFERROR(VLOOKUP(C177,Tarieven!$A$2:$F$200,3,0),""),IF(J177="Vaste prijs",IFERROR(VLOOKUP(C177,Tarieven!$A$2:$F$200,4,0),""),"")))</f>
        <v/>
      </c>
      <c r="L177" s="70">
        <f>IF(C177="","",IF(J177="Per uur",N(I177)*N(K177),IF(J177="Vaste prijs",N(K177),0)))</f>
        <v/>
      </c>
      <c r="M177" s="69">
        <f>IF(C177="","",IFERROR(IF(N(VLOOKUP(C177,Tarieven!$A$2:$F$200,5,0))=0,"",VLOOKUP(C177,Tarieven!$A$2:$F$200,5,0)),""))</f>
        <v/>
      </c>
      <c r="N177" s="69" t="n"/>
      <c r="O177" s="69" t="n"/>
      <c r="P177" s="70">
        <f>IF(C177="","",N(L177)+N(M177)+N(N177)+N(O177))</f>
        <v/>
      </c>
      <c r="Q177" s="58" t="n"/>
      <c r="R177" s="57" t="n"/>
      <c r="S177" s="57" t="n"/>
      <c r="T177" s="57" t="n"/>
      <c r="U177" s="62">
        <f>IF(C177="","",IF(COUNTIF(Tarieven!$A$2:$A$200,C177)=0,"Klant niet in Tarieven",IF(MOD(N(H177),1)*100&gt;59.4,"Tijd ongeldig: minuten boven 59",IF(J177="Nog bepalen","Prijstype nog bepalen",IF(AND(J177="Per uur",N(K177)=0),"Uurtarief ontbreekt",IF(AND(J177="Vaste prijs",N(K177)=0),"Vaste prijs ontbreekt",IF(AND(N(I177)=0,Q177&lt;&gt;"Niet doorgegaan / verplaatst",Q177&lt;&gt;"Geen factuur nodig"),"Geen uren",IF(AND(G177="NEE",Q177="Verstuurd"),"Verstuurd terwijl werk niet af",IF(IFERROR(VLOOKUP(C177,Tarieven!$A$2:$F$200,2,0),"")="Beide","Beide-klant: controleer prijstype","OK")))))))))</f>
        <v/>
      </c>
    </row>
    <row r="178" ht="15" customHeight="1" s="42">
      <c r="A178" s="56">
        <f>IF(B178="","",WEEKNUM(B178,21))</f>
        <v/>
      </c>
      <c r="B178" s="55" t="n"/>
      <c r="C178" s="57" t="n"/>
      <c r="D178" s="57" t="n"/>
      <c r="E178" s="57" t="n"/>
      <c r="F178" s="57" t="n"/>
      <c r="G178" s="67" t="n"/>
      <c r="H178" s="68" t="n"/>
      <c r="I178" s="61">
        <f>IF(C178="","",IF(H178&lt;&gt;"",INT(H178)+ROUND(MOD(H178,1)*100/60,2),SUMIFS(Registraties!$L$5:$L$3004,Registraties!$D$5:$D$3004,C178,Registraties!$A$5:$A$3004,B178)))</f>
        <v/>
      </c>
      <c r="J178" s="58">
        <f>IF(C178="","",IFERROR(IF(VLOOKUP(C178,Tarieven!$A$2:$F$200,2,0)="Beide","Per uur",VLOOKUP(C178,Tarieven!$A$2:$F$200,2,0)),"Nog bepalen"))</f>
        <v/>
      </c>
      <c r="K178" s="69">
        <f>IF(C178="","",IF(J178="Per uur",IFERROR(VLOOKUP(C178,Tarieven!$A$2:$F$200,3,0),""),IF(J178="Vaste prijs",IFERROR(VLOOKUP(C178,Tarieven!$A$2:$F$200,4,0),""),"")))</f>
        <v/>
      </c>
      <c r="L178" s="70">
        <f>IF(C178="","",IF(J178="Per uur",N(I178)*N(K178),IF(J178="Vaste prijs",N(K178),0)))</f>
        <v/>
      </c>
      <c r="M178" s="69">
        <f>IF(C178="","",IFERROR(IF(N(VLOOKUP(C178,Tarieven!$A$2:$F$200,5,0))=0,"",VLOOKUP(C178,Tarieven!$A$2:$F$200,5,0)),""))</f>
        <v/>
      </c>
      <c r="N178" s="69" t="n"/>
      <c r="O178" s="69" t="n"/>
      <c r="P178" s="70">
        <f>IF(C178="","",N(L178)+N(M178)+N(N178)+N(O178))</f>
        <v/>
      </c>
      <c r="Q178" s="58" t="n"/>
      <c r="R178" s="57" t="n"/>
      <c r="S178" s="57" t="n"/>
      <c r="T178" s="57" t="n"/>
      <c r="U178" s="62">
        <f>IF(C178="","",IF(COUNTIF(Tarieven!$A$2:$A$200,C178)=0,"Klant niet in Tarieven",IF(MOD(N(H178),1)*100&gt;59.4,"Tijd ongeldig: minuten boven 59",IF(J178="Nog bepalen","Prijstype nog bepalen",IF(AND(J178="Per uur",N(K178)=0),"Uurtarief ontbreekt",IF(AND(J178="Vaste prijs",N(K178)=0),"Vaste prijs ontbreekt",IF(AND(N(I178)=0,Q178&lt;&gt;"Niet doorgegaan / verplaatst",Q178&lt;&gt;"Geen factuur nodig"),"Geen uren",IF(AND(G178="NEE",Q178="Verstuurd"),"Verstuurd terwijl werk niet af",IF(IFERROR(VLOOKUP(C178,Tarieven!$A$2:$F$200,2,0),"")="Beide","Beide-klant: controleer prijstype","OK")))))))))</f>
        <v/>
      </c>
    </row>
    <row r="179" ht="15" customHeight="1" s="42">
      <c r="A179" s="56">
        <f>IF(B179="","",WEEKNUM(B179,21))</f>
        <v/>
      </c>
      <c r="B179" s="55" t="n"/>
      <c r="C179" s="57" t="n"/>
      <c r="D179" s="57" t="n"/>
      <c r="E179" s="57" t="n"/>
      <c r="F179" s="57" t="n"/>
      <c r="G179" s="67" t="n"/>
      <c r="H179" s="68" t="n"/>
      <c r="I179" s="61">
        <f>IF(C179="","",IF(H179&lt;&gt;"",INT(H179)+ROUND(MOD(H179,1)*100/60,2),SUMIFS(Registraties!$L$5:$L$3004,Registraties!$D$5:$D$3004,C179,Registraties!$A$5:$A$3004,B179)))</f>
        <v/>
      </c>
      <c r="J179" s="58">
        <f>IF(C179="","",IFERROR(IF(VLOOKUP(C179,Tarieven!$A$2:$F$200,2,0)="Beide","Per uur",VLOOKUP(C179,Tarieven!$A$2:$F$200,2,0)),"Nog bepalen"))</f>
        <v/>
      </c>
      <c r="K179" s="69">
        <f>IF(C179="","",IF(J179="Per uur",IFERROR(VLOOKUP(C179,Tarieven!$A$2:$F$200,3,0),""),IF(J179="Vaste prijs",IFERROR(VLOOKUP(C179,Tarieven!$A$2:$F$200,4,0),""),"")))</f>
        <v/>
      </c>
      <c r="L179" s="70">
        <f>IF(C179="","",IF(J179="Per uur",N(I179)*N(K179),IF(J179="Vaste prijs",N(K179),0)))</f>
        <v/>
      </c>
      <c r="M179" s="69">
        <f>IF(C179="","",IFERROR(IF(N(VLOOKUP(C179,Tarieven!$A$2:$F$200,5,0))=0,"",VLOOKUP(C179,Tarieven!$A$2:$F$200,5,0)),""))</f>
        <v/>
      </c>
      <c r="N179" s="69" t="n"/>
      <c r="O179" s="69" t="n"/>
      <c r="P179" s="70">
        <f>IF(C179="","",N(L179)+N(M179)+N(N179)+N(O179))</f>
        <v/>
      </c>
      <c r="Q179" s="58" t="n"/>
      <c r="R179" s="57" t="n"/>
      <c r="S179" s="57" t="n"/>
      <c r="T179" s="57" t="n"/>
      <c r="U179" s="62">
        <f>IF(C179="","",IF(COUNTIF(Tarieven!$A$2:$A$200,C179)=0,"Klant niet in Tarieven",IF(MOD(N(H179),1)*100&gt;59.4,"Tijd ongeldig: minuten boven 59",IF(J179="Nog bepalen","Prijstype nog bepalen",IF(AND(J179="Per uur",N(K179)=0),"Uurtarief ontbreekt",IF(AND(J179="Vaste prijs",N(K179)=0),"Vaste prijs ontbreekt",IF(AND(N(I179)=0,Q179&lt;&gt;"Niet doorgegaan / verplaatst",Q179&lt;&gt;"Geen factuur nodig"),"Geen uren",IF(AND(G179="NEE",Q179="Verstuurd"),"Verstuurd terwijl werk niet af",IF(IFERROR(VLOOKUP(C179,Tarieven!$A$2:$F$200,2,0),"")="Beide","Beide-klant: controleer prijstype","OK")))))))))</f>
        <v/>
      </c>
    </row>
    <row r="180" ht="15" customHeight="1" s="42">
      <c r="A180" s="56">
        <f>IF(B180="","",WEEKNUM(B180,21))</f>
        <v/>
      </c>
      <c r="B180" s="55" t="n"/>
      <c r="C180" s="57" t="n"/>
      <c r="D180" s="57" t="n"/>
      <c r="E180" s="57" t="n"/>
      <c r="F180" s="57" t="n"/>
      <c r="G180" s="67" t="n"/>
      <c r="H180" s="68" t="n"/>
      <c r="I180" s="61">
        <f>IF(C180="","",IF(H180&lt;&gt;"",INT(H180)+ROUND(MOD(H180,1)*100/60,2),SUMIFS(Registraties!$L$5:$L$3004,Registraties!$D$5:$D$3004,C180,Registraties!$A$5:$A$3004,B180)))</f>
        <v/>
      </c>
      <c r="J180" s="58">
        <f>IF(C180="","",IFERROR(IF(VLOOKUP(C180,Tarieven!$A$2:$F$200,2,0)="Beide","Per uur",VLOOKUP(C180,Tarieven!$A$2:$F$200,2,0)),"Nog bepalen"))</f>
        <v/>
      </c>
      <c r="K180" s="69">
        <f>IF(C180="","",IF(J180="Per uur",IFERROR(VLOOKUP(C180,Tarieven!$A$2:$F$200,3,0),""),IF(J180="Vaste prijs",IFERROR(VLOOKUP(C180,Tarieven!$A$2:$F$200,4,0),""),"")))</f>
        <v/>
      </c>
      <c r="L180" s="70">
        <f>IF(C180="","",IF(J180="Per uur",N(I180)*N(K180),IF(J180="Vaste prijs",N(K180),0)))</f>
        <v/>
      </c>
      <c r="M180" s="69">
        <f>IF(C180="","",IFERROR(IF(N(VLOOKUP(C180,Tarieven!$A$2:$F$200,5,0))=0,"",VLOOKUP(C180,Tarieven!$A$2:$F$200,5,0)),""))</f>
        <v/>
      </c>
      <c r="N180" s="69" t="n"/>
      <c r="O180" s="69" t="n"/>
      <c r="P180" s="70">
        <f>IF(C180="","",N(L180)+N(M180)+N(N180)+N(O180))</f>
        <v/>
      </c>
      <c r="Q180" s="58" t="n"/>
      <c r="R180" s="57" t="n"/>
      <c r="S180" s="57" t="n"/>
      <c r="T180" s="57" t="n"/>
      <c r="U180" s="62">
        <f>IF(C180="","",IF(COUNTIF(Tarieven!$A$2:$A$200,C180)=0,"Klant niet in Tarieven",IF(MOD(N(H180),1)*100&gt;59.4,"Tijd ongeldig: minuten boven 59",IF(J180="Nog bepalen","Prijstype nog bepalen",IF(AND(J180="Per uur",N(K180)=0),"Uurtarief ontbreekt",IF(AND(J180="Vaste prijs",N(K180)=0),"Vaste prijs ontbreekt",IF(AND(N(I180)=0,Q180&lt;&gt;"Niet doorgegaan / verplaatst",Q180&lt;&gt;"Geen factuur nodig"),"Geen uren",IF(AND(G180="NEE",Q180="Verstuurd"),"Verstuurd terwijl werk niet af",IF(IFERROR(VLOOKUP(C180,Tarieven!$A$2:$F$200,2,0),"")="Beide","Beide-klant: controleer prijstype","OK")))))))))</f>
        <v/>
      </c>
    </row>
    <row r="181" ht="15" customHeight="1" s="42">
      <c r="A181" s="56">
        <f>IF(B181="","",WEEKNUM(B181,21))</f>
        <v/>
      </c>
      <c r="B181" s="55" t="n"/>
      <c r="C181" s="57" t="n"/>
      <c r="D181" s="57" t="n"/>
      <c r="E181" s="57" t="n"/>
      <c r="F181" s="57" t="n"/>
      <c r="G181" s="67" t="n"/>
      <c r="H181" s="68" t="n"/>
      <c r="I181" s="61">
        <f>IF(C181="","",IF(H181&lt;&gt;"",INT(H181)+ROUND(MOD(H181,1)*100/60,2),SUMIFS(Registraties!$L$5:$L$3004,Registraties!$D$5:$D$3004,C181,Registraties!$A$5:$A$3004,B181)))</f>
        <v/>
      </c>
      <c r="J181" s="58">
        <f>IF(C181="","",IFERROR(IF(VLOOKUP(C181,Tarieven!$A$2:$F$200,2,0)="Beide","Per uur",VLOOKUP(C181,Tarieven!$A$2:$F$200,2,0)),"Nog bepalen"))</f>
        <v/>
      </c>
      <c r="K181" s="69">
        <f>IF(C181="","",IF(J181="Per uur",IFERROR(VLOOKUP(C181,Tarieven!$A$2:$F$200,3,0),""),IF(J181="Vaste prijs",IFERROR(VLOOKUP(C181,Tarieven!$A$2:$F$200,4,0),""),"")))</f>
        <v/>
      </c>
      <c r="L181" s="70">
        <f>IF(C181="","",IF(J181="Per uur",N(I181)*N(K181),IF(J181="Vaste prijs",N(K181),0)))</f>
        <v/>
      </c>
      <c r="M181" s="69">
        <f>IF(C181="","",IFERROR(IF(N(VLOOKUP(C181,Tarieven!$A$2:$F$200,5,0))=0,"",VLOOKUP(C181,Tarieven!$A$2:$F$200,5,0)),""))</f>
        <v/>
      </c>
      <c r="N181" s="69" t="n"/>
      <c r="O181" s="69" t="n"/>
      <c r="P181" s="70">
        <f>IF(C181="","",N(L181)+N(M181)+N(N181)+N(O181))</f>
        <v/>
      </c>
      <c r="Q181" s="58" t="n"/>
      <c r="R181" s="57" t="n"/>
      <c r="S181" s="57" t="n"/>
      <c r="T181" s="57" t="n"/>
      <c r="U181" s="62">
        <f>IF(C181="","",IF(COUNTIF(Tarieven!$A$2:$A$200,C181)=0,"Klant niet in Tarieven",IF(MOD(N(H181),1)*100&gt;59.4,"Tijd ongeldig: minuten boven 59",IF(J181="Nog bepalen","Prijstype nog bepalen",IF(AND(J181="Per uur",N(K181)=0),"Uurtarief ontbreekt",IF(AND(J181="Vaste prijs",N(K181)=0),"Vaste prijs ontbreekt",IF(AND(N(I181)=0,Q181&lt;&gt;"Niet doorgegaan / verplaatst",Q181&lt;&gt;"Geen factuur nodig"),"Geen uren",IF(AND(G181="NEE",Q181="Verstuurd"),"Verstuurd terwijl werk niet af",IF(IFERROR(VLOOKUP(C181,Tarieven!$A$2:$F$200,2,0),"")="Beide","Beide-klant: controleer prijstype","OK")))))))))</f>
        <v/>
      </c>
    </row>
    <row r="182" ht="15" customHeight="1" s="42">
      <c r="A182" s="56">
        <f>IF(B182="","",WEEKNUM(B182,21))</f>
        <v/>
      </c>
      <c r="B182" s="55" t="n"/>
      <c r="C182" s="57" t="n"/>
      <c r="D182" s="57" t="n"/>
      <c r="E182" s="57" t="n"/>
      <c r="F182" s="57" t="n"/>
      <c r="G182" s="67" t="n"/>
      <c r="H182" s="68" t="n"/>
      <c r="I182" s="61">
        <f>IF(C182="","",IF(H182&lt;&gt;"",INT(H182)+ROUND(MOD(H182,1)*100/60,2),SUMIFS(Registraties!$L$5:$L$3004,Registraties!$D$5:$D$3004,C182,Registraties!$A$5:$A$3004,B182)))</f>
        <v/>
      </c>
      <c r="J182" s="58">
        <f>IF(C182="","",IFERROR(IF(VLOOKUP(C182,Tarieven!$A$2:$F$200,2,0)="Beide","Per uur",VLOOKUP(C182,Tarieven!$A$2:$F$200,2,0)),"Nog bepalen"))</f>
        <v/>
      </c>
      <c r="K182" s="69">
        <f>IF(C182="","",IF(J182="Per uur",IFERROR(VLOOKUP(C182,Tarieven!$A$2:$F$200,3,0),""),IF(J182="Vaste prijs",IFERROR(VLOOKUP(C182,Tarieven!$A$2:$F$200,4,0),""),"")))</f>
        <v/>
      </c>
      <c r="L182" s="70">
        <f>IF(C182="","",IF(J182="Per uur",N(I182)*N(K182),IF(J182="Vaste prijs",N(K182),0)))</f>
        <v/>
      </c>
      <c r="M182" s="69">
        <f>IF(C182="","",IFERROR(IF(N(VLOOKUP(C182,Tarieven!$A$2:$F$200,5,0))=0,"",VLOOKUP(C182,Tarieven!$A$2:$F$200,5,0)),""))</f>
        <v/>
      </c>
      <c r="N182" s="69" t="n"/>
      <c r="O182" s="69" t="n"/>
      <c r="P182" s="70">
        <f>IF(C182="","",N(L182)+N(M182)+N(N182)+N(O182))</f>
        <v/>
      </c>
      <c r="Q182" s="58" t="n"/>
      <c r="R182" s="57" t="n"/>
      <c r="S182" s="57" t="n"/>
      <c r="T182" s="57" t="n"/>
      <c r="U182" s="62">
        <f>IF(C182="","",IF(COUNTIF(Tarieven!$A$2:$A$200,C182)=0,"Klant niet in Tarieven",IF(MOD(N(H182),1)*100&gt;59.4,"Tijd ongeldig: minuten boven 59",IF(J182="Nog bepalen","Prijstype nog bepalen",IF(AND(J182="Per uur",N(K182)=0),"Uurtarief ontbreekt",IF(AND(J182="Vaste prijs",N(K182)=0),"Vaste prijs ontbreekt",IF(AND(N(I182)=0,Q182&lt;&gt;"Niet doorgegaan / verplaatst",Q182&lt;&gt;"Geen factuur nodig"),"Geen uren",IF(AND(G182="NEE",Q182="Verstuurd"),"Verstuurd terwijl werk niet af",IF(IFERROR(VLOOKUP(C182,Tarieven!$A$2:$F$200,2,0),"")="Beide","Beide-klant: controleer prijstype","OK")))))))))</f>
        <v/>
      </c>
    </row>
    <row r="183" ht="15" customHeight="1" s="42">
      <c r="A183" s="56">
        <f>IF(B183="","",WEEKNUM(B183,21))</f>
        <v/>
      </c>
      <c r="B183" s="55" t="n"/>
      <c r="C183" s="57" t="n"/>
      <c r="D183" s="57" t="n"/>
      <c r="E183" s="57" t="n"/>
      <c r="F183" s="57" t="n"/>
      <c r="G183" s="67" t="n"/>
      <c r="H183" s="68" t="n"/>
      <c r="I183" s="61">
        <f>IF(C183="","",IF(H183&lt;&gt;"",INT(H183)+ROUND(MOD(H183,1)*100/60,2),SUMIFS(Registraties!$L$5:$L$3004,Registraties!$D$5:$D$3004,C183,Registraties!$A$5:$A$3004,B183)))</f>
        <v/>
      </c>
      <c r="J183" s="58">
        <f>IF(C183="","",IFERROR(IF(VLOOKUP(C183,Tarieven!$A$2:$F$200,2,0)="Beide","Per uur",VLOOKUP(C183,Tarieven!$A$2:$F$200,2,0)),"Nog bepalen"))</f>
        <v/>
      </c>
      <c r="K183" s="69">
        <f>IF(C183="","",IF(J183="Per uur",IFERROR(VLOOKUP(C183,Tarieven!$A$2:$F$200,3,0),""),IF(J183="Vaste prijs",IFERROR(VLOOKUP(C183,Tarieven!$A$2:$F$200,4,0),""),"")))</f>
        <v/>
      </c>
      <c r="L183" s="70">
        <f>IF(C183="","",IF(J183="Per uur",N(I183)*N(K183),IF(J183="Vaste prijs",N(K183),0)))</f>
        <v/>
      </c>
      <c r="M183" s="69">
        <f>IF(C183="","",IFERROR(IF(N(VLOOKUP(C183,Tarieven!$A$2:$F$200,5,0))=0,"",VLOOKUP(C183,Tarieven!$A$2:$F$200,5,0)),""))</f>
        <v/>
      </c>
      <c r="N183" s="69" t="n"/>
      <c r="O183" s="69" t="n"/>
      <c r="P183" s="70">
        <f>IF(C183="","",N(L183)+N(M183)+N(N183)+N(O183))</f>
        <v/>
      </c>
      <c r="Q183" s="58" t="n"/>
      <c r="R183" s="57" t="n"/>
      <c r="S183" s="57" t="n"/>
      <c r="T183" s="57" t="n"/>
      <c r="U183" s="62">
        <f>IF(C183="","",IF(COUNTIF(Tarieven!$A$2:$A$200,C183)=0,"Klant niet in Tarieven",IF(MOD(N(H183),1)*100&gt;59.4,"Tijd ongeldig: minuten boven 59",IF(J183="Nog bepalen","Prijstype nog bepalen",IF(AND(J183="Per uur",N(K183)=0),"Uurtarief ontbreekt",IF(AND(J183="Vaste prijs",N(K183)=0),"Vaste prijs ontbreekt",IF(AND(N(I183)=0,Q183&lt;&gt;"Niet doorgegaan / verplaatst",Q183&lt;&gt;"Geen factuur nodig"),"Geen uren",IF(AND(G183="NEE",Q183="Verstuurd"),"Verstuurd terwijl werk niet af",IF(IFERROR(VLOOKUP(C183,Tarieven!$A$2:$F$200,2,0),"")="Beide","Beide-klant: controleer prijstype","OK")))))))))</f>
        <v/>
      </c>
    </row>
    <row r="184" ht="15" customHeight="1" s="42">
      <c r="A184" s="56">
        <f>IF(B184="","",WEEKNUM(B184,21))</f>
        <v/>
      </c>
      <c r="B184" s="55" t="n"/>
      <c r="C184" s="57" t="n"/>
      <c r="D184" s="57" t="n"/>
      <c r="E184" s="57" t="n"/>
      <c r="F184" s="57" t="n"/>
      <c r="G184" s="67" t="n"/>
      <c r="H184" s="68" t="n"/>
      <c r="I184" s="61">
        <f>IF(C184="","",IF(H184&lt;&gt;"",INT(H184)+ROUND(MOD(H184,1)*100/60,2),SUMIFS(Registraties!$L$5:$L$3004,Registraties!$D$5:$D$3004,C184,Registraties!$A$5:$A$3004,B184)))</f>
        <v/>
      </c>
      <c r="J184" s="58">
        <f>IF(C184="","",IFERROR(IF(VLOOKUP(C184,Tarieven!$A$2:$F$200,2,0)="Beide","Per uur",VLOOKUP(C184,Tarieven!$A$2:$F$200,2,0)),"Nog bepalen"))</f>
        <v/>
      </c>
      <c r="K184" s="69">
        <f>IF(C184="","",IF(J184="Per uur",IFERROR(VLOOKUP(C184,Tarieven!$A$2:$F$200,3,0),""),IF(J184="Vaste prijs",IFERROR(VLOOKUP(C184,Tarieven!$A$2:$F$200,4,0),""),"")))</f>
        <v/>
      </c>
      <c r="L184" s="70">
        <f>IF(C184="","",IF(J184="Per uur",N(I184)*N(K184),IF(J184="Vaste prijs",N(K184),0)))</f>
        <v/>
      </c>
      <c r="M184" s="69">
        <f>IF(C184="","",IFERROR(IF(N(VLOOKUP(C184,Tarieven!$A$2:$F$200,5,0))=0,"",VLOOKUP(C184,Tarieven!$A$2:$F$200,5,0)),""))</f>
        <v/>
      </c>
      <c r="N184" s="69" t="n"/>
      <c r="O184" s="69" t="n"/>
      <c r="P184" s="70">
        <f>IF(C184="","",N(L184)+N(M184)+N(N184)+N(O184))</f>
        <v/>
      </c>
      <c r="Q184" s="58" t="n"/>
      <c r="R184" s="57" t="n"/>
      <c r="S184" s="57" t="n"/>
      <c r="T184" s="57" t="n"/>
      <c r="U184" s="62">
        <f>IF(C184="","",IF(COUNTIF(Tarieven!$A$2:$A$200,C184)=0,"Klant niet in Tarieven",IF(MOD(N(H184),1)*100&gt;59.4,"Tijd ongeldig: minuten boven 59",IF(J184="Nog bepalen","Prijstype nog bepalen",IF(AND(J184="Per uur",N(K184)=0),"Uurtarief ontbreekt",IF(AND(J184="Vaste prijs",N(K184)=0),"Vaste prijs ontbreekt",IF(AND(N(I184)=0,Q184&lt;&gt;"Niet doorgegaan / verplaatst",Q184&lt;&gt;"Geen factuur nodig"),"Geen uren",IF(AND(G184="NEE",Q184="Verstuurd"),"Verstuurd terwijl werk niet af",IF(IFERROR(VLOOKUP(C184,Tarieven!$A$2:$F$200,2,0),"")="Beide","Beide-klant: controleer prijstype","OK")))))))))</f>
        <v/>
      </c>
    </row>
    <row r="185" ht="15" customHeight="1" s="42">
      <c r="A185" s="56">
        <f>IF(B185="","",WEEKNUM(B185,21))</f>
        <v/>
      </c>
      <c r="B185" s="55" t="n"/>
      <c r="C185" s="57" t="n"/>
      <c r="D185" s="57" t="n"/>
      <c r="E185" s="57" t="n"/>
      <c r="F185" s="57" t="n"/>
      <c r="G185" s="67" t="n"/>
      <c r="H185" s="68" t="n"/>
      <c r="I185" s="61">
        <f>IF(C185="","",IF(H185&lt;&gt;"",INT(H185)+ROUND(MOD(H185,1)*100/60,2),SUMIFS(Registraties!$L$5:$L$3004,Registraties!$D$5:$D$3004,C185,Registraties!$A$5:$A$3004,B185)))</f>
        <v/>
      </c>
      <c r="J185" s="58">
        <f>IF(C185="","",IFERROR(IF(VLOOKUP(C185,Tarieven!$A$2:$F$200,2,0)="Beide","Per uur",VLOOKUP(C185,Tarieven!$A$2:$F$200,2,0)),"Nog bepalen"))</f>
        <v/>
      </c>
      <c r="K185" s="69">
        <f>IF(C185="","",IF(J185="Per uur",IFERROR(VLOOKUP(C185,Tarieven!$A$2:$F$200,3,0),""),IF(J185="Vaste prijs",IFERROR(VLOOKUP(C185,Tarieven!$A$2:$F$200,4,0),""),"")))</f>
        <v/>
      </c>
      <c r="L185" s="70">
        <f>IF(C185="","",IF(J185="Per uur",N(I185)*N(K185),IF(J185="Vaste prijs",N(K185),0)))</f>
        <v/>
      </c>
      <c r="M185" s="69">
        <f>IF(C185="","",IFERROR(IF(N(VLOOKUP(C185,Tarieven!$A$2:$F$200,5,0))=0,"",VLOOKUP(C185,Tarieven!$A$2:$F$200,5,0)),""))</f>
        <v/>
      </c>
      <c r="N185" s="69" t="n"/>
      <c r="O185" s="69" t="n"/>
      <c r="P185" s="70">
        <f>IF(C185="","",N(L185)+N(M185)+N(N185)+N(O185))</f>
        <v/>
      </c>
      <c r="Q185" s="58" t="n"/>
      <c r="R185" s="57" t="n"/>
      <c r="S185" s="57" t="n"/>
      <c r="T185" s="57" t="n"/>
      <c r="U185" s="62">
        <f>IF(C185="","",IF(COUNTIF(Tarieven!$A$2:$A$200,C185)=0,"Klant niet in Tarieven",IF(MOD(N(H185),1)*100&gt;59.4,"Tijd ongeldig: minuten boven 59",IF(J185="Nog bepalen","Prijstype nog bepalen",IF(AND(J185="Per uur",N(K185)=0),"Uurtarief ontbreekt",IF(AND(J185="Vaste prijs",N(K185)=0),"Vaste prijs ontbreekt",IF(AND(N(I185)=0,Q185&lt;&gt;"Niet doorgegaan / verplaatst",Q185&lt;&gt;"Geen factuur nodig"),"Geen uren",IF(AND(G185="NEE",Q185="Verstuurd"),"Verstuurd terwijl werk niet af",IF(IFERROR(VLOOKUP(C185,Tarieven!$A$2:$F$200,2,0),"")="Beide","Beide-klant: controleer prijstype","OK")))))))))</f>
        <v/>
      </c>
    </row>
    <row r="186" ht="15" customHeight="1" s="42">
      <c r="A186" s="56">
        <f>IF(B186="","",WEEKNUM(B186,21))</f>
        <v/>
      </c>
      <c r="B186" s="55" t="n"/>
      <c r="C186" s="57" t="n"/>
      <c r="D186" s="57" t="n"/>
      <c r="E186" s="57" t="n"/>
      <c r="F186" s="57" t="n"/>
      <c r="G186" s="67" t="n"/>
      <c r="H186" s="68" t="n"/>
      <c r="I186" s="61">
        <f>IF(C186="","",IF(H186&lt;&gt;"",INT(H186)+ROUND(MOD(H186,1)*100/60,2),SUMIFS(Registraties!$L$5:$L$3004,Registraties!$D$5:$D$3004,C186,Registraties!$A$5:$A$3004,B186)))</f>
        <v/>
      </c>
      <c r="J186" s="58">
        <f>IF(C186="","",IFERROR(IF(VLOOKUP(C186,Tarieven!$A$2:$F$200,2,0)="Beide","Per uur",VLOOKUP(C186,Tarieven!$A$2:$F$200,2,0)),"Nog bepalen"))</f>
        <v/>
      </c>
      <c r="K186" s="69">
        <f>IF(C186="","",IF(J186="Per uur",IFERROR(VLOOKUP(C186,Tarieven!$A$2:$F$200,3,0),""),IF(J186="Vaste prijs",IFERROR(VLOOKUP(C186,Tarieven!$A$2:$F$200,4,0),""),"")))</f>
        <v/>
      </c>
      <c r="L186" s="70">
        <f>IF(C186="","",IF(J186="Per uur",N(I186)*N(K186),IF(J186="Vaste prijs",N(K186),0)))</f>
        <v/>
      </c>
      <c r="M186" s="69">
        <f>IF(C186="","",IFERROR(IF(N(VLOOKUP(C186,Tarieven!$A$2:$F$200,5,0))=0,"",VLOOKUP(C186,Tarieven!$A$2:$F$200,5,0)),""))</f>
        <v/>
      </c>
      <c r="N186" s="69" t="n"/>
      <c r="O186" s="69" t="n"/>
      <c r="P186" s="70">
        <f>IF(C186="","",N(L186)+N(M186)+N(N186)+N(O186))</f>
        <v/>
      </c>
      <c r="Q186" s="58" t="n"/>
      <c r="R186" s="57" t="n"/>
      <c r="S186" s="57" t="n"/>
      <c r="T186" s="57" t="n"/>
      <c r="U186" s="62">
        <f>IF(C186="","",IF(COUNTIF(Tarieven!$A$2:$A$200,C186)=0,"Klant niet in Tarieven",IF(MOD(N(H186),1)*100&gt;59.4,"Tijd ongeldig: minuten boven 59",IF(J186="Nog bepalen","Prijstype nog bepalen",IF(AND(J186="Per uur",N(K186)=0),"Uurtarief ontbreekt",IF(AND(J186="Vaste prijs",N(K186)=0),"Vaste prijs ontbreekt",IF(AND(N(I186)=0,Q186&lt;&gt;"Niet doorgegaan / verplaatst",Q186&lt;&gt;"Geen factuur nodig"),"Geen uren",IF(AND(G186="NEE",Q186="Verstuurd"),"Verstuurd terwijl werk niet af",IF(IFERROR(VLOOKUP(C186,Tarieven!$A$2:$F$200,2,0),"")="Beide","Beide-klant: controleer prijstype","OK")))))))))</f>
        <v/>
      </c>
    </row>
    <row r="187" ht="15" customHeight="1" s="42">
      <c r="A187" s="56">
        <f>IF(B187="","",WEEKNUM(B187,21))</f>
        <v/>
      </c>
      <c r="B187" s="55" t="n"/>
      <c r="C187" s="57" t="n"/>
      <c r="D187" s="57" t="n"/>
      <c r="E187" s="57" t="n"/>
      <c r="F187" s="57" t="n"/>
      <c r="G187" s="67" t="n"/>
      <c r="H187" s="68" t="n"/>
      <c r="I187" s="61">
        <f>IF(C187="","",IF(H187&lt;&gt;"",INT(H187)+ROUND(MOD(H187,1)*100/60,2),SUMIFS(Registraties!$L$5:$L$3004,Registraties!$D$5:$D$3004,C187,Registraties!$A$5:$A$3004,B187)))</f>
        <v/>
      </c>
      <c r="J187" s="58">
        <f>IF(C187="","",IFERROR(IF(VLOOKUP(C187,Tarieven!$A$2:$F$200,2,0)="Beide","Per uur",VLOOKUP(C187,Tarieven!$A$2:$F$200,2,0)),"Nog bepalen"))</f>
        <v/>
      </c>
      <c r="K187" s="69">
        <f>IF(C187="","",IF(J187="Per uur",IFERROR(VLOOKUP(C187,Tarieven!$A$2:$F$200,3,0),""),IF(J187="Vaste prijs",IFERROR(VLOOKUP(C187,Tarieven!$A$2:$F$200,4,0),""),"")))</f>
        <v/>
      </c>
      <c r="L187" s="70">
        <f>IF(C187="","",IF(J187="Per uur",N(I187)*N(K187),IF(J187="Vaste prijs",N(K187),0)))</f>
        <v/>
      </c>
      <c r="M187" s="69">
        <f>IF(C187="","",IFERROR(IF(N(VLOOKUP(C187,Tarieven!$A$2:$F$200,5,0))=0,"",VLOOKUP(C187,Tarieven!$A$2:$F$200,5,0)),""))</f>
        <v/>
      </c>
      <c r="N187" s="69" t="n"/>
      <c r="O187" s="69" t="n"/>
      <c r="P187" s="70">
        <f>IF(C187="","",N(L187)+N(M187)+N(N187)+N(O187))</f>
        <v/>
      </c>
      <c r="Q187" s="58" t="n"/>
      <c r="R187" s="57" t="n"/>
      <c r="S187" s="57" t="n"/>
      <c r="T187" s="57" t="n"/>
      <c r="U187" s="62">
        <f>IF(C187="","",IF(COUNTIF(Tarieven!$A$2:$A$200,C187)=0,"Klant niet in Tarieven",IF(MOD(N(H187),1)*100&gt;59.4,"Tijd ongeldig: minuten boven 59",IF(J187="Nog bepalen","Prijstype nog bepalen",IF(AND(J187="Per uur",N(K187)=0),"Uurtarief ontbreekt",IF(AND(J187="Vaste prijs",N(K187)=0),"Vaste prijs ontbreekt",IF(AND(N(I187)=0,Q187&lt;&gt;"Niet doorgegaan / verplaatst",Q187&lt;&gt;"Geen factuur nodig"),"Geen uren",IF(AND(G187="NEE",Q187="Verstuurd"),"Verstuurd terwijl werk niet af",IF(IFERROR(VLOOKUP(C187,Tarieven!$A$2:$F$200,2,0),"")="Beide","Beide-klant: controleer prijstype","OK")))))))))</f>
        <v/>
      </c>
    </row>
    <row r="188" ht="15" customHeight="1" s="42">
      <c r="A188" s="56">
        <f>IF(B188="","",WEEKNUM(B188,21))</f>
        <v/>
      </c>
      <c r="B188" s="55" t="n"/>
      <c r="C188" s="57" t="n"/>
      <c r="D188" s="57" t="n"/>
      <c r="E188" s="57" t="n"/>
      <c r="F188" s="57" t="n"/>
      <c r="G188" s="67" t="n"/>
      <c r="H188" s="68" t="n"/>
      <c r="I188" s="61">
        <f>IF(C188="","",IF(H188&lt;&gt;"",INT(H188)+ROUND(MOD(H188,1)*100/60,2),SUMIFS(Registraties!$L$5:$L$3004,Registraties!$D$5:$D$3004,C188,Registraties!$A$5:$A$3004,B188)))</f>
        <v/>
      </c>
      <c r="J188" s="58">
        <f>IF(C188="","",IFERROR(IF(VLOOKUP(C188,Tarieven!$A$2:$F$200,2,0)="Beide","Per uur",VLOOKUP(C188,Tarieven!$A$2:$F$200,2,0)),"Nog bepalen"))</f>
        <v/>
      </c>
      <c r="K188" s="69">
        <f>IF(C188="","",IF(J188="Per uur",IFERROR(VLOOKUP(C188,Tarieven!$A$2:$F$200,3,0),""),IF(J188="Vaste prijs",IFERROR(VLOOKUP(C188,Tarieven!$A$2:$F$200,4,0),""),"")))</f>
        <v/>
      </c>
      <c r="L188" s="70">
        <f>IF(C188="","",IF(J188="Per uur",N(I188)*N(K188),IF(J188="Vaste prijs",N(K188),0)))</f>
        <v/>
      </c>
      <c r="M188" s="69">
        <f>IF(C188="","",IFERROR(IF(N(VLOOKUP(C188,Tarieven!$A$2:$F$200,5,0))=0,"",VLOOKUP(C188,Tarieven!$A$2:$F$200,5,0)),""))</f>
        <v/>
      </c>
      <c r="N188" s="69" t="n"/>
      <c r="O188" s="69" t="n"/>
      <c r="P188" s="70">
        <f>IF(C188="","",N(L188)+N(M188)+N(N188)+N(O188))</f>
        <v/>
      </c>
      <c r="Q188" s="58" t="n"/>
      <c r="R188" s="57" t="n"/>
      <c r="S188" s="57" t="n"/>
      <c r="T188" s="57" t="n"/>
      <c r="U188" s="62">
        <f>IF(C188="","",IF(COUNTIF(Tarieven!$A$2:$A$200,C188)=0,"Klant niet in Tarieven",IF(MOD(N(H188),1)*100&gt;59.4,"Tijd ongeldig: minuten boven 59",IF(J188="Nog bepalen","Prijstype nog bepalen",IF(AND(J188="Per uur",N(K188)=0),"Uurtarief ontbreekt",IF(AND(J188="Vaste prijs",N(K188)=0),"Vaste prijs ontbreekt",IF(AND(N(I188)=0,Q188&lt;&gt;"Niet doorgegaan / verplaatst",Q188&lt;&gt;"Geen factuur nodig"),"Geen uren",IF(AND(G188="NEE",Q188="Verstuurd"),"Verstuurd terwijl werk niet af",IF(IFERROR(VLOOKUP(C188,Tarieven!$A$2:$F$200,2,0),"")="Beide","Beide-klant: controleer prijstype","OK")))))))))</f>
        <v/>
      </c>
    </row>
    <row r="189" ht="15" customHeight="1" s="42">
      <c r="A189" s="56">
        <f>IF(B189="","",WEEKNUM(B189,21))</f>
        <v/>
      </c>
      <c r="B189" s="55" t="n"/>
      <c r="C189" s="57" t="n"/>
      <c r="D189" s="57" t="n"/>
      <c r="E189" s="57" t="n"/>
      <c r="F189" s="57" t="n"/>
      <c r="G189" s="67" t="n"/>
      <c r="H189" s="68" t="n"/>
      <c r="I189" s="61">
        <f>IF(C189="","",IF(H189&lt;&gt;"",INT(H189)+ROUND(MOD(H189,1)*100/60,2),SUMIFS(Registraties!$L$5:$L$3004,Registraties!$D$5:$D$3004,C189,Registraties!$A$5:$A$3004,B189)))</f>
        <v/>
      </c>
      <c r="J189" s="58">
        <f>IF(C189="","",IFERROR(IF(VLOOKUP(C189,Tarieven!$A$2:$F$200,2,0)="Beide","Per uur",VLOOKUP(C189,Tarieven!$A$2:$F$200,2,0)),"Nog bepalen"))</f>
        <v/>
      </c>
      <c r="K189" s="69">
        <f>IF(C189="","",IF(J189="Per uur",IFERROR(VLOOKUP(C189,Tarieven!$A$2:$F$200,3,0),""),IF(J189="Vaste prijs",IFERROR(VLOOKUP(C189,Tarieven!$A$2:$F$200,4,0),""),"")))</f>
        <v/>
      </c>
      <c r="L189" s="70">
        <f>IF(C189="","",IF(J189="Per uur",N(I189)*N(K189),IF(J189="Vaste prijs",N(K189),0)))</f>
        <v/>
      </c>
      <c r="M189" s="69">
        <f>IF(C189="","",IFERROR(IF(N(VLOOKUP(C189,Tarieven!$A$2:$F$200,5,0))=0,"",VLOOKUP(C189,Tarieven!$A$2:$F$200,5,0)),""))</f>
        <v/>
      </c>
      <c r="N189" s="69" t="n"/>
      <c r="O189" s="69" t="n"/>
      <c r="P189" s="70">
        <f>IF(C189="","",N(L189)+N(M189)+N(N189)+N(O189))</f>
        <v/>
      </c>
      <c r="Q189" s="58" t="n"/>
      <c r="R189" s="57" t="n"/>
      <c r="S189" s="57" t="n"/>
      <c r="T189" s="57" t="n"/>
      <c r="U189" s="62">
        <f>IF(C189="","",IF(COUNTIF(Tarieven!$A$2:$A$200,C189)=0,"Klant niet in Tarieven",IF(MOD(N(H189),1)*100&gt;59.4,"Tijd ongeldig: minuten boven 59",IF(J189="Nog bepalen","Prijstype nog bepalen",IF(AND(J189="Per uur",N(K189)=0),"Uurtarief ontbreekt",IF(AND(J189="Vaste prijs",N(K189)=0),"Vaste prijs ontbreekt",IF(AND(N(I189)=0,Q189&lt;&gt;"Niet doorgegaan / verplaatst",Q189&lt;&gt;"Geen factuur nodig"),"Geen uren",IF(AND(G189="NEE",Q189="Verstuurd"),"Verstuurd terwijl werk niet af",IF(IFERROR(VLOOKUP(C189,Tarieven!$A$2:$F$200,2,0),"")="Beide","Beide-klant: controleer prijstype","OK")))))))))</f>
        <v/>
      </c>
    </row>
    <row r="190" ht="15" customHeight="1" s="42">
      <c r="A190" s="56">
        <f>IF(B190="","",WEEKNUM(B190,21))</f>
        <v/>
      </c>
      <c r="B190" s="55" t="n"/>
      <c r="C190" s="57" t="n"/>
      <c r="D190" s="57" t="n"/>
      <c r="E190" s="57" t="n"/>
      <c r="F190" s="57" t="n"/>
      <c r="G190" s="67" t="n"/>
      <c r="H190" s="68" t="n"/>
      <c r="I190" s="61">
        <f>IF(C190="","",IF(H190&lt;&gt;"",INT(H190)+ROUND(MOD(H190,1)*100/60,2),SUMIFS(Registraties!$L$5:$L$3004,Registraties!$D$5:$D$3004,C190,Registraties!$A$5:$A$3004,B190)))</f>
        <v/>
      </c>
      <c r="J190" s="58">
        <f>IF(C190="","",IFERROR(IF(VLOOKUP(C190,Tarieven!$A$2:$F$200,2,0)="Beide","Per uur",VLOOKUP(C190,Tarieven!$A$2:$F$200,2,0)),"Nog bepalen"))</f>
        <v/>
      </c>
      <c r="K190" s="69">
        <f>IF(C190="","",IF(J190="Per uur",IFERROR(VLOOKUP(C190,Tarieven!$A$2:$F$200,3,0),""),IF(J190="Vaste prijs",IFERROR(VLOOKUP(C190,Tarieven!$A$2:$F$200,4,0),""),"")))</f>
        <v/>
      </c>
      <c r="L190" s="70">
        <f>IF(C190="","",IF(J190="Per uur",N(I190)*N(K190),IF(J190="Vaste prijs",N(K190),0)))</f>
        <v/>
      </c>
      <c r="M190" s="69">
        <f>IF(C190="","",IFERROR(IF(N(VLOOKUP(C190,Tarieven!$A$2:$F$200,5,0))=0,"",VLOOKUP(C190,Tarieven!$A$2:$F$200,5,0)),""))</f>
        <v/>
      </c>
      <c r="N190" s="69" t="n"/>
      <c r="O190" s="69" t="n"/>
      <c r="P190" s="70">
        <f>IF(C190="","",N(L190)+N(M190)+N(N190)+N(O190))</f>
        <v/>
      </c>
      <c r="Q190" s="58" t="n"/>
      <c r="R190" s="57" t="n"/>
      <c r="S190" s="57" t="n"/>
      <c r="T190" s="57" t="n"/>
      <c r="U190" s="62">
        <f>IF(C190="","",IF(COUNTIF(Tarieven!$A$2:$A$200,C190)=0,"Klant niet in Tarieven",IF(MOD(N(H190),1)*100&gt;59.4,"Tijd ongeldig: minuten boven 59",IF(J190="Nog bepalen","Prijstype nog bepalen",IF(AND(J190="Per uur",N(K190)=0),"Uurtarief ontbreekt",IF(AND(J190="Vaste prijs",N(K190)=0),"Vaste prijs ontbreekt",IF(AND(N(I190)=0,Q190&lt;&gt;"Niet doorgegaan / verplaatst",Q190&lt;&gt;"Geen factuur nodig"),"Geen uren",IF(AND(G190="NEE",Q190="Verstuurd"),"Verstuurd terwijl werk niet af",IF(IFERROR(VLOOKUP(C190,Tarieven!$A$2:$F$200,2,0),"")="Beide","Beide-klant: controleer prijstype","OK")))))))))</f>
        <v/>
      </c>
    </row>
    <row r="191" ht="15" customHeight="1" s="42">
      <c r="A191" s="56">
        <f>IF(B191="","",WEEKNUM(B191,21))</f>
        <v/>
      </c>
      <c r="B191" s="55" t="n"/>
      <c r="C191" s="57" t="n"/>
      <c r="D191" s="57" t="n"/>
      <c r="E191" s="57" t="n"/>
      <c r="F191" s="57" t="n"/>
      <c r="G191" s="67" t="n"/>
      <c r="H191" s="68" t="n"/>
      <c r="I191" s="61">
        <f>IF(C191="","",IF(H191&lt;&gt;"",INT(H191)+ROUND(MOD(H191,1)*100/60,2),SUMIFS(Registraties!$L$5:$L$3004,Registraties!$D$5:$D$3004,C191,Registraties!$A$5:$A$3004,B191)))</f>
        <v/>
      </c>
      <c r="J191" s="58">
        <f>IF(C191="","",IFERROR(IF(VLOOKUP(C191,Tarieven!$A$2:$F$200,2,0)="Beide","Per uur",VLOOKUP(C191,Tarieven!$A$2:$F$200,2,0)),"Nog bepalen"))</f>
        <v/>
      </c>
      <c r="K191" s="69">
        <f>IF(C191="","",IF(J191="Per uur",IFERROR(VLOOKUP(C191,Tarieven!$A$2:$F$200,3,0),""),IF(J191="Vaste prijs",IFERROR(VLOOKUP(C191,Tarieven!$A$2:$F$200,4,0),""),"")))</f>
        <v/>
      </c>
      <c r="L191" s="70">
        <f>IF(C191="","",IF(J191="Per uur",N(I191)*N(K191),IF(J191="Vaste prijs",N(K191),0)))</f>
        <v/>
      </c>
      <c r="M191" s="69">
        <f>IF(C191="","",IFERROR(IF(N(VLOOKUP(C191,Tarieven!$A$2:$F$200,5,0))=0,"",VLOOKUP(C191,Tarieven!$A$2:$F$200,5,0)),""))</f>
        <v/>
      </c>
      <c r="N191" s="69" t="n"/>
      <c r="O191" s="69" t="n"/>
      <c r="P191" s="70">
        <f>IF(C191="","",N(L191)+N(M191)+N(N191)+N(O191))</f>
        <v/>
      </c>
      <c r="Q191" s="58" t="n"/>
      <c r="R191" s="57" t="n"/>
      <c r="S191" s="57" t="n"/>
      <c r="T191" s="57" t="n"/>
      <c r="U191" s="62">
        <f>IF(C191="","",IF(COUNTIF(Tarieven!$A$2:$A$200,C191)=0,"Klant niet in Tarieven",IF(MOD(N(H191),1)*100&gt;59.4,"Tijd ongeldig: minuten boven 59",IF(J191="Nog bepalen","Prijstype nog bepalen",IF(AND(J191="Per uur",N(K191)=0),"Uurtarief ontbreekt",IF(AND(J191="Vaste prijs",N(K191)=0),"Vaste prijs ontbreekt",IF(AND(N(I191)=0,Q191&lt;&gt;"Niet doorgegaan / verplaatst",Q191&lt;&gt;"Geen factuur nodig"),"Geen uren",IF(AND(G191="NEE",Q191="Verstuurd"),"Verstuurd terwijl werk niet af",IF(IFERROR(VLOOKUP(C191,Tarieven!$A$2:$F$200,2,0),"")="Beide","Beide-klant: controleer prijstype","OK")))))))))</f>
        <v/>
      </c>
    </row>
    <row r="192" ht="15" customHeight="1" s="42">
      <c r="A192" s="56">
        <f>IF(B192="","",WEEKNUM(B192,21))</f>
        <v/>
      </c>
      <c r="B192" s="55" t="n"/>
      <c r="C192" s="57" t="n"/>
      <c r="D192" s="57" t="n"/>
      <c r="E192" s="57" t="n"/>
      <c r="F192" s="57" t="n"/>
      <c r="G192" s="67" t="n"/>
      <c r="H192" s="68" t="n"/>
      <c r="I192" s="61">
        <f>IF(C192="","",IF(H192&lt;&gt;"",INT(H192)+ROUND(MOD(H192,1)*100/60,2),SUMIFS(Registraties!$L$5:$L$3004,Registraties!$D$5:$D$3004,C192,Registraties!$A$5:$A$3004,B192)))</f>
        <v/>
      </c>
      <c r="J192" s="58">
        <f>IF(C192="","",IFERROR(IF(VLOOKUP(C192,Tarieven!$A$2:$F$200,2,0)="Beide","Per uur",VLOOKUP(C192,Tarieven!$A$2:$F$200,2,0)),"Nog bepalen"))</f>
        <v/>
      </c>
      <c r="K192" s="69">
        <f>IF(C192="","",IF(J192="Per uur",IFERROR(VLOOKUP(C192,Tarieven!$A$2:$F$200,3,0),""),IF(J192="Vaste prijs",IFERROR(VLOOKUP(C192,Tarieven!$A$2:$F$200,4,0),""),"")))</f>
        <v/>
      </c>
      <c r="L192" s="70">
        <f>IF(C192="","",IF(J192="Per uur",N(I192)*N(K192),IF(J192="Vaste prijs",N(K192),0)))</f>
        <v/>
      </c>
      <c r="M192" s="69">
        <f>IF(C192="","",IFERROR(IF(N(VLOOKUP(C192,Tarieven!$A$2:$F$200,5,0))=0,"",VLOOKUP(C192,Tarieven!$A$2:$F$200,5,0)),""))</f>
        <v/>
      </c>
      <c r="N192" s="69" t="n"/>
      <c r="O192" s="69" t="n"/>
      <c r="P192" s="70">
        <f>IF(C192="","",N(L192)+N(M192)+N(N192)+N(O192))</f>
        <v/>
      </c>
      <c r="Q192" s="58" t="n"/>
      <c r="R192" s="57" t="n"/>
      <c r="S192" s="57" t="n"/>
      <c r="T192" s="57" t="n"/>
      <c r="U192" s="62">
        <f>IF(C192="","",IF(COUNTIF(Tarieven!$A$2:$A$200,C192)=0,"Klant niet in Tarieven",IF(MOD(N(H192),1)*100&gt;59.4,"Tijd ongeldig: minuten boven 59",IF(J192="Nog bepalen","Prijstype nog bepalen",IF(AND(J192="Per uur",N(K192)=0),"Uurtarief ontbreekt",IF(AND(J192="Vaste prijs",N(K192)=0),"Vaste prijs ontbreekt",IF(AND(N(I192)=0,Q192&lt;&gt;"Niet doorgegaan / verplaatst",Q192&lt;&gt;"Geen factuur nodig"),"Geen uren",IF(AND(G192="NEE",Q192="Verstuurd"),"Verstuurd terwijl werk niet af",IF(IFERROR(VLOOKUP(C192,Tarieven!$A$2:$F$200,2,0),"")="Beide","Beide-klant: controleer prijstype","OK")))))))))</f>
        <v/>
      </c>
    </row>
    <row r="193" ht="15" customHeight="1" s="42">
      <c r="A193" s="56">
        <f>IF(B193="","",WEEKNUM(B193,21))</f>
        <v/>
      </c>
      <c r="B193" s="55" t="n"/>
      <c r="C193" s="57" t="n"/>
      <c r="D193" s="57" t="n"/>
      <c r="E193" s="57" t="n"/>
      <c r="F193" s="57" t="n"/>
      <c r="G193" s="67" t="n"/>
      <c r="H193" s="68" t="n"/>
      <c r="I193" s="61">
        <f>IF(C193="","",IF(H193&lt;&gt;"",INT(H193)+ROUND(MOD(H193,1)*100/60,2),SUMIFS(Registraties!$L$5:$L$3004,Registraties!$D$5:$D$3004,C193,Registraties!$A$5:$A$3004,B193)))</f>
        <v/>
      </c>
      <c r="J193" s="58">
        <f>IF(C193="","",IFERROR(IF(VLOOKUP(C193,Tarieven!$A$2:$F$200,2,0)="Beide","Per uur",VLOOKUP(C193,Tarieven!$A$2:$F$200,2,0)),"Nog bepalen"))</f>
        <v/>
      </c>
      <c r="K193" s="69">
        <f>IF(C193="","",IF(J193="Per uur",IFERROR(VLOOKUP(C193,Tarieven!$A$2:$F$200,3,0),""),IF(J193="Vaste prijs",IFERROR(VLOOKUP(C193,Tarieven!$A$2:$F$200,4,0),""),"")))</f>
        <v/>
      </c>
      <c r="L193" s="70">
        <f>IF(C193="","",IF(J193="Per uur",N(I193)*N(K193),IF(J193="Vaste prijs",N(K193),0)))</f>
        <v/>
      </c>
      <c r="M193" s="69">
        <f>IF(C193="","",IFERROR(IF(N(VLOOKUP(C193,Tarieven!$A$2:$F$200,5,0))=0,"",VLOOKUP(C193,Tarieven!$A$2:$F$200,5,0)),""))</f>
        <v/>
      </c>
      <c r="N193" s="69" t="n"/>
      <c r="O193" s="69" t="n"/>
      <c r="P193" s="70">
        <f>IF(C193="","",N(L193)+N(M193)+N(N193)+N(O193))</f>
        <v/>
      </c>
      <c r="Q193" s="58" t="n"/>
      <c r="R193" s="57" t="n"/>
      <c r="S193" s="57" t="n"/>
      <c r="T193" s="57" t="n"/>
      <c r="U193" s="62">
        <f>IF(C193="","",IF(COUNTIF(Tarieven!$A$2:$A$200,C193)=0,"Klant niet in Tarieven",IF(MOD(N(H193),1)*100&gt;59.4,"Tijd ongeldig: minuten boven 59",IF(J193="Nog bepalen","Prijstype nog bepalen",IF(AND(J193="Per uur",N(K193)=0),"Uurtarief ontbreekt",IF(AND(J193="Vaste prijs",N(K193)=0),"Vaste prijs ontbreekt",IF(AND(N(I193)=0,Q193&lt;&gt;"Niet doorgegaan / verplaatst",Q193&lt;&gt;"Geen factuur nodig"),"Geen uren",IF(AND(G193="NEE",Q193="Verstuurd"),"Verstuurd terwijl werk niet af",IF(IFERROR(VLOOKUP(C193,Tarieven!$A$2:$F$200,2,0),"")="Beide","Beide-klant: controleer prijstype","OK")))))))))</f>
        <v/>
      </c>
    </row>
    <row r="194" ht="15" customHeight="1" s="42">
      <c r="A194" s="56">
        <f>IF(B194="","",WEEKNUM(B194,21))</f>
        <v/>
      </c>
      <c r="B194" s="55" t="n"/>
      <c r="C194" s="57" t="n"/>
      <c r="D194" s="57" t="n"/>
      <c r="E194" s="57" t="n"/>
      <c r="F194" s="57" t="n"/>
      <c r="G194" s="67" t="n"/>
      <c r="H194" s="68" t="n"/>
      <c r="I194" s="61">
        <f>IF(C194="","",IF(H194&lt;&gt;"",INT(H194)+ROUND(MOD(H194,1)*100/60,2),SUMIFS(Registraties!$L$5:$L$3004,Registraties!$D$5:$D$3004,C194,Registraties!$A$5:$A$3004,B194)))</f>
        <v/>
      </c>
      <c r="J194" s="58">
        <f>IF(C194="","",IFERROR(IF(VLOOKUP(C194,Tarieven!$A$2:$F$200,2,0)="Beide","Per uur",VLOOKUP(C194,Tarieven!$A$2:$F$200,2,0)),"Nog bepalen"))</f>
        <v/>
      </c>
      <c r="K194" s="69">
        <f>IF(C194="","",IF(J194="Per uur",IFERROR(VLOOKUP(C194,Tarieven!$A$2:$F$200,3,0),""),IF(J194="Vaste prijs",IFERROR(VLOOKUP(C194,Tarieven!$A$2:$F$200,4,0),""),"")))</f>
        <v/>
      </c>
      <c r="L194" s="70">
        <f>IF(C194="","",IF(J194="Per uur",N(I194)*N(K194),IF(J194="Vaste prijs",N(K194),0)))</f>
        <v/>
      </c>
      <c r="M194" s="69">
        <f>IF(C194="","",IFERROR(IF(N(VLOOKUP(C194,Tarieven!$A$2:$F$200,5,0))=0,"",VLOOKUP(C194,Tarieven!$A$2:$F$200,5,0)),""))</f>
        <v/>
      </c>
      <c r="N194" s="69" t="n"/>
      <c r="O194" s="69" t="n"/>
      <c r="P194" s="70">
        <f>IF(C194="","",N(L194)+N(M194)+N(N194)+N(O194))</f>
        <v/>
      </c>
      <c r="Q194" s="58" t="n"/>
      <c r="R194" s="57" t="n"/>
      <c r="S194" s="57" t="n"/>
      <c r="T194" s="57" t="n"/>
      <c r="U194" s="62">
        <f>IF(C194="","",IF(COUNTIF(Tarieven!$A$2:$A$200,C194)=0,"Klant niet in Tarieven",IF(MOD(N(H194),1)*100&gt;59.4,"Tijd ongeldig: minuten boven 59",IF(J194="Nog bepalen","Prijstype nog bepalen",IF(AND(J194="Per uur",N(K194)=0),"Uurtarief ontbreekt",IF(AND(J194="Vaste prijs",N(K194)=0),"Vaste prijs ontbreekt",IF(AND(N(I194)=0,Q194&lt;&gt;"Niet doorgegaan / verplaatst",Q194&lt;&gt;"Geen factuur nodig"),"Geen uren",IF(AND(G194="NEE",Q194="Verstuurd"),"Verstuurd terwijl werk niet af",IF(IFERROR(VLOOKUP(C194,Tarieven!$A$2:$F$200,2,0),"")="Beide","Beide-klant: controleer prijstype","OK")))))))))</f>
        <v/>
      </c>
    </row>
    <row r="195" ht="15" customHeight="1" s="42">
      <c r="A195" s="56">
        <f>IF(B195="","",WEEKNUM(B195,21))</f>
        <v/>
      </c>
      <c r="B195" s="55" t="n"/>
      <c r="C195" s="57" t="n"/>
      <c r="D195" s="57" t="n"/>
      <c r="E195" s="57" t="n"/>
      <c r="F195" s="57" t="n"/>
      <c r="G195" s="67" t="n"/>
      <c r="H195" s="68" t="n"/>
      <c r="I195" s="61">
        <f>IF(C195="","",IF(H195&lt;&gt;"",INT(H195)+ROUND(MOD(H195,1)*100/60,2),SUMIFS(Registraties!$L$5:$L$3004,Registraties!$D$5:$D$3004,C195,Registraties!$A$5:$A$3004,B195)))</f>
        <v/>
      </c>
      <c r="J195" s="58">
        <f>IF(C195="","",IFERROR(IF(VLOOKUP(C195,Tarieven!$A$2:$F$200,2,0)="Beide","Per uur",VLOOKUP(C195,Tarieven!$A$2:$F$200,2,0)),"Nog bepalen"))</f>
        <v/>
      </c>
      <c r="K195" s="69">
        <f>IF(C195="","",IF(J195="Per uur",IFERROR(VLOOKUP(C195,Tarieven!$A$2:$F$200,3,0),""),IF(J195="Vaste prijs",IFERROR(VLOOKUP(C195,Tarieven!$A$2:$F$200,4,0),""),"")))</f>
        <v/>
      </c>
      <c r="L195" s="70">
        <f>IF(C195="","",IF(J195="Per uur",N(I195)*N(K195),IF(J195="Vaste prijs",N(K195),0)))</f>
        <v/>
      </c>
      <c r="M195" s="69">
        <f>IF(C195="","",IFERROR(IF(N(VLOOKUP(C195,Tarieven!$A$2:$F$200,5,0))=0,"",VLOOKUP(C195,Tarieven!$A$2:$F$200,5,0)),""))</f>
        <v/>
      </c>
      <c r="N195" s="69" t="n"/>
      <c r="O195" s="69" t="n"/>
      <c r="P195" s="70">
        <f>IF(C195="","",N(L195)+N(M195)+N(N195)+N(O195))</f>
        <v/>
      </c>
      <c r="Q195" s="58" t="n"/>
      <c r="R195" s="57" t="n"/>
      <c r="S195" s="57" t="n"/>
      <c r="T195" s="57" t="n"/>
      <c r="U195" s="62">
        <f>IF(C195="","",IF(COUNTIF(Tarieven!$A$2:$A$200,C195)=0,"Klant niet in Tarieven",IF(MOD(N(H195),1)*100&gt;59.4,"Tijd ongeldig: minuten boven 59",IF(J195="Nog bepalen","Prijstype nog bepalen",IF(AND(J195="Per uur",N(K195)=0),"Uurtarief ontbreekt",IF(AND(J195="Vaste prijs",N(K195)=0),"Vaste prijs ontbreekt",IF(AND(N(I195)=0,Q195&lt;&gt;"Niet doorgegaan / verplaatst",Q195&lt;&gt;"Geen factuur nodig"),"Geen uren",IF(AND(G195="NEE",Q195="Verstuurd"),"Verstuurd terwijl werk niet af",IF(IFERROR(VLOOKUP(C195,Tarieven!$A$2:$F$200,2,0),"")="Beide","Beide-klant: controleer prijstype","OK")))))))))</f>
        <v/>
      </c>
    </row>
    <row r="196" ht="15" customHeight="1" s="42">
      <c r="A196" s="56">
        <f>IF(B196="","",WEEKNUM(B196,21))</f>
        <v/>
      </c>
      <c r="B196" s="55" t="n"/>
      <c r="C196" s="57" t="n"/>
      <c r="D196" s="57" t="n"/>
      <c r="E196" s="57" t="n"/>
      <c r="F196" s="57" t="n"/>
      <c r="G196" s="67" t="n"/>
      <c r="H196" s="68" t="n"/>
      <c r="I196" s="61">
        <f>IF(C196="","",IF(H196&lt;&gt;"",INT(H196)+ROUND(MOD(H196,1)*100/60,2),SUMIFS(Registraties!$L$5:$L$3004,Registraties!$D$5:$D$3004,C196,Registraties!$A$5:$A$3004,B196)))</f>
        <v/>
      </c>
      <c r="J196" s="58">
        <f>IF(C196="","",IFERROR(IF(VLOOKUP(C196,Tarieven!$A$2:$F$200,2,0)="Beide","Per uur",VLOOKUP(C196,Tarieven!$A$2:$F$200,2,0)),"Nog bepalen"))</f>
        <v/>
      </c>
      <c r="K196" s="69">
        <f>IF(C196="","",IF(J196="Per uur",IFERROR(VLOOKUP(C196,Tarieven!$A$2:$F$200,3,0),""),IF(J196="Vaste prijs",IFERROR(VLOOKUP(C196,Tarieven!$A$2:$F$200,4,0),""),"")))</f>
        <v/>
      </c>
      <c r="L196" s="70">
        <f>IF(C196="","",IF(J196="Per uur",N(I196)*N(K196),IF(J196="Vaste prijs",N(K196),0)))</f>
        <v/>
      </c>
      <c r="M196" s="69">
        <f>IF(C196="","",IFERROR(IF(N(VLOOKUP(C196,Tarieven!$A$2:$F$200,5,0))=0,"",VLOOKUP(C196,Tarieven!$A$2:$F$200,5,0)),""))</f>
        <v/>
      </c>
      <c r="N196" s="69" t="n"/>
      <c r="O196" s="69" t="n"/>
      <c r="P196" s="70">
        <f>IF(C196="","",N(L196)+N(M196)+N(N196)+N(O196))</f>
        <v/>
      </c>
      <c r="Q196" s="58" t="n"/>
      <c r="R196" s="57" t="n"/>
      <c r="S196" s="57" t="n"/>
      <c r="T196" s="57" t="n"/>
      <c r="U196" s="62">
        <f>IF(C196="","",IF(COUNTIF(Tarieven!$A$2:$A$200,C196)=0,"Klant niet in Tarieven",IF(MOD(N(H196),1)*100&gt;59.4,"Tijd ongeldig: minuten boven 59",IF(J196="Nog bepalen","Prijstype nog bepalen",IF(AND(J196="Per uur",N(K196)=0),"Uurtarief ontbreekt",IF(AND(J196="Vaste prijs",N(K196)=0),"Vaste prijs ontbreekt",IF(AND(N(I196)=0,Q196&lt;&gt;"Niet doorgegaan / verplaatst",Q196&lt;&gt;"Geen factuur nodig"),"Geen uren",IF(AND(G196="NEE",Q196="Verstuurd"),"Verstuurd terwijl werk niet af",IF(IFERROR(VLOOKUP(C196,Tarieven!$A$2:$F$200,2,0),"")="Beide","Beide-klant: controleer prijstype","OK")))))))))</f>
        <v/>
      </c>
    </row>
    <row r="197" ht="15" customHeight="1" s="42">
      <c r="A197" s="56">
        <f>IF(B197="","",WEEKNUM(B197,21))</f>
        <v/>
      </c>
      <c r="B197" s="55" t="n"/>
      <c r="C197" s="57" t="n"/>
      <c r="D197" s="57" t="n"/>
      <c r="E197" s="57" t="n"/>
      <c r="F197" s="57" t="n"/>
      <c r="G197" s="67" t="n"/>
      <c r="H197" s="68" t="n"/>
      <c r="I197" s="61">
        <f>IF(C197="","",IF(H197&lt;&gt;"",INT(H197)+ROUND(MOD(H197,1)*100/60,2),SUMIFS(Registraties!$L$5:$L$3004,Registraties!$D$5:$D$3004,C197,Registraties!$A$5:$A$3004,B197)))</f>
        <v/>
      </c>
      <c r="J197" s="58">
        <f>IF(C197="","",IFERROR(IF(VLOOKUP(C197,Tarieven!$A$2:$F$200,2,0)="Beide","Per uur",VLOOKUP(C197,Tarieven!$A$2:$F$200,2,0)),"Nog bepalen"))</f>
        <v/>
      </c>
      <c r="K197" s="69">
        <f>IF(C197="","",IF(J197="Per uur",IFERROR(VLOOKUP(C197,Tarieven!$A$2:$F$200,3,0),""),IF(J197="Vaste prijs",IFERROR(VLOOKUP(C197,Tarieven!$A$2:$F$200,4,0),""),"")))</f>
        <v/>
      </c>
      <c r="L197" s="70">
        <f>IF(C197="","",IF(J197="Per uur",N(I197)*N(K197),IF(J197="Vaste prijs",N(K197),0)))</f>
        <v/>
      </c>
      <c r="M197" s="69">
        <f>IF(C197="","",IFERROR(IF(N(VLOOKUP(C197,Tarieven!$A$2:$F$200,5,0))=0,"",VLOOKUP(C197,Tarieven!$A$2:$F$200,5,0)),""))</f>
        <v/>
      </c>
      <c r="N197" s="69" t="n"/>
      <c r="O197" s="69" t="n"/>
      <c r="P197" s="70">
        <f>IF(C197="","",N(L197)+N(M197)+N(N197)+N(O197))</f>
        <v/>
      </c>
      <c r="Q197" s="58" t="n"/>
      <c r="R197" s="57" t="n"/>
      <c r="S197" s="57" t="n"/>
      <c r="T197" s="57" t="n"/>
      <c r="U197" s="62">
        <f>IF(C197="","",IF(COUNTIF(Tarieven!$A$2:$A$200,C197)=0,"Klant niet in Tarieven",IF(MOD(N(H197),1)*100&gt;59.4,"Tijd ongeldig: minuten boven 59",IF(J197="Nog bepalen","Prijstype nog bepalen",IF(AND(J197="Per uur",N(K197)=0),"Uurtarief ontbreekt",IF(AND(J197="Vaste prijs",N(K197)=0),"Vaste prijs ontbreekt",IF(AND(N(I197)=0,Q197&lt;&gt;"Niet doorgegaan / verplaatst",Q197&lt;&gt;"Geen factuur nodig"),"Geen uren",IF(AND(G197="NEE",Q197="Verstuurd"),"Verstuurd terwijl werk niet af",IF(IFERROR(VLOOKUP(C197,Tarieven!$A$2:$F$200,2,0),"")="Beide","Beide-klant: controleer prijstype","OK")))))))))</f>
        <v/>
      </c>
    </row>
    <row r="198" ht="15" customHeight="1" s="42">
      <c r="A198" s="56">
        <f>IF(B198="","",WEEKNUM(B198,21))</f>
        <v/>
      </c>
      <c r="B198" s="55" t="n"/>
      <c r="C198" s="57" t="n"/>
      <c r="D198" s="57" t="n"/>
      <c r="E198" s="57" t="n"/>
      <c r="F198" s="57" t="n"/>
      <c r="G198" s="67" t="n"/>
      <c r="H198" s="68" t="n"/>
      <c r="I198" s="61">
        <f>IF(C198="","",IF(H198&lt;&gt;"",INT(H198)+ROUND(MOD(H198,1)*100/60,2),SUMIFS(Registraties!$L$5:$L$3004,Registraties!$D$5:$D$3004,C198,Registraties!$A$5:$A$3004,B198)))</f>
        <v/>
      </c>
      <c r="J198" s="58">
        <f>IF(C198="","",IFERROR(IF(VLOOKUP(C198,Tarieven!$A$2:$F$200,2,0)="Beide","Per uur",VLOOKUP(C198,Tarieven!$A$2:$F$200,2,0)),"Nog bepalen"))</f>
        <v/>
      </c>
      <c r="K198" s="69">
        <f>IF(C198="","",IF(J198="Per uur",IFERROR(VLOOKUP(C198,Tarieven!$A$2:$F$200,3,0),""),IF(J198="Vaste prijs",IFERROR(VLOOKUP(C198,Tarieven!$A$2:$F$200,4,0),""),"")))</f>
        <v/>
      </c>
      <c r="L198" s="70">
        <f>IF(C198="","",IF(J198="Per uur",N(I198)*N(K198),IF(J198="Vaste prijs",N(K198),0)))</f>
        <v/>
      </c>
      <c r="M198" s="69">
        <f>IF(C198="","",IFERROR(IF(N(VLOOKUP(C198,Tarieven!$A$2:$F$200,5,0))=0,"",VLOOKUP(C198,Tarieven!$A$2:$F$200,5,0)),""))</f>
        <v/>
      </c>
      <c r="N198" s="69" t="n"/>
      <c r="O198" s="69" t="n"/>
      <c r="P198" s="70">
        <f>IF(C198="","",N(L198)+N(M198)+N(N198)+N(O198))</f>
        <v/>
      </c>
      <c r="Q198" s="58" t="n"/>
      <c r="R198" s="57" t="n"/>
      <c r="S198" s="57" t="n"/>
      <c r="T198" s="57" t="n"/>
      <c r="U198" s="62">
        <f>IF(C198="","",IF(COUNTIF(Tarieven!$A$2:$A$200,C198)=0,"Klant niet in Tarieven",IF(MOD(N(H198),1)*100&gt;59.4,"Tijd ongeldig: minuten boven 59",IF(J198="Nog bepalen","Prijstype nog bepalen",IF(AND(J198="Per uur",N(K198)=0),"Uurtarief ontbreekt",IF(AND(J198="Vaste prijs",N(K198)=0),"Vaste prijs ontbreekt",IF(AND(N(I198)=0,Q198&lt;&gt;"Niet doorgegaan / verplaatst",Q198&lt;&gt;"Geen factuur nodig"),"Geen uren",IF(AND(G198="NEE",Q198="Verstuurd"),"Verstuurd terwijl werk niet af",IF(IFERROR(VLOOKUP(C198,Tarieven!$A$2:$F$200,2,0),"")="Beide","Beide-klant: controleer prijstype","OK")))))))))</f>
        <v/>
      </c>
    </row>
    <row r="199" ht="15" customHeight="1" s="42">
      <c r="A199" s="56">
        <f>IF(B199="","",WEEKNUM(B199,21))</f>
        <v/>
      </c>
      <c r="B199" s="55" t="n"/>
      <c r="C199" s="57" t="n"/>
      <c r="D199" s="57" t="n"/>
      <c r="E199" s="57" t="n"/>
      <c r="F199" s="57" t="n"/>
      <c r="G199" s="67" t="n"/>
      <c r="H199" s="68" t="n"/>
      <c r="I199" s="61">
        <f>IF(C199="","",IF(H199&lt;&gt;"",INT(H199)+ROUND(MOD(H199,1)*100/60,2),SUMIFS(Registraties!$L$5:$L$3004,Registraties!$D$5:$D$3004,C199,Registraties!$A$5:$A$3004,B199)))</f>
        <v/>
      </c>
      <c r="J199" s="58">
        <f>IF(C199="","",IFERROR(IF(VLOOKUP(C199,Tarieven!$A$2:$F$200,2,0)="Beide","Per uur",VLOOKUP(C199,Tarieven!$A$2:$F$200,2,0)),"Nog bepalen"))</f>
        <v/>
      </c>
      <c r="K199" s="69">
        <f>IF(C199="","",IF(J199="Per uur",IFERROR(VLOOKUP(C199,Tarieven!$A$2:$F$200,3,0),""),IF(J199="Vaste prijs",IFERROR(VLOOKUP(C199,Tarieven!$A$2:$F$200,4,0),""),"")))</f>
        <v/>
      </c>
      <c r="L199" s="70">
        <f>IF(C199="","",IF(J199="Per uur",N(I199)*N(K199),IF(J199="Vaste prijs",N(K199),0)))</f>
        <v/>
      </c>
      <c r="M199" s="69">
        <f>IF(C199="","",IFERROR(IF(N(VLOOKUP(C199,Tarieven!$A$2:$F$200,5,0))=0,"",VLOOKUP(C199,Tarieven!$A$2:$F$200,5,0)),""))</f>
        <v/>
      </c>
      <c r="N199" s="69" t="n"/>
      <c r="O199" s="69" t="n"/>
      <c r="P199" s="70">
        <f>IF(C199="","",N(L199)+N(M199)+N(N199)+N(O199))</f>
        <v/>
      </c>
      <c r="Q199" s="58" t="n"/>
      <c r="R199" s="57" t="n"/>
      <c r="S199" s="57" t="n"/>
      <c r="T199" s="57" t="n"/>
      <c r="U199" s="62">
        <f>IF(C199="","",IF(COUNTIF(Tarieven!$A$2:$A$200,C199)=0,"Klant niet in Tarieven",IF(MOD(N(H199),1)*100&gt;59.4,"Tijd ongeldig: minuten boven 59",IF(J199="Nog bepalen","Prijstype nog bepalen",IF(AND(J199="Per uur",N(K199)=0),"Uurtarief ontbreekt",IF(AND(J199="Vaste prijs",N(K199)=0),"Vaste prijs ontbreekt",IF(AND(N(I199)=0,Q199&lt;&gt;"Niet doorgegaan / verplaatst",Q199&lt;&gt;"Geen factuur nodig"),"Geen uren",IF(AND(G199="NEE",Q199="Verstuurd"),"Verstuurd terwijl werk niet af",IF(IFERROR(VLOOKUP(C199,Tarieven!$A$2:$F$200,2,0),"")="Beide","Beide-klant: controleer prijstype","OK")))))))))</f>
        <v/>
      </c>
    </row>
    <row r="200" ht="15" customHeight="1" s="42">
      <c r="A200" s="56">
        <f>IF(B200="","",WEEKNUM(B200,21))</f>
        <v/>
      </c>
      <c r="B200" s="55" t="n"/>
      <c r="C200" s="57" t="n"/>
      <c r="D200" s="57" t="n"/>
      <c r="E200" s="57" t="n"/>
      <c r="F200" s="57" t="n"/>
      <c r="G200" s="67" t="n"/>
      <c r="H200" s="68" t="n"/>
      <c r="I200" s="61">
        <f>IF(C200="","",IF(H200&lt;&gt;"",INT(H200)+ROUND(MOD(H200,1)*100/60,2),SUMIFS(Registraties!$L$5:$L$3004,Registraties!$D$5:$D$3004,C200,Registraties!$A$5:$A$3004,B200)))</f>
        <v/>
      </c>
      <c r="J200" s="58">
        <f>IF(C200="","",IFERROR(IF(VLOOKUP(C200,Tarieven!$A$2:$F$200,2,0)="Beide","Per uur",VLOOKUP(C200,Tarieven!$A$2:$F$200,2,0)),"Nog bepalen"))</f>
        <v/>
      </c>
      <c r="K200" s="69">
        <f>IF(C200="","",IF(J200="Per uur",IFERROR(VLOOKUP(C200,Tarieven!$A$2:$F$200,3,0),""),IF(J200="Vaste prijs",IFERROR(VLOOKUP(C200,Tarieven!$A$2:$F$200,4,0),""),"")))</f>
        <v/>
      </c>
      <c r="L200" s="70">
        <f>IF(C200="","",IF(J200="Per uur",N(I200)*N(K200),IF(J200="Vaste prijs",N(K200),0)))</f>
        <v/>
      </c>
      <c r="M200" s="69">
        <f>IF(C200="","",IFERROR(IF(N(VLOOKUP(C200,Tarieven!$A$2:$F$200,5,0))=0,"",VLOOKUP(C200,Tarieven!$A$2:$F$200,5,0)),""))</f>
        <v/>
      </c>
      <c r="N200" s="69" t="n"/>
      <c r="O200" s="69" t="n"/>
      <c r="P200" s="70">
        <f>IF(C200="","",N(L200)+N(M200)+N(N200)+N(O200))</f>
        <v/>
      </c>
      <c r="Q200" s="58" t="n"/>
      <c r="R200" s="57" t="n"/>
      <c r="S200" s="57" t="n"/>
      <c r="T200" s="57" t="n"/>
      <c r="U200" s="62">
        <f>IF(C200="","",IF(COUNTIF(Tarieven!$A$2:$A$200,C200)=0,"Klant niet in Tarieven",IF(MOD(N(H200),1)*100&gt;59.4,"Tijd ongeldig: minuten boven 59",IF(J200="Nog bepalen","Prijstype nog bepalen",IF(AND(J200="Per uur",N(K200)=0),"Uurtarief ontbreekt",IF(AND(J200="Vaste prijs",N(K200)=0),"Vaste prijs ontbreekt",IF(AND(N(I200)=0,Q200&lt;&gt;"Niet doorgegaan / verplaatst",Q200&lt;&gt;"Geen factuur nodig"),"Geen uren",IF(AND(G200="NEE",Q200="Verstuurd"),"Verstuurd terwijl werk niet af",IF(IFERROR(VLOOKUP(C200,Tarieven!$A$2:$F$200,2,0),"")="Beide","Beide-klant: controleer prijstype","OK")))))))))</f>
        <v/>
      </c>
    </row>
    <row r="201" ht="15" customHeight="1" s="42">
      <c r="A201" s="56">
        <f>IF(B201="","",WEEKNUM(B201,21))</f>
        <v/>
      </c>
      <c r="B201" s="55" t="n"/>
      <c r="C201" s="57" t="n"/>
      <c r="D201" s="57" t="n"/>
      <c r="E201" s="57" t="n"/>
      <c r="F201" s="57" t="n"/>
      <c r="G201" s="67" t="n"/>
      <c r="H201" s="68" t="n"/>
      <c r="I201" s="61">
        <f>IF(C201="","",IF(H201&lt;&gt;"",INT(H201)+ROUND(MOD(H201,1)*100/60,2),SUMIFS(Registraties!$L$5:$L$3004,Registraties!$D$5:$D$3004,C201,Registraties!$A$5:$A$3004,B201)))</f>
        <v/>
      </c>
      <c r="J201" s="58">
        <f>IF(C201="","",IFERROR(IF(VLOOKUP(C201,Tarieven!$A$2:$F$200,2,0)="Beide","Per uur",VLOOKUP(C201,Tarieven!$A$2:$F$200,2,0)),"Nog bepalen"))</f>
        <v/>
      </c>
      <c r="K201" s="69">
        <f>IF(C201="","",IF(J201="Per uur",IFERROR(VLOOKUP(C201,Tarieven!$A$2:$F$200,3,0),""),IF(J201="Vaste prijs",IFERROR(VLOOKUP(C201,Tarieven!$A$2:$F$200,4,0),""),"")))</f>
        <v/>
      </c>
      <c r="L201" s="70">
        <f>IF(C201="","",IF(J201="Per uur",N(I201)*N(K201),IF(J201="Vaste prijs",N(K201),0)))</f>
        <v/>
      </c>
      <c r="M201" s="69">
        <f>IF(C201="","",IFERROR(IF(N(VLOOKUP(C201,Tarieven!$A$2:$F$200,5,0))=0,"",VLOOKUP(C201,Tarieven!$A$2:$F$200,5,0)),""))</f>
        <v/>
      </c>
      <c r="N201" s="69" t="n"/>
      <c r="O201" s="69" t="n"/>
      <c r="P201" s="70">
        <f>IF(C201="","",N(L201)+N(M201)+N(N201)+N(O201))</f>
        <v/>
      </c>
      <c r="Q201" s="58" t="n"/>
      <c r="R201" s="57" t="n"/>
      <c r="S201" s="57" t="n"/>
      <c r="T201" s="57" t="n"/>
      <c r="U201" s="62">
        <f>IF(C201="","",IF(COUNTIF(Tarieven!$A$2:$A$200,C201)=0,"Klant niet in Tarieven",IF(MOD(N(H201),1)*100&gt;59.4,"Tijd ongeldig: minuten boven 59",IF(J201="Nog bepalen","Prijstype nog bepalen",IF(AND(J201="Per uur",N(K201)=0),"Uurtarief ontbreekt",IF(AND(J201="Vaste prijs",N(K201)=0),"Vaste prijs ontbreekt",IF(AND(N(I201)=0,Q201&lt;&gt;"Niet doorgegaan / verplaatst",Q201&lt;&gt;"Geen factuur nodig"),"Geen uren",IF(AND(G201="NEE",Q201="Verstuurd"),"Verstuurd terwijl werk niet af",IF(IFERROR(VLOOKUP(C201,Tarieven!$A$2:$F$200,2,0),"")="Beide","Beide-klant: controleer prijstype","OK")))))))))</f>
        <v/>
      </c>
    </row>
    <row r="202" ht="15" customHeight="1" s="42">
      <c r="A202" s="56">
        <f>IF(B202="","",WEEKNUM(B202,21))</f>
        <v/>
      </c>
      <c r="B202" s="55" t="n"/>
      <c r="C202" s="57" t="n"/>
      <c r="D202" s="57" t="n"/>
      <c r="E202" s="57" t="n"/>
      <c r="F202" s="57" t="n"/>
      <c r="G202" s="67" t="n"/>
      <c r="H202" s="68" t="n"/>
      <c r="I202" s="61">
        <f>IF(C202="","",IF(H202&lt;&gt;"",INT(H202)+ROUND(MOD(H202,1)*100/60,2),SUMIFS(Registraties!$L$5:$L$3004,Registraties!$D$5:$D$3004,C202,Registraties!$A$5:$A$3004,B202)))</f>
        <v/>
      </c>
      <c r="J202" s="58">
        <f>IF(C202="","",IFERROR(IF(VLOOKUP(C202,Tarieven!$A$2:$F$200,2,0)="Beide","Per uur",VLOOKUP(C202,Tarieven!$A$2:$F$200,2,0)),"Nog bepalen"))</f>
        <v/>
      </c>
      <c r="K202" s="69">
        <f>IF(C202="","",IF(J202="Per uur",IFERROR(VLOOKUP(C202,Tarieven!$A$2:$F$200,3,0),""),IF(J202="Vaste prijs",IFERROR(VLOOKUP(C202,Tarieven!$A$2:$F$200,4,0),""),"")))</f>
        <v/>
      </c>
      <c r="L202" s="70">
        <f>IF(C202="","",IF(J202="Per uur",N(I202)*N(K202),IF(J202="Vaste prijs",N(K202),0)))</f>
        <v/>
      </c>
      <c r="M202" s="69">
        <f>IF(C202="","",IFERROR(IF(N(VLOOKUP(C202,Tarieven!$A$2:$F$200,5,0))=0,"",VLOOKUP(C202,Tarieven!$A$2:$F$200,5,0)),""))</f>
        <v/>
      </c>
      <c r="N202" s="69" t="n"/>
      <c r="O202" s="69" t="n"/>
      <c r="P202" s="70">
        <f>IF(C202="","",N(L202)+N(M202)+N(N202)+N(O202))</f>
        <v/>
      </c>
      <c r="Q202" s="58" t="n"/>
      <c r="R202" s="57" t="n"/>
      <c r="S202" s="57" t="n"/>
      <c r="T202" s="57" t="n"/>
      <c r="U202" s="62">
        <f>IF(C202="","",IF(COUNTIF(Tarieven!$A$2:$A$200,C202)=0,"Klant niet in Tarieven",IF(MOD(N(H202),1)*100&gt;59.4,"Tijd ongeldig: minuten boven 59",IF(J202="Nog bepalen","Prijstype nog bepalen",IF(AND(J202="Per uur",N(K202)=0),"Uurtarief ontbreekt",IF(AND(J202="Vaste prijs",N(K202)=0),"Vaste prijs ontbreekt",IF(AND(N(I202)=0,Q202&lt;&gt;"Niet doorgegaan / verplaatst",Q202&lt;&gt;"Geen factuur nodig"),"Geen uren",IF(AND(G202="NEE",Q202="Verstuurd"),"Verstuurd terwijl werk niet af",IF(IFERROR(VLOOKUP(C202,Tarieven!$A$2:$F$200,2,0),"")="Beide","Beide-klant: controleer prijstype","OK")))))))))</f>
        <v/>
      </c>
    </row>
    <row r="203" ht="15" customHeight="1" s="42">
      <c r="A203" s="56">
        <f>IF(B203="","",WEEKNUM(B203,21))</f>
        <v/>
      </c>
      <c r="B203" s="55" t="n"/>
      <c r="C203" s="57" t="n"/>
      <c r="D203" s="57" t="n"/>
      <c r="E203" s="57" t="n"/>
      <c r="F203" s="57" t="n"/>
      <c r="G203" s="67" t="n"/>
      <c r="H203" s="68" t="n"/>
      <c r="I203" s="61">
        <f>IF(C203="","",IF(H203&lt;&gt;"",INT(H203)+ROUND(MOD(H203,1)*100/60,2),SUMIFS(Registraties!$L$5:$L$3004,Registraties!$D$5:$D$3004,C203,Registraties!$A$5:$A$3004,B203)))</f>
        <v/>
      </c>
      <c r="J203" s="58">
        <f>IF(C203="","",IFERROR(IF(VLOOKUP(C203,Tarieven!$A$2:$F$200,2,0)="Beide","Per uur",VLOOKUP(C203,Tarieven!$A$2:$F$200,2,0)),"Nog bepalen"))</f>
        <v/>
      </c>
      <c r="K203" s="69">
        <f>IF(C203="","",IF(J203="Per uur",IFERROR(VLOOKUP(C203,Tarieven!$A$2:$F$200,3,0),""),IF(J203="Vaste prijs",IFERROR(VLOOKUP(C203,Tarieven!$A$2:$F$200,4,0),""),"")))</f>
        <v/>
      </c>
      <c r="L203" s="70">
        <f>IF(C203="","",IF(J203="Per uur",N(I203)*N(K203),IF(J203="Vaste prijs",N(K203),0)))</f>
        <v/>
      </c>
      <c r="M203" s="69">
        <f>IF(C203="","",IFERROR(IF(N(VLOOKUP(C203,Tarieven!$A$2:$F$200,5,0))=0,"",VLOOKUP(C203,Tarieven!$A$2:$F$200,5,0)),""))</f>
        <v/>
      </c>
      <c r="N203" s="69" t="n"/>
      <c r="O203" s="69" t="n"/>
      <c r="P203" s="70">
        <f>IF(C203="","",N(L203)+N(M203)+N(N203)+N(O203))</f>
        <v/>
      </c>
      <c r="Q203" s="58" t="n"/>
      <c r="R203" s="57" t="n"/>
      <c r="S203" s="57" t="n"/>
      <c r="T203" s="57" t="n"/>
      <c r="U203" s="62">
        <f>IF(C203="","",IF(COUNTIF(Tarieven!$A$2:$A$200,C203)=0,"Klant niet in Tarieven",IF(MOD(N(H203),1)*100&gt;59.4,"Tijd ongeldig: minuten boven 59",IF(J203="Nog bepalen","Prijstype nog bepalen",IF(AND(J203="Per uur",N(K203)=0),"Uurtarief ontbreekt",IF(AND(J203="Vaste prijs",N(K203)=0),"Vaste prijs ontbreekt",IF(AND(N(I203)=0,Q203&lt;&gt;"Niet doorgegaan / verplaatst",Q203&lt;&gt;"Geen factuur nodig"),"Geen uren",IF(AND(G203="NEE",Q203="Verstuurd"),"Verstuurd terwijl werk niet af",IF(IFERROR(VLOOKUP(C203,Tarieven!$A$2:$F$200,2,0),"")="Beide","Beide-klant: controleer prijstype","OK")))))))))</f>
        <v/>
      </c>
    </row>
    <row r="204" ht="15" customHeight="1" s="42">
      <c r="A204" s="56">
        <f>IF(B204="","",WEEKNUM(B204,21))</f>
        <v/>
      </c>
      <c r="B204" s="55" t="n"/>
      <c r="C204" s="57" t="n"/>
      <c r="D204" s="57" t="n"/>
      <c r="E204" s="57" t="n"/>
      <c r="F204" s="57" t="n"/>
      <c r="G204" s="67" t="n"/>
      <c r="H204" s="68" t="n"/>
      <c r="I204" s="61">
        <f>IF(C204="","",IF(H204&lt;&gt;"",INT(H204)+ROUND(MOD(H204,1)*100/60,2),SUMIFS(Registraties!$L$5:$L$3004,Registraties!$D$5:$D$3004,C204,Registraties!$A$5:$A$3004,B204)))</f>
        <v/>
      </c>
      <c r="J204" s="58">
        <f>IF(C204="","",IFERROR(IF(VLOOKUP(C204,Tarieven!$A$2:$F$200,2,0)="Beide","Per uur",VLOOKUP(C204,Tarieven!$A$2:$F$200,2,0)),"Nog bepalen"))</f>
        <v/>
      </c>
      <c r="K204" s="69">
        <f>IF(C204="","",IF(J204="Per uur",IFERROR(VLOOKUP(C204,Tarieven!$A$2:$F$200,3,0),""),IF(J204="Vaste prijs",IFERROR(VLOOKUP(C204,Tarieven!$A$2:$F$200,4,0),""),"")))</f>
        <v/>
      </c>
      <c r="L204" s="70">
        <f>IF(C204="","",IF(J204="Per uur",N(I204)*N(K204),IF(J204="Vaste prijs",N(K204),0)))</f>
        <v/>
      </c>
      <c r="M204" s="69">
        <f>IF(C204="","",IFERROR(IF(N(VLOOKUP(C204,Tarieven!$A$2:$F$200,5,0))=0,"",VLOOKUP(C204,Tarieven!$A$2:$F$200,5,0)),""))</f>
        <v/>
      </c>
      <c r="N204" s="69" t="n"/>
      <c r="O204" s="69" t="n"/>
      <c r="P204" s="70">
        <f>IF(C204="","",N(L204)+N(M204)+N(N204)+N(O204))</f>
        <v/>
      </c>
      <c r="Q204" s="58" t="n"/>
      <c r="R204" s="57" t="n"/>
      <c r="S204" s="57" t="n"/>
      <c r="T204" s="57" t="n"/>
      <c r="U204" s="62">
        <f>IF(C204="","",IF(COUNTIF(Tarieven!$A$2:$A$200,C204)=0,"Klant niet in Tarieven",IF(MOD(N(H204),1)*100&gt;59.4,"Tijd ongeldig: minuten boven 59",IF(J204="Nog bepalen","Prijstype nog bepalen",IF(AND(J204="Per uur",N(K204)=0),"Uurtarief ontbreekt",IF(AND(J204="Vaste prijs",N(K204)=0),"Vaste prijs ontbreekt",IF(AND(N(I204)=0,Q204&lt;&gt;"Niet doorgegaan / verplaatst",Q204&lt;&gt;"Geen factuur nodig"),"Geen uren",IF(AND(G204="NEE",Q204="Verstuurd"),"Verstuurd terwijl werk niet af",IF(IFERROR(VLOOKUP(C204,Tarieven!$A$2:$F$200,2,0),"")="Beide","Beide-klant: controleer prijstype","OK")))))))))</f>
        <v/>
      </c>
    </row>
    <row r="205" ht="15" customHeight="1" s="42">
      <c r="A205" s="56">
        <f>IF(B205="","",WEEKNUM(B205,21))</f>
        <v/>
      </c>
      <c r="B205" s="55" t="n"/>
      <c r="C205" s="57" t="n"/>
      <c r="D205" s="57" t="n"/>
      <c r="E205" s="57" t="n"/>
      <c r="F205" s="57" t="n"/>
      <c r="G205" s="67" t="n"/>
      <c r="H205" s="68" t="n"/>
      <c r="I205" s="61">
        <f>IF(C205="","",IF(H205&lt;&gt;"",INT(H205)+ROUND(MOD(H205,1)*100/60,2),SUMIFS(Registraties!$L$5:$L$3004,Registraties!$D$5:$D$3004,C205,Registraties!$A$5:$A$3004,B205)))</f>
        <v/>
      </c>
      <c r="J205" s="58">
        <f>IF(C205="","",IFERROR(IF(VLOOKUP(C205,Tarieven!$A$2:$F$200,2,0)="Beide","Per uur",VLOOKUP(C205,Tarieven!$A$2:$F$200,2,0)),"Nog bepalen"))</f>
        <v/>
      </c>
      <c r="K205" s="69">
        <f>IF(C205="","",IF(J205="Per uur",IFERROR(VLOOKUP(C205,Tarieven!$A$2:$F$200,3,0),""),IF(J205="Vaste prijs",IFERROR(VLOOKUP(C205,Tarieven!$A$2:$F$200,4,0),""),"")))</f>
        <v/>
      </c>
      <c r="L205" s="70">
        <f>IF(C205="","",IF(J205="Per uur",N(I205)*N(K205),IF(J205="Vaste prijs",N(K205),0)))</f>
        <v/>
      </c>
      <c r="M205" s="69">
        <f>IF(C205="","",IFERROR(IF(N(VLOOKUP(C205,Tarieven!$A$2:$F$200,5,0))=0,"",VLOOKUP(C205,Tarieven!$A$2:$F$200,5,0)),""))</f>
        <v/>
      </c>
      <c r="N205" s="69" t="n"/>
      <c r="O205" s="69" t="n"/>
      <c r="P205" s="70">
        <f>IF(C205="","",N(L205)+N(M205)+N(N205)+N(O205))</f>
        <v/>
      </c>
      <c r="Q205" s="58" t="n"/>
      <c r="R205" s="57" t="n"/>
      <c r="S205" s="57" t="n"/>
      <c r="T205" s="57" t="n"/>
      <c r="U205" s="62">
        <f>IF(C205="","",IF(COUNTIF(Tarieven!$A$2:$A$200,C205)=0,"Klant niet in Tarieven",IF(MOD(N(H205),1)*100&gt;59.4,"Tijd ongeldig: minuten boven 59",IF(J205="Nog bepalen","Prijstype nog bepalen",IF(AND(J205="Per uur",N(K205)=0),"Uurtarief ontbreekt",IF(AND(J205="Vaste prijs",N(K205)=0),"Vaste prijs ontbreekt",IF(AND(N(I205)=0,Q205&lt;&gt;"Niet doorgegaan / verplaatst",Q205&lt;&gt;"Geen factuur nodig"),"Geen uren",IF(AND(G205="NEE",Q205="Verstuurd"),"Verstuurd terwijl werk niet af",IF(IFERROR(VLOOKUP(C205,Tarieven!$A$2:$F$200,2,0),"")="Beide","Beide-klant: controleer prijstype","OK")))))))))</f>
        <v/>
      </c>
    </row>
    <row r="206" ht="15" customHeight="1" s="42">
      <c r="A206" s="56">
        <f>IF(B206="","",WEEKNUM(B206,21))</f>
        <v/>
      </c>
      <c r="B206" s="55" t="n"/>
      <c r="C206" s="57" t="n"/>
      <c r="D206" s="57" t="n"/>
      <c r="E206" s="57" t="n"/>
      <c r="F206" s="57" t="n"/>
      <c r="G206" s="67" t="n"/>
      <c r="H206" s="68" t="n"/>
      <c r="I206" s="61">
        <f>IF(C206="","",IF(H206&lt;&gt;"",INT(H206)+ROUND(MOD(H206,1)*100/60,2),SUMIFS(Registraties!$L$5:$L$3004,Registraties!$D$5:$D$3004,C206,Registraties!$A$5:$A$3004,B206)))</f>
        <v/>
      </c>
      <c r="J206" s="58">
        <f>IF(C206="","",IFERROR(IF(VLOOKUP(C206,Tarieven!$A$2:$F$200,2,0)="Beide","Per uur",VLOOKUP(C206,Tarieven!$A$2:$F$200,2,0)),"Nog bepalen"))</f>
        <v/>
      </c>
      <c r="K206" s="69">
        <f>IF(C206="","",IF(J206="Per uur",IFERROR(VLOOKUP(C206,Tarieven!$A$2:$F$200,3,0),""),IF(J206="Vaste prijs",IFERROR(VLOOKUP(C206,Tarieven!$A$2:$F$200,4,0),""),"")))</f>
        <v/>
      </c>
      <c r="L206" s="70">
        <f>IF(C206="","",IF(J206="Per uur",N(I206)*N(K206),IF(J206="Vaste prijs",N(K206),0)))</f>
        <v/>
      </c>
      <c r="M206" s="69">
        <f>IF(C206="","",IFERROR(IF(N(VLOOKUP(C206,Tarieven!$A$2:$F$200,5,0))=0,"",VLOOKUP(C206,Tarieven!$A$2:$F$200,5,0)),""))</f>
        <v/>
      </c>
      <c r="N206" s="69" t="n"/>
      <c r="O206" s="69" t="n"/>
      <c r="P206" s="70">
        <f>IF(C206="","",N(L206)+N(M206)+N(N206)+N(O206))</f>
        <v/>
      </c>
      <c r="Q206" s="58" t="n"/>
      <c r="R206" s="57" t="n"/>
      <c r="S206" s="57" t="n"/>
      <c r="T206" s="57" t="n"/>
      <c r="U206" s="62">
        <f>IF(C206="","",IF(COUNTIF(Tarieven!$A$2:$A$200,C206)=0,"Klant niet in Tarieven",IF(MOD(N(H206),1)*100&gt;59.4,"Tijd ongeldig: minuten boven 59",IF(J206="Nog bepalen","Prijstype nog bepalen",IF(AND(J206="Per uur",N(K206)=0),"Uurtarief ontbreekt",IF(AND(J206="Vaste prijs",N(K206)=0),"Vaste prijs ontbreekt",IF(AND(N(I206)=0,Q206&lt;&gt;"Niet doorgegaan / verplaatst",Q206&lt;&gt;"Geen factuur nodig"),"Geen uren",IF(AND(G206="NEE",Q206="Verstuurd"),"Verstuurd terwijl werk niet af",IF(IFERROR(VLOOKUP(C206,Tarieven!$A$2:$F$200,2,0),"")="Beide","Beide-klant: controleer prijstype","OK")))))))))</f>
        <v/>
      </c>
    </row>
    <row r="207" ht="15" customHeight="1" s="42">
      <c r="A207" s="56">
        <f>IF(B207="","",WEEKNUM(B207,21))</f>
        <v/>
      </c>
      <c r="B207" s="55" t="n"/>
      <c r="C207" s="57" t="n"/>
      <c r="D207" s="57" t="n"/>
      <c r="E207" s="57" t="n"/>
      <c r="F207" s="57" t="n"/>
      <c r="G207" s="67" t="n"/>
      <c r="H207" s="68" t="n"/>
      <c r="I207" s="61">
        <f>IF(C207="","",IF(H207&lt;&gt;"",INT(H207)+ROUND(MOD(H207,1)*100/60,2),SUMIFS(Registraties!$L$5:$L$3004,Registraties!$D$5:$D$3004,C207,Registraties!$A$5:$A$3004,B207)))</f>
        <v/>
      </c>
      <c r="J207" s="58">
        <f>IF(C207="","",IFERROR(IF(VLOOKUP(C207,Tarieven!$A$2:$F$200,2,0)="Beide","Per uur",VLOOKUP(C207,Tarieven!$A$2:$F$200,2,0)),"Nog bepalen"))</f>
        <v/>
      </c>
      <c r="K207" s="69">
        <f>IF(C207="","",IF(J207="Per uur",IFERROR(VLOOKUP(C207,Tarieven!$A$2:$F$200,3,0),""),IF(J207="Vaste prijs",IFERROR(VLOOKUP(C207,Tarieven!$A$2:$F$200,4,0),""),"")))</f>
        <v/>
      </c>
      <c r="L207" s="70">
        <f>IF(C207="","",IF(J207="Per uur",N(I207)*N(K207),IF(J207="Vaste prijs",N(K207),0)))</f>
        <v/>
      </c>
      <c r="M207" s="69">
        <f>IF(C207="","",IFERROR(IF(N(VLOOKUP(C207,Tarieven!$A$2:$F$200,5,0))=0,"",VLOOKUP(C207,Tarieven!$A$2:$F$200,5,0)),""))</f>
        <v/>
      </c>
      <c r="N207" s="69" t="n"/>
      <c r="O207" s="69" t="n"/>
      <c r="P207" s="70">
        <f>IF(C207="","",N(L207)+N(M207)+N(N207)+N(O207))</f>
        <v/>
      </c>
      <c r="Q207" s="58" t="n"/>
      <c r="R207" s="57" t="n"/>
      <c r="S207" s="57" t="n"/>
      <c r="T207" s="57" t="n"/>
      <c r="U207" s="62">
        <f>IF(C207="","",IF(COUNTIF(Tarieven!$A$2:$A$200,C207)=0,"Klant niet in Tarieven",IF(MOD(N(H207),1)*100&gt;59.4,"Tijd ongeldig: minuten boven 59",IF(J207="Nog bepalen","Prijstype nog bepalen",IF(AND(J207="Per uur",N(K207)=0),"Uurtarief ontbreekt",IF(AND(J207="Vaste prijs",N(K207)=0),"Vaste prijs ontbreekt",IF(AND(N(I207)=0,Q207&lt;&gt;"Niet doorgegaan / verplaatst",Q207&lt;&gt;"Geen factuur nodig"),"Geen uren",IF(AND(G207="NEE",Q207="Verstuurd"),"Verstuurd terwijl werk niet af",IF(IFERROR(VLOOKUP(C207,Tarieven!$A$2:$F$200,2,0),"")="Beide","Beide-klant: controleer prijstype","OK")))))))))</f>
        <v/>
      </c>
    </row>
    <row r="208" ht="15" customHeight="1" s="42">
      <c r="A208" s="56">
        <f>IF(B208="","",WEEKNUM(B208,21))</f>
        <v/>
      </c>
      <c r="B208" s="55" t="n"/>
      <c r="C208" s="57" t="n"/>
      <c r="D208" s="57" t="n"/>
      <c r="E208" s="57" t="n"/>
      <c r="F208" s="57" t="n"/>
      <c r="G208" s="67" t="n"/>
      <c r="H208" s="68" t="n"/>
      <c r="I208" s="61">
        <f>IF(C208="","",IF(H208&lt;&gt;"",INT(H208)+ROUND(MOD(H208,1)*100/60,2),SUMIFS(Registraties!$L$5:$L$3004,Registraties!$D$5:$D$3004,C208,Registraties!$A$5:$A$3004,B208)))</f>
        <v/>
      </c>
      <c r="J208" s="58">
        <f>IF(C208="","",IFERROR(IF(VLOOKUP(C208,Tarieven!$A$2:$F$200,2,0)="Beide","Per uur",VLOOKUP(C208,Tarieven!$A$2:$F$200,2,0)),"Nog bepalen"))</f>
        <v/>
      </c>
      <c r="K208" s="69">
        <f>IF(C208="","",IF(J208="Per uur",IFERROR(VLOOKUP(C208,Tarieven!$A$2:$F$200,3,0),""),IF(J208="Vaste prijs",IFERROR(VLOOKUP(C208,Tarieven!$A$2:$F$200,4,0),""),"")))</f>
        <v/>
      </c>
      <c r="L208" s="70">
        <f>IF(C208="","",IF(J208="Per uur",N(I208)*N(K208),IF(J208="Vaste prijs",N(K208),0)))</f>
        <v/>
      </c>
      <c r="M208" s="69">
        <f>IF(C208="","",IFERROR(IF(N(VLOOKUP(C208,Tarieven!$A$2:$F$200,5,0))=0,"",VLOOKUP(C208,Tarieven!$A$2:$F$200,5,0)),""))</f>
        <v/>
      </c>
      <c r="N208" s="69" t="n"/>
      <c r="O208" s="69" t="n"/>
      <c r="P208" s="70">
        <f>IF(C208="","",N(L208)+N(M208)+N(N208)+N(O208))</f>
        <v/>
      </c>
      <c r="Q208" s="58" t="n"/>
      <c r="R208" s="57" t="n"/>
      <c r="S208" s="57" t="n"/>
      <c r="T208" s="57" t="n"/>
      <c r="U208" s="62">
        <f>IF(C208="","",IF(COUNTIF(Tarieven!$A$2:$A$200,C208)=0,"Klant niet in Tarieven",IF(MOD(N(H208),1)*100&gt;59.4,"Tijd ongeldig: minuten boven 59",IF(J208="Nog bepalen","Prijstype nog bepalen",IF(AND(J208="Per uur",N(K208)=0),"Uurtarief ontbreekt",IF(AND(J208="Vaste prijs",N(K208)=0),"Vaste prijs ontbreekt",IF(AND(N(I208)=0,Q208&lt;&gt;"Niet doorgegaan / verplaatst",Q208&lt;&gt;"Geen factuur nodig"),"Geen uren",IF(AND(G208="NEE",Q208="Verstuurd"),"Verstuurd terwijl werk niet af",IF(IFERROR(VLOOKUP(C208,Tarieven!$A$2:$F$200,2,0),"")="Beide","Beide-klant: controleer prijstype","OK")))))))))</f>
        <v/>
      </c>
    </row>
    <row r="209" ht="15" customHeight="1" s="42">
      <c r="A209" s="56">
        <f>IF(B209="","",WEEKNUM(B209,21))</f>
        <v/>
      </c>
      <c r="B209" s="55" t="n"/>
      <c r="C209" s="57" t="n"/>
      <c r="D209" s="57" t="n"/>
      <c r="E209" s="57" t="n"/>
      <c r="F209" s="57" t="n"/>
      <c r="G209" s="67" t="n"/>
      <c r="H209" s="68" t="n"/>
      <c r="I209" s="61">
        <f>IF(C209="","",IF(H209&lt;&gt;"",INT(H209)+ROUND(MOD(H209,1)*100/60,2),SUMIFS(Registraties!$L$5:$L$3004,Registraties!$D$5:$D$3004,C209,Registraties!$A$5:$A$3004,B209)))</f>
        <v/>
      </c>
      <c r="J209" s="58">
        <f>IF(C209="","",IFERROR(IF(VLOOKUP(C209,Tarieven!$A$2:$F$200,2,0)="Beide","Per uur",VLOOKUP(C209,Tarieven!$A$2:$F$200,2,0)),"Nog bepalen"))</f>
        <v/>
      </c>
      <c r="K209" s="69">
        <f>IF(C209="","",IF(J209="Per uur",IFERROR(VLOOKUP(C209,Tarieven!$A$2:$F$200,3,0),""),IF(J209="Vaste prijs",IFERROR(VLOOKUP(C209,Tarieven!$A$2:$F$200,4,0),""),"")))</f>
        <v/>
      </c>
      <c r="L209" s="70">
        <f>IF(C209="","",IF(J209="Per uur",N(I209)*N(K209),IF(J209="Vaste prijs",N(K209),0)))</f>
        <v/>
      </c>
      <c r="M209" s="69">
        <f>IF(C209="","",IFERROR(IF(N(VLOOKUP(C209,Tarieven!$A$2:$F$200,5,0))=0,"",VLOOKUP(C209,Tarieven!$A$2:$F$200,5,0)),""))</f>
        <v/>
      </c>
      <c r="N209" s="69" t="n"/>
      <c r="O209" s="69" t="n"/>
      <c r="P209" s="70">
        <f>IF(C209="","",N(L209)+N(M209)+N(N209)+N(O209))</f>
        <v/>
      </c>
      <c r="Q209" s="58" t="n"/>
      <c r="R209" s="57" t="n"/>
      <c r="S209" s="57" t="n"/>
      <c r="T209" s="57" t="n"/>
      <c r="U209" s="62">
        <f>IF(C209="","",IF(COUNTIF(Tarieven!$A$2:$A$200,C209)=0,"Klant niet in Tarieven",IF(MOD(N(H209),1)*100&gt;59.4,"Tijd ongeldig: minuten boven 59",IF(J209="Nog bepalen","Prijstype nog bepalen",IF(AND(J209="Per uur",N(K209)=0),"Uurtarief ontbreekt",IF(AND(J209="Vaste prijs",N(K209)=0),"Vaste prijs ontbreekt",IF(AND(N(I209)=0,Q209&lt;&gt;"Niet doorgegaan / verplaatst",Q209&lt;&gt;"Geen factuur nodig"),"Geen uren",IF(AND(G209="NEE",Q209="Verstuurd"),"Verstuurd terwijl werk niet af",IF(IFERROR(VLOOKUP(C209,Tarieven!$A$2:$F$200,2,0),"")="Beide","Beide-klant: controleer prijstype","OK")))))))))</f>
        <v/>
      </c>
    </row>
    <row r="210" ht="15" customHeight="1" s="42">
      <c r="A210" s="56">
        <f>IF(B210="","",WEEKNUM(B210,21))</f>
        <v/>
      </c>
      <c r="B210" s="55" t="n"/>
      <c r="C210" s="57" t="n"/>
      <c r="D210" s="57" t="n"/>
      <c r="E210" s="57" t="n"/>
      <c r="F210" s="57" t="n"/>
      <c r="G210" s="67" t="n"/>
      <c r="H210" s="68" t="n"/>
      <c r="I210" s="61">
        <f>IF(C210="","",IF(H210&lt;&gt;"",INT(H210)+ROUND(MOD(H210,1)*100/60,2),SUMIFS(Registraties!$L$5:$L$3004,Registraties!$D$5:$D$3004,C210,Registraties!$A$5:$A$3004,B210)))</f>
        <v/>
      </c>
      <c r="J210" s="58">
        <f>IF(C210="","",IFERROR(IF(VLOOKUP(C210,Tarieven!$A$2:$F$200,2,0)="Beide","Per uur",VLOOKUP(C210,Tarieven!$A$2:$F$200,2,0)),"Nog bepalen"))</f>
        <v/>
      </c>
      <c r="K210" s="69">
        <f>IF(C210="","",IF(J210="Per uur",IFERROR(VLOOKUP(C210,Tarieven!$A$2:$F$200,3,0),""),IF(J210="Vaste prijs",IFERROR(VLOOKUP(C210,Tarieven!$A$2:$F$200,4,0),""),"")))</f>
        <v/>
      </c>
      <c r="L210" s="70">
        <f>IF(C210="","",IF(J210="Per uur",N(I210)*N(K210),IF(J210="Vaste prijs",N(K210),0)))</f>
        <v/>
      </c>
      <c r="M210" s="69">
        <f>IF(C210="","",IFERROR(IF(N(VLOOKUP(C210,Tarieven!$A$2:$F$200,5,0))=0,"",VLOOKUP(C210,Tarieven!$A$2:$F$200,5,0)),""))</f>
        <v/>
      </c>
      <c r="N210" s="69" t="n"/>
      <c r="O210" s="69" t="n"/>
      <c r="P210" s="70">
        <f>IF(C210="","",N(L210)+N(M210)+N(N210)+N(O210))</f>
        <v/>
      </c>
      <c r="Q210" s="58" t="n"/>
      <c r="R210" s="57" t="n"/>
      <c r="S210" s="57" t="n"/>
      <c r="T210" s="57" t="n"/>
      <c r="U210" s="62">
        <f>IF(C210="","",IF(COUNTIF(Tarieven!$A$2:$A$200,C210)=0,"Klant niet in Tarieven",IF(MOD(N(H210),1)*100&gt;59.4,"Tijd ongeldig: minuten boven 59",IF(J210="Nog bepalen","Prijstype nog bepalen",IF(AND(J210="Per uur",N(K210)=0),"Uurtarief ontbreekt",IF(AND(J210="Vaste prijs",N(K210)=0),"Vaste prijs ontbreekt",IF(AND(N(I210)=0,Q210&lt;&gt;"Niet doorgegaan / verplaatst",Q210&lt;&gt;"Geen factuur nodig"),"Geen uren",IF(AND(G210="NEE",Q210="Verstuurd"),"Verstuurd terwijl werk niet af",IF(IFERROR(VLOOKUP(C210,Tarieven!$A$2:$F$200,2,0),"")="Beide","Beide-klant: controleer prijstype","OK")))))))))</f>
        <v/>
      </c>
    </row>
    <row r="211" ht="15" customHeight="1" s="42">
      <c r="A211" s="56">
        <f>IF(B211="","",WEEKNUM(B211,21))</f>
        <v/>
      </c>
      <c r="B211" s="55" t="n"/>
      <c r="C211" s="57" t="n"/>
      <c r="D211" s="57" t="n"/>
      <c r="E211" s="57" t="n"/>
      <c r="F211" s="57" t="n"/>
      <c r="G211" s="67" t="n"/>
      <c r="H211" s="68" t="n"/>
      <c r="I211" s="61">
        <f>IF(C211="","",IF(H211&lt;&gt;"",INT(H211)+ROUND(MOD(H211,1)*100/60,2),SUMIFS(Registraties!$L$5:$L$3004,Registraties!$D$5:$D$3004,C211,Registraties!$A$5:$A$3004,B211)))</f>
        <v/>
      </c>
      <c r="J211" s="58">
        <f>IF(C211="","",IFERROR(IF(VLOOKUP(C211,Tarieven!$A$2:$F$200,2,0)="Beide","Per uur",VLOOKUP(C211,Tarieven!$A$2:$F$200,2,0)),"Nog bepalen"))</f>
        <v/>
      </c>
      <c r="K211" s="69">
        <f>IF(C211="","",IF(J211="Per uur",IFERROR(VLOOKUP(C211,Tarieven!$A$2:$F$200,3,0),""),IF(J211="Vaste prijs",IFERROR(VLOOKUP(C211,Tarieven!$A$2:$F$200,4,0),""),"")))</f>
        <v/>
      </c>
      <c r="L211" s="70">
        <f>IF(C211="","",IF(J211="Per uur",N(I211)*N(K211),IF(J211="Vaste prijs",N(K211),0)))</f>
        <v/>
      </c>
      <c r="M211" s="69">
        <f>IF(C211="","",IFERROR(IF(N(VLOOKUP(C211,Tarieven!$A$2:$F$200,5,0))=0,"",VLOOKUP(C211,Tarieven!$A$2:$F$200,5,0)),""))</f>
        <v/>
      </c>
      <c r="N211" s="69" t="n"/>
      <c r="O211" s="69" t="n"/>
      <c r="P211" s="70">
        <f>IF(C211="","",N(L211)+N(M211)+N(N211)+N(O211))</f>
        <v/>
      </c>
      <c r="Q211" s="58" t="n"/>
      <c r="R211" s="57" t="n"/>
      <c r="S211" s="57" t="n"/>
      <c r="T211" s="57" t="n"/>
      <c r="U211" s="62">
        <f>IF(C211="","",IF(COUNTIF(Tarieven!$A$2:$A$200,C211)=0,"Klant niet in Tarieven",IF(MOD(N(H211),1)*100&gt;59.4,"Tijd ongeldig: minuten boven 59",IF(J211="Nog bepalen","Prijstype nog bepalen",IF(AND(J211="Per uur",N(K211)=0),"Uurtarief ontbreekt",IF(AND(J211="Vaste prijs",N(K211)=0),"Vaste prijs ontbreekt",IF(AND(N(I211)=0,Q211&lt;&gt;"Niet doorgegaan / verplaatst",Q211&lt;&gt;"Geen factuur nodig"),"Geen uren",IF(AND(G211="NEE",Q211="Verstuurd"),"Verstuurd terwijl werk niet af",IF(IFERROR(VLOOKUP(C211,Tarieven!$A$2:$F$200,2,0),"")="Beide","Beide-klant: controleer prijstype","OK")))))))))</f>
        <v/>
      </c>
    </row>
    <row r="212" ht="15" customHeight="1" s="42">
      <c r="A212" s="56">
        <f>IF(B212="","",WEEKNUM(B212,21))</f>
        <v/>
      </c>
      <c r="B212" s="55" t="n"/>
      <c r="C212" s="57" t="n"/>
      <c r="D212" s="57" t="n"/>
      <c r="E212" s="57" t="n"/>
      <c r="F212" s="57" t="n"/>
      <c r="G212" s="67" t="n"/>
      <c r="H212" s="68" t="n"/>
      <c r="I212" s="61">
        <f>IF(C212="","",IF(H212&lt;&gt;"",INT(H212)+ROUND(MOD(H212,1)*100/60,2),SUMIFS(Registraties!$L$5:$L$3004,Registraties!$D$5:$D$3004,C212,Registraties!$A$5:$A$3004,B212)))</f>
        <v/>
      </c>
      <c r="J212" s="58">
        <f>IF(C212="","",IFERROR(IF(VLOOKUP(C212,Tarieven!$A$2:$F$200,2,0)="Beide","Per uur",VLOOKUP(C212,Tarieven!$A$2:$F$200,2,0)),"Nog bepalen"))</f>
        <v/>
      </c>
      <c r="K212" s="69">
        <f>IF(C212="","",IF(J212="Per uur",IFERROR(VLOOKUP(C212,Tarieven!$A$2:$F$200,3,0),""),IF(J212="Vaste prijs",IFERROR(VLOOKUP(C212,Tarieven!$A$2:$F$200,4,0),""),"")))</f>
        <v/>
      </c>
      <c r="L212" s="70">
        <f>IF(C212="","",IF(J212="Per uur",N(I212)*N(K212),IF(J212="Vaste prijs",N(K212),0)))</f>
        <v/>
      </c>
      <c r="M212" s="69">
        <f>IF(C212="","",IFERROR(IF(N(VLOOKUP(C212,Tarieven!$A$2:$F$200,5,0))=0,"",VLOOKUP(C212,Tarieven!$A$2:$F$200,5,0)),""))</f>
        <v/>
      </c>
      <c r="N212" s="69" t="n"/>
      <c r="O212" s="69" t="n"/>
      <c r="P212" s="70">
        <f>IF(C212="","",N(L212)+N(M212)+N(N212)+N(O212))</f>
        <v/>
      </c>
      <c r="Q212" s="58" t="n"/>
      <c r="R212" s="57" t="n"/>
      <c r="S212" s="57" t="n"/>
      <c r="T212" s="57" t="n"/>
      <c r="U212" s="62">
        <f>IF(C212="","",IF(COUNTIF(Tarieven!$A$2:$A$200,C212)=0,"Klant niet in Tarieven",IF(MOD(N(H212),1)*100&gt;59.4,"Tijd ongeldig: minuten boven 59",IF(J212="Nog bepalen","Prijstype nog bepalen",IF(AND(J212="Per uur",N(K212)=0),"Uurtarief ontbreekt",IF(AND(J212="Vaste prijs",N(K212)=0),"Vaste prijs ontbreekt",IF(AND(N(I212)=0,Q212&lt;&gt;"Niet doorgegaan / verplaatst",Q212&lt;&gt;"Geen factuur nodig"),"Geen uren",IF(AND(G212="NEE",Q212="Verstuurd"),"Verstuurd terwijl werk niet af",IF(IFERROR(VLOOKUP(C212,Tarieven!$A$2:$F$200,2,0),"")="Beide","Beide-klant: controleer prijstype","OK")))))))))</f>
        <v/>
      </c>
    </row>
    <row r="213" ht="15" customHeight="1" s="42">
      <c r="A213" s="56">
        <f>IF(B213="","",WEEKNUM(B213,21))</f>
        <v/>
      </c>
      <c r="B213" s="55" t="n"/>
      <c r="C213" s="57" t="n"/>
      <c r="D213" s="57" t="n"/>
      <c r="E213" s="57" t="n"/>
      <c r="F213" s="57" t="n"/>
      <c r="G213" s="67" t="n"/>
      <c r="H213" s="68" t="n"/>
      <c r="I213" s="61">
        <f>IF(C213="","",IF(H213&lt;&gt;"",INT(H213)+ROUND(MOD(H213,1)*100/60,2),SUMIFS(Registraties!$L$5:$L$3004,Registraties!$D$5:$D$3004,C213,Registraties!$A$5:$A$3004,B213)))</f>
        <v/>
      </c>
      <c r="J213" s="58">
        <f>IF(C213="","",IFERROR(IF(VLOOKUP(C213,Tarieven!$A$2:$F$200,2,0)="Beide","Per uur",VLOOKUP(C213,Tarieven!$A$2:$F$200,2,0)),"Nog bepalen"))</f>
        <v/>
      </c>
      <c r="K213" s="69">
        <f>IF(C213="","",IF(J213="Per uur",IFERROR(VLOOKUP(C213,Tarieven!$A$2:$F$200,3,0),""),IF(J213="Vaste prijs",IFERROR(VLOOKUP(C213,Tarieven!$A$2:$F$200,4,0),""),"")))</f>
        <v/>
      </c>
      <c r="L213" s="70">
        <f>IF(C213="","",IF(J213="Per uur",N(I213)*N(K213),IF(J213="Vaste prijs",N(K213),0)))</f>
        <v/>
      </c>
      <c r="M213" s="69">
        <f>IF(C213="","",IFERROR(IF(N(VLOOKUP(C213,Tarieven!$A$2:$F$200,5,0))=0,"",VLOOKUP(C213,Tarieven!$A$2:$F$200,5,0)),""))</f>
        <v/>
      </c>
      <c r="N213" s="69" t="n"/>
      <c r="O213" s="69" t="n"/>
      <c r="P213" s="70">
        <f>IF(C213="","",N(L213)+N(M213)+N(N213)+N(O213))</f>
        <v/>
      </c>
      <c r="Q213" s="58" t="n"/>
      <c r="R213" s="57" t="n"/>
      <c r="S213" s="57" t="n"/>
      <c r="T213" s="57" t="n"/>
      <c r="U213" s="62">
        <f>IF(C213="","",IF(COUNTIF(Tarieven!$A$2:$A$200,C213)=0,"Klant niet in Tarieven",IF(MOD(N(H213),1)*100&gt;59.4,"Tijd ongeldig: minuten boven 59",IF(J213="Nog bepalen","Prijstype nog bepalen",IF(AND(J213="Per uur",N(K213)=0),"Uurtarief ontbreekt",IF(AND(J213="Vaste prijs",N(K213)=0),"Vaste prijs ontbreekt",IF(AND(N(I213)=0,Q213&lt;&gt;"Niet doorgegaan / verplaatst",Q213&lt;&gt;"Geen factuur nodig"),"Geen uren",IF(AND(G213="NEE",Q213="Verstuurd"),"Verstuurd terwijl werk niet af",IF(IFERROR(VLOOKUP(C213,Tarieven!$A$2:$F$200,2,0),"")="Beide","Beide-klant: controleer prijstype","OK")))))))))</f>
        <v/>
      </c>
    </row>
    <row r="214" ht="15" customHeight="1" s="42">
      <c r="A214" s="56">
        <f>IF(B214="","",WEEKNUM(B214,21))</f>
        <v/>
      </c>
      <c r="B214" s="55" t="n"/>
      <c r="C214" s="57" t="n"/>
      <c r="D214" s="57" t="n"/>
      <c r="E214" s="57" t="n"/>
      <c r="F214" s="57" t="n"/>
      <c r="G214" s="67" t="n"/>
      <c r="H214" s="68" t="n"/>
      <c r="I214" s="61">
        <f>IF(C214="","",IF(H214&lt;&gt;"",INT(H214)+ROUND(MOD(H214,1)*100/60,2),SUMIFS(Registraties!$L$5:$L$3004,Registraties!$D$5:$D$3004,C214,Registraties!$A$5:$A$3004,B214)))</f>
        <v/>
      </c>
      <c r="J214" s="58">
        <f>IF(C214="","",IFERROR(IF(VLOOKUP(C214,Tarieven!$A$2:$F$200,2,0)="Beide","Per uur",VLOOKUP(C214,Tarieven!$A$2:$F$200,2,0)),"Nog bepalen"))</f>
        <v/>
      </c>
      <c r="K214" s="69">
        <f>IF(C214="","",IF(J214="Per uur",IFERROR(VLOOKUP(C214,Tarieven!$A$2:$F$200,3,0),""),IF(J214="Vaste prijs",IFERROR(VLOOKUP(C214,Tarieven!$A$2:$F$200,4,0),""),"")))</f>
        <v/>
      </c>
      <c r="L214" s="70">
        <f>IF(C214="","",IF(J214="Per uur",N(I214)*N(K214),IF(J214="Vaste prijs",N(K214),0)))</f>
        <v/>
      </c>
      <c r="M214" s="69">
        <f>IF(C214="","",IFERROR(IF(N(VLOOKUP(C214,Tarieven!$A$2:$F$200,5,0))=0,"",VLOOKUP(C214,Tarieven!$A$2:$F$200,5,0)),""))</f>
        <v/>
      </c>
      <c r="N214" s="69" t="n"/>
      <c r="O214" s="69" t="n"/>
      <c r="P214" s="70">
        <f>IF(C214="","",N(L214)+N(M214)+N(N214)+N(O214))</f>
        <v/>
      </c>
      <c r="Q214" s="58" t="n"/>
      <c r="R214" s="57" t="n"/>
      <c r="S214" s="57" t="n"/>
      <c r="T214" s="57" t="n"/>
      <c r="U214" s="62">
        <f>IF(C214="","",IF(COUNTIF(Tarieven!$A$2:$A$200,C214)=0,"Klant niet in Tarieven",IF(MOD(N(H214),1)*100&gt;59.4,"Tijd ongeldig: minuten boven 59",IF(J214="Nog bepalen","Prijstype nog bepalen",IF(AND(J214="Per uur",N(K214)=0),"Uurtarief ontbreekt",IF(AND(J214="Vaste prijs",N(K214)=0),"Vaste prijs ontbreekt",IF(AND(N(I214)=0,Q214&lt;&gt;"Niet doorgegaan / verplaatst",Q214&lt;&gt;"Geen factuur nodig"),"Geen uren",IF(AND(G214="NEE",Q214="Verstuurd"),"Verstuurd terwijl werk niet af",IF(IFERROR(VLOOKUP(C214,Tarieven!$A$2:$F$200,2,0),"")="Beide","Beide-klant: controleer prijstype","OK")))))))))</f>
        <v/>
      </c>
    </row>
    <row r="215" ht="15" customHeight="1" s="42">
      <c r="A215" s="56">
        <f>IF(B215="","",WEEKNUM(B215,21))</f>
        <v/>
      </c>
      <c r="B215" s="55" t="n"/>
      <c r="C215" s="57" t="n"/>
      <c r="D215" s="57" t="n"/>
      <c r="E215" s="57" t="n"/>
      <c r="F215" s="57" t="n"/>
      <c r="G215" s="67" t="n"/>
      <c r="H215" s="68" t="n"/>
      <c r="I215" s="61">
        <f>IF(C215="","",IF(H215&lt;&gt;"",INT(H215)+ROUND(MOD(H215,1)*100/60,2),SUMIFS(Registraties!$L$5:$L$3004,Registraties!$D$5:$D$3004,C215,Registraties!$A$5:$A$3004,B215)))</f>
        <v/>
      </c>
      <c r="J215" s="58">
        <f>IF(C215="","",IFERROR(IF(VLOOKUP(C215,Tarieven!$A$2:$F$200,2,0)="Beide","Per uur",VLOOKUP(C215,Tarieven!$A$2:$F$200,2,0)),"Nog bepalen"))</f>
        <v/>
      </c>
      <c r="K215" s="69">
        <f>IF(C215="","",IF(J215="Per uur",IFERROR(VLOOKUP(C215,Tarieven!$A$2:$F$200,3,0),""),IF(J215="Vaste prijs",IFERROR(VLOOKUP(C215,Tarieven!$A$2:$F$200,4,0),""),"")))</f>
        <v/>
      </c>
      <c r="L215" s="70">
        <f>IF(C215="","",IF(J215="Per uur",N(I215)*N(K215),IF(J215="Vaste prijs",N(K215),0)))</f>
        <v/>
      </c>
      <c r="M215" s="69">
        <f>IF(C215="","",IFERROR(IF(N(VLOOKUP(C215,Tarieven!$A$2:$F$200,5,0))=0,"",VLOOKUP(C215,Tarieven!$A$2:$F$200,5,0)),""))</f>
        <v/>
      </c>
      <c r="N215" s="69" t="n"/>
      <c r="O215" s="69" t="n"/>
      <c r="P215" s="70">
        <f>IF(C215="","",N(L215)+N(M215)+N(N215)+N(O215))</f>
        <v/>
      </c>
      <c r="Q215" s="58" t="n"/>
      <c r="R215" s="57" t="n"/>
      <c r="S215" s="57" t="n"/>
      <c r="T215" s="57" t="n"/>
      <c r="U215" s="62">
        <f>IF(C215="","",IF(COUNTIF(Tarieven!$A$2:$A$200,C215)=0,"Klant niet in Tarieven",IF(MOD(N(H215),1)*100&gt;59.4,"Tijd ongeldig: minuten boven 59",IF(J215="Nog bepalen","Prijstype nog bepalen",IF(AND(J215="Per uur",N(K215)=0),"Uurtarief ontbreekt",IF(AND(J215="Vaste prijs",N(K215)=0),"Vaste prijs ontbreekt",IF(AND(N(I215)=0,Q215&lt;&gt;"Niet doorgegaan / verplaatst",Q215&lt;&gt;"Geen factuur nodig"),"Geen uren",IF(AND(G215="NEE",Q215="Verstuurd"),"Verstuurd terwijl werk niet af",IF(IFERROR(VLOOKUP(C215,Tarieven!$A$2:$F$200,2,0),"")="Beide","Beide-klant: controleer prijstype","OK")))))))))</f>
        <v/>
      </c>
    </row>
    <row r="216" ht="15" customHeight="1" s="42">
      <c r="A216" s="56">
        <f>IF(B216="","",WEEKNUM(B216,21))</f>
        <v/>
      </c>
      <c r="B216" s="55" t="n"/>
      <c r="C216" s="57" t="n"/>
      <c r="D216" s="57" t="n"/>
      <c r="E216" s="57" t="n"/>
      <c r="F216" s="57" t="n"/>
      <c r="G216" s="67" t="n"/>
      <c r="H216" s="68" t="n"/>
      <c r="I216" s="61">
        <f>IF(C216="","",IF(H216&lt;&gt;"",INT(H216)+ROUND(MOD(H216,1)*100/60,2),SUMIFS(Registraties!$L$5:$L$3004,Registraties!$D$5:$D$3004,C216,Registraties!$A$5:$A$3004,B216)))</f>
        <v/>
      </c>
      <c r="J216" s="58">
        <f>IF(C216="","",IFERROR(IF(VLOOKUP(C216,Tarieven!$A$2:$F$200,2,0)="Beide","Per uur",VLOOKUP(C216,Tarieven!$A$2:$F$200,2,0)),"Nog bepalen"))</f>
        <v/>
      </c>
      <c r="K216" s="69">
        <f>IF(C216="","",IF(J216="Per uur",IFERROR(VLOOKUP(C216,Tarieven!$A$2:$F$200,3,0),""),IF(J216="Vaste prijs",IFERROR(VLOOKUP(C216,Tarieven!$A$2:$F$200,4,0),""),"")))</f>
        <v/>
      </c>
      <c r="L216" s="70">
        <f>IF(C216="","",IF(J216="Per uur",N(I216)*N(K216),IF(J216="Vaste prijs",N(K216),0)))</f>
        <v/>
      </c>
      <c r="M216" s="69">
        <f>IF(C216="","",IFERROR(IF(N(VLOOKUP(C216,Tarieven!$A$2:$F$200,5,0))=0,"",VLOOKUP(C216,Tarieven!$A$2:$F$200,5,0)),""))</f>
        <v/>
      </c>
      <c r="N216" s="69" t="n"/>
      <c r="O216" s="69" t="n"/>
      <c r="P216" s="70">
        <f>IF(C216="","",N(L216)+N(M216)+N(N216)+N(O216))</f>
        <v/>
      </c>
      <c r="Q216" s="58" t="n"/>
      <c r="R216" s="57" t="n"/>
      <c r="S216" s="57" t="n"/>
      <c r="T216" s="57" t="n"/>
      <c r="U216" s="62">
        <f>IF(C216="","",IF(COUNTIF(Tarieven!$A$2:$A$200,C216)=0,"Klant niet in Tarieven",IF(MOD(N(H216),1)*100&gt;59.4,"Tijd ongeldig: minuten boven 59",IF(J216="Nog bepalen","Prijstype nog bepalen",IF(AND(J216="Per uur",N(K216)=0),"Uurtarief ontbreekt",IF(AND(J216="Vaste prijs",N(K216)=0),"Vaste prijs ontbreekt",IF(AND(N(I216)=0,Q216&lt;&gt;"Niet doorgegaan / verplaatst",Q216&lt;&gt;"Geen factuur nodig"),"Geen uren",IF(AND(G216="NEE",Q216="Verstuurd"),"Verstuurd terwijl werk niet af",IF(IFERROR(VLOOKUP(C216,Tarieven!$A$2:$F$200,2,0),"")="Beide","Beide-klant: controleer prijstype","OK")))))))))</f>
        <v/>
      </c>
    </row>
    <row r="217" ht="15" customHeight="1" s="42">
      <c r="A217" s="56">
        <f>IF(B217="","",WEEKNUM(B217,21))</f>
        <v/>
      </c>
      <c r="B217" s="55" t="n"/>
      <c r="C217" s="57" t="n"/>
      <c r="D217" s="57" t="n"/>
      <c r="E217" s="57" t="n"/>
      <c r="F217" s="57" t="n"/>
      <c r="G217" s="67" t="n"/>
      <c r="H217" s="68" t="n"/>
      <c r="I217" s="61">
        <f>IF(C217="","",IF(H217&lt;&gt;"",INT(H217)+ROUND(MOD(H217,1)*100/60,2),SUMIFS(Registraties!$L$5:$L$3004,Registraties!$D$5:$D$3004,C217,Registraties!$A$5:$A$3004,B217)))</f>
        <v/>
      </c>
      <c r="J217" s="58">
        <f>IF(C217="","",IFERROR(IF(VLOOKUP(C217,Tarieven!$A$2:$F$200,2,0)="Beide","Per uur",VLOOKUP(C217,Tarieven!$A$2:$F$200,2,0)),"Nog bepalen"))</f>
        <v/>
      </c>
      <c r="K217" s="69">
        <f>IF(C217="","",IF(J217="Per uur",IFERROR(VLOOKUP(C217,Tarieven!$A$2:$F$200,3,0),""),IF(J217="Vaste prijs",IFERROR(VLOOKUP(C217,Tarieven!$A$2:$F$200,4,0),""),"")))</f>
        <v/>
      </c>
      <c r="L217" s="70">
        <f>IF(C217="","",IF(J217="Per uur",N(I217)*N(K217),IF(J217="Vaste prijs",N(K217),0)))</f>
        <v/>
      </c>
      <c r="M217" s="69">
        <f>IF(C217="","",IFERROR(IF(N(VLOOKUP(C217,Tarieven!$A$2:$F$200,5,0))=0,"",VLOOKUP(C217,Tarieven!$A$2:$F$200,5,0)),""))</f>
        <v/>
      </c>
      <c r="N217" s="69" t="n"/>
      <c r="O217" s="69" t="n"/>
      <c r="P217" s="70">
        <f>IF(C217="","",N(L217)+N(M217)+N(N217)+N(O217))</f>
        <v/>
      </c>
      <c r="Q217" s="58" t="n"/>
      <c r="R217" s="57" t="n"/>
      <c r="S217" s="57" t="n"/>
      <c r="T217" s="57" t="n"/>
      <c r="U217" s="62">
        <f>IF(C217="","",IF(COUNTIF(Tarieven!$A$2:$A$200,C217)=0,"Klant niet in Tarieven",IF(MOD(N(H217),1)*100&gt;59.4,"Tijd ongeldig: minuten boven 59",IF(J217="Nog bepalen","Prijstype nog bepalen",IF(AND(J217="Per uur",N(K217)=0),"Uurtarief ontbreekt",IF(AND(J217="Vaste prijs",N(K217)=0),"Vaste prijs ontbreekt",IF(AND(N(I217)=0,Q217&lt;&gt;"Niet doorgegaan / verplaatst",Q217&lt;&gt;"Geen factuur nodig"),"Geen uren",IF(AND(G217="NEE",Q217="Verstuurd"),"Verstuurd terwijl werk niet af",IF(IFERROR(VLOOKUP(C217,Tarieven!$A$2:$F$200,2,0),"")="Beide","Beide-klant: controleer prijstype","OK")))))))))</f>
        <v/>
      </c>
    </row>
    <row r="218" ht="15" customHeight="1" s="42">
      <c r="A218" s="56">
        <f>IF(B218="","",WEEKNUM(B218,21))</f>
        <v/>
      </c>
      <c r="B218" s="55" t="n"/>
      <c r="C218" s="57" t="n"/>
      <c r="D218" s="57" t="n"/>
      <c r="E218" s="57" t="n"/>
      <c r="F218" s="57" t="n"/>
      <c r="G218" s="67" t="n"/>
      <c r="H218" s="68" t="n"/>
      <c r="I218" s="61">
        <f>IF(C218="","",IF(H218&lt;&gt;"",INT(H218)+ROUND(MOD(H218,1)*100/60,2),SUMIFS(Registraties!$L$5:$L$3004,Registraties!$D$5:$D$3004,C218,Registraties!$A$5:$A$3004,B218)))</f>
        <v/>
      </c>
      <c r="J218" s="58">
        <f>IF(C218="","",IFERROR(IF(VLOOKUP(C218,Tarieven!$A$2:$F$200,2,0)="Beide","Per uur",VLOOKUP(C218,Tarieven!$A$2:$F$200,2,0)),"Nog bepalen"))</f>
        <v/>
      </c>
      <c r="K218" s="69">
        <f>IF(C218="","",IF(J218="Per uur",IFERROR(VLOOKUP(C218,Tarieven!$A$2:$F$200,3,0),""),IF(J218="Vaste prijs",IFERROR(VLOOKUP(C218,Tarieven!$A$2:$F$200,4,0),""),"")))</f>
        <v/>
      </c>
      <c r="L218" s="70">
        <f>IF(C218="","",IF(J218="Per uur",N(I218)*N(K218),IF(J218="Vaste prijs",N(K218),0)))</f>
        <v/>
      </c>
      <c r="M218" s="69">
        <f>IF(C218="","",IFERROR(IF(N(VLOOKUP(C218,Tarieven!$A$2:$F$200,5,0))=0,"",VLOOKUP(C218,Tarieven!$A$2:$F$200,5,0)),""))</f>
        <v/>
      </c>
      <c r="N218" s="69" t="n"/>
      <c r="O218" s="69" t="n"/>
      <c r="P218" s="70">
        <f>IF(C218="","",N(L218)+N(M218)+N(N218)+N(O218))</f>
        <v/>
      </c>
      <c r="Q218" s="58" t="n"/>
      <c r="R218" s="57" t="n"/>
      <c r="S218" s="57" t="n"/>
      <c r="T218" s="57" t="n"/>
      <c r="U218" s="62">
        <f>IF(C218="","",IF(COUNTIF(Tarieven!$A$2:$A$200,C218)=0,"Klant niet in Tarieven",IF(MOD(N(H218),1)*100&gt;59.4,"Tijd ongeldig: minuten boven 59",IF(J218="Nog bepalen","Prijstype nog bepalen",IF(AND(J218="Per uur",N(K218)=0),"Uurtarief ontbreekt",IF(AND(J218="Vaste prijs",N(K218)=0),"Vaste prijs ontbreekt",IF(AND(N(I218)=0,Q218&lt;&gt;"Niet doorgegaan / verplaatst",Q218&lt;&gt;"Geen factuur nodig"),"Geen uren",IF(AND(G218="NEE",Q218="Verstuurd"),"Verstuurd terwijl werk niet af",IF(IFERROR(VLOOKUP(C218,Tarieven!$A$2:$F$200,2,0),"")="Beide","Beide-klant: controleer prijstype","OK")))))))))</f>
        <v/>
      </c>
    </row>
    <row r="219" ht="15" customHeight="1" s="42">
      <c r="A219" s="56">
        <f>IF(B219="","",WEEKNUM(B219,21))</f>
        <v/>
      </c>
      <c r="B219" s="55" t="n"/>
      <c r="C219" s="57" t="n"/>
      <c r="D219" s="57" t="n"/>
      <c r="E219" s="57" t="n"/>
      <c r="F219" s="57" t="n"/>
      <c r="G219" s="67" t="n"/>
      <c r="H219" s="68" t="n"/>
      <c r="I219" s="61">
        <f>IF(C219="","",IF(H219&lt;&gt;"",INT(H219)+ROUND(MOD(H219,1)*100/60,2),SUMIFS(Registraties!$L$5:$L$3004,Registraties!$D$5:$D$3004,C219,Registraties!$A$5:$A$3004,B219)))</f>
        <v/>
      </c>
      <c r="J219" s="58">
        <f>IF(C219="","",IFERROR(IF(VLOOKUP(C219,Tarieven!$A$2:$F$200,2,0)="Beide","Per uur",VLOOKUP(C219,Tarieven!$A$2:$F$200,2,0)),"Nog bepalen"))</f>
        <v/>
      </c>
      <c r="K219" s="69">
        <f>IF(C219="","",IF(J219="Per uur",IFERROR(VLOOKUP(C219,Tarieven!$A$2:$F$200,3,0),""),IF(J219="Vaste prijs",IFERROR(VLOOKUP(C219,Tarieven!$A$2:$F$200,4,0),""),"")))</f>
        <v/>
      </c>
      <c r="L219" s="70">
        <f>IF(C219="","",IF(J219="Per uur",N(I219)*N(K219),IF(J219="Vaste prijs",N(K219),0)))</f>
        <v/>
      </c>
      <c r="M219" s="69">
        <f>IF(C219="","",IFERROR(IF(N(VLOOKUP(C219,Tarieven!$A$2:$F$200,5,0))=0,"",VLOOKUP(C219,Tarieven!$A$2:$F$200,5,0)),""))</f>
        <v/>
      </c>
      <c r="N219" s="69" t="n"/>
      <c r="O219" s="69" t="n"/>
      <c r="P219" s="70">
        <f>IF(C219="","",N(L219)+N(M219)+N(N219)+N(O219))</f>
        <v/>
      </c>
      <c r="Q219" s="58" t="n"/>
      <c r="R219" s="57" t="n"/>
      <c r="S219" s="57" t="n"/>
      <c r="T219" s="57" t="n"/>
      <c r="U219" s="62">
        <f>IF(C219="","",IF(COUNTIF(Tarieven!$A$2:$A$200,C219)=0,"Klant niet in Tarieven",IF(MOD(N(H219),1)*100&gt;59.4,"Tijd ongeldig: minuten boven 59",IF(J219="Nog bepalen","Prijstype nog bepalen",IF(AND(J219="Per uur",N(K219)=0),"Uurtarief ontbreekt",IF(AND(J219="Vaste prijs",N(K219)=0),"Vaste prijs ontbreekt",IF(AND(N(I219)=0,Q219&lt;&gt;"Niet doorgegaan / verplaatst",Q219&lt;&gt;"Geen factuur nodig"),"Geen uren",IF(AND(G219="NEE",Q219="Verstuurd"),"Verstuurd terwijl werk niet af",IF(IFERROR(VLOOKUP(C219,Tarieven!$A$2:$F$200,2,0),"")="Beide","Beide-klant: controleer prijstype","OK")))))))))</f>
        <v/>
      </c>
    </row>
    <row r="220" ht="15" customHeight="1" s="42">
      <c r="A220" s="56">
        <f>IF(B220="","",WEEKNUM(B220,21))</f>
        <v/>
      </c>
      <c r="B220" s="55" t="n"/>
      <c r="C220" s="57" t="n"/>
      <c r="D220" s="57" t="n"/>
      <c r="E220" s="57" t="n"/>
      <c r="F220" s="57" t="n"/>
      <c r="G220" s="67" t="n"/>
      <c r="H220" s="68" t="n"/>
      <c r="I220" s="61">
        <f>IF(C220="","",IF(H220&lt;&gt;"",INT(H220)+ROUND(MOD(H220,1)*100/60,2),SUMIFS(Registraties!$L$5:$L$3004,Registraties!$D$5:$D$3004,C220,Registraties!$A$5:$A$3004,B220)))</f>
        <v/>
      </c>
      <c r="J220" s="58">
        <f>IF(C220="","",IFERROR(IF(VLOOKUP(C220,Tarieven!$A$2:$F$200,2,0)="Beide","Per uur",VLOOKUP(C220,Tarieven!$A$2:$F$200,2,0)),"Nog bepalen"))</f>
        <v/>
      </c>
      <c r="K220" s="69">
        <f>IF(C220="","",IF(J220="Per uur",IFERROR(VLOOKUP(C220,Tarieven!$A$2:$F$200,3,0),""),IF(J220="Vaste prijs",IFERROR(VLOOKUP(C220,Tarieven!$A$2:$F$200,4,0),""),"")))</f>
        <v/>
      </c>
      <c r="L220" s="70">
        <f>IF(C220="","",IF(J220="Per uur",N(I220)*N(K220),IF(J220="Vaste prijs",N(K220),0)))</f>
        <v/>
      </c>
      <c r="M220" s="69">
        <f>IF(C220="","",IFERROR(IF(N(VLOOKUP(C220,Tarieven!$A$2:$F$200,5,0))=0,"",VLOOKUP(C220,Tarieven!$A$2:$F$200,5,0)),""))</f>
        <v/>
      </c>
      <c r="N220" s="69" t="n"/>
      <c r="O220" s="69" t="n"/>
      <c r="P220" s="70">
        <f>IF(C220="","",N(L220)+N(M220)+N(N220)+N(O220))</f>
        <v/>
      </c>
      <c r="Q220" s="58" t="n"/>
      <c r="R220" s="57" t="n"/>
      <c r="S220" s="57" t="n"/>
      <c r="T220" s="57" t="n"/>
      <c r="U220" s="62">
        <f>IF(C220="","",IF(COUNTIF(Tarieven!$A$2:$A$200,C220)=0,"Klant niet in Tarieven",IF(MOD(N(H220),1)*100&gt;59.4,"Tijd ongeldig: minuten boven 59",IF(J220="Nog bepalen","Prijstype nog bepalen",IF(AND(J220="Per uur",N(K220)=0),"Uurtarief ontbreekt",IF(AND(J220="Vaste prijs",N(K220)=0),"Vaste prijs ontbreekt",IF(AND(N(I220)=0,Q220&lt;&gt;"Niet doorgegaan / verplaatst",Q220&lt;&gt;"Geen factuur nodig"),"Geen uren",IF(AND(G220="NEE",Q220="Verstuurd"),"Verstuurd terwijl werk niet af",IF(IFERROR(VLOOKUP(C220,Tarieven!$A$2:$F$200,2,0),"")="Beide","Beide-klant: controleer prijstype","OK")))))))))</f>
        <v/>
      </c>
    </row>
    <row r="221" ht="15" customHeight="1" s="42">
      <c r="A221" s="56">
        <f>IF(B221="","",WEEKNUM(B221,21))</f>
        <v/>
      </c>
      <c r="B221" s="55" t="n"/>
      <c r="C221" s="57" t="n"/>
      <c r="D221" s="57" t="n"/>
      <c r="E221" s="57" t="n"/>
      <c r="F221" s="57" t="n"/>
      <c r="G221" s="67" t="n"/>
      <c r="H221" s="68" t="n"/>
      <c r="I221" s="61">
        <f>IF(C221="","",IF(H221&lt;&gt;"",INT(H221)+ROUND(MOD(H221,1)*100/60,2),SUMIFS(Registraties!$L$5:$L$3004,Registraties!$D$5:$D$3004,C221,Registraties!$A$5:$A$3004,B221)))</f>
        <v/>
      </c>
      <c r="J221" s="58">
        <f>IF(C221="","",IFERROR(IF(VLOOKUP(C221,Tarieven!$A$2:$F$200,2,0)="Beide","Per uur",VLOOKUP(C221,Tarieven!$A$2:$F$200,2,0)),"Nog bepalen"))</f>
        <v/>
      </c>
      <c r="K221" s="69">
        <f>IF(C221="","",IF(J221="Per uur",IFERROR(VLOOKUP(C221,Tarieven!$A$2:$F$200,3,0),""),IF(J221="Vaste prijs",IFERROR(VLOOKUP(C221,Tarieven!$A$2:$F$200,4,0),""),"")))</f>
        <v/>
      </c>
      <c r="L221" s="70">
        <f>IF(C221="","",IF(J221="Per uur",N(I221)*N(K221),IF(J221="Vaste prijs",N(K221),0)))</f>
        <v/>
      </c>
      <c r="M221" s="69">
        <f>IF(C221="","",IFERROR(IF(N(VLOOKUP(C221,Tarieven!$A$2:$F$200,5,0))=0,"",VLOOKUP(C221,Tarieven!$A$2:$F$200,5,0)),""))</f>
        <v/>
      </c>
      <c r="N221" s="69" t="n"/>
      <c r="O221" s="69" t="n"/>
      <c r="P221" s="70">
        <f>IF(C221="","",N(L221)+N(M221)+N(N221)+N(O221))</f>
        <v/>
      </c>
      <c r="Q221" s="58" t="n"/>
      <c r="R221" s="57" t="n"/>
      <c r="S221" s="57" t="n"/>
      <c r="T221" s="57" t="n"/>
      <c r="U221" s="62">
        <f>IF(C221="","",IF(COUNTIF(Tarieven!$A$2:$A$200,C221)=0,"Klant niet in Tarieven",IF(MOD(N(H221),1)*100&gt;59.4,"Tijd ongeldig: minuten boven 59",IF(J221="Nog bepalen","Prijstype nog bepalen",IF(AND(J221="Per uur",N(K221)=0),"Uurtarief ontbreekt",IF(AND(J221="Vaste prijs",N(K221)=0),"Vaste prijs ontbreekt",IF(AND(N(I221)=0,Q221&lt;&gt;"Niet doorgegaan / verplaatst",Q221&lt;&gt;"Geen factuur nodig"),"Geen uren",IF(AND(G221="NEE",Q221="Verstuurd"),"Verstuurd terwijl werk niet af",IF(IFERROR(VLOOKUP(C221,Tarieven!$A$2:$F$200,2,0),"")="Beide","Beide-klant: controleer prijstype","OK")))))))))</f>
        <v/>
      </c>
    </row>
    <row r="222" ht="15" customHeight="1" s="42">
      <c r="A222" s="56">
        <f>IF(B222="","",WEEKNUM(B222,21))</f>
        <v/>
      </c>
      <c r="B222" s="55" t="n"/>
      <c r="C222" s="57" t="n"/>
      <c r="D222" s="57" t="n"/>
      <c r="E222" s="57" t="n"/>
      <c r="F222" s="57" t="n"/>
      <c r="G222" s="67" t="n"/>
      <c r="H222" s="68" t="n"/>
      <c r="I222" s="61">
        <f>IF(C222="","",IF(H222&lt;&gt;"",INT(H222)+ROUND(MOD(H222,1)*100/60,2),SUMIFS(Registraties!$L$5:$L$3004,Registraties!$D$5:$D$3004,C222,Registraties!$A$5:$A$3004,B222)))</f>
        <v/>
      </c>
      <c r="J222" s="58">
        <f>IF(C222="","",IFERROR(IF(VLOOKUP(C222,Tarieven!$A$2:$F$200,2,0)="Beide","Per uur",VLOOKUP(C222,Tarieven!$A$2:$F$200,2,0)),"Nog bepalen"))</f>
        <v/>
      </c>
      <c r="K222" s="69">
        <f>IF(C222="","",IF(J222="Per uur",IFERROR(VLOOKUP(C222,Tarieven!$A$2:$F$200,3,0),""),IF(J222="Vaste prijs",IFERROR(VLOOKUP(C222,Tarieven!$A$2:$F$200,4,0),""),"")))</f>
        <v/>
      </c>
      <c r="L222" s="70">
        <f>IF(C222="","",IF(J222="Per uur",N(I222)*N(K222),IF(J222="Vaste prijs",N(K222),0)))</f>
        <v/>
      </c>
      <c r="M222" s="69">
        <f>IF(C222="","",IFERROR(IF(N(VLOOKUP(C222,Tarieven!$A$2:$F$200,5,0))=0,"",VLOOKUP(C222,Tarieven!$A$2:$F$200,5,0)),""))</f>
        <v/>
      </c>
      <c r="N222" s="69" t="n"/>
      <c r="O222" s="69" t="n"/>
      <c r="P222" s="70">
        <f>IF(C222="","",N(L222)+N(M222)+N(N222)+N(O222))</f>
        <v/>
      </c>
      <c r="Q222" s="58" t="n"/>
      <c r="R222" s="57" t="n"/>
      <c r="S222" s="57" t="n"/>
      <c r="T222" s="57" t="n"/>
      <c r="U222" s="62">
        <f>IF(C222="","",IF(COUNTIF(Tarieven!$A$2:$A$200,C222)=0,"Klant niet in Tarieven",IF(MOD(N(H222),1)*100&gt;59.4,"Tijd ongeldig: minuten boven 59",IF(J222="Nog bepalen","Prijstype nog bepalen",IF(AND(J222="Per uur",N(K222)=0),"Uurtarief ontbreekt",IF(AND(J222="Vaste prijs",N(K222)=0),"Vaste prijs ontbreekt",IF(AND(N(I222)=0,Q222&lt;&gt;"Niet doorgegaan / verplaatst",Q222&lt;&gt;"Geen factuur nodig"),"Geen uren",IF(AND(G222="NEE",Q222="Verstuurd"),"Verstuurd terwijl werk niet af",IF(IFERROR(VLOOKUP(C222,Tarieven!$A$2:$F$200,2,0),"")="Beide","Beide-klant: controleer prijstype","OK")))))))))</f>
        <v/>
      </c>
    </row>
    <row r="223" ht="15" customHeight="1" s="42">
      <c r="A223" s="56">
        <f>IF(B223="","",WEEKNUM(B223,21))</f>
        <v/>
      </c>
      <c r="B223" s="55" t="n"/>
      <c r="C223" s="57" t="n"/>
      <c r="D223" s="57" t="n"/>
      <c r="E223" s="57" t="n"/>
      <c r="F223" s="57" t="n"/>
      <c r="G223" s="67" t="n"/>
      <c r="H223" s="68" t="n"/>
      <c r="I223" s="61">
        <f>IF(C223="","",IF(H223&lt;&gt;"",INT(H223)+ROUND(MOD(H223,1)*100/60,2),SUMIFS(Registraties!$L$5:$L$3004,Registraties!$D$5:$D$3004,C223,Registraties!$A$5:$A$3004,B223)))</f>
        <v/>
      </c>
      <c r="J223" s="58">
        <f>IF(C223="","",IFERROR(IF(VLOOKUP(C223,Tarieven!$A$2:$F$200,2,0)="Beide","Per uur",VLOOKUP(C223,Tarieven!$A$2:$F$200,2,0)),"Nog bepalen"))</f>
        <v/>
      </c>
      <c r="K223" s="69">
        <f>IF(C223="","",IF(J223="Per uur",IFERROR(VLOOKUP(C223,Tarieven!$A$2:$F$200,3,0),""),IF(J223="Vaste prijs",IFERROR(VLOOKUP(C223,Tarieven!$A$2:$F$200,4,0),""),"")))</f>
        <v/>
      </c>
      <c r="L223" s="70">
        <f>IF(C223="","",IF(J223="Per uur",N(I223)*N(K223),IF(J223="Vaste prijs",N(K223),0)))</f>
        <v/>
      </c>
      <c r="M223" s="69">
        <f>IF(C223="","",IFERROR(IF(N(VLOOKUP(C223,Tarieven!$A$2:$F$200,5,0))=0,"",VLOOKUP(C223,Tarieven!$A$2:$F$200,5,0)),""))</f>
        <v/>
      </c>
      <c r="N223" s="69" t="n"/>
      <c r="O223" s="69" t="n"/>
      <c r="P223" s="70">
        <f>IF(C223="","",N(L223)+N(M223)+N(N223)+N(O223))</f>
        <v/>
      </c>
      <c r="Q223" s="58" t="n"/>
      <c r="R223" s="57" t="n"/>
      <c r="S223" s="57" t="n"/>
      <c r="T223" s="57" t="n"/>
      <c r="U223" s="62">
        <f>IF(C223="","",IF(COUNTIF(Tarieven!$A$2:$A$200,C223)=0,"Klant niet in Tarieven",IF(MOD(N(H223),1)*100&gt;59.4,"Tijd ongeldig: minuten boven 59",IF(J223="Nog bepalen","Prijstype nog bepalen",IF(AND(J223="Per uur",N(K223)=0),"Uurtarief ontbreekt",IF(AND(J223="Vaste prijs",N(K223)=0),"Vaste prijs ontbreekt",IF(AND(N(I223)=0,Q223&lt;&gt;"Niet doorgegaan / verplaatst",Q223&lt;&gt;"Geen factuur nodig"),"Geen uren",IF(AND(G223="NEE",Q223="Verstuurd"),"Verstuurd terwijl werk niet af",IF(IFERROR(VLOOKUP(C223,Tarieven!$A$2:$F$200,2,0),"")="Beide","Beide-klant: controleer prijstype","OK")))))))))</f>
        <v/>
      </c>
    </row>
    <row r="224" ht="15" customHeight="1" s="42">
      <c r="A224" s="56">
        <f>IF(B224="","",WEEKNUM(B224,21))</f>
        <v/>
      </c>
      <c r="B224" s="55" t="n"/>
      <c r="C224" s="57" t="n"/>
      <c r="D224" s="57" t="n"/>
      <c r="E224" s="57" t="n"/>
      <c r="F224" s="57" t="n"/>
      <c r="G224" s="67" t="n"/>
      <c r="H224" s="68" t="n"/>
      <c r="I224" s="61">
        <f>IF(C224="","",IF(H224&lt;&gt;"",INT(H224)+ROUND(MOD(H224,1)*100/60,2),SUMIFS(Registraties!$L$5:$L$3004,Registraties!$D$5:$D$3004,C224,Registraties!$A$5:$A$3004,B224)))</f>
        <v/>
      </c>
      <c r="J224" s="58">
        <f>IF(C224="","",IFERROR(IF(VLOOKUP(C224,Tarieven!$A$2:$F$200,2,0)="Beide","Per uur",VLOOKUP(C224,Tarieven!$A$2:$F$200,2,0)),"Nog bepalen"))</f>
        <v/>
      </c>
      <c r="K224" s="69">
        <f>IF(C224="","",IF(J224="Per uur",IFERROR(VLOOKUP(C224,Tarieven!$A$2:$F$200,3,0),""),IF(J224="Vaste prijs",IFERROR(VLOOKUP(C224,Tarieven!$A$2:$F$200,4,0),""),"")))</f>
        <v/>
      </c>
      <c r="L224" s="70">
        <f>IF(C224="","",IF(J224="Per uur",N(I224)*N(K224),IF(J224="Vaste prijs",N(K224),0)))</f>
        <v/>
      </c>
      <c r="M224" s="69">
        <f>IF(C224="","",IFERROR(IF(N(VLOOKUP(C224,Tarieven!$A$2:$F$200,5,0))=0,"",VLOOKUP(C224,Tarieven!$A$2:$F$200,5,0)),""))</f>
        <v/>
      </c>
      <c r="N224" s="69" t="n"/>
      <c r="O224" s="69" t="n"/>
      <c r="P224" s="70">
        <f>IF(C224="","",N(L224)+N(M224)+N(N224)+N(O224))</f>
        <v/>
      </c>
      <c r="Q224" s="58" t="n"/>
      <c r="R224" s="57" t="n"/>
      <c r="S224" s="57" t="n"/>
      <c r="T224" s="57" t="n"/>
      <c r="U224" s="62">
        <f>IF(C224="","",IF(COUNTIF(Tarieven!$A$2:$A$200,C224)=0,"Klant niet in Tarieven",IF(MOD(N(H224),1)*100&gt;59.4,"Tijd ongeldig: minuten boven 59",IF(J224="Nog bepalen","Prijstype nog bepalen",IF(AND(J224="Per uur",N(K224)=0),"Uurtarief ontbreekt",IF(AND(J224="Vaste prijs",N(K224)=0),"Vaste prijs ontbreekt",IF(AND(N(I224)=0,Q224&lt;&gt;"Niet doorgegaan / verplaatst",Q224&lt;&gt;"Geen factuur nodig"),"Geen uren",IF(AND(G224="NEE",Q224="Verstuurd"),"Verstuurd terwijl werk niet af",IF(IFERROR(VLOOKUP(C224,Tarieven!$A$2:$F$200,2,0),"")="Beide","Beide-klant: controleer prijstype","OK")))))))))</f>
        <v/>
      </c>
    </row>
    <row r="225" ht="15" customHeight="1" s="42">
      <c r="A225" s="56">
        <f>IF(B225="","",WEEKNUM(B225,21))</f>
        <v/>
      </c>
      <c r="B225" s="55" t="n"/>
      <c r="C225" s="57" t="n"/>
      <c r="D225" s="57" t="n"/>
      <c r="E225" s="57" t="n"/>
      <c r="F225" s="57" t="n"/>
      <c r="G225" s="67" t="n"/>
      <c r="H225" s="68" t="n"/>
      <c r="I225" s="61">
        <f>IF(C225="","",IF(H225&lt;&gt;"",INT(H225)+ROUND(MOD(H225,1)*100/60,2),SUMIFS(Registraties!$L$5:$L$3004,Registraties!$D$5:$D$3004,C225,Registraties!$A$5:$A$3004,B225)))</f>
        <v/>
      </c>
      <c r="J225" s="58">
        <f>IF(C225="","",IFERROR(IF(VLOOKUP(C225,Tarieven!$A$2:$F$200,2,0)="Beide","Per uur",VLOOKUP(C225,Tarieven!$A$2:$F$200,2,0)),"Nog bepalen"))</f>
        <v/>
      </c>
      <c r="K225" s="69">
        <f>IF(C225="","",IF(J225="Per uur",IFERROR(VLOOKUP(C225,Tarieven!$A$2:$F$200,3,0),""),IF(J225="Vaste prijs",IFERROR(VLOOKUP(C225,Tarieven!$A$2:$F$200,4,0),""),"")))</f>
        <v/>
      </c>
      <c r="L225" s="70">
        <f>IF(C225="","",IF(J225="Per uur",N(I225)*N(K225),IF(J225="Vaste prijs",N(K225),0)))</f>
        <v/>
      </c>
      <c r="M225" s="69">
        <f>IF(C225="","",IFERROR(IF(N(VLOOKUP(C225,Tarieven!$A$2:$F$200,5,0))=0,"",VLOOKUP(C225,Tarieven!$A$2:$F$200,5,0)),""))</f>
        <v/>
      </c>
      <c r="N225" s="69" t="n"/>
      <c r="O225" s="69" t="n"/>
      <c r="P225" s="70">
        <f>IF(C225="","",N(L225)+N(M225)+N(N225)+N(O225))</f>
        <v/>
      </c>
      <c r="Q225" s="58" t="n"/>
      <c r="R225" s="57" t="n"/>
      <c r="S225" s="57" t="n"/>
      <c r="T225" s="57" t="n"/>
      <c r="U225" s="62">
        <f>IF(C225="","",IF(COUNTIF(Tarieven!$A$2:$A$200,C225)=0,"Klant niet in Tarieven",IF(MOD(N(H225),1)*100&gt;59.4,"Tijd ongeldig: minuten boven 59",IF(J225="Nog bepalen","Prijstype nog bepalen",IF(AND(J225="Per uur",N(K225)=0),"Uurtarief ontbreekt",IF(AND(J225="Vaste prijs",N(K225)=0),"Vaste prijs ontbreekt",IF(AND(N(I225)=0,Q225&lt;&gt;"Niet doorgegaan / verplaatst",Q225&lt;&gt;"Geen factuur nodig"),"Geen uren",IF(AND(G225="NEE",Q225="Verstuurd"),"Verstuurd terwijl werk niet af",IF(IFERROR(VLOOKUP(C225,Tarieven!$A$2:$F$200,2,0),"")="Beide","Beide-klant: controleer prijstype","OK")))))))))</f>
        <v/>
      </c>
    </row>
    <row r="226" ht="15" customHeight="1" s="42">
      <c r="A226" s="56">
        <f>IF(B226="","",WEEKNUM(B226,21))</f>
        <v/>
      </c>
      <c r="B226" s="55" t="n"/>
      <c r="C226" s="57" t="n"/>
      <c r="D226" s="57" t="n"/>
      <c r="E226" s="57" t="n"/>
      <c r="F226" s="57" t="n"/>
      <c r="G226" s="67" t="n"/>
      <c r="H226" s="68" t="n"/>
      <c r="I226" s="61">
        <f>IF(C226="","",IF(H226&lt;&gt;"",INT(H226)+ROUND(MOD(H226,1)*100/60,2),SUMIFS(Registraties!$L$5:$L$3004,Registraties!$D$5:$D$3004,C226,Registraties!$A$5:$A$3004,B226)))</f>
        <v/>
      </c>
      <c r="J226" s="58">
        <f>IF(C226="","",IFERROR(IF(VLOOKUP(C226,Tarieven!$A$2:$F$200,2,0)="Beide","Per uur",VLOOKUP(C226,Tarieven!$A$2:$F$200,2,0)),"Nog bepalen"))</f>
        <v/>
      </c>
      <c r="K226" s="69">
        <f>IF(C226="","",IF(J226="Per uur",IFERROR(VLOOKUP(C226,Tarieven!$A$2:$F$200,3,0),""),IF(J226="Vaste prijs",IFERROR(VLOOKUP(C226,Tarieven!$A$2:$F$200,4,0),""),"")))</f>
        <v/>
      </c>
      <c r="L226" s="70">
        <f>IF(C226="","",IF(J226="Per uur",N(I226)*N(K226),IF(J226="Vaste prijs",N(K226),0)))</f>
        <v/>
      </c>
      <c r="M226" s="69">
        <f>IF(C226="","",IFERROR(IF(N(VLOOKUP(C226,Tarieven!$A$2:$F$200,5,0))=0,"",VLOOKUP(C226,Tarieven!$A$2:$F$200,5,0)),""))</f>
        <v/>
      </c>
      <c r="N226" s="69" t="n"/>
      <c r="O226" s="69" t="n"/>
      <c r="P226" s="70">
        <f>IF(C226="","",N(L226)+N(M226)+N(N226)+N(O226))</f>
        <v/>
      </c>
      <c r="Q226" s="58" t="n"/>
      <c r="R226" s="57" t="n"/>
      <c r="S226" s="57" t="n"/>
      <c r="T226" s="57" t="n"/>
      <c r="U226" s="62">
        <f>IF(C226="","",IF(COUNTIF(Tarieven!$A$2:$A$200,C226)=0,"Klant niet in Tarieven",IF(MOD(N(H226),1)*100&gt;59.4,"Tijd ongeldig: minuten boven 59",IF(J226="Nog bepalen","Prijstype nog bepalen",IF(AND(J226="Per uur",N(K226)=0),"Uurtarief ontbreekt",IF(AND(J226="Vaste prijs",N(K226)=0),"Vaste prijs ontbreekt",IF(AND(N(I226)=0,Q226&lt;&gt;"Niet doorgegaan / verplaatst",Q226&lt;&gt;"Geen factuur nodig"),"Geen uren",IF(AND(G226="NEE",Q226="Verstuurd"),"Verstuurd terwijl werk niet af",IF(IFERROR(VLOOKUP(C226,Tarieven!$A$2:$F$200,2,0),"")="Beide","Beide-klant: controleer prijstype","OK")))))))))</f>
        <v/>
      </c>
    </row>
    <row r="227" ht="15" customHeight="1" s="42">
      <c r="A227" s="56">
        <f>IF(B227="","",WEEKNUM(B227,21))</f>
        <v/>
      </c>
      <c r="B227" s="55" t="n"/>
      <c r="C227" s="57" t="n"/>
      <c r="D227" s="57" t="n"/>
      <c r="E227" s="57" t="n"/>
      <c r="F227" s="57" t="n"/>
      <c r="G227" s="67" t="n"/>
      <c r="H227" s="68" t="n"/>
      <c r="I227" s="61">
        <f>IF(C227="","",IF(H227&lt;&gt;"",INT(H227)+ROUND(MOD(H227,1)*100/60,2),SUMIFS(Registraties!$L$5:$L$3004,Registraties!$D$5:$D$3004,C227,Registraties!$A$5:$A$3004,B227)))</f>
        <v/>
      </c>
      <c r="J227" s="58">
        <f>IF(C227="","",IFERROR(IF(VLOOKUP(C227,Tarieven!$A$2:$F$200,2,0)="Beide","Per uur",VLOOKUP(C227,Tarieven!$A$2:$F$200,2,0)),"Nog bepalen"))</f>
        <v/>
      </c>
      <c r="K227" s="69">
        <f>IF(C227="","",IF(J227="Per uur",IFERROR(VLOOKUP(C227,Tarieven!$A$2:$F$200,3,0),""),IF(J227="Vaste prijs",IFERROR(VLOOKUP(C227,Tarieven!$A$2:$F$200,4,0),""),"")))</f>
        <v/>
      </c>
      <c r="L227" s="70">
        <f>IF(C227="","",IF(J227="Per uur",N(I227)*N(K227),IF(J227="Vaste prijs",N(K227),0)))</f>
        <v/>
      </c>
      <c r="M227" s="69">
        <f>IF(C227="","",IFERROR(IF(N(VLOOKUP(C227,Tarieven!$A$2:$F$200,5,0))=0,"",VLOOKUP(C227,Tarieven!$A$2:$F$200,5,0)),""))</f>
        <v/>
      </c>
      <c r="N227" s="69" t="n"/>
      <c r="O227" s="69" t="n"/>
      <c r="P227" s="70">
        <f>IF(C227="","",N(L227)+N(M227)+N(N227)+N(O227))</f>
        <v/>
      </c>
      <c r="Q227" s="58" t="n"/>
      <c r="R227" s="57" t="n"/>
      <c r="S227" s="57" t="n"/>
      <c r="T227" s="57" t="n"/>
      <c r="U227" s="62">
        <f>IF(C227="","",IF(COUNTIF(Tarieven!$A$2:$A$200,C227)=0,"Klant niet in Tarieven",IF(MOD(N(H227),1)*100&gt;59.4,"Tijd ongeldig: minuten boven 59",IF(J227="Nog bepalen","Prijstype nog bepalen",IF(AND(J227="Per uur",N(K227)=0),"Uurtarief ontbreekt",IF(AND(J227="Vaste prijs",N(K227)=0),"Vaste prijs ontbreekt",IF(AND(N(I227)=0,Q227&lt;&gt;"Niet doorgegaan / verplaatst",Q227&lt;&gt;"Geen factuur nodig"),"Geen uren",IF(AND(G227="NEE",Q227="Verstuurd"),"Verstuurd terwijl werk niet af",IF(IFERROR(VLOOKUP(C227,Tarieven!$A$2:$F$200,2,0),"")="Beide","Beide-klant: controleer prijstype","OK")))))))))</f>
        <v/>
      </c>
    </row>
    <row r="228" ht="15" customHeight="1" s="42">
      <c r="A228" s="56">
        <f>IF(B228="","",WEEKNUM(B228,21))</f>
        <v/>
      </c>
      <c r="B228" s="55" t="n"/>
      <c r="C228" s="57" t="n"/>
      <c r="D228" s="57" t="n"/>
      <c r="E228" s="57" t="n"/>
      <c r="F228" s="57" t="n"/>
      <c r="G228" s="67" t="n"/>
      <c r="H228" s="68" t="n"/>
      <c r="I228" s="61">
        <f>IF(C228="","",IF(H228&lt;&gt;"",INT(H228)+ROUND(MOD(H228,1)*100/60,2),SUMIFS(Registraties!$L$5:$L$3004,Registraties!$D$5:$D$3004,C228,Registraties!$A$5:$A$3004,B228)))</f>
        <v/>
      </c>
      <c r="J228" s="58">
        <f>IF(C228="","",IFERROR(IF(VLOOKUP(C228,Tarieven!$A$2:$F$200,2,0)="Beide","Per uur",VLOOKUP(C228,Tarieven!$A$2:$F$200,2,0)),"Nog bepalen"))</f>
        <v/>
      </c>
      <c r="K228" s="69">
        <f>IF(C228="","",IF(J228="Per uur",IFERROR(VLOOKUP(C228,Tarieven!$A$2:$F$200,3,0),""),IF(J228="Vaste prijs",IFERROR(VLOOKUP(C228,Tarieven!$A$2:$F$200,4,0),""),"")))</f>
        <v/>
      </c>
      <c r="L228" s="70">
        <f>IF(C228="","",IF(J228="Per uur",N(I228)*N(K228),IF(J228="Vaste prijs",N(K228),0)))</f>
        <v/>
      </c>
      <c r="M228" s="69">
        <f>IF(C228="","",IFERROR(IF(N(VLOOKUP(C228,Tarieven!$A$2:$F$200,5,0))=0,"",VLOOKUP(C228,Tarieven!$A$2:$F$200,5,0)),""))</f>
        <v/>
      </c>
      <c r="N228" s="69" t="n"/>
      <c r="O228" s="69" t="n"/>
      <c r="P228" s="70">
        <f>IF(C228="","",N(L228)+N(M228)+N(N228)+N(O228))</f>
        <v/>
      </c>
      <c r="Q228" s="58" t="n"/>
      <c r="R228" s="57" t="n"/>
      <c r="S228" s="57" t="n"/>
      <c r="T228" s="57" t="n"/>
      <c r="U228" s="62">
        <f>IF(C228="","",IF(COUNTIF(Tarieven!$A$2:$A$200,C228)=0,"Klant niet in Tarieven",IF(MOD(N(H228),1)*100&gt;59.4,"Tijd ongeldig: minuten boven 59",IF(J228="Nog bepalen","Prijstype nog bepalen",IF(AND(J228="Per uur",N(K228)=0),"Uurtarief ontbreekt",IF(AND(J228="Vaste prijs",N(K228)=0),"Vaste prijs ontbreekt",IF(AND(N(I228)=0,Q228&lt;&gt;"Niet doorgegaan / verplaatst",Q228&lt;&gt;"Geen factuur nodig"),"Geen uren",IF(AND(G228="NEE",Q228="Verstuurd"),"Verstuurd terwijl werk niet af",IF(IFERROR(VLOOKUP(C228,Tarieven!$A$2:$F$200,2,0),"")="Beide","Beide-klant: controleer prijstype","OK")))))))))</f>
        <v/>
      </c>
    </row>
    <row r="229" ht="15" customHeight="1" s="42">
      <c r="A229" s="56">
        <f>IF(B229="","",WEEKNUM(B229,21))</f>
        <v/>
      </c>
      <c r="B229" s="55" t="n"/>
      <c r="C229" s="57" t="n"/>
      <c r="D229" s="57" t="n"/>
      <c r="E229" s="57" t="n"/>
      <c r="F229" s="57" t="n"/>
      <c r="G229" s="67" t="n"/>
      <c r="H229" s="68" t="n"/>
      <c r="I229" s="61">
        <f>IF(C229="","",IF(H229&lt;&gt;"",INT(H229)+ROUND(MOD(H229,1)*100/60,2),SUMIFS(Registraties!$L$5:$L$3004,Registraties!$D$5:$D$3004,C229,Registraties!$A$5:$A$3004,B229)))</f>
        <v/>
      </c>
      <c r="J229" s="58">
        <f>IF(C229="","",IFERROR(IF(VLOOKUP(C229,Tarieven!$A$2:$F$200,2,0)="Beide","Per uur",VLOOKUP(C229,Tarieven!$A$2:$F$200,2,0)),"Nog bepalen"))</f>
        <v/>
      </c>
      <c r="K229" s="69">
        <f>IF(C229="","",IF(J229="Per uur",IFERROR(VLOOKUP(C229,Tarieven!$A$2:$F$200,3,0),""),IF(J229="Vaste prijs",IFERROR(VLOOKUP(C229,Tarieven!$A$2:$F$200,4,0),""),"")))</f>
        <v/>
      </c>
      <c r="L229" s="70">
        <f>IF(C229="","",IF(J229="Per uur",N(I229)*N(K229),IF(J229="Vaste prijs",N(K229),0)))</f>
        <v/>
      </c>
      <c r="M229" s="69">
        <f>IF(C229="","",IFERROR(IF(N(VLOOKUP(C229,Tarieven!$A$2:$F$200,5,0))=0,"",VLOOKUP(C229,Tarieven!$A$2:$F$200,5,0)),""))</f>
        <v/>
      </c>
      <c r="N229" s="69" t="n"/>
      <c r="O229" s="69" t="n"/>
      <c r="P229" s="70">
        <f>IF(C229="","",N(L229)+N(M229)+N(N229)+N(O229))</f>
        <v/>
      </c>
      <c r="Q229" s="58" t="n"/>
      <c r="R229" s="57" t="n"/>
      <c r="S229" s="57" t="n"/>
      <c r="T229" s="57" t="n"/>
      <c r="U229" s="62">
        <f>IF(C229="","",IF(COUNTIF(Tarieven!$A$2:$A$200,C229)=0,"Klant niet in Tarieven",IF(MOD(N(H229),1)*100&gt;59.4,"Tijd ongeldig: minuten boven 59",IF(J229="Nog bepalen","Prijstype nog bepalen",IF(AND(J229="Per uur",N(K229)=0),"Uurtarief ontbreekt",IF(AND(J229="Vaste prijs",N(K229)=0),"Vaste prijs ontbreekt",IF(AND(N(I229)=0,Q229&lt;&gt;"Niet doorgegaan / verplaatst",Q229&lt;&gt;"Geen factuur nodig"),"Geen uren",IF(AND(G229="NEE",Q229="Verstuurd"),"Verstuurd terwijl werk niet af",IF(IFERROR(VLOOKUP(C229,Tarieven!$A$2:$F$200,2,0),"")="Beide","Beide-klant: controleer prijstype","OK")))))))))</f>
        <v/>
      </c>
    </row>
    <row r="230" ht="15" customHeight="1" s="42">
      <c r="A230" s="56">
        <f>IF(B230="","",WEEKNUM(B230,21))</f>
        <v/>
      </c>
      <c r="B230" s="55" t="n"/>
      <c r="C230" s="57" t="n"/>
      <c r="D230" s="57" t="n"/>
      <c r="E230" s="57" t="n"/>
      <c r="F230" s="57" t="n"/>
      <c r="G230" s="67" t="n"/>
      <c r="H230" s="68" t="n"/>
      <c r="I230" s="61">
        <f>IF(C230="","",IF(H230&lt;&gt;"",INT(H230)+ROUND(MOD(H230,1)*100/60,2),SUMIFS(Registraties!$L$5:$L$3004,Registraties!$D$5:$D$3004,C230,Registraties!$A$5:$A$3004,B230)))</f>
        <v/>
      </c>
      <c r="J230" s="58">
        <f>IF(C230="","",IFERROR(IF(VLOOKUP(C230,Tarieven!$A$2:$F$200,2,0)="Beide","Per uur",VLOOKUP(C230,Tarieven!$A$2:$F$200,2,0)),"Nog bepalen"))</f>
        <v/>
      </c>
      <c r="K230" s="69">
        <f>IF(C230="","",IF(J230="Per uur",IFERROR(VLOOKUP(C230,Tarieven!$A$2:$F$200,3,0),""),IF(J230="Vaste prijs",IFERROR(VLOOKUP(C230,Tarieven!$A$2:$F$200,4,0),""),"")))</f>
        <v/>
      </c>
      <c r="L230" s="70">
        <f>IF(C230="","",IF(J230="Per uur",N(I230)*N(K230),IF(J230="Vaste prijs",N(K230),0)))</f>
        <v/>
      </c>
      <c r="M230" s="69">
        <f>IF(C230="","",IFERROR(IF(N(VLOOKUP(C230,Tarieven!$A$2:$F$200,5,0))=0,"",VLOOKUP(C230,Tarieven!$A$2:$F$200,5,0)),""))</f>
        <v/>
      </c>
      <c r="N230" s="69" t="n"/>
      <c r="O230" s="69" t="n"/>
      <c r="P230" s="70">
        <f>IF(C230="","",N(L230)+N(M230)+N(N230)+N(O230))</f>
        <v/>
      </c>
      <c r="Q230" s="58" t="n"/>
      <c r="R230" s="57" t="n"/>
      <c r="S230" s="57" t="n"/>
      <c r="T230" s="57" t="n"/>
      <c r="U230" s="62">
        <f>IF(C230="","",IF(COUNTIF(Tarieven!$A$2:$A$200,C230)=0,"Klant niet in Tarieven",IF(MOD(N(H230),1)*100&gt;59.4,"Tijd ongeldig: minuten boven 59",IF(J230="Nog bepalen","Prijstype nog bepalen",IF(AND(J230="Per uur",N(K230)=0),"Uurtarief ontbreekt",IF(AND(J230="Vaste prijs",N(K230)=0),"Vaste prijs ontbreekt",IF(AND(N(I230)=0,Q230&lt;&gt;"Niet doorgegaan / verplaatst",Q230&lt;&gt;"Geen factuur nodig"),"Geen uren",IF(AND(G230="NEE",Q230="Verstuurd"),"Verstuurd terwijl werk niet af",IF(IFERROR(VLOOKUP(C230,Tarieven!$A$2:$F$200,2,0),"")="Beide","Beide-klant: controleer prijstype","OK")))))))))</f>
        <v/>
      </c>
    </row>
    <row r="231" ht="15" customHeight="1" s="42">
      <c r="A231" s="56">
        <f>IF(B231="","",WEEKNUM(B231,21))</f>
        <v/>
      </c>
      <c r="B231" s="55" t="n"/>
      <c r="C231" s="57" t="n"/>
      <c r="D231" s="57" t="n"/>
      <c r="E231" s="57" t="n"/>
      <c r="F231" s="57" t="n"/>
      <c r="G231" s="67" t="n"/>
      <c r="H231" s="68" t="n"/>
      <c r="I231" s="61">
        <f>IF(C231="","",IF(H231&lt;&gt;"",INT(H231)+ROUND(MOD(H231,1)*100/60,2),SUMIFS(Registraties!$L$5:$L$3004,Registraties!$D$5:$D$3004,C231,Registraties!$A$5:$A$3004,B231)))</f>
        <v/>
      </c>
      <c r="J231" s="58">
        <f>IF(C231="","",IFERROR(IF(VLOOKUP(C231,Tarieven!$A$2:$F$200,2,0)="Beide","Per uur",VLOOKUP(C231,Tarieven!$A$2:$F$200,2,0)),"Nog bepalen"))</f>
        <v/>
      </c>
      <c r="K231" s="69">
        <f>IF(C231="","",IF(J231="Per uur",IFERROR(VLOOKUP(C231,Tarieven!$A$2:$F$200,3,0),""),IF(J231="Vaste prijs",IFERROR(VLOOKUP(C231,Tarieven!$A$2:$F$200,4,0),""),"")))</f>
        <v/>
      </c>
      <c r="L231" s="70">
        <f>IF(C231="","",IF(J231="Per uur",N(I231)*N(K231),IF(J231="Vaste prijs",N(K231),0)))</f>
        <v/>
      </c>
      <c r="M231" s="69">
        <f>IF(C231="","",IFERROR(IF(N(VLOOKUP(C231,Tarieven!$A$2:$F$200,5,0))=0,"",VLOOKUP(C231,Tarieven!$A$2:$F$200,5,0)),""))</f>
        <v/>
      </c>
      <c r="N231" s="69" t="n"/>
      <c r="O231" s="69" t="n"/>
      <c r="P231" s="70">
        <f>IF(C231="","",N(L231)+N(M231)+N(N231)+N(O231))</f>
        <v/>
      </c>
      <c r="Q231" s="58" t="n"/>
      <c r="R231" s="57" t="n"/>
      <c r="S231" s="57" t="n"/>
      <c r="T231" s="57" t="n"/>
      <c r="U231" s="62">
        <f>IF(C231="","",IF(COUNTIF(Tarieven!$A$2:$A$200,C231)=0,"Klant niet in Tarieven",IF(MOD(N(H231),1)*100&gt;59.4,"Tijd ongeldig: minuten boven 59",IF(J231="Nog bepalen","Prijstype nog bepalen",IF(AND(J231="Per uur",N(K231)=0),"Uurtarief ontbreekt",IF(AND(J231="Vaste prijs",N(K231)=0),"Vaste prijs ontbreekt",IF(AND(N(I231)=0,Q231&lt;&gt;"Niet doorgegaan / verplaatst",Q231&lt;&gt;"Geen factuur nodig"),"Geen uren",IF(AND(G231="NEE",Q231="Verstuurd"),"Verstuurd terwijl werk niet af",IF(IFERROR(VLOOKUP(C231,Tarieven!$A$2:$F$200,2,0),"")="Beide","Beide-klant: controleer prijstype","OK")))))))))</f>
        <v/>
      </c>
    </row>
    <row r="232" ht="15" customHeight="1" s="42">
      <c r="A232" s="56">
        <f>IF(B232="","",WEEKNUM(B232,21))</f>
        <v/>
      </c>
      <c r="B232" s="55" t="n"/>
      <c r="C232" s="57" t="n"/>
      <c r="D232" s="57" t="n"/>
      <c r="E232" s="57" t="n"/>
      <c r="F232" s="57" t="n"/>
      <c r="G232" s="67" t="n"/>
      <c r="H232" s="68" t="n"/>
      <c r="I232" s="61">
        <f>IF(C232="","",IF(H232&lt;&gt;"",INT(H232)+ROUND(MOD(H232,1)*100/60,2),SUMIFS(Registraties!$L$5:$L$3004,Registraties!$D$5:$D$3004,C232,Registraties!$A$5:$A$3004,B232)))</f>
        <v/>
      </c>
      <c r="J232" s="58">
        <f>IF(C232="","",IFERROR(IF(VLOOKUP(C232,Tarieven!$A$2:$F$200,2,0)="Beide","Per uur",VLOOKUP(C232,Tarieven!$A$2:$F$200,2,0)),"Nog bepalen"))</f>
        <v/>
      </c>
      <c r="K232" s="69">
        <f>IF(C232="","",IF(J232="Per uur",IFERROR(VLOOKUP(C232,Tarieven!$A$2:$F$200,3,0),""),IF(J232="Vaste prijs",IFERROR(VLOOKUP(C232,Tarieven!$A$2:$F$200,4,0),""),"")))</f>
        <v/>
      </c>
      <c r="L232" s="70">
        <f>IF(C232="","",IF(J232="Per uur",N(I232)*N(K232),IF(J232="Vaste prijs",N(K232),0)))</f>
        <v/>
      </c>
      <c r="M232" s="69">
        <f>IF(C232="","",IFERROR(IF(N(VLOOKUP(C232,Tarieven!$A$2:$F$200,5,0))=0,"",VLOOKUP(C232,Tarieven!$A$2:$F$200,5,0)),""))</f>
        <v/>
      </c>
      <c r="N232" s="69" t="n"/>
      <c r="O232" s="69" t="n"/>
      <c r="P232" s="70">
        <f>IF(C232="","",N(L232)+N(M232)+N(N232)+N(O232))</f>
        <v/>
      </c>
      <c r="Q232" s="58" t="n"/>
      <c r="R232" s="57" t="n"/>
      <c r="S232" s="57" t="n"/>
      <c r="T232" s="57" t="n"/>
      <c r="U232" s="62">
        <f>IF(C232="","",IF(COUNTIF(Tarieven!$A$2:$A$200,C232)=0,"Klant niet in Tarieven",IF(MOD(N(H232),1)*100&gt;59.4,"Tijd ongeldig: minuten boven 59",IF(J232="Nog bepalen","Prijstype nog bepalen",IF(AND(J232="Per uur",N(K232)=0),"Uurtarief ontbreekt",IF(AND(J232="Vaste prijs",N(K232)=0),"Vaste prijs ontbreekt",IF(AND(N(I232)=0,Q232&lt;&gt;"Niet doorgegaan / verplaatst",Q232&lt;&gt;"Geen factuur nodig"),"Geen uren",IF(AND(G232="NEE",Q232="Verstuurd"),"Verstuurd terwijl werk niet af",IF(IFERROR(VLOOKUP(C232,Tarieven!$A$2:$F$200,2,0),"")="Beide","Beide-klant: controleer prijstype","OK")))))))))</f>
        <v/>
      </c>
    </row>
    <row r="233" ht="15" customHeight="1" s="42">
      <c r="A233" s="56">
        <f>IF(B233="","",WEEKNUM(B233,21))</f>
        <v/>
      </c>
      <c r="B233" s="55" t="n"/>
      <c r="C233" s="57" t="n"/>
      <c r="D233" s="57" t="n"/>
      <c r="E233" s="57" t="n"/>
      <c r="F233" s="57" t="n"/>
      <c r="G233" s="67" t="n"/>
      <c r="H233" s="68" t="n"/>
      <c r="I233" s="61">
        <f>IF(C233="","",IF(H233&lt;&gt;"",INT(H233)+ROUND(MOD(H233,1)*100/60,2),SUMIFS(Registraties!$L$5:$L$3004,Registraties!$D$5:$D$3004,C233,Registraties!$A$5:$A$3004,B233)))</f>
        <v/>
      </c>
      <c r="J233" s="58">
        <f>IF(C233="","",IFERROR(IF(VLOOKUP(C233,Tarieven!$A$2:$F$200,2,0)="Beide","Per uur",VLOOKUP(C233,Tarieven!$A$2:$F$200,2,0)),"Nog bepalen"))</f>
        <v/>
      </c>
      <c r="K233" s="69">
        <f>IF(C233="","",IF(J233="Per uur",IFERROR(VLOOKUP(C233,Tarieven!$A$2:$F$200,3,0),""),IF(J233="Vaste prijs",IFERROR(VLOOKUP(C233,Tarieven!$A$2:$F$200,4,0),""),"")))</f>
        <v/>
      </c>
      <c r="L233" s="70">
        <f>IF(C233="","",IF(J233="Per uur",N(I233)*N(K233),IF(J233="Vaste prijs",N(K233),0)))</f>
        <v/>
      </c>
      <c r="M233" s="69">
        <f>IF(C233="","",IFERROR(IF(N(VLOOKUP(C233,Tarieven!$A$2:$F$200,5,0))=0,"",VLOOKUP(C233,Tarieven!$A$2:$F$200,5,0)),""))</f>
        <v/>
      </c>
      <c r="N233" s="69" t="n"/>
      <c r="O233" s="69" t="n"/>
      <c r="P233" s="70">
        <f>IF(C233="","",N(L233)+N(M233)+N(N233)+N(O233))</f>
        <v/>
      </c>
      <c r="Q233" s="58" t="n"/>
      <c r="R233" s="57" t="n"/>
      <c r="S233" s="57" t="n"/>
      <c r="T233" s="57" t="n"/>
      <c r="U233" s="62">
        <f>IF(C233="","",IF(COUNTIF(Tarieven!$A$2:$A$200,C233)=0,"Klant niet in Tarieven",IF(MOD(N(H233),1)*100&gt;59.4,"Tijd ongeldig: minuten boven 59",IF(J233="Nog bepalen","Prijstype nog bepalen",IF(AND(J233="Per uur",N(K233)=0),"Uurtarief ontbreekt",IF(AND(J233="Vaste prijs",N(K233)=0),"Vaste prijs ontbreekt",IF(AND(N(I233)=0,Q233&lt;&gt;"Niet doorgegaan / verplaatst",Q233&lt;&gt;"Geen factuur nodig"),"Geen uren",IF(AND(G233="NEE",Q233="Verstuurd"),"Verstuurd terwijl werk niet af",IF(IFERROR(VLOOKUP(C233,Tarieven!$A$2:$F$200,2,0),"")="Beide","Beide-klant: controleer prijstype","OK")))))))))</f>
        <v/>
      </c>
    </row>
    <row r="234" ht="15" customHeight="1" s="42">
      <c r="A234" s="56">
        <f>IF(B234="","",WEEKNUM(B234,21))</f>
        <v/>
      </c>
      <c r="B234" s="55" t="n"/>
      <c r="C234" s="57" t="n"/>
      <c r="D234" s="57" t="n"/>
      <c r="E234" s="57" t="n"/>
      <c r="F234" s="57" t="n"/>
      <c r="G234" s="67" t="n"/>
      <c r="H234" s="68" t="n"/>
      <c r="I234" s="61">
        <f>IF(C234="","",IF(H234&lt;&gt;"",INT(H234)+ROUND(MOD(H234,1)*100/60,2),SUMIFS(Registraties!$L$5:$L$3004,Registraties!$D$5:$D$3004,C234,Registraties!$A$5:$A$3004,B234)))</f>
        <v/>
      </c>
      <c r="J234" s="58">
        <f>IF(C234="","",IFERROR(IF(VLOOKUP(C234,Tarieven!$A$2:$F$200,2,0)="Beide","Per uur",VLOOKUP(C234,Tarieven!$A$2:$F$200,2,0)),"Nog bepalen"))</f>
        <v/>
      </c>
      <c r="K234" s="69">
        <f>IF(C234="","",IF(J234="Per uur",IFERROR(VLOOKUP(C234,Tarieven!$A$2:$F$200,3,0),""),IF(J234="Vaste prijs",IFERROR(VLOOKUP(C234,Tarieven!$A$2:$F$200,4,0),""),"")))</f>
        <v/>
      </c>
      <c r="L234" s="70">
        <f>IF(C234="","",IF(J234="Per uur",N(I234)*N(K234),IF(J234="Vaste prijs",N(K234),0)))</f>
        <v/>
      </c>
      <c r="M234" s="69">
        <f>IF(C234="","",IFERROR(IF(N(VLOOKUP(C234,Tarieven!$A$2:$F$200,5,0))=0,"",VLOOKUP(C234,Tarieven!$A$2:$F$200,5,0)),""))</f>
        <v/>
      </c>
      <c r="N234" s="69" t="n"/>
      <c r="O234" s="69" t="n"/>
      <c r="P234" s="70">
        <f>IF(C234="","",N(L234)+N(M234)+N(N234)+N(O234))</f>
        <v/>
      </c>
      <c r="Q234" s="58" t="n"/>
      <c r="R234" s="57" t="n"/>
      <c r="S234" s="57" t="n"/>
      <c r="T234" s="57" t="n"/>
      <c r="U234" s="62">
        <f>IF(C234="","",IF(COUNTIF(Tarieven!$A$2:$A$200,C234)=0,"Klant niet in Tarieven",IF(MOD(N(H234),1)*100&gt;59.4,"Tijd ongeldig: minuten boven 59",IF(J234="Nog bepalen","Prijstype nog bepalen",IF(AND(J234="Per uur",N(K234)=0),"Uurtarief ontbreekt",IF(AND(J234="Vaste prijs",N(K234)=0),"Vaste prijs ontbreekt",IF(AND(N(I234)=0,Q234&lt;&gt;"Niet doorgegaan / verplaatst",Q234&lt;&gt;"Geen factuur nodig"),"Geen uren",IF(AND(G234="NEE",Q234="Verstuurd"),"Verstuurd terwijl werk niet af",IF(IFERROR(VLOOKUP(C234,Tarieven!$A$2:$F$200,2,0),"")="Beide","Beide-klant: controleer prijstype","OK")))))))))</f>
        <v/>
      </c>
    </row>
    <row r="235" ht="15" customHeight="1" s="42">
      <c r="A235" s="56">
        <f>IF(B235="","",WEEKNUM(B235,21))</f>
        <v/>
      </c>
      <c r="B235" s="55" t="n"/>
      <c r="C235" s="57" t="n"/>
      <c r="D235" s="57" t="n"/>
      <c r="E235" s="57" t="n"/>
      <c r="F235" s="57" t="n"/>
      <c r="G235" s="67" t="n"/>
      <c r="H235" s="68" t="n"/>
      <c r="I235" s="61">
        <f>IF(C235="","",IF(H235&lt;&gt;"",INT(H235)+ROUND(MOD(H235,1)*100/60,2),SUMIFS(Registraties!$L$5:$L$3004,Registraties!$D$5:$D$3004,C235,Registraties!$A$5:$A$3004,B235)))</f>
        <v/>
      </c>
      <c r="J235" s="58">
        <f>IF(C235="","",IFERROR(IF(VLOOKUP(C235,Tarieven!$A$2:$F$200,2,0)="Beide","Per uur",VLOOKUP(C235,Tarieven!$A$2:$F$200,2,0)),"Nog bepalen"))</f>
        <v/>
      </c>
      <c r="K235" s="69">
        <f>IF(C235="","",IF(J235="Per uur",IFERROR(VLOOKUP(C235,Tarieven!$A$2:$F$200,3,0),""),IF(J235="Vaste prijs",IFERROR(VLOOKUP(C235,Tarieven!$A$2:$F$200,4,0),""),"")))</f>
        <v/>
      </c>
      <c r="L235" s="70">
        <f>IF(C235="","",IF(J235="Per uur",N(I235)*N(K235),IF(J235="Vaste prijs",N(K235),0)))</f>
        <v/>
      </c>
      <c r="M235" s="69">
        <f>IF(C235="","",IFERROR(IF(N(VLOOKUP(C235,Tarieven!$A$2:$F$200,5,0))=0,"",VLOOKUP(C235,Tarieven!$A$2:$F$200,5,0)),""))</f>
        <v/>
      </c>
      <c r="N235" s="69" t="n"/>
      <c r="O235" s="69" t="n"/>
      <c r="P235" s="70">
        <f>IF(C235="","",N(L235)+N(M235)+N(N235)+N(O235))</f>
        <v/>
      </c>
      <c r="Q235" s="58" t="n"/>
      <c r="R235" s="57" t="n"/>
      <c r="S235" s="57" t="n"/>
      <c r="T235" s="57" t="n"/>
      <c r="U235" s="62">
        <f>IF(C235="","",IF(COUNTIF(Tarieven!$A$2:$A$200,C235)=0,"Klant niet in Tarieven",IF(MOD(N(H235),1)*100&gt;59.4,"Tijd ongeldig: minuten boven 59",IF(J235="Nog bepalen","Prijstype nog bepalen",IF(AND(J235="Per uur",N(K235)=0),"Uurtarief ontbreekt",IF(AND(J235="Vaste prijs",N(K235)=0),"Vaste prijs ontbreekt",IF(AND(N(I235)=0,Q235&lt;&gt;"Niet doorgegaan / verplaatst",Q235&lt;&gt;"Geen factuur nodig"),"Geen uren",IF(AND(G235="NEE",Q235="Verstuurd"),"Verstuurd terwijl werk niet af",IF(IFERROR(VLOOKUP(C235,Tarieven!$A$2:$F$200,2,0),"")="Beide","Beide-klant: controleer prijstype","OK")))))))))</f>
        <v/>
      </c>
    </row>
    <row r="236" ht="15" customHeight="1" s="42">
      <c r="A236" s="56">
        <f>IF(B236="","",WEEKNUM(B236,21))</f>
        <v/>
      </c>
      <c r="B236" s="55" t="n"/>
      <c r="C236" s="57" t="n"/>
      <c r="D236" s="57" t="n"/>
      <c r="E236" s="57" t="n"/>
      <c r="F236" s="57" t="n"/>
      <c r="G236" s="67" t="n"/>
      <c r="H236" s="68" t="n"/>
      <c r="I236" s="61">
        <f>IF(C236="","",IF(H236&lt;&gt;"",INT(H236)+ROUND(MOD(H236,1)*100/60,2),SUMIFS(Registraties!$L$5:$L$3004,Registraties!$D$5:$D$3004,C236,Registraties!$A$5:$A$3004,B236)))</f>
        <v/>
      </c>
      <c r="J236" s="58">
        <f>IF(C236="","",IFERROR(IF(VLOOKUP(C236,Tarieven!$A$2:$F$200,2,0)="Beide","Per uur",VLOOKUP(C236,Tarieven!$A$2:$F$200,2,0)),"Nog bepalen"))</f>
        <v/>
      </c>
      <c r="K236" s="69">
        <f>IF(C236="","",IF(J236="Per uur",IFERROR(VLOOKUP(C236,Tarieven!$A$2:$F$200,3,0),""),IF(J236="Vaste prijs",IFERROR(VLOOKUP(C236,Tarieven!$A$2:$F$200,4,0),""),"")))</f>
        <v/>
      </c>
      <c r="L236" s="70">
        <f>IF(C236="","",IF(J236="Per uur",N(I236)*N(K236),IF(J236="Vaste prijs",N(K236),0)))</f>
        <v/>
      </c>
      <c r="M236" s="69">
        <f>IF(C236="","",IFERROR(IF(N(VLOOKUP(C236,Tarieven!$A$2:$F$200,5,0))=0,"",VLOOKUP(C236,Tarieven!$A$2:$F$200,5,0)),""))</f>
        <v/>
      </c>
      <c r="N236" s="69" t="n"/>
      <c r="O236" s="69" t="n"/>
      <c r="P236" s="70">
        <f>IF(C236="","",N(L236)+N(M236)+N(N236)+N(O236))</f>
        <v/>
      </c>
      <c r="Q236" s="58" t="n"/>
      <c r="R236" s="57" t="n"/>
      <c r="S236" s="57" t="n"/>
      <c r="T236" s="57" t="n"/>
      <c r="U236" s="62">
        <f>IF(C236="","",IF(COUNTIF(Tarieven!$A$2:$A$200,C236)=0,"Klant niet in Tarieven",IF(MOD(N(H236),1)*100&gt;59.4,"Tijd ongeldig: minuten boven 59",IF(J236="Nog bepalen","Prijstype nog bepalen",IF(AND(J236="Per uur",N(K236)=0),"Uurtarief ontbreekt",IF(AND(J236="Vaste prijs",N(K236)=0),"Vaste prijs ontbreekt",IF(AND(N(I236)=0,Q236&lt;&gt;"Niet doorgegaan / verplaatst",Q236&lt;&gt;"Geen factuur nodig"),"Geen uren",IF(AND(G236="NEE",Q236="Verstuurd"),"Verstuurd terwijl werk niet af",IF(IFERROR(VLOOKUP(C236,Tarieven!$A$2:$F$200,2,0),"")="Beide","Beide-klant: controleer prijstype","OK")))))))))</f>
        <v/>
      </c>
    </row>
    <row r="237" ht="15" customHeight="1" s="42">
      <c r="A237" s="56">
        <f>IF(B237="","",WEEKNUM(B237,21))</f>
        <v/>
      </c>
      <c r="B237" s="55" t="n"/>
      <c r="C237" s="57" t="n"/>
      <c r="D237" s="57" t="n"/>
      <c r="E237" s="57" t="n"/>
      <c r="F237" s="57" t="n"/>
      <c r="G237" s="67" t="n"/>
      <c r="H237" s="68" t="n"/>
      <c r="I237" s="61">
        <f>IF(C237="","",IF(H237&lt;&gt;"",INT(H237)+ROUND(MOD(H237,1)*100/60,2),SUMIFS(Registraties!$L$5:$L$3004,Registraties!$D$5:$D$3004,C237,Registraties!$A$5:$A$3004,B237)))</f>
        <v/>
      </c>
      <c r="J237" s="58">
        <f>IF(C237="","",IFERROR(IF(VLOOKUP(C237,Tarieven!$A$2:$F$200,2,0)="Beide","Per uur",VLOOKUP(C237,Tarieven!$A$2:$F$200,2,0)),"Nog bepalen"))</f>
        <v/>
      </c>
      <c r="K237" s="69">
        <f>IF(C237="","",IF(J237="Per uur",IFERROR(VLOOKUP(C237,Tarieven!$A$2:$F$200,3,0),""),IF(J237="Vaste prijs",IFERROR(VLOOKUP(C237,Tarieven!$A$2:$F$200,4,0),""),"")))</f>
        <v/>
      </c>
      <c r="L237" s="70">
        <f>IF(C237="","",IF(J237="Per uur",N(I237)*N(K237),IF(J237="Vaste prijs",N(K237),0)))</f>
        <v/>
      </c>
      <c r="M237" s="69">
        <f>IF(C237="","",IFERROR(IF(N(VLOOKUP(C237,Tarieven!$A$2:$F$200,5,0))=0,"",VLOOKUP(C237,Tarieven!$A$2:$F$200,5,0)),""))</f>
        <v/>
      </c>
      <c r="N237" s="69" t="n"/>
      <c r="O237" s="69" t="n"/>
      <c r="P237" s="70">
        <f>IF(C237="","",N(L237)+N(M237)+N(N237)+N(O237))</f>
        <v/>
      </c>
      <c r="Q237" s="58" t="n"/>
      <c r="R237" s="57" t="n"/>
      <c r="S237" s="57" t="n"/>
      <c r="T237" s="57" t="n"/>
      <c r="U237" s="62">
        <f>IF(C237="","",IF(COUNTIF(Tarieven!$A$2:$A$200,C237)=0,"Klant niet in Tarieven",IF(MOD(N(H237),1)*100&gt;59.4,"Tijd ongeldig: minuten boven 59",IF(J237="Nog bepalen","Prijstype nog bepalen",IF(AND(J237="Per uur",N(K237)=0),"Uurtarief ontbreekt",IF(AND(J237="Vaste prijs",N(K237)=0),"Vaste prijs ontbreekt",IF(AND(N(I237)=0,Q237&lt;&gt;"Niet doorgegaan / verplaatst",Q237&lt;&gt;"Geen factuur nodig"),"Geen uren",IF(AND(G237="NEE",Q237="Verstuurd"),"Verstuurd terwijl werk niet af",IF(IFERROR(VLOOKUP(C237,Tarieven!$A$2:$F$200,2,0),"")="Beide","Beide-klant: controleer prijstype","OK")))))))))</f>
        <v/>
      </c>
    </row>
    <row r="238" ht="15" customHeight="1" s="42">
      <c r="A238" s="56">
        <f>IF(B238="","",WEEKNUM(B238,21))</f>
        <v/>
      </c>
      <c r="B238" s="55" t="n"/>
      <c r="C238" s="57" t="n"/>
      <c r="D238" s="57" t="n"/>
      <c r="E238" s="57" t="n"/>
      <c r="F238" s="57" t="n"/>
      <c r="G238" s="67" t="n"/>
      <c r="H238" s="68" t="n"/>
      <c r="I238" s="61">
        <f>IF(C238="","",IF(H238&lt;&gt;"",INT(H238)+ROUND(MOD(H238,1)*100/60,2),SUMIFS(Registraties!$L$5:$L$3004,Registraties!$D$5:$D$3004,C238,Registraties!$A$5:$A$3004,B238)))</f>
        <v/>
      </c>
      <c r="J238" s="58">
        <f>IF(C238="","",IFERROR(IF(VLOOKUP(C238,Tarieven!$A$2:$F$200,2,0)="Beide","Per uur",VLOOKUP(C238,Tarieven!$A$2:$F$200,2,0)),"Nog bepalen"))</f>
        <v/>
      </c>
      <c r="K238" s="69">
        <f>IF(C238="","",IF(J238="Per uur",IFERROR(VLOOKUP(C238,Tarieven!$A$2:$F$200,3,0),""),IF(J238="Vaste prijs",IFERROR(VLOOKUP(C238,Tarieven!$A$2:$F$200,4,0),""),"")))</f>
        <v/>
      </c>
      <c r="L238" s="70">
        <f>IF(C238="","",IF(J238="Per uur",N(I238)*N(K238),IF(J238="Vaste prijs",N(K238),0)))</f>
        <v/>
      </c>
      <c r="M238" s="69">
        <f>IF(C238="","",IFERROR(IF(N(VLOOKUP(C238,Tarieven!$A$2:$F$200,5,0))=0,"",VLOOKUP(C238,Tarieven!$A$2:$F$200,5,0)),""))</f>
        <v/>
      </c>
      <c r="N238" s="69" t="n"/>
      <c r="O238" s="69" t="n"/>
      <c r="P238" s="70">
        <f>IF(C238="","",N(L238)+N(M238)+N(N238)+N(O238))</f>
        <v/>
      </c>
      <c r="Q238" s="58" t="n"/>
      <c r="R238" s="57" t="n"/>
      <c r="S238" s="57" t="n"/>
      <c r="T238" s="57" t="n"/>
      <c r="U238" s="62">
        <f>IF(C238="","",IF(COUNTIF(Tarieven!$A$2:$A$200,C238)=0,"Klant niet in Tarieven",IF(MOD(N(H238),1)*100&gt;59.4,"Tijd ongeldig: minuten boven 59",IF(J238="Nog bepalen","Prijstype nog bepalen",IF(AND(J238="Per uur",N(K238)=0),"Uurtarief ontbreekt",IF(AND(J238="Vaste prijs",N(K238)=0),"Vaste prijs ontbreekt",IF(AND(N(I238)=0,Q238&lt;&gt;"Niet doorgegaan / verplaatst",Q238&lt;&gt;"Geen factuur nodig"),"Geen uren",IF(AND(G238="NEE",Q238="Verstuurd"),"Verstuurd terwijl werk niet af",IF(IFERROR(VLOOKUP(C238,Tarieven!$A$2:$F$200,2,0),"")="Beide","Beide-klant: controleer prijstype","OK")))))))))</f>
        <v/>
      </c>
    </row>
    <row r="239" ht="15" customHeight="1" s="42">
      <c r="A239" s="56">
        <f>IF(B239="","",WEEKNUM(B239,21))</f>
        <v/>
      </c>
      <c r="B239" s="55" t="n"/>
      <c r="C239" s="57" t="n"/>
      <c r="D239" s="57" t="n"/>
      <c r="E239" s="57" t="n"/>
      <c r="F239" s="57" t="n"/>
      <c r="G239" s="67" t="n"/>
      <c r="H239" s="68" t="n"/>
      <c r="I239" s="61">
        <f>IF(C239="","",IF(H239&lt;&gt;"",INT(H239)+ROUND(MOD(H239,1)*100/60,2),SUMIFS(Registraties!$L$5:$L$3004,Registraties!$D$5:$D$3004,C239,Registraties!$A$5:$A$3004,B239)))</f>
        <v/>
      </c>
      <c r="J239" s="58">
        <f>IF(C239="","",IFERROR(IF(VLOOKUP(C239,Tarieven!$A$2:$F$200,2,0)="Beide","Per uur",VLOOKUP(C239,Tarieven!$A$2:$F$200,2,0)),"Nog bepalen"))</f>
        <v/>
      </c>
      <c r="K239" s="69">
        <f>IF(C239="","",IF(J239="Per uur",IFERROR(VLOOKUP(C239,Tarieven!$A$2:$F$200,3,0),""),IF(J239="Vaste prijs",IFERROR(VLOOKUP(C239,Tarieven!$A$2:$F$200,4,0),""),"")))</f>
        <v/>
      </c>
      <c r="L239" s="70">
        <f>IF(C239="","",IF(J239="Per uur",N(I239)*N(K239),IF(J239="Vaste prijs",N(K239),0)))</f>
        <v/>
      </c>
      <c r="M239" s="69">
        <f>IF(C239="","",IFERROR(IF(N(VLOOKUP(C239,Tarieven!$A$2:$F$200,5,0))=0,"",VLOOKUP(C239,Tarieven!$A$2:$F$200,5,0)),""))</f>
        <v/>
      </c>
      <c r="N239" s="69" t="n"/>
      <c r="O239" s="69" t="n"/>
      <c r="P239" s="70">
        <f>IF(C239="","",N(L239)+N(M239)+N(N239)+N(O239))</f>
        <v/>
      </c>
      <c r="Q239" s="58" t="n"/>
      <c r="R239" s="57" t="n"/>
      <c r="S239" s="57" t="n"/>
      <c r="T239" s="57" t="n"/>
      <c r="U239" s="62">
        <f>IF(C239="","",IF(COUNTIF(Tarieven!$A$2:$A$200,C239)=0,"Klant niet in Tarieven",IF(MOD(N(H239),1)*100&gt;59.4,"Tijd ongeldig: minuten boven 59",IF(J239="Nog bepalen","Prijstype nog bepalen",IF(AND(J239="Per uur",N(K239)=0),"Uurtarief ontbreekt",IF(AND(J239="Vaste prijs",N(K239)=0),"Vaste prijs ontbreekt",IF(AND(N(I239)=0,Q239&lt;&gt;"Niet doorgegaan / verplaatst",Q239&lt;&gt;"Geen factuur nodig"),"Geen uren",IF(AND(G239="NEE",Q239="Verstuurd"),"Verstuurd terwijl werk niet af",IF(IFERROR(VLOOKUP(C239,Tarieven!$A$2:$F$200,2,0),"")="Beide","Beide-klant: controleer prijstype","OK")))))))))</f>
        <v/>
      </c>
    </row>
    <row r="240" ht="15" customHeight="1" s="42">
      <c r="A240" s="56">
        <f>IF(B240="","",WEEKNUM(B240,21))</f>
        <v/>
      </c>
      <c r="B240" s="55" t="n"/>
      <c r="C240" s="57" t="n"/>
      <c r="D240" s="57" t="n"/>
      <c r="E240" s="57" t="n"/>
      <c r="F240" s="57" t="n"/>
      <c r="G240" s="67" t="n"/>
      <c r="H240" s="68" t="n"/>
      <c r="I240" s="61">
        <f>IF(C240="","",IF(H240&lt;&gt;"",INT(H240)+ROUND(MOD(H240,1)*100/60,2),SUMIFS(Registraties!$L$5:$L$3004,Registraties!$D$5:$D$3004,C240,Registraties!$A$5:$A$3004,B240)))</f>
        <v/>
      </c>
      <c r="J240" s="58">
        <f>IF(C240="","",IFERROR(IF(VLOOKUP(C240,Tarieven!$A$2:$F$200,2,0)="Beide","Per uur",VLOOKUP(C240,Tarieven!$A$2:$F$200,2,0)),"Nog bepalen"))</f>
        <v/>
      </c>
      <c r="K240" s="69">
        <f>IF(C240="","",IF(J240="Per uur",IFERROR(VLOOKUP(C240,Tarieven!$A$2:$F$200,3,0),""),IF(J240="Vaste prijs",IFERROR(VLOOKUP(C240,Tarieven!$A$2:$F$200,4,0),""),"")))</f>
        <v/>
      </c>
      <c r="L240" s="70">
        <f>IF(C240="","",IF(J240="Per uur",N(I240)*N(K240),IF(J240="Vaste prijs",N(K240),0)))</f>
        <v/>
      </c>
      <c r="M240" s="69">
        <f>IF(C240="","",IFERROR(IF(N(VLOOKUP(C240,Tarieven!$A$2:$F$200,5,0))=0,"",VLOOKUP(C240,Tarieven!$A$2:$F$200,5,0)),""))</f>
        <v/>
      </c>
      <c r="N240" s="69" t="n"/>
      <c r="O240" s="69" t="n"/>
      <c r="P240" s="70">
        <f>IF(C240="","",N(L240)+N(M240)+N(N240)+N(O240))</f>
        <v/>
      </c>
      <c r="Q240" s="58" t="n"/>
      <c r="R240" s="57" t="n"/>
      <c r="S240" s="57" t="n"/>
      <c r="T240" s="57" t="n"/>
      <c r="U240" s="62">
        <f>IF(C240="","",IF(COUNTIF(Tarieven!$A$2:$A$200,C240)=0,"Klant niet in Tarieven",IF(MOD(N(H240),1)*100&gt;59.4,"Tijd ongeldig: minuten boven 59",IF(J240="Nog bepalen","Prijstype nog bepalen",IF(AND(J240="Per uur",N(K240)=0),"Uurtarief ontbreekt",IF(AND(J240="Vaste prijs",N(K240)=0),"Vaste prijs ontbreekt",IF(AND(N(I240)=0,Q240&lt;&gt;"Niet doorgegaan / verplaatst",Q240&lt;&gt;"Geen factuur nodig"),"Geen uren",IF(AND(G240="NEE",Q240="Verstuurd"),"Verstuurd terwijl werk niet af",IF(IFERROR(VLOOKUP(C240,Tarieven!$A$2:$F$200,2,0),"")="Beide","Beide-klant: controleer prijstype","OK")))))))))</f>
        <v/>
      </c>
    </row>
    <row r="241" ht="15" customHeight="1" s="42">
      <c r="A241" s="56">
        <f>IF(B241="","",WEEKNUM(B241,21))</f>
        <v/>
      </c>
      <c r="B241" s="55" t="n"/>
      <c r="C241" s="57" t="n"/>
      <c r="D241" s="57" t="n"/>
      <c r="E241" s="57" t="n"/>
      <c r="F241" s="57" t="n"/>
      <c r="G241" s="67" t="n"/>
      <c r="H241" s="68" t="n"/>
      <c r="I241" s="61">
        <f>IF(C241="","",IF(H241&lt;&gt;"",INT(H241)+ROUND(MOD(H241,1)*100/60,2),SUMIFS(Registraties!$L$5:$L$3004,Registraties!$D$5:$D$3004,C241,Registraties!$A$5:$A$3004,B241)))</f>
        <v/>
      </c>
      <c r="J241" s="58">
        <f>IF(C241="","",IFERROR(IF(VLOOKUP(C241,Tarieven!$A$2:$F$200,2,0)="Beide","Per uur",VLOOKUP(C241,Tarieven!$A$2:$F$200,2,0)),"Nog bepalen"))</f>
        <v/>
      </c>
      <c r="K241" s="69">
        <f>IF(C241="","",IF(J241="Per uur",IFERROR(VLOOKUP(C241,Tarieven!$A$2:$F$200,3,0),""),IF(J241="Vaste prijs",IFERROR(VLOOKUP(C241,Tarieven!$A$2:$F$200,4,0),""),"")))</f>
        <v/>
      </c>
      <c r="L241" s="70">
        <f>IF(C241="","",IF(J241="Per uur",N(I241)*N(K241),IF(J241="Vaste prijs",N(K241),0)))</f>
        <v/>
      </c>
      <c r="M241" s="69">
        <f>IF(C241="","",IFERROR(IF(N(VLOOKUP(C241,Tarieven!$A$2:$F$200,5,0))=0,"",VLOOKUP(C241,Tarieven!$A$2:$F$200,5,0)),""))</f>
        <v/>
      </c>
      <c r="N241" s="69" t="n"/>
      <c r="O241" s="69" t="n"/>
      <c r="P241" s="70">
        <f>IF(C241="","",N(L241)+N(M241)+N(N241)+N(O241))</f>
        <v/>
      </c>
      <c r="Q241" s="58" t="n"/>
      <c r="R241" s="57" t="n"/>
      <c r="S241" s="57" t="n"/>
      <c r="T241" s="57" t="n"/>
      <c r="U241" s="62">
        <f>IF(C241="","",IF(COUNTIF(Tarieven!$A$2:$A$200,C241)=0,"Klant niet in Tarieven",IF(MOD(N(H241),1)*100&gt;59.4,"Tijd ongeldig: minuten boven 59",IF(J241="Nog bepalen","Prijstype nog bepalen",IF(AND(J241="Per uur",N(K241)=0),"Uurtarief ontbreekt",IF(AND(J241="Vaste prijs",N(K241)=0),"Vaste prijs ontbreekt",IF(AND(N(I241)=0,Q241&lt;&gt;"Niet doorgegaan / verplaatst",Q241&lt;&gt;"Geen factuur nodig"),"Geen uren",IF(AND(G241="NEE",Q241="Verstuurd"),"Verstuurd terwijl werk niet af",IF(IFERROR(VLOOKUP(C241,Tarieven!$A$2:$F$200,2,0),"")="Beide","Beide-klant: controleer prijstype","OK")))))))))</f>
        <v/>
      </c>
    </row>
    <row r="242" ht="15" customHeight="1" s="42">
      <c r="A242" s="56">
        <f>IF(B242="","",WEEKNUM(B242,21))</f>
        <v/>
      </c>
      <c r="B242" s="55" t="n"/>
      <c r="C242" s="57" t="n"/>
      <c r="D242" s="57" t="n"/>
      <c r="E242" s="57" t="n"/>
      <c r="F242" s="57" t="n"/>
      <c r="G242" s="67" t="n"/>
      <c r="H242" s="68" t="n"/>
      <c r="I242" s="61">
        <f>IF(C242="","",IF(H242&lt;&gt;"",INT(H242)+ROUND(MOD(H242,1)*100/60,2),SUMIFS(Registraties!$L$5:$L$3004,Registraties!$D$5:$D$3004,C242,Registraties!$A$5:$A$3004,B242)))</f>
        <v/>
      </c>
      <c r="J242" s="58">
        <f>IF(C242="","",IFERROR(IF(VLOOKUP(C242,Tarieven!$A$2:$F$200,2,0)="Beide","Per uur",VLOOKUP(C242,Tarieven!$A$2:$F$200,2,0)),"Nog bepalen"))</f>
        <v/>
      </c>
      <c r="K242" s="69">
        <f>IF(C242="","",IF(J242="Per uur",IFERROR(VLOOKUP(C242,Tarieven!$A$2:$F$200,3,0),""),IF(J242="Vaste prijs",IFERROR(VLOOKUP(C242,Tarieven!$A$2:$F$200,4,0),""),"")))</f>
        <v/>
      </c>
      <c r="L242" s="70">
        <f>IF(C242="","",IF(J242="Per uur",N(I242)*N(K242),IF(J242="Vaste prijs",N(K242),0)))</f>
        <v/>
      </c>
      <c r="M242" s="69">
        <f>IF(C242="","",IFERROR(IF(N(VLOOKUP(C242,Tarieven!$A$2:$F$200,5,0))=0,"",VLOOKUP(C242,Tarieven!$A$2:$F$200,5,0)),""))</f>
        <v/>
      </c>
      <c r="N242" s="69" t="n"/>
      <c r="O242" s="69" t="n"/>
      <c r="P242" s="70">
        <f>IF(C242="","",N(L242)+N(M242)+N(N242)+N(O242))</f>
        <v/>
      </c>
      <c r="Q242" s="58" t="n"/>
      <c r="R242" s="57" t="n"/>
      <c r="S242" s="57" t="n"/>
      <c r="T242" s="57" t="n"/>
      <c r="U242" s="62">
        <f>IF(C242="","",IF(COUNTIF(Tarieven!$A$2:$A$200,C242)=0,"Klant niet in Tarieven",IF(MOD(N(H242),1)*100&gt;59.4,"Tijd ongeldig: minuten boven 59",IF(J242="Nog bepalen","Prijstype nog bepalen",IF(AND(J242="Per uur",N(K242)=0),"Uurtarief ontbreekt",IF(AND(J242="Vaste prijs",N(K242)=0),"Vaste prijs ontbreekt",IF(AND(N(I242)=0,Q242&lt;&gt;"Niet doorgegaan / verplaatst",Q242&lt;&gt;"Geen factuur nodig"),"Geen uren",IF(AND(G242="NEE",Q242="Verstuurd"),"Verstuurd terwijl werk niet af",IF(IFERROR(VLOOKUP(C242,Tarieven!$A$2:$F$200,2,0),"")="Beide","Beide-klant: controleer prijstype","OK")))))))))</f>
        <v/>
      </c>
    </row>
    <row r="243" ht="15" customHeight="1" s="42">
      <c r="A243" s="56">
        <f>IF(B243="","",WEEKNUM(B243,21))</f>
        <v/>
      </c>
      <c r="B243" s="55" t="n"/>
      <c r="C243" s="57" t="n"/>
      <c r="D243" s="57" t="n"/>
      <c r="E243" s="57" t="n"/>
      <c r="F243" s="57" t="n"/>
      <c r="G243" s="67" t="n"/>
      <c r="H243" s="68" t="n"/>
      <c r="I243" s="61">
        <f>IF(C243="","",IF(H243&lt;&gt;"",INT(H243)+ROUND(MOD(H243,1)*100/60,2),SUMIFS(Registraties!$L$5:$L$3004,Registraties!$D$5:$D$3004,C243,Registraties!$A$5:$A$3004,B243)))</f>
        <v/>
      </c>
      <c r="J243" s="58">
        <f>IF(C243="","",IFERROR(IF(VLOOKUP(C243,Tarieven!$A$2:$F$200,2,0)="Beide","Per uur",VLOOKUP(C243,Tarieven!$A$2:$F$200,2,0)),"Nog bepalen"))</f>
        <v/>
      </c>
      <c r="K243" s="69">
        <f>IF(C243="","",IF(J243="Per uur",IFERROR(VLOOKUP(C243,Tarieven!$A$2:$F$200,3,0),""),IF(J243="Vaste prijs",IFERROR(VLOOKUP(C243,Tarieven!$A$2:$F$200,4,0),""),"")))</f>
        <v/>
      </c>
      <c r="L243" s="70">
        <f>IF(C243="","",IF(J243="Per uur",N(I243)*N(K243),IF(J243="Vaste prijs",N(K243),0)))</f>
        <v/>
      </c>
      <c r="M243" s="69">
        <f>IF(C243="","",IFERROR(IF(N(VLOOKUP(C243,Tarieven!$A$2:$F$200,5,0))=0,"",VLOOKUP(C243,Tarieven!$A$2:$F$200,5,0)),""))</f>
        <v/>
      </c>
      <c r="N243" s="69" t="n"/>
      <c r="O243" s="69" t="n"/>
      <c r="P243" s="70">
        <f>IF(C243="","",N(L243)+N(M243)+N(N243)+N(O243))</f>
        <v/>
      </c>
      <c r="Q243" s="58" t="n"/>
      <c r="R243" s="57" t="n"/>
      <c r="S243" s="57" t="n"/>
      <c r="T243" s="57" t="n"/>
      <c r="U243" s="62">
        <f>IF(C243="","",IF(COUNTIF(Tarieven!$A$2:$A$200,C243)=0,"Klant niet in Tarieven",IF(MOD(N(H243),1)*100&gt;59.4,"Tijd ongeldig: minuten boven 59",IF(J243="Nog bepalen","Prijstype nog bepalen",IF(AND(J243="Per uur",N(K243)=0),"Uurtarief ontbreekt",IF(AND(J243="Vaste prijs",N(K243)=0),"Vaste prijs ontbreekt",IF(AND(N(I243)=0,Q243&lt;&gt;"Niet doorgegaan / verplaatst",Q243&lt;&gt;"Geen factuur nodig"),"Geen uren",IF(AND(G243="NEE",Q243="Verstuurd"),"Verstuurd terwijl werk niet af",IF(IFERROR(VLOOKUP(C243,Tarieven!$A$2:$F$200,2,0),"")="Beide","Beide-klant: controleer prijstype","OK")))))))))</f>
        <v/>
      </c>
    </row>
    <row r="244" ht="15" customHeight="1" s="42">
      <c r="A244" s="56">
        <f>IF(B244="","",WEEKNUM(B244,21))</f>
        <v/>
      </c>
      <c r="B244" s="55" t="n"/>
      <c r="C244" s="57" t="n"/>
      <c r="D244" s="57" t="n"/>
      <c r="E244" s="57" t="n"/>
      <c r="F244" s="57" t="n"/>
      <c r="G244" s="67" t="n"/>
      <c r="H244" s="68" t="n"/>
      <c r="I244" s="61">
        <f>IF(C244="","",IF(H244&lt;&gt;"",INT(H244)+ROUND(MOD(H244,1)*100/60,2),SUMIFS(Registraties!$L$5:$L$3004,Registraties!$D$5:$D$3004,C244,Registraties!$A$5:$A$3004,B244)))</f>
        <v/>
      </c>
      <c r="J244" s="58">
        <f>IF(C244="","",IFERROR(IF(VLOOKUP(C244,Tarieven!$A$2:$F$200,2,0)="Beide","Per uur",VLOOKUP(C244,Tarieven!$A$2:$F$200,2,0)),"Nog bepalen"))</f>
        <v/>
      </c>
      <c r="K244" s="69">
        <f>IF(C244="","",IF(J244="Per uur",IFERROR(VLOOKUP(C244,Tarieven!$A$2:$F$200,3,0),""),IF(J244="Vaste prijs",IFERROR(VLOOKUP(C244,Tarieven!$A$2:$F$200,4,0),""),"")))</f>
        <v/>
      </c>
      <c r="L244" s="70">
        <f>IF(C244="","",IF(J244="Per uur",N(I244)*N(K244),IF(J244="Vaste prijs",N(K244),0)))</f>
        <v/>
      </c>
      <c r="M244" s="69">
        <f>IF(C244="","",IFERROR(IF(N(VLOOKUP(C244,Tarieven!$A$2:$F$200,5,0))=0,"",VLOOKUP(C244,Tarieven!$A$2:$F$200,5,0)),""))</f>
        <v/>
      </c>
      <c r="N244" s="69" t="n"/>
      <c r="O244" s="69" t="n"/>
      <c r="P244" s="70">
        <f>IF(C244="","",N(L244)+N(M244)+N(N244)+N(O244))</f>
        <v/>
      </c>
      <c r="Q244" s="58" t="n"/>
      <c r="R244" s="57" t="n"/>
      <c r="S244" s="57" t="n"/>
      <c r="T244" s="57" t="n"/>
      <c r="U244" s="62">
        <f>IF(C244="","",IF(COUNTIF(Tarieven!$A$2:$A$200,C244)=0,"Klant niet in Tarieven",IF(MOD(N(H244),1)*100&gt;59.4,"Tijd ongeldig: minuten boven 59",IF(J244="Nog bepalen","Prijstype nog bepalen",IF(AND(J244="Per uur",N(K244)=0),"Uurtarief ontbreekt",IF(AND(J244="Vaste prijs",N(K244)=0),"Vaste prijs ontbreekt",IF(AND(N(I244)=0,Q244&lt;&gt;"Niet doorgegaan / verplaatst",Q244&lt;&gt;"Geen factuur nodig"),"Geen uren",IF(AND(G244="NEE",Q244="Verstuurd"),"Verstuurd terwijl werk niet af",IF(IFERROR(VLOOKUP(C244,Tarieven!$A$2:$F$200,2,0),"")="Beide","Beide-klant: controleer prijstype","OK")))))))))</f>
        <v/>
      </c>
    </row>
    <row r="245" ht="15" customHeight="1" s="42">
      <c r="A245" s="56">
        <f>IF(B245="","",WEEKNUM(B245,21))</f>
        <v/>
      </c>
      <c r="B245" s="55" t="n"/>
      <c r="C245" s="57" t="n"/>
      <c r="D245" s="57" t="n"/>
      <c r="E245" s="57" t="n"/>
      <c r="F245" s="57" t="n"/>
      <c r="G245" s="67" t="n"/>
      <c r="H245" s="68" t="n"/>
      <c r="I245" s="61">
        <f>IF(C245="","",IF(H245&lt;&gt;"",INT(H245)+ROUND(MOD(H245,1)*100/60,2),SUMIFS(Registraties!$L$5:$L$3004,Registraties!$D$5:$D$3004,C245,Registraties!$A$5:$A$3004,B245)))</f>
        <v/>
      </c>
      <c r="J245" s="58">
        <f>IF(C245="","",IFERROR(IF(VLOOKUP(C245,Tarieven!$A$2:$F$200,2,0)="Beide","Per uur",VLOOKUP(C245,Tarieven!$A$2:$F$200,2,0)),"Nog bepalen"))</f>
        <v/>
      </c>
      <c r="K245" s="69">
        <f>IF(C245="","",IF(J245="Per uur",IFERROR(VLOOKUP(C245,Tarieven!$A$2:$F$200,3,0),""),IF(J245="Vaste prijs",IFERROR(VLOOKUP(C245,Tarieven!$A$2:$F$200,4,0),""),"")))</f>
        <v/>
      </c>
      <c r="L245" s="70">
        <f>IF(C245="","",IF(J245="Per uur",N(I245)*N(K245),IF(J245="Vaste prijs",N(K245),0)))</f>
        <v/>
      </c>
      <c r="M245" s="69">
        <f>IF(C245="","",IFERROR(IF(N(VLOOKUP(C245,Tarieven!$A$2:$F$200,5,0))=0,"",VLOOKUP(C245,Tarieven!$A$2:$F$200,5,0)),""))</f>
        <v/>
      </c>
      <c r="N245" s="69" t="n"/>
      <c r="O245" s="69" t="n"/>
      <c r="P245" s="70">
        <f>IF(C245="","",N(L245)+N(M245)+N(N245)+N(O245))</f>
        <v/>
      </c>
      <c r="Q245" s="58" t="n"/>
      <c r="R245" s="57" t="n"/>
      <c r="S245" s="57" t="n"/>
      <c r="T245" s="57" t="n"/>
      <c r="U245" s="62">
        <f>IF(C245="","",IF(COUNTIF(Tarieven!$A$2:$A$200,C245)=0,"Klant niet in Tarieven",IF(MOD(N(H245),1)*100&gt;59.4,"Tijd ongeldig: minuten boven 59",IF(J245="Nog bepalen","Prijstype nog bepalen",IF(AND(J245="Per uur",N(K245)=0),"Uurtarief ontbreekt",IF(AND(J245="Vaste prijs",N(K245)=0),"Vaste prijs ontbreekt",IF(AND(N(I245)=0,Q245&lt;&gt;"Niet doorgegaan / verplaatst",Q245&lt;&gt;"Geen factuur nodig"),"Geen uren",IF(AND(G245="NEE",Q245="Verstuurd"),"Verstuurd terwijl werk niet af",IF(IFERROR(VLOOKUP(C245,Tarieven!$A$2:$F$200,2,0),"")="Beide","Beide-klant: controleer prijstype","OK")))))))))</f>
        <v/>
      </c>
    </row>
    <row r="246" ht="15" customHeight="1" s="42">
      <c r="A246" s="56">
        <f>IF(B246="","",WEEKNUM(B246,21))</f>
        <v/>
      </c>
      <c r="B246" s="55" t="n"/>
      <c r="C246" s="57" t="n"/>
      <c r="D246" s="57" t="n"/>
      <c r="E246" s="57" t="n"/>
      <c r="F246" s="57" t="n"/>
      <c r="G246" s="67" t="n"/>
      <c r="H246" s="68" t="n"/>
      <c r="I246" s="61">
        <f>IF(C246="","",IF(H246&lt;&gt;"",INT(H246)+ROUND(MOD(H246,1)*100/60,2),SUMIFS(Registraties!$L$5:$L$3004,Registraties!$D$5:$D$3004,C246,Registraties!$A$5:$A$3004,B246)))</f>
        <v/>
      </c>
      <c r="J246" s="58">
        <f>IF(C246="","",IFERROR(IF(VLOOKUP(C246,Tarieven!$A$2:$F$200,2,0)="Beide","Per uur",VLOOKUP(C246,Tarieven!$A$2:$F$200,2,0)),"Nog bepalen"))</f>
        <v/>
      </c>
      <c r="K246" s="69">
        <f>IF(C246="","",IF(J246="Per uur",IFERROR(VLOOKUP(C246,Tarieven!$A$2:$F$200,3,0),""),IF(J246="Vaste prijs",IFERROR(VLOOKUP(C246,Tarieven!$A$2:$F$200,4,0),""),"")))</f>
        <v/>
      </c>
      <c r="L246" s="70">
        <f>IF(C246="","",IF(J246="Per uur",N(I246)*N(K246),IF(J246="Vaste prijs",N(K246),0)))</f>
        <v/>
      </c>
      <c r="M246" s="69">
        <f>IF(C246="","",IFERROR(IF(N(VLOOKUP(C246,Tarieven!$A$2:$F$200,5,0))=0,"",VLOOKUP(C246,Tarieven!$A$2:$F$200,5,0)),""))</f>
        <v/>
      </c>
      <c r="N246" s="69" t="n"/>
      <c r="O246" s="69" t="n"/>
      <c r="P246" s="70">
        <f>IF(C246="","",N(L246)+N(M246)+N(N246)+N(O246))</f>
        <v/>
      </c>
      <c r="Q246" s="58" t="n"/>
      <c r="R246" s="57" t="n"/>
      <c r="S246" s="57" t="n"/>
      <c r="T246" s="57" t="n"/>
      <c r="U246" s="62">
        <f>IF(C246="","",IF(COUNTIF(Tarieven!$A$2:$A$200,C246)=0,"Klant niet in Tarieven",IF(MOD(N(H246),1)*100&gt;59.4,"Tijd ongeldig: minuten boven 59",IF(J246="Nog bepalen","Prijstype nog bepalen",IF(AND(J246="Per uur",N(K246)=0),"Uurtarief ontbreekt",IF(AND(J246="Vaste prijs",N(K246)=0),"Vaste prijs ontbreekt",IF(AND(N(I246)=0,Q246&lt;&gt;"Niet doorgegaan / verplaatst",Q246&lt;&gt;"Geen factuur nodig"),"Geen uren",IF(AND(G246="NEE",Q246="Verstuurd"),"Verstuurd terwijl werk niet af",IF(IFERROR(VLOOKUP(C246,Tarieven!$A$2:$F$200,2,0),"")="Beide","Beide-klant: controleer prijstype","OK")))))))))</f>
        <v/>
      </c>
    </row>
    <row r="247" ht="15" customHeight="1" s="42">
      <c r="A247" s="56">
        <f>IF(B247="","",WEEKNUM(B247,21))</f>
        <v/>
      </c>
      <c r="B247" s="55" t="n"/>
      <c r="C247" s="57" t="n"/>
      <c r="D247" s="57" t="n"/>
      <c r="E247" s="57" t="n"/>
      <c r="F247" s="57" t="n"/>
      <c r="G247" s="67" t="n"/>
      <c r="H247" s="68" t="n"/>
      <c r="I247" s="61">
        <f>IF(C247="","",IF(H247&lt;&gt;"",INT(H247)+ROUND(MOD(H247,1)*100/60,2),SUMIFS(Registraties!$L$5:$L$3004,Registraties!$D$5:$D$3004,C247,Registraties!$A$5:$A$3004,B247)))</f>
        <v/>
      </c>
      <c r="J247" s="58">
        <f>IF(C247="","",IFERROR(IF(VLOOKUP(C247,Tarieven!$A$2:$F$200,2,0)="Beide","Per uur",VLOOKUP(C247,Tarieven!$A$2:$F$200,2,0)),"Nog bepalen"))</f>
        <v/>
      </c>
      <c r="K247" s="69">
        <f>IF(C247="","",IF(J247="Per uur",IFERROR(VLOOKUP(C247,Tarieven!$A$2:$F$200,3,0),""),IF(J247="Vaste prijs",IFERROR(VLOOKUP(C247,Tarieven!$A$2:$F$200,4,0),""),"")))</f>
        <v/>
      </c>
      <c r="L247" s="70">
        <f>IF(C247="","",IF(J247="Per uur",N(I247)*N(K247),IF(J247="Vaste prijs",N(K247),0)))</f>
        <v/>
      </c>
      <c r="M247" s="69">
        <f>IF(C247="","",IFERROR(IF(N(VLOOKUP(C247,Tarieven!$A$2:$F$200,5,0))=0,"",VLOOKUP(C247,Tarieven!$A$2:$F$200,5,0)),""))</f>
        <v/>
      </c>
      <c r="N247" s="69" t="n"/>
      <c r="O247" s="69" t="n"/>
      <c r="P247" s="70">
        <f>IF(C247="","",N(L247)+N(M247)+N(N247)+N(O247))</f>
        <v/>
      </c>
      <c r="Q247" s="58" t="n"/>
      <c r="R247" s="57" t="n"/>
      <c r="S247" s="57" t="n"/>
      <c r="T247" s="57" t="n"/>
      <c r="U247" s="62">
        <f>IF(C247="","",IF(COUNTIF(Tarieven!$A$2:$A$200,C247)=0,"Klant niet in Tarieven",IF(MOD(N(H247),1)*100&gt;59.4,"Tijd ongeldig: minuten boven 59",IF(J247="Nog bepalen","Prijstype nog bepalen",IF(AND(J247="Per uur",N(K247)=0),"Uurtarief ontbreekt",IF(AND(J247="Vaste prijs",N(K247)=0),"Vaste prijs ontbreekt",IF(AND(N(I247)=0,Q247&lt;&gt;"Niet doorgegaan / verplaatst",Q247&lt;&gt;"Geen factuur nodig"),"Geen uren",IF(AND(G247="NEE",Q247="Verstuurd"),"Verstuurd terwijl werk niet af",IF(IFERROR(VLOOKUP(C247,Tarieven!$A$2:$F$200,2,0),"")="Beide","Beide-klant: controleer prijstype","OK")))))))))</f>
        <v/>
      </c>
    </row>
    <row r="248" ht="15" customHeight="1" s="42">
      <c r="A248" s="56">
        <f>IF(B248="","",WEEKNUM(B248,21))</f>
        <v/>
      </c>
      <c r="B248" s="55" t="n"/>
      <c r="C248" s="57" t="n"/>
      <c r="D248" s="57" t="n"/>
      <c r="E248" s="57" t="n"/>
      <c r="F248" s="57" t="n"/>
      <c r="G248" s="67" t="n"/>
      <c r="H248" s="68" t="n"/>
      <c r="I248" s="61">
        <f>IF(C248="","",IF(H248&lt;&gt;"",INT(H248)+ROUND(MOD(H248,1)*100/60,2),SUMIFS(Registraties!$L$5:$L$3004,Registraties!$D$5:$D$3004,C248,Registraties!$A$5:$A$3004,B248)))</f>
        <v/>
      </c>
      <c r="J248" s="58">
        <f>IF(C248="","",IFERROR(IF(VLOOKUP(C248,Tarieven!$A$2:$F$200,2,0)="Beide","Per uur",VLOOKUP(C248,Tarieven!$A$2:$F$200,2,0)),"Nog bepalen"))</f>
        <v/>
      </c>
      <c r="K248" s="69">
        <f>IF(C248="","",IF(J248="Per uur",IFERROR(VLOOKUP(C248,Tarieven!$A$2:$F$200,3,0),""),IF(J248="Vaste prijs",IFERROR(VLOOKUP(C248,Tarieven!$A$2:$F$200,4,0),""),"")))</f>
        <v/>
      </c>
      <c r="L248" s="70">
        <f>IF(C248="","",IF(J248="Per uur",N(I248)*N(K248),IF(J248="Vaste prijs",N(K248),0)))</f>
        <v/>
      </c>
      <c r="M248" s="69">
        <f>IF(C248="","",IFERROR(IF(N(VLOOKUP(C248,Tarieven!$A$2:$F$200,5,0))=0,"",VLOOKUP(C248,Tarieven!$A$2:$F$200,5,0)),""))</f>
        <v/>
      </c>
      <c r="N248" s="69" t="n"/>
      <c r="O248" s="69" t="n"/>
      <c r="P248" s="70">
        <f>IF(C248="","",N(L248)+N(M248)+N(N248)+N(O248))</f>
        <v/>
      </c>
      <c r="Q248" s="58" t="n"/>
      <c r="R248" s="57" t="n"/>
      <c r="S248" s="57" t="n"/>
      <c r="T248" s="57" t="n"/>
      <c r="U248" s="62">
        <f>IF(C248="","",IF(COUNTIF(Tarieven!$A$2:$A$200,C248)=0,"Klant niet in Tarieven",IF(MOD(N(H248),1)*100&gt;59.4,"Tijd ongeldig: minuten boven 59",IF(J248="Nog bepalen","Prijstype nog bepalen",IF(AND(J248="Per uur",N(K248)=0),"Uurtarief ontbreekt",IF(AND(J248="Vaste prijs",N(K248)=0),"Vaste prijs ontbreekt",IF(AND(N(I248)=0,Q248&lt;&gt;"Niet doorgegaan / verplaatst",Q248&lt;&gt;"Geen factuur nodig"),"Geen uren",IF(AND(G248="NEE",Q248="Verstuurd"),"Verstuurd terwijl werk niet af",IF(IFERROR(VLOOKUP(C248,Tarieven!$A$2:$F$200,2,0),"")="Beide","Beide-klant: controleer prijstype","OK")))))))))</f>
        <v/>
      </c>
    </row>
    <row r="249" ht="15" customHeight="1" s="42">
      <c r="A249" s="56">
        <f>IF(B249="","",WEEKNUM(B249,21))</f>
        <v/>
      </c>
      <c r="B249" s="55" t="n"/>
      <c r="C249" s="57" t="n"/>
      <c r="D249" s="57" t="n"/>
      <c r="E249" s="57" t="n"/>
      <c r="F249" s="57" t="n"/>
      <c r="G249" s="67" t="n"/>
      <c r="H249" s="68" t="n"/>
      <c r="I249" s="61">
        <f>IF(C249="","",IF(H249&lt;&gt;"",INT(H249)+ROUND(MOD(H249,1)*100/60,2),SUMIFS(Registraties!$L$5:$L$3004,Registraties!$D$5:$D$3004,C249,Registraties!$A$5:$A$3004,B249)))</f>
        <v/>
      </c>
      <c r="J249" s="58">
        <f>IF(C249="","",IFERROR(IF(VLOOKUP(C249,Tarieven!$A$2:$F$200,2,0)="Beide","Per uur",VLOOKUP(C249,Tarieven!$A$2:$F$200,2,0)),"Nog bepalen"))</f>
        <v/>
      </c>
      <c r="K249" s="69">
        <f>IF(C249="","",IF(J249="Per uur",IFERROR(VLOOKUP(C249,Tarieven!$A$2:$F$200,3,0),""),IF(J249="Vaste prijs",IFERROR(VLOOKUP(C249,Tarieven!$A$2:$F$200,4,0),""),"")))</f>
        <v/>
      </c>
      <c r="L249" s="70">
        <f>IF(C249="","",IF(J249="Per uur",N(I249)*N(K249),IF(J249="Vaste prijs",N(K249),0)))</f>
        <v/>
      </c>
      <c r="M249" s="69">
        <f>IF(C249="","",IFERROR(IF(N(VLOOKUP(C249,Tarieven!$A$2:$F$200,5,0))=0,"",VLOOKUP(C249,Tarieven!$A$2:$F$200,5,0)),""))</f>
        <v/>
      </c>
      <c r="N249" s="69" t="n"/>
      <c r="O249" s="69" t="n"/>
      <c r="P249" s="70">
        <f>IF(C249="","",N(L249)+N(M249)+N(N249)+N(O249))</f>
        <v/>
      </c>
      <c r="Q249" s="58" t="n"/>
      <c r="R249" s="57" t="n"/>
      <c r="S249" s="57" t="n"/>
      <c r="T249" s="57" t="n"/>
      <c r="U249" s="62">
        <f>IF(C249="","",IF(COUNTIF(Tarieven!$A$2:$A$200,C249)=0,"Klant niet in Tarieven",IF(MOD(N(H249),1)*100&gt;59.4,"Tijd ongeldig: minuten boven 59",IF(J249="Nog bepalen","Prijstype nog bepalen",IF(AND(J249="Per uur",N(K249)=0),"Uurtarief ontbreekt",IF(AND(J249="Vaste prijs",N(K249)=0),"Vaste prijs ontbreekt",IF(AND(N(I249)=0,Q249&lt;&gt;"Niet doorgegaan / verplaatst",Q249&lt;&gt;"Geen factuur nodig"),"Geen uren",IF(AND(G249="NEE",Q249="Verstuurd"),"Verstuurd terwijl werk niet af",IF(IFERROR(VLOOKUP(C249,Tarieven!$A$2:$F$200,2,0),"")="Beide","Beide-klant: controleer prijstype","OK")))))))))</f>
        <v/>
      </c>
    </row>
    <row r="250" ht="15" customHeight="1" s="42">
      <c r="A250" s="56">
        <f>IF(B250="","",WEEKNUM(B250,21))</f>
        <v/>
      </c>
      <c r="B250" s="55" t="n"/>
      <c r="C250" s="57" t="n"/>
      <c r="D250" s="57" t="n"/>
      <c r="E250" s="57" t="n"/>
      <c r="F250" s="57" t="n"/>
      <c r="G250" s="67" t="n"/>
      <c r="H250" s="68" t="n"/>
      <c r="I250" s="61">
        <f>IF(C250="","",IF(H250&lt;&gt;"",INT(H250)+ROUND(MOD(H250,1)*100/60,2),SUMIFS(Registraties!$L$5:$L$3004,Registraties!$D$5:$D$3004,C250,Registraties!$A$5:$A$3004,B250)))</f>
        <v/>
      </c>
      <c r="J250" s="58">
        <f>IF(C250="","",IFERROR(IF(VLOOKUP(C250,Tarieven!$A$2:$F$200,2,0)="Beide","Per uur",VLOOKUP(C250,Tarieven!$A$2:$F$200,2,0)),"Nog bepalen"))</f>
        <v/>
      </c>
      <c r="K250" s="69">
        <f>IF(C250="","",IF(J250="Per uur",IFERROR(VLOOKUP(C250,Tarieven!$A$2:$F$200,3,0),""),IF(J250="Vaste prijs",IFERROR(VLOOKUP(C250,Tarieven!$A$2:$F$200,4,0),""),"")))</f>
        <v/>
      </c>
      <c r="L250" s="70">
        <f>IF(C250="","",IF(J250="Per uur",N(I250)*N(K250),IF(J250="Vaste prijs",N(K250),0)))</f>
        <v/>
      </c>
      <c r="M250" s="69">
        <f>IF(C250="","",IFERROR(IF(N(VLOOKUP(C250,Tarieven!$A$2:$F$200,5,0))=0,"",VLOOKUP(C250,Tarieven!$A$2:$F$200,5,0)),""))</f>
        <v/>
      </c>
      <c r="N250" s="69" t="n"/>
      <c r="O250" s="69" t="n"/>
      <c r="P250" s="70">
        <f>IF(C250="","",N(L250)+N(M250)+N(N250)+N(O250))</f>
        <v/>
      </c>
      <c r="Q250" s="58" t="n"/>
      <c r="R250" s="57" t="n"/>
      <c r="S250" s="57" t="n"/>
      <c r="T250" s="57" t="n"/>
      <c r="U250" s="62">
        <f>IF(C250="","",IF(COUNTIF(Tarieven!$A$2:$A$200,C250)=0,"Klant niet in Tarieven",IF(MOD(N(H250),1)*100&gt;59.4,"Tijd ongeldig: minuten boven 59",IF(J250="Nog bepalen","Prijstype nog bepalen",IF(AND(J250="Per uur",N(K250)=0),"Uurtarief ontbreekt",IF(AND(J250="Vaste prijs",N(K250)=0),"Vaste prijs ontbreekt",IF(AND(N(I250)=0,Q250&lt;&gt;"Niet doorgegaan / verplaatst",Q250&lt;&gt;"Geen factuur nodig"),"Geen uren",IF(AND(G250="NEE",Q250="Verstuurd"),"Verstuurd terwijl werk niet af",IF(IFERROR(VLOOKUP(C250,Tarieven!$A$2:$F$200,2,0),"")="Beide","Beide-klant: controleer prijstype","OK")))))))))</f>
        <v/>
      </c>
    </row>
    <row r="251" ht="15" customHeight="1" s="42">
      <c r="A251" s="56">
        <f>IF(B251="","",WEEKNUM(B251,21))</f>
        <v/>
      </c>
      <c r="B251" s="55" t="n"/>
      <c r="C251" s="57" t="n"/>
      <c r="D251" s="57" t="n"/>
      <c r="E251" s="57" t="n"/>
      <c r="F251" s="57" t="n"/>
      <c r="G251" s="67" t="n"/>
      <c r="H251" s="68" t="n"/>
      <c r="I251" s="61">
        <f>IF(C251="","",IF(H251&lt;&gt;"",INT(H251)+ROUND(MOD(H251,1)*100/60,2),SUMIFS(Registraties!$L$5:$L$3004,Registraties!$D$5:$D$3004,C251,Registraties!$A$5:$A$3004,B251)))</f>
        <v/>
      </c>
      <c r="J251" s="58">
        <f>IF(C251="","",IFERROR(IF(VLOOKUP(C251,Tarieven!$A$2:$F$200,2,0)="Beide","Per uur",VLOOKUP(C251,Tarieven!$A$2:$F$200,2,0)),"Nog bepalen"))</f>
        <v/>
      </c>
      <c r="K251" s="69">
        <f>IF(C251="","",IF(J251="Per uur",IFERROR(VLOOKUP(C251,Tarieven!$A$2:$F$200,3,0),""),IF(J251="Vaste prijs",IFERROR(VLOOKUP(C251,Tarieven!$A$2:$F$200,4,0),""),"")))</f>
        <v/>
      </c>
      <c r="L251" s="70">
        <f>IF(C251="","",IF(J251="Per uur",N(I251)*N(K251),IF(J251="Vaste prijs",N(K251),0)))</f>
        <v/>
      </c>
      <c r="M251" s="69">
        <f>IF(C251="","",IFERROR(IF(N(VLOOKUP(C251,Tarieven!$A$2:$F$200,5,0))=0,"",VLOOKUP(C251,Tarieven!$A$2:$F$200,5,0)),""))</f>
        <v/>
      </c>
      <c r="N251" s="69" t="n"/>
      <c r="O251" s="69" t="n"/>
      <c r="P251" s="70">
        <f>IF(C251="","",N(L251)+N(M251)+N(N251)+N(O251))</f>
        <v/>
      </c>
      <c r="Q251" s="58" t="n"/>
      <c r="R251" s="57" t="n"/>
      <c r="S251" s="57" t="n"/>
      <c r="T251" s="57" t="n"/>
      <c r="U251" s="62">
        <f>IF(C251="","",IF(COUNTIF(Tarieven!$A$2:$A$200,C251)=0,"Klant niet in Tarieven",IF(MOD(N(H251),1)*100&gt;59.4,"Tijd ongeldig: minuten boven 59",IF(J251="Nog bepalen","Prijstype nog bepalen",IF(AND(J251="Per uur",N(K251)=0),"Uurtarief ontbreekt",IF(AND(J251="Vaste prijs",N(K251)=0),"Vaste prijs ontbreekt",IF(AND(N(I251)=0,Q251&lt;&gt;"Niet doorgegaan / verplaatst",Q251&lt;&gt;"Geen factuur nodig"),"Geen uren",IF(AND(G251="NEE",Q251="Verstuurd"),"Verstuurd terwijl werk niet af",IF(IFERROR(VLOOKUP(C251,Tarieven!$A$2:$F$200,2,0),"")="Beide","Beide-klant: controleer prijstype","OK")))))))))</f>
        <v/>
      </c>
    </row>
    <row r="252" ht="15" customHeight="1" s="42">
      <c r="A252" s="56">
        <f>IF(B252="","",WEEKNUM(B252,21))</f>
        <v/>
      </c>
      <c r="B252" s="55" t="n"/>
      <c r="C252" s="57" t="n"/>
      <c r="D252" s="57" t="n"/>
      <c r="E252" s="57" t="n"/>
      <c r="F252" s="57" t="n"/>
      <c r="G252" s="67" t="n"/>
      <c r="H252" s="68" t="n"/>
      <c r="I252" s="61">
        <f>IF(C252="","",IF(H252&lt;&gt;"",INT(H252)+ROUND(MOD(H252,1)*100/60,2),SUMIFS(Registraties!$L$5:$L$3004,Registraties!$D$5:$D$3004,C252,Registraties!$A$5:$A$3004,B252)))</f>
        <v/>
      </c>
      <c r="J252" s="58">
        <f>IF(C252="","",IFERROR(IF(VLOOKUP(C252,Tarieven!$A$2:$F$200,2,0)="Beide","Per uur",VLOOKUP(C252,Tarieven!$A$2:$F$200,2,0)),"Nog bepalen"))</f>
        <v/>
      </c>
      <c r="K252" s="69">
        <f>IF(C252="","",IF(J252="Per uur",IFERROR(VLOOKUP(C252,Tarieven!$A$2:$F$200,3,0),""),IF(J252="Vaste prijs",IFERROR(VLOOKUP(C252,Tarieven!$A$2:$F$200,4,0),""),"")))</f>
        <v/>
      </c>
      <c r="L252" s="70">
        <f>IF(C252="","",IF(J252="Per uur",N(I252)*N(K252),IF(J252="Vaste prijs",N(K252),0)))</f>
        <v/>
      </c>
      <c r="M252" s="69">
        <f>IF(C252="","",IFERROR(IF(N(VLOOKUP(C252,Tarieven!$A$2:$F$200,5,0))=0,"",VLOOKUP(C252,Tarieven!$A$2:$F$200,5,0)),""))</f>
        <v/>
      </c>
      <c r="N252" s="69" t="n"/>
      <c r="O252" s="69" t="n"/>
      <c r="P252" s="70">
        <f>IF(C252="","",N(L252)+N(M252)+N(N252)+N(O252))</f>
        <v/>
      </c>
      <c r="Q252" s="58" t="n"/>
      <c r="R252" s="57" t="n"/>
      <c r="S252" s="57" t="n"/>
      <c r="T252" s="57" t="n"/>
      <c r="U252" s="62">
        <f>IF(C252="","",IF(COUNTIF(Tarieven!$A$2:$A$200,C252)=0,"Klant niet in Tarieven",IF(MOD(N(H252),1)*100&gt;59.4,"Tijd ongeldig: minuten boven 59",IF(J252="Nog bepalen","Prijstype nog bepalen",IF(AND(J252="Per uur",N(K252)=0),"Uurtarief ontbreekt",IF(AND(J252="Vaste prijs",N(K252)=0),"Vaste prijs ontbreekt",IF(AND(N(I252)=0,Q252&lt;&gt;"Niet doorgegaan / verplaatst",Q252&lt;&gt;"Geen factuur nodig"),"Geen uren",IF(AND(G252="NEE",Q252="Verstuurd"),"Verstuurd terwijl werk niet af",IF(IFERROR(VLOOKUP(C252,Tarieven!$A$2:$F$200,2,0),"")="Beide","Beide-klant: controleer prijstype","OK")))))))))</f>
        <v/>
      </c>
    </row>
    <row r="253" ht="15" customHeight="1" s="42">
      <c r="A253" s="56">
        <f>IF(B253="","",WEEKNUM(B253,21))</f>
        <v/>
      </c>
      <c r="B253" s="55" t="n"/>
      <c r="C253" s="57" t="n"/>
      <c r="D253" s="57" t="n"/>
      <c r="E253" s="57" t="n"/>
      <c r="F253" s="57" t="n"/>
      <c r="G253" s="67" t="n"/>
      <c r="H253" s="68" t="n"/>
      <c r="I253" s="61">
        <f>IF(C253="","",IF(H253&lt;&gt;"",INT(H253)+ROUND(MOD(H253,1)*100/60,2),SUMIFS(Registraties!$L$5:$L$3004,Registraties!$D$5:$D$3004,C253,Registraties!$A$5:$A$3004,B253)))</f>
        <v/>
      </c>
      <c r="J253" s="58">
        <f>IF(C253="","",IFERROR(IF(VLOOKUP(C253,Tarieven!$A$2:$F$200,2,0)="Beide","Per uur",VLOOKUP(C253,Tarieven!$A$2:$F$200,2,0)),"Nog bepalen"))</f>
        <v/>
      </c>
      <c r="K253" s="69">
        <f>IF(C253="","",IF(J253="Per uur",IFERROR(VLOOKUP(C253,Tarieven!$A$2:$F$200,3,0),""),IF(J253="Vaste prijs",IFERROR(VLOOKUP(C253,Tarieven!$A$2:$F$200,4,0),""),"")))</f>
        <v/>
      </c>
      <c r="L253" s="70">
        <f>IF(C253="","",IF(J253="Per uur",N(I253)*N(K253),IF(J253="Vaste prijs",N(K253),0)))</f>
        <v/>
      </c>
      <c r="M253" s="69">
        <f>IF(C253="","",IFERROR(IF(N(VLOOKUP(C253,Tarieven!$A$2:$F$200,5,0))=0,"",VLOOKUP(C253,Tarieven!$A$2:$F$200,5,0)),""))</f>
        <v/>
      </c>
      <c r="N253" s="69" t="n"/>
      <c r="O253" s="69" t="n"/>
      <c r="P253" s="70">
        <f>IF(C253="","",N(L253)+N(M253)+N(N253)+N(O253))</f>
        <v/>
      </c>
      <c r="Q253" s="58" t="n"/>
      <c r="R253" s="57" t="n"/>
      <c r="S253" s="57" t="n"/>
      <c r="T253" s="57" t="n"/>
      <c r="U253" s="62">
        <f>IF(C253="","",IF(COUNTIF(Tarieven!$A$2:$A$200,C253)=0,"Klant niet in Tarieven",IF(MOD(N(H253),1)*100&gt;59.4,"Tijd ongeldig: minuten boven 59",IF(J253="Nog bepalen","Prijstype nog bepalen",IF(AND(J253="Per uur",N(K253)=0),"Uurtarief ontbreekt",IF(AND(J253="Vaste prijs",N(K253)=0),"Vaste prijs ontbreekt",IF(AND(N(I253)=0,Q253&lt;&gt;"Niet doorgegaan / verplaatst",Q253&lt;&gt;"Geen factuur nodig"),"Geen uren",IF(AND(G253="NEE",Q253="Verstuurd"),"Verstuurd terwijl werk niet af",IF(IFERROR(VLOOKUP(C253,Tarieven!$A$2:$F$200,2,0),"")="Beide","Beide-klant: controleer prijstype","OK")))))))))</f>
        <v/>
      </c>
    </row>
    <row r="254" ht="15" customHeight="1" s="42">
      <c r="A254" s="56">
        <f>IF(B254="","",WEEKNUM(B254,21))</f>
        <v/>
      </c>
      <c r="B254" s="55" t="n"/>
      <c r="C254" s="57" t="n"/>
      <c r="D254" s="57" t="n"/>
      <c r="E254" s="57" t="n"/>
      <c r="F254" s="57" t="n"/>
      <c r="G254" s="67" t="n"/>
      <c r="H254" s="68" t="n"/>
      <c r="I254" s="61">
        <f>IF(C254="","",IF(H254&lt;&gt;"",INT(H254)+ROUND(MOD(H254,1)*100/60,2),SUMIFS(Registraties!$L$5:$L$3004,Registraties!$D$5:$D$3004,C254,Registraties!$A$5:$A$3004,B254)))</f>
        <v/>
      </c>
      <c r="J254" s="58">
        <f>IF(C254="","",IFERROR(IF(VLOOKUP(C254,Tarieven!$A$2:$F$200,2,0)="Beide","Per uur",VLOOKUP(C254,Tarieven!$A$2:$F$200,2,0)),"Nog bepalen"))</f>
        <v/>
      </c>
      <c r="K254" s="69">
        <f>IF(C254="","",IF(J254="Per uur",IFERROR(VLOOKUP(C254,Tarieven!$A$2:$F$200,3,0),""),IF(J254="Vaste prijs",IFERROR(VLOOKUP(C254,Tarieven!$A$2:$F$200,4,0),""),"")))</f>
        <v/>
      </c>
      <c r="L254" s="70">
        <f>IF(C254="","",IF(J254="Per uur",N(I254)*N(K254),IF(J254="Vaste prijs",N(K254),0)))</f>
        <v/>
      </c>
      <c r="M254" s="69">
        <f>IF(C254="","",IFERROR(IF(N(VLOOKUP(C254,Tarieven!$A$2:$F$200,5,0))=0,"",VLOOKUP(C254,Tarieven!$A$2:$F$200,5,0)),""))</f>
        <v/>
      </c>
      <c r="N254" s="69" t="n"/>
      <c r="O254" s="69" t="n"/>
      <c r="P254" s="70">
        <f>IF(C254="","",N(L254)+N(M254)+N(N254)+N(O254))</f>
        <v/>
      </c>
      <c r="Q254" s="58" t="n"/>
      <c r="R254" s="57" t="n"/>
      <c r="S254" s="57" t="n"/>
      <c r="T254" s="57" t="n"/>
      <c r="U254" s="62">
        <f>IF(C254="","",IF(COUNTIF(Tarieven!$A$2:$A$200,C254)=0,"Klant niet in Tarieven",IF(MOD(N(H254),1)*100&gt;59.4,"Tijd ongeldig: minuten boven 59",IF(J254="Nog bepalen","Prijstype nog bepalen",IF(AND(J254="Per uur",N(K254)=0),"Uurtarief ontbreekt",IF(AND(J254="Vaste prijs",N(K254)=0),"Vaste prijs ontbreekt",IF(AND(N(I254)=0,Q254&lt;&gt;"Niet doorgegaan / verplaatst",Q254&lt;&gt;"Geen factuur nodig"),"Geen uren",IF(AND(G254="NEE",Q254="Verstuurd"),"Verstuurd terwijl werk niet af",IF(IFERROR(VLOOKUP(C254,Tarieven!$A$2:$F$200,2,0),"")="Beide","Beide-klant: controleer prijstype","OK")))))))))</f>
        <v/>
      </c>
    </row>
    <row r="255" ht="15" customHeight="1" s="42">
      <c r="A255" s="56">
        <f>IF(B255="","",WEEKNUM(B255,21))</f>
        <v/>
      </c>
      <c r="B255" s="55" t="n"/>
      <c r="C255" s="57" t="n"/>
      <c r="D255" s="57" t="n"/>
      <c r="E255" s="57" t="n"/>
      <c r="F255" s="57" t="n"/>
      <c r="G255" s="67" t="n"/>
      <c r="H255" s="68" t="n"/>
      <c r="I255" s="61">
        <f>IF(C255="","",IF(H255&lt;&gt;"",INT(H255)+ROUND(MOD(H255,1)*100/60,2),SUMIFS(Registraties!$L$5:$L$3004,Registraties!$D$5:$D$3004,C255,Registraties!$A$5:$A$3004,B255)))</f>
        <v/>
      </c>
      <c r="J255" s="58">
        <f>IF(C255="","",IFERROR(IF(VLOOKUP(C255,Tarieven!$A$2:$F$200,2,0)="Beide","Per uur",VLOOKUP(C255,Tarieven!$A$2:$F$200,2,0)),"Nog bepalen"))</f>
        <v/>
      </c>
      <c r="K255" s="69">
        <f>IF(C255="","",IF(J255="Per uur",IFERROR(VLOOKUP(C255,Tarieven!$A$2:$F$200,3,0),""),IF(J255="Vaste prijs",IFERROR(VLOOKUP(C255,Tarieven!$A$2:$F$200,4,0),""),"")))</f>
        <v/>
      </c>
      <c r="L255" s="70">
        <f>IF(C255="","",IF(J255="Per uur",N(I255)*N(K255),IF(J255="Vaste prijs",N(K255),0)))</f>
        <v/>
      </c>
      <c r="M255" s="69">
        <f>IF(C255="","",IFERROR(IF(N(VLOOKUP(C255,Tarieven!$A$2:$F$200,5,0))=0,"",VLOOKUP(C255,Tarieven!$A$2:$F$200,5,0)),""))</f>
        <v/>
      </c>
      <c r="N255" s="69" t="n"/>
      <c r="O255" s="69" t="n"/>
      <c r="P255" s="70">
        <f>IF(C255="","",N(L255)+N(M255)+N(N255)+N(O255))</f>
        <v/>
      </c>
      <c r="Q255" s="58" t="n"/>
      <c r="R255" s="57" t="n"/>
      <c r="S255" s="57" t="n"/>
      <c r="T255" s="57" t="n"/>
      <c r="U255" s="62">
        <f>IF(C255="","",IF(COUNTIF(Tarieven!$A$2:$A$200,C255)=0,"Klant niet in Tarieven",IF(MOD(N(H255),1)*100&gt;59.4,"Tijd ongeldig: minuten boven 59",IF(J255="Nog bepalen","Prijstype nog bepalen",IF(AND(J255="Per uur",N(K255)=0),"Uurtarief ontbreekt",IF(AND(J255="Vaste prijs",N(K255)=0),"Vaste prijs ontbreekt",IF(AND(N(I255)=0,Q255&lt;&gt;"Niet doorgegaan / verplaatst",Q255&lt;&gt;"Geen factuur nodig"),"Geen uren",IF(AND(G255="NEE",Q255="Verstuurd"),"Verstuurd terwijl werk niet af",IF(IFERROR(VLOOKUP(C255,Tarieven!$A$2:$F$200,2,0),"")="Beide","Beide-klant: controleer prijstype","OK")))))))))</f>
        <v/>
      </c>
    </row>
    <row r="256" ht="15" customHeight="1" s="42">
      <c r="A256" s="56">
        <f>IF(B256="","",WEEKNUM(B256,21))</f>
        <v/>
      </c>
      <c r="B256" s="55" t="n"/>
      <c r="C256" s="57" t="n"/>
      <c r="D256" s="57" t="n"/>
      <c r="E256" s="57" t="n"/>
      <c r="F256" s="57" t="n"/>
      <c r="G256" s="67" t="n"/>
      <c r="H256" s="68" t="n"/>
      <c r="I256" s="61">
        <f>IF(C256="","",IF(H256&lt;&gt;"",INT(H256)+ROUND(MOD(H256,1)*100/60,2),SUMIFS(Registraties!$L$5:$L$3004,Registraties!$D$5:$D$3004,C256,Registraties!$A$5:$A$3004,B256)))</f>
        <v/>
      </c>
      <c r="J256" s="58">
        <f>IF(C256="","",IFERROR(IF(VLOOKUP(C256,Tarieven!$A$2:$F$200,2,0)="Beide","Per uur",VLOOKUP(C256,Tarieven!$A$2:$F$200,2,0)),"Nog bepalen"))</f>
        <v/>
      </c>
      <c r="K256" s="69">
        <f>IF(C256="","",IF(J256="Per uur",IFERROR(VLOOKUP(C256,Tarieven!$A$2:$F$200,3,0),""),IF(J256="Vaste prijs",IFERROR(VLOOKUP(C256,Tarieven!$A$2:$F$200,4,0),""),"")))</f>
        <v/>
      </c>
      <c r="L256" s="70">
        <f>IF(C256="","",IF(J256="Per uur",N(I256)*N(K256),IF(J256="Vaste prijs",N(K256),0)))</f>
        <v/>
      </c>
      <c r="M256" s="69">
        <f>IF(C256="","",IFERROR(IF(N(VLOOKUP(C256,Tarieven!$A$2:$F$200,5,0))=0,"",VLOOKUP(C256,Tarieven!$A$2:$F$200,5,0)),""))</f>
        <v/>
      </c>
      <c r="N256" s="69" t="n"/>
      <c r="O256" s="69" t="n"/>
      <c r="P256" s="70">
        <f>IF(C256="","",N(L256)+N(M256)+N(N256)+N(O256))</f>
        <v/>
      </c>
      <c r="Q256" s="58" t="n"/>
      <c r="R256" s="57" t="n"/>
      <c r="S256" s="57" t="n"/>
      <c r="T256" s="57" t="n"/>
      <c r="U256" s="62">
        <f>IF(C256="","",IF(COUNTIF(Tarieven!$A$2:$A$200,C256)=0,"Klant niet in Tarieven",IF(MOD(N(H256),1)*100&gt;59.4,"Tijd ongeldig: minuten boven 59",IF(J256="Nog bepalen","Prijstype nog bepalen",IF(AND(J256="Per uur",N(K256)=0),"Uurtarief ontbreekt",IF(AND(J256="Vaste prijs",N(K256)=0),"Vaste prijs ontbreekt",IF(AND(N(I256)=0,Q256&lt;&gt;"Niet doorgegaan / verplaatst",Q256&lt;&gt;"Geen factuur nodig"),"Geen uren",IF(AND(G256="NEE",Q256="Verstuurd"),"Verstuurd terwijl werk niet af",IF(IFERROR(VLOOKUP(C256,Tarieven!$A$2:$F$200,2,0),"")="Beide","Beide-klant: controleer prijstype","OK")))))))))</f>
        <v/>
      </c>
    </row>
    <row r="257" ht="15" customHeight="1" s="42">
      <c r="A257" s="56">
        <f>IF(B257="","",WEEKNUM(B257,21))</f>
        <v/>
      </c>
      <c r="B257" s="55" t="n"/>
      <c r="C257" s="57" t="n"/>
      <c r="D257" s="57" t="n"/>
      <c r="E257" s="57" t="n"/>
      <c r="F257" s="57" t="n"/>
      <c r="G257" s="67" t="n"/>
      <c r="H257" s="68" t="n"/>
      <c r="I257" s="61">
        <f>IF(C257="","",IF(H257&lt;&gt;"",INT(H257)+ROUND(MOD(H257,1)*100/60,2),SUMIFS(Registraties!$L$5:$L$3004,Registraties!$D$5:$D$3004,C257,Registraties!$A$5:$A$3004,B257)))</f>
        <v/>
      </c>
      <c r="J257" s="58">
        <f>IF(C257="","",IFERROR(IF(VLOOKUP(C257,Tarieven!$A$2:$F$200,2,0)="Beide","Per uur",VLOOKUP(C257,Tarieven!$A$2:$F$200,2,0)),"Nog bepalen"))</f>
        <v/>
      </c>
      <c r="K257" s="69">
        <f>IF(C257="","",IF(J257="Per uur",IFERROR(VLOOKUP(C257,Tarieven!$A$2:$F$200,3,0),""),IF(J257="Vaste prijs",IFERROR(VLOOKUP(C257,Tarieven!$A$2:$F$200,4,0),""),"")))</f>
        <v/>
      </c>
      <c r="L257" s="70">
        <f>IF(C257="","",IF(J257="Per uur",N(I257)*N(K257),IF(J257="Vaste prijs",N(K257),0)))</f>
        <v/>
      </c>
      <c r="M257" s="69">
        <f>IF(C257="","",IFERROR(IF(N(VLOOKUP(C257,Tarieven!$A$2:$F$200,5,0))=0,"",VLOOKUP(C257,Tarieven!$A$2:$F$200,5,0)),""))</f>
        <v/>
      </c>
      <c r="N257" s="69" t="n"/>
      <c r="O257" s="69" t="n"/>
      <c r="P257" s="70">
        <f>IF(C257="","",N(L257)+N(M257)+N(N257)+N(O257))</f>
        <v/>
      </c>
      <c r="Q257" s="58" t="n"/>
      <c r="R257" s="57" t="n"/>
      <c r="S257" s="57" t="n"/>
      <c r="T257" s="57" t="n"/>
      <c r="U257" s="62">
        <f>IF(C257="","",IF(COUNTIF(Tarieven!$A$2:$A$200,C257)=0,"Klant niet in Tarieven",IF(MOD(N(H257),1)*100&gt;59.4,"Tijd ongeldig: minuten boven 59",IF(J257="Nog bepalen","Prijstype nog bepalen",IF(AND(J257="Per uur",N(K257)=0),"Uurtarief ontbreekt",IF(AND(J257="Vaste prijs",N(K257)=0),"Vaste prijs ontbreekt",IF(AND(N(I257)=0,Q257&lt;&gt;"Niet doorgegaan / verplaatst",Q257&lt;&gt;"Geen factuur nodig"),"Geen uren",IF(AND(G257="NEE",Q257="Verstuurd"),"Verstuurd terwijl werk niet af",IF(IFERROR(VLOOKUP(C257,Tarieven!$A$2:$F$200,2,0),"")="Beide","Beide-klant: controleer prijstype","OK")))))))))</f>
        <v/>
      </c>
    </row>
    <row r="258" ht="15" customHeight="1" s="42">
      <c r="A258" s="56">
        <f>IF(B258="","",WEEKNUM(B258,21))</f>
        <v/>
      </c>
      <c r="B258" s="55" t="n"/>
      <c r="C258" s="57" t="n"/>
      <c r="D258" s="57" t="n"/>
      <c r="E258" s="57" t="n"/>
      <c r="F258" s="57" t="n"/>
      <c r="G258" s="67" t="n"/>
      <c r="H258" s="68" t="n"/>
      <c r="I258" s="61">
        <f>IF(C258="","",IF(H258&lt;&gt;"",INT(H258)+ROUND(MOD(H258,1)*100/60,2),SUMIFS(Registraties!$L$5:$L$3004,Registraties!$D$5:$D$3004,C258,Registraties!$A$5:$A$3004,B258)))</f>
        <v/>
      </c>
      <c r="J258" s="58">
        <f>IF(C258="","",IFERROR(IF(VLOOKUP(C258,Tarieven!$A$2:$F$200,2,0)="Beide","Per uur",VLOOKUP(C258,Tarieven!$A$2:$F$200,2,0)),"Nog bepalen"))</f>
        <v/>
      </c>
      <c r="K258" s="69">
        <f>IF(C258="","",IF(J258="Per uur",IFERROR(VLOOKUP(C258,Tarieven!$A$2:$F$200,3,0),""),IF(J258="Vaste prijs",IFERROR(VLOOKUP(C258,Tarieven!$A$2:$F$200,4,0),""),"")))</f>
        <v/>
      </c>
      <c r="L258" s="70">
        <f>IF(C258="","",IF(J258="Per uur",N(I258)*N(K258),IF(J258="Vaste prijs",N(K258),0)))</f>
        <v/>
      </c>
      <c r="M258" s="69">
        <f>IF(C258="","",IFERROR(IF(N(VLOOKUP(C258,Tarieven!$A$2:$F$200,5,0))=0,"",VLOOKUP(C258,Tarieven!$A$2:$F$200,5,0)),""))</f>
        <v/>
      </c>
      <c r="N258" s="69" t="n"/>
      <c r="O258" s="69" t="n"/>
      <c r="P258" s="70">
        <f>IF(C258="","",N(L258)+N(M258)+N(N258)+N(O258))</f>
        <v/>
      </c>
      <c r="Q258" s="58" t="n"/>
      <c r="R258" s="57" t="n"/>
      <c r="S258" s="57" t="n"/>
      <c r="T258" s="57" t="n"/>
      <c r="U258" s="62">
        <f>IF(C258="","",IF(COUNTIF(Tarieven!$A$2:$A$200,C258)=0,"Klant niet in Tarieven",IF(MOD(N(H258),1)*100&gt;59.4,"Tijd ongeldig: minuten boven 59",IF(J258="Nog bepalen","Prijstype nog bepalen",IF(AND(J258="Per uur",N(K258)=0),"Uurtarief ontbreekt",IF(AND(J258="Vaste prijs",N(K258)=0),"Vaste prijs ontbreekt",IF(AND(N(I258)=0,Q258&lt;&gt;"Niet doorgegaan / verplaatst",Q258&lt;&gt;"Geen factuur nodig"),"Geen uren",IF(AND(G258="NEE",Q258="Verstuurd"),"Verstuurd terwijl werk niet af",IF(IFERROR(VLOOKUP(C258,Tarieven!$A$2:$F$200,2,0),"")="Beide","Beide-klant: controleer prijstype","OK")))))))))</f>
        <v/>
      </c>
    </row>
    <row r="259" ht="15" customHeight="1" s="42">
      <c r="A259" s="56">
        <f>IF(B259="","",WEEKNUM(B259,21))</f>
        <v/>
      </c>
      <c r="B259" s="55" t="n"/>
      <c r="C259" s="57" t="n"/>
      <c r="D259" s="57" t="n"/>
      <c r="E259" s="57" t="n"/>
      <c r="F259" s="57" t="n"/>
      <c r="G259" s="67" t="n"/>
      <c r="H259" s="68" t="n"/>
      <c r="I259" s="61">
        <f>IF(C259="","",IF(H259&lt;&gt;"",INT(H259)+ROUND(MOD(H259,1)*100/60,2),SUMIFS(Registraties!$L$5:$L$3004,Registraties!$D$5:$D$3004,C259,Registraties!$A$5:$A$3004,B259)))</f>
        <v/>
      </c>
      <c r="J259" s="58">
        <f>IF(C259="","",IFERROR(IF(VLOOKUP(C259,Tarieven!$A$2:$F$200,2,0)="Beide","Per uur",VLOOKUP(C259,Tarieven!$A$2:$F$200,2,0)),"Nog bepalen"))</f>
        <v/>
      </c>
      <c r="K259" s="69">
        <f>IF(C259="","",IF(J259="Per uur",IFERROR(VLOOKUP(C259,Tarieven!$A$2:$F$200,3,0),""),IF(J259="Vaste prijs",IFERROR(VLOOKUP(C259,Tarieven!$A$2:$F$200,4,0),""),"")))</f>
        <v/>
      </c>
      <c r="L259" s="70">
        <f>IF(C259="","",IF(J259="Per uur",N(I259)*N(K259),IF(J259="Vaste prijs",N(K259),0)))</f>
        <v/>
      </c>
      <c r="M259" s="69">
        <f>IF(C259="","",IFERROR(IF(N(VLOOKUP(C259,Tarieven!$A$2:$F$200,5,0))=0,"",VLOOKUP(C259,Tarieven!$A$2:$F$200,5,0)),""))</f>
        <v/>
      </c>
      <c r="N259" s="69" t="n"/>
      <c r="O259" s="69" t="n"/>
      <c r="P259" s="70">
        <f>IF(C259="","",N(L259)+N(M259)+N(N259)+N(O259))</f>
        <v/>
      </c>
      <c r="Q259" s="58" t="n"/>
      <c r="R259" s="57" t="n"/>
      <c r="S259" s="57" t="n"/>
      <c r="T259" s="57" t="n"/>
      <c r="U259" s="62">
        <f>IF(C259="","",IF(COUNTIF(Tarieven!$A$2:$A$200,C259)=0,"Klant niet in Tarieven",IF(MOD(N(H259),1)*100&gt;59.4,"Tijd ongeldig: minuten boven 59",IF(J259="Nog bepalen","Prijstype nog bepalen",IF(AND(J259="Per uur",N(K259)=0),"Uurtarief ontbreekt",IF(AND(J259="Vaste prijs",N(K259)=0),"Vaste prijs ontbreekt",IF(AND(N(I259)=0,Q259&lt;&gt;"Niet doorgegaan / verplaatst",Q259&lt;&gt;"Geen factuur nodig"),"Geen uren",IF(AND(G259="NEE",Q259="Verstuurd"),"Verstuurd terwijl werk niet af",IF(IFERROR(VLOOKUP(C259,Tarieven!$A$2:$F$200,2,0),"")="Beide","Beide-klant: controleer prijstype","OK")))))))))</f>
        <v/>
      </c>
    </row>
    <row r="260" ht="15" customHeight="1" s="42">
      <c r="A260" s="56">
        <f>IF(B260="","",WEEKNUM(B260,21))</f>
        <v/>
      </c>
      <c r="B260" s="55" t="n"/>
      <c r="C260" s="57" t="n"/>
      <c r="D260" s="57" t="n"/>
      <c r="E260" s="57" t="n"/>
      <c r="F260" s="57" t="n"/>
      <c r="G260" s="67" t="n"/>
      <c r="H260" s="68" t="n"/>
      <c r="I260" s="61">
        <f>IF(C260="","",IF(H260&lt;&gt;"",INT(H260)+ROUND(MOD(H260,1)*100/60,2),SUMIFS(Registraties!$L$5:$L$3004,Registraties!$D$5:$D$3004,C260,Registraties!$A$5:$A$3004,B260)))</f>
        <v/>
      </c>
      <c r="J260" s="58">
        <f>IF(C260="","",IFERROR(IF(VLOOKUP(C260,Tarieven!$A$2:$F$200,2,0)="Beide","Per uur",VLOOKUP(C260,Tarieven!$A$2:$F$200,2,0)),"Nog bepalen"))</f>
        <v/>
      </c>
      <c r="K260" s="69">
        <f>IF(C260="","",IF(J260="Per uur",IFERROR(VLOOKUP(C260,Tarieven!$A$2:$F$200,3,0),""),IF(J260="Vaste prijs",IFERROR(VLOOKUP(C260,Tarieven!$A$2:$F$200,4,0),""),"")))</f>
        <v/>
      </c>
      <c r="L260" s="70">
        <f>IF(C260="","",IF(J260="Per uur",N(I260)*N(K260),IF(J260="Vaste prijs",N(K260),0)))</f>
        <v/>
      </c>
      <c r="M260" s="69">
        <f>IF(C260="","",IFERROR(IF(N(VLOOKUP(C260,Tarieven!$A$2:$F$200,5,0))=0,"",VLOOKUP(C260,Tarieven!$A$2:$F$200,5,0)),""))</f>
        <v/>
      </c>
      <c r="N260" s="69" t="n"/>
      <c r="O260" s="69" t="n"/>
      <c r="P260" s="70">
        <f>IF(C260="","",N(L260)+N(M260)+N(N260)+N(O260))</f>
        <v/>
      </c>
      <c r="Q260" s="58" t="n"/>
      <c r="R260" s="57" t="n"/>
      <c r="S260" s="57" t="n"/>
      <c r="T260" s="57" t="n"/>
      <c r="U260" s="62">
        <f>IF(C260="","",IF(COUNTIF(Tarieven!$A$2:$A$200,C260)=0,"Klant niet in Tarieven",IF(MOD(N(H260),1)*100&gt;59.4,"Tijd ongeldig: minuten boven 59",IF(J260="Nog bepalen","Prijstype nog bepalen",IF(AND(J260="Per uur",N(K260)=0),"Uurtarief ontbreekt",IF(AND(J260="Vaste prijs",N(K260)=0),"Vaste prijs ontbreekt",IF(AND(N(I260)=0,Q260&lt;&gt;"Niet doorgegaan / verplaatst",Q260&lt;&gt;"Geen factuur nodig"),"Geen uren",IF(AND(G260="NEE",Q260="Verstuurd"),"Verstuurd terwijl werk niet af",IF(IFERROR(VLOOKUP(C260,Tarieven!$A$2:$F$200,2,0),"")="Beide","Beide-klant: controleer prijstype","OK")))))))))</f>
        <v/>
      </c>
    </row>
    <row r="261" ht="15" customHeight="1" s="42">
      <c r="A261" s="56">
        <f>IF(B261="","",WEEKNUM(B261,21))</f>
        <v/>
      </c>
      <c r="B261" s="55" t="n"/>
      <c r="C261" s="57" t="n"/>
      <c r="D261" s="57" t="n"/>
      <c r="E261" s="57" t="n"/>
      <c r="F261" s="57" t="n"/>
      <c r="G261" s="67" t="n"/>
      <c r="H261" s="68" t="n"/>
      <c r="I261" s="61">
        <f>IF(C261="","",IF(H261&lt;&gt;"",INT(H261)+ROUND(MOD(H261,1)*100/60,2),SUMIFS(Registraties!$L$5:$L$3004,Registraties!$D$5:$D$3004,C261,Registraties!$A$5:$A$3004,B261)))</f>
        <v/>
      </c>
      <c r="J261" s="58">
        <f>IF(C261="","",IFERROR(IF(VLOOKUP(C261,Tarieven!$A$2:$F$200,2,0)="Beide","Per uur",VLOOKUP(C261,Tarieven!$A$2:$F$200,2,0)),"Nog bepalen"))</f>
        <v/>
      </c>
      <c r="K261" s="69">
        <f>IF(C261="","",IF(J261="Per uur",IFERROR(VLOOKUP(C261,Tarieven!$A$2:$F$200,3,0),""),IF(J261="Vaste prijs",IFERROR(VLOOKUP(C261,Tarieven!$A$2:$F$200,4,0),""),"")))</f>
        <v/>
      </c>
      <c r="L261" s="70">
        <f>IF(C261="","",IF(J261="Per uur",N(I261)*N(K261),IF(J261="Vaste prijs",N(K261),0)))</f>
        <v/>
      </c>
      <c r="M261" s="69">
        <f>IF(C261="","",IFERROR(IF(N(VLOOKUP(C261,Tarieven!$A$2:$F$200,5,0))=0,"",VLOOKUP(C261,Tarieven!$A$2:$F$200,5,0)),""))</f>
        <v/>
      </c>
      <c r="N261" s="69" t="n"/>
      <c r="O261" s="69" t="n"/>
      <c r="P261" s="70">
        <f>IF(C261="","",N(L261)+N(M261)+N(N261)+N(O261))</f>
        <v/>
      </c>
      <c r="Q261" s="58" t="n"/>
      <c r="R261" s="57" t="n"/>
      <c r="S261" s="57" t="n"/>
      <c r="T261" s="57" t="n"/>
      <c r="U261" s="62">
        <f>IF(C261="","",IF(COUNTIF(Tarieven!$A$2:$A$200,C261)=0,"Klant niet in Tarieven",IF(MOD(N(H261),1)*100&gt;59.4,"Tijd ongeldig: minuten boven 59",IF(J261="Nog bepalen","Prijstype nog bepalen",IF(AND(J261="Per uur",N(K261)=0),"Uurtarief ontbreekt",IF(AND(J261="Vaste prijs",N(K261)=0),"Vaste prijs ontbreekt",IF(AND(N(I261)=0,Q261&lt;&gt;"Niet doorgegaan / verplaatst",Q261&lt;&gt;"Geen factuur nodig"),"Geen uren",IF(AND(G261="NEE",Q261="Verstuurd"),"Verstuurd terwijl werk niet af",IF(IFERROR(VLOOKUP(C261,Tarieven!$A$2:$F$200,2,0),"")="Beide","Beide-klant: controleer prijstype","OK")))))))))</f>
        <v/>
      </c>
    </row>
    <row r="262" ht="15" customHeight="1" s="42">
      <c r="A262" s="56">
        <f>IF(B262="","",WEEKNUM(B262,21))</f>
        <v/>
      </c>
      <c r="B262" s="55" t="n"/>
      <c r="C262" s="57" t="n"/>
      <c r="D262" s="57" t="n"/>
      <c r="E262" s="57" t="n"/>
      <c r="F262" s="57" t="n"/>
      <c r="G262" s="67" t="n"/>
      <c r="H262" s="68" t="n"/>
      <c r="I262" s="61">
        <f>IF(C262="","",IF(H262&lt;&gt;"",INT(H262)+ROUND(MOD(H262,1)*100/60,2),SUMIFS(Registraties!$L$5:$L$3004,Registraties!$D$5:$D$3004,C262,Registraties!$A$5:$A$3004,B262)))</f>
        <v/>
      </c>
      <c r="J262" s="58">
        <f>IF(C262="","",IFERROR(IF(VLOOKUP(C262,Tarieven!$A$2:$F$200,2,0)="Beide","Per uur",VLOOKUP(C262,Tarieven!$A$2:$F$200,2,0)),"Nog bepalen"))</f>
        <v/>
      </c>
      <c r="K262" s="69">
        <f>IF(C262="","",IF(J262="Per uur",IFERROR(VLOOKUP(C262,Tarieven!$A$2:$F$200,3,0),""),IF(J262="Vaste prijs",IFERROR(VLOOKUP(C262,Tarieven!$A$2:$F$200,4,0),""),"")))</f>
        <v/>
      </c>
      <c r="L262" s="70">
        <f>IF(C262="","",IF(J262="Per uur",N(I262)*N(K262),IF(J262="Vaste prijs",N(K262),0)))</f>
        <v/>
      </c>
      <c r="M262" s="69">
        <f>IF(C262="","",IFERROR(IF(N(VLOOKUP(C262,Tarieven!$A$2:$F$200,5,0))=0,"",VLOOKUP(C262,Tarieven!$A$2:$F$200,5,0)),""))</f>
        <v/>
      </c>
      <c r="N262" s="69" t="n"/>
      <c r="O262" s="69" t="n"/>
      <c r="P262" s="70">
        <f>IF(C262="","",N(L262)+N(M262)+N(N262)+N(O262))</f>
        <v/>
      </c>
      <c r="Q262" s="58" t="n"/>
      <c r="R262" s="57" t="n"/>
      <c r="S262" s="57" t="n"/>
      <c r="T262" s="57" t="n"/>
      <c r="U262" s="62">
        <f>IF(C262="","",IF(COUNTIF(Tarieven!$A$2:$A$200,C262)=0,"Klant niet in Tarieven",IF(MOD(N(H262),1)*100&gt;59.4,"Tijd ongeldig: minuten boven 59",IF(J262="Nog bepalen","Prijstype nog bepalen",IF(AND(J262="Per uur",N(K262)=0),"Uurtarief ontbreekt",IF(AND(J262="Vaste prijs",N(K262)=0),"Vaste prijs ontbreekt",IF(AND(N(I262)=0,Q262&lt;&gt;"Niet doorgegaan / verplaatst",Q262&lt;&gt;"Geen factuur nodig"),"Geen uren",IF(AND(G262="NEE",Q262="Verstuurd"),"Verstuurd terwijl werk niet af",IF(IFERROR(VLOOKUP(C262,Tarieven!$A$2:$F$200,2,0),"")="Beide","Beide-klant: controleer prijstype","OK")))))))))</f>
        <v/>
      </c>
    </row>
    <row r="263" ht="15" customHeight="1" s="42">
      <c r="A263" s="56">
        <f>IF(B263="","",WEEKNUM(B263,21))</f>
        <v/>
      </c>
      <c r="B263" s="55" t="n"/>
      <c r="C263" s="57" t="n"/>
      <c r="D263" s="57" t="n"/>
      <c r="E263" s="57" t="n"/>
      <c r="F263" s="57" t="n"/>
      <c r="G263" s="67" t="n"/>
      <c r="H263" s="68" t="n"/>
      <c r="I263" s="61">
        <f>IF(C263="","",IF(H263&lt;&gt;"",INT(H263)+ROUND(MOD(H263,1)*100/60,2),SUMIFS(Registraties!$L$5:$L$3004,Registraties!$D$5:$D$3004,C263,Registraties!$A$5:$A$3004,B263)))</f>
        <v/>
      </c>
      <c r="J263" s="58">
        <f>IF(C263="","",IFERROR(IF(VLOOKUP(C263,Tarieven!$A$2:$F$200,2,0)="Beide","Per uur",VLOOKUP(C263,Tarieven!$A$2:$F$200,2,0)),"Nog bepalen"))</f>
        <v/>
      </c>
      <c r="K263" s="69">
        <f>IF(C263="","",IF(J263="Per uur",IFERROR(VLOOKUP(C263,Tarieven!$A$2:$F$200,3,0),""),IF(J263="Vaste prijs",IFERROR(VLOOKUP(C263,Tarieven!$A$2:$F$200,4,0),""),"")))</f>
        <v/>
      </c>
      <c r="L263" s="70">
        <f>IF(C263="","",IF(J263="Per uur",N(I263)*N(K263),IF(J263="Vaste prijs",N(K263),0)))</f>
        <v/>
      </c>
      <c r="M263" s="69">
        <f>IF(C263="","",IFERROR(IF(N(VLOOKUP(C263,Tarieven!$A$2:$F$200,5,0))=0,"",VLOOKUP(C263,Tarieven!$A$2:$F$200,5,0)),""))</f>
        <v/>
      </c>
      <c r="N263" s="69" t="n"/>
      <c r="O263" s="69" t="n"/>
      <c r="P263" s="70">
        <f>IF(C263="","",N(L263)+N(M263)+N(N263)+N(O263))</f>
        <v/>
      </c>
      <c r="Q263" s="58" t="n"/>
      <c r="R263" s="57" t="n"/>
      <c r="S263" s="57" t="n"/>
      <c r="T263" s="57" t="n"/>
      <c r="U263" s="62">
        <f>IF(C263="","",IF(COUNTIF(Tarieven!$A$2:$A$200,C263)=0,"Klant niet in Tarieven",IF(MOD(N(H263),1)*100&gt;59.4,"Tijd ongeldig: minuten boven 59",IF(J263="Nog bepalen","Prijstype nog bepalen",IF(AND(J263="Per uur",N(K263)=0),"Uurtarief ontbreekt",IF(AND(J263="Vaste prijs",N(K263)=0),"Vaste prijs ontbreekt",IF(AND(N(I263)=0,Q263&lt;&gt;"Niet doorgegaan / verplaatst",Q263&lt;&gt;"Geen factuur nodig"),"Geen uren",IF(AND(G263="NEE",Q263="Verstuurd"),"Verstuurd terwijl werk niet af",IF(IFERROR(VLOOKUP(C263,Tarieven!$A$2:$F$200,2,0),"")="Beide","Beide-klant: controleer prijstype","OK")))))))))</f>
        <v/>
      </c>
    </row>
    <row r="264" ht="15" customHeight="1" s="42">
      <c r="A264" s="56">
        <f>IF(B264="","",WEEKNUM(B264,21))</f>
        <v/>
      </c>
      <c r="B264" s="55" t="n"/>
      <c r="C264" s="57" t="n"/>
      <c r="D264" s="57" t="n"/>
      <c r="E264" s="57" t="n"/>
      <c r="F264" s="57" t="n"/>
      <c r="G264" s="67" t="n"/>
      <c r="H264" s="68" t="n"/>
      <c r="I264" s="61">
        <f>IF(C264="","",IF(H264&lt;&gt;"",INT(H264)+ROUND(MOD(H264,1)*100/60,2),SUMIFS(Registraties!$L$5:$L$3004,Registraties!$D$5:$D$3004,C264,Registraties!$A$5:$A$3004,B264)))</f>
        <v/>
      </c>
      <c r="J264" s="58">
        <f>IF(C264="","",IFERROR(IF(VLOOKUP(C264,Tarieven!$A$2:$F$200,2,0)="Beide","Per uur",VLOOKUP(C264,Tarieven!$A$2:$F$200,2,0)),"Nog bepalen"))</f>
        <v/>
      </c>
      <c r="K264" s="69">
        <f>IF(C264="","",IF(J264="Per uur",IFERROR(VLOOKUP(C264,Tarieven!$A$2:$F$200,3,0),""),IF(J264="Vaste prijs",IFERROR(VLOOKUP(C264,Tarieven!$A$2:$F$200,4,0),""),"")))</f>
        <v/>
      </c>
      <c r="L264" s="70">
        <f>IF(C264="","",IF(J264="Per uur",N(I264)*N(K264),IF(J264="Vaste prijs",N(K264),0)))</f>
        <v/>
      </c>
      <c r="M264" s="69">
        <f>IF(C264="","",IFERROR(IF(N(VLOOKUP(C264,Tarieven!$A$2:$F$200,5,0))=0,"",VLOOKUP(C264,Tarieven!$A$2:$F$200,5,0)),""))</f>
        <v/>
      </c>
      <c r="N264" s="69" t="n"/>
      <c r="O264" s="69" t="n"/>
      <c r="P264" s="70">
        <f>IF(C264="","",N(L264)+N(M264)+N(N264)+N(O264))</f>
        <v/>
      </c>
      <c r="Q264" s="58" t="n"/>
      <c r="R264" s="57" t="n"/>
      <c r="S264" s="57" t="n"/>
      <c r="T264" s="57" t="n"/>
      <c r="U264" s="62">
        <f>IF(C264="","",IF(COUNTIF(Tarieven!$A$2:$A$200,C264)=0,"Klant niet in Tarieven",IF(MOD(N(H264),1)*100&gt;59.4,"Tijd ongeldig: minuten boven 59",IF(J264="Nog bepalen","Prijstype nog bepalen",IF(AND(J264="Per uur",N(K264)=0),"Uurtarief ontbreekt",IF(AND(J264="Vaste prijs",N(K264)=0),"Vaste prijs ontbreekt",IF(AND(N(I264)=0,Q264&lt;&gt;"Niet doorgegaan / verplaatst",Q264&lt;&gt;"Geen factuur nodig"),"Geen uren",IF(AND(G264="NEE",Q264="Verstuurd"),"Verstuurd terwijl werk niet af",IF(IFERROR(VLOOKUP(C264,Tarieven!$A$2:$F$200,2,0),"")="Beide","Beide-klant: controleer prijstype","OK")))))))))</f>
        <v/>
      </c>
    </row>
    <row r="265" ht="15" customHeight="1" s="42">
      <c r="A265" s="56">
        <f>IF(B265="","",WEEKNUM(B265,21))</f>
        <v/>
      </c>
      <c r="B265" s="55" t="n"/>
      <c r="C265" s="57" t="n"/>
      <c r="D265" s="57" t="n"/>
      <c r="E265" s="57" t="n"/>
      <c r="F265" s="57" t="n"/>
      <c r="G265" s="67" t="n"/>
      <c r="H265" s="68" t="n"/>
      <c r="I265" s="61">
        <f>IF(C265="","",IF(H265&lt;&gt;"",INT(H265)+ROUND(MOD(H265,1)*100/60,2),SUMIFS(Registraties!$L$5:$L$3004,Registraties!$D$5:$D$3004,C265,Registraties!$A$5:$A$3004,B265)))</f>
        <v/>
      </c>
      <c r="J265" s="58">
        <f>IF(C265="","",IFERROR(IF(VLOOKUP(C265,Tarieven!$A$2:$F$200,2,0)="Beide","Per uur",VLOOKUP(C265,Tarieven!$A$2:$F$200,2,0)),"Nog bepalen"))</f>
        <v/>
      </c>
      <c r="K265" s="69">
        <f>IF(C265="","",IF(J265="Per uur",IFERROR(VLOOKUP(C265,Tarieven!$A$2:$F$200,3,0),""),IF(J265="Vaste prijs",IFERROR(VLOOKUP(C265,Tarieven!$A$2:$F$200,4,0),""),"")))</f>
        <v/>
      </c>
      <c r="L265" s="70">
        <f>IF(C265="","",IF(J265="Per uur",N(I265)*N(K265),IF(J265="Vaste prijs",N(K265),0)))</f>
        <v/>
      </c>
      <c r="M265" s="69">
        <f>IF(C265="","",IFERROR(IF(N(VLOOKUP(C265,Tarieven!$A$2:$F$200,5,0))=0,"",VLOOKUP(C265,Tarieven!$A$2:$F$200,5,0)),""))</f>
        <v/>
      </c>
      <c r="N265" s="69" t="n"/>
      <c r="O265" s="69" t="n"/>
      <c r="P265" s="70">
        <f>IF(C265="","",N(L265)+N(M265)+N(N265)+N(O265))</f>
        <v/>
      </c>
      <c r="Q265" s="58" t="n"/>
      <c r="R265" s="57" t="n"/>
      <c r="S265" s="57" t="n"/>
      <c r="T265" s="57" t="n"/>
      <c r="U265" s="62">
        <f>IF(C265="","",IF(COUNTIF(Tarieven!$A$2:$A$200,C265)=0,"Klant niet in Tarieven",IF(MOD(N(H265),1)*100&gt;59.4,"Tijd ongeldig: minuten boven 59",IF(J265="Nog bepalen","Prijstype nog bepalen",IF(AND(J265="Per uur",N(K265)=0),"Uurtarief ontbreekt",IF(AND(J265="Vaste prijs",N(K265)=0),"Vaste prijs ontbreekt",IF(AND(N(I265)=0,Q265&lt;&gt;"Niet doorgegaan / verplaatst",Q265&lt;&gt;"Geen factuur nodig"),"Geen uren",IF(AND(G265="NEE",Q265="Verstuurd"),"Verstuurd terwijl werk niet af",IF(IFERROR(VLOOKUP(C265,Tarieven!$A$2:$F$200,2,0),"")="Beide","Beide-klant: controleer prijstype","OK")))))))))</f>
        <v/>
      </c>
    </row>
    <row r="266" ht="15" customHeight="1" s="42">
      <c r="A266" s="56">
        <f>IF(B266="","",WEEKNUM(B266,21))</f>
        <v/>
      </c>
      <c r="B266" s="55" t="n"/>
      <c r="C266" s="57" t="n"/>
      <c r="D266" s="57" t="n"/>
      <c r="E266" s="57" t="n"/>
      <c r="F266" s="57" t="n"/>
      <c r="G266" s="67" t="n"/>
      <c r="H266" s="68" t="n"/>
      <c r="I266" s="61">
        <f>IF(C266="","",IF(H266&lt;&gt;"",INT(H266)+ROUND(MOD(H266,1)*100/60,2),SUMIFS(Registraties!$L$5:$L$3004,Registraties!$D$5:$D$3004,C266,Registraties!$A$5:$A$3004,B266)))</f>
        <v/>
      </c>
      <c r="J266" s="58">
        <f>IF(C266="","",IFERROR(IF(VLOOKUP(C266,Tarieven!$A$2:$F$200,2,0)="Beide","Per uur",VLOOKUP(C266,Tarieven!$A$2:$F$200,2,0)),"Nog bepalen"))</f>
        <v/>
      </c>
      <c r="K266" s="69">
        <f>IF(C266="","",IF(J266="Per uur",IFERROR(VLOOKUP(C266,Tarieven!$A$2:$F$200,3,0),""),IF(J266="Vaste prijs",IFERROR(VLOOKUP(C266,Tarieven!$A$2:$F$200,4,0),""),"")))</f>
        <v/>
      </c>
      <c r="L266" s="70">
        <f>IF(C266="","",IF(J266="Per uur",N(I266)*N(K266),IF(J266="Vaste prijs",N(K266),0)))</f>
        <v/>
      </c>
      <c r="M266" s="69">
        <f>IF(C266="","",IFERROR(IF(N(VLOOKUP(C266,Tarieven!$A$2:$F$200,5,0))=0,"",VLOOKUP(C266,Tarieven!$A$2:$F$200,5,0)),""))</f>
        <v/>
      </c>
      <c r="N266" s="69" t="n"/>
      <c r="O266" s="69" t="n"/>
      <c r="P266" s="70">
        <f>IF(C266="","",N(L266)+N(M266)+N(N266)+N(O266))</f>
        <v/>
      </c>
      <c r="Q266" s="58" t="n"/>
      <c r="R266" s="57" t="n"/>
      <c r="S266" s="57" t="n"/>
      <c r="T266" s="57" t="n"/>
      <c r="U266" s="62">
        <f>IF(C266="","",IF(COUNTIF(Tarieven!$A$2:$A$200,C266)=0,"Klant niet in Tarieven",IF(MOD(N(H266),1)*100&gt;59.4,"Tijd ongeldig: minuten boven 59",IF(J266="Nog bepalen","Prijstype nog bepalen",IF(AND(J266="Per uur",N(K266)=0),"Uurtarief ontbreekt",IF(AND(J266="Vaste prijs",N(K266)=0),"Vaste prijs ontbreekt",IF(AND(N(I266)=0,Q266&lt;&gt;"Niet doorgegaan / verplaatst",Q266&lt;&gt;"Geen factuur nodig"),"Geen uren",IF(AND(G266="NEE",Q266="Verstuurd"),"Verstuurd terwijl werk niet af",IF(IFERROR(VLOOKUP(C266,Tarieven!$A$2:$F$200,2,0),"")="Beide","Beide-klant: controleer prijstype","OK")))))))))</f>
        <v/>
      </c>
    </row>
    <row r="267" ht="15" customHeight="1" s="42">
      <c r="A267" s="56">
        <f>IF(B267="","",WEEKNUM(B267,21))</f>
        <v/>
      </c>
      <c r="B267" s="55" t="n"/>
      <c r="C267" s="57" t="n"/>
      <c r="D267" s="57" t="n"/>
      <c r="E267" s="57" t="n"/>
      <c r="F267" s="57" t="n"/>
      <c r="G267" s="67" t="n"/>
      <c r="H267" s="68" t="n"/>
      <c r="I267" s="61">
        <f>IF(C267="","",IF(H267&lt;&gt;"",INT(H267)+ROUND(MOD(H267,1)*100/60,2),SUMIFS(Registraties!$L$5:$L$3004,Registraties!$D$5:$D$3004,C267,Registraties!$A$5:$A$3004,B267)))</f>
        <v/>
      </c>
      <c r="J267" s="58">
        <f>IF(C267="","",IFERROR(IF(VLOOKUP(C267,Tarieven!$A$2:$F$200,2,0)="Beide","Per uur",VLOOKUP(C267,Tarieven!$A$2:$F$200,2,0)),"Nog bepalen"))</f>
        <v/>
      </c>
      <c r="K267" s="69">
        <f>IF(C267="","",IF(J267="Per uur",IFERROR(VLOOKUP(C267,Tarieven!$A$2:$F$200,3,0),""),IF(J267="Vaste prijs",IFERROR(VLOOKUP(C267,Tarieven!$A$2:$F$200,4,0),""),"")))</f>
        <v/>
      </c>
      <c r="L267" s="70">
        <f>IF(C267="","",IF(J267="Per uur",N(I267)*N(K267),IF(J267="Vaste prijs",N(K267),0)))</f>
        <v/>
      </c>
      <c r="M267" s="69">
        <f>IF(C267="","",IFERROR(IF(N(VLOOKUP(C267,Tarieven!$A$2:$F$200,5,0))=0,"",VLOOKUP(C267,Tarieven!$A$2:$F$200,5,0)),""))</f>
        <v/>
      </c>
      <c r="N267" s="69" t="n"/>
      <c r="O267" s="69" t="n"/>
      <c r="P267" s="70">
        <f>IF(C267="","",N(L267)+N(M267)+N(N267)+N(O267))</f>
        <v/>
      </c>
      <c r="Q267" s="58" t="n"/>
      <c r="R267" s="57" t="n"/>
      <c r="S267" s="57" t="n"/>
      <c r="T267" s="57" t="n"/>
      <c r="U267" s="62">
        <f>IF(C267="","",IF(COUNTIF(Tarieven!$A$2:$A$200,C267)=0,"Klant niet in Tarieven",IF(MOD(N(H267),1)*100&gt;59.4,"Tijd ongeldig: minuten boven 59",IF(J267="Nog bepalen","Prijstype nog bepalen",IF(AND(J267="Per uur",N(K267)=0),"Uurtarief ontbreekt",IF(AND(J267="Vaste prijs",N(K267)=0),"Vaste prijs ontbreekt",IF(AND(N(I267)=0,Q267&lt;&gt;"Niet doorgegaan / verplaatst",Q267&lt;&gt;"Geen factuur nodig"),"Geen uren",IF(AND(G267="NEE",Q267="Verstuurd"),"Verstuurd terwijl werk niet af",IF(IFERROR(VLOOKUP(C267,Tarieven!$A$2:$F$200,2,0),"")="Beide","Beide-klant: controleer prijstype","OK")))))))))</f>
        <v/>
      </c>
    </row>
    <row r="268" ht="15" customHeight="1" s="42">
      <c r="A268" s="56">
        <f>IF(B268="","",WEEKNUM(B268,21))</f>
        <v/>
      </c>
      <c r="B268" s="55" t="n"/>
      <c r="C268" s="57" t="n"/>
      <c r="D268" s="57" t="n"/>
      <c r="E268" s="57" t="n"/>
      <c r="F268" s="57" t="n"/>
      <c r="G268" s="67" t="n"/>
      <c r="H268" s="68" t="n"/>
      <c r="I268" s="61">
        <f>IF(C268="","",IF(H268&lt;&gt;"",INT(H268)+ROUND(MOD(H268,1)*100/60,2),SUMIFS(Registraties!$L$5:$L$3004,Registraties!$D$5:$D$3004,C268,Registraties!$A$5:$A$3004,B268)))</f>
        <v/>
      </c>
      <c r="J268" s="58">
        <f>IF(C268="","",IFERROR(IF(VLOOKUP(C268,Tarieven!$A$2:$F$200,2,0)="Beide","Per uur",VLOOKUP(C268,Tarieven!$A$2:$F$200,2,0)),"Nog bepalen"))</f>
        <v/>
      </c>
      <c r="K268" s="69">
        <f>IF(C268="","",IF(J268="Per uur",IFERROR(VLOOKUP(C268,Tarieven!$A$2:$F$200,3,0),""),IF(J268="Vaste prijs",IFERROR(VLOOKUP(C268,Tarieven!$A$2:$F$200,4,0),""),"")))</f>
        <v/>
      </c>
      <c r="L268" s="70">
        <f>IF(C268="","",IF(J268="Per uur",N(I268)*N(K268),IF(J268="Vaste prijs",N(K268),0)))</f>
        <v/>
      </c>
      <c r="M268" s="69">
        <f>IF(C268="","",IFERROR(IF(N(VLOOKUP(C268,Tarieven!$A$2:$F$200,5,0))=0,"",VLOOKUP(C268,Tarieven!$A$2:$F$200,5,0)),""))</f>
        <v/>
      </c>
      <c r="N268" s="69" t="n"/>
      <c r="O268" s="69" t="n"/>
      <c r="P268" s="70">
        <f>IF(C268="","",N(L268)+N(M268)+N(N268)+N(O268))</f>
        <v/>
      </c>
      <c r="Q268" s="58" t="n"/>
      <c r="R268" s="57" t="n"/>
      <c r="S268" s="57" t="n"/>
      <c r="T268" s="57" t="n"/>
      <c r="U268" s="62">
        <f>IF(C268="","",IF(COUNTIF(Tarieven!$A$2:$A$200,C268)=0,"Klant niet in Tarieven",IF(MOD(N(H268),1)*100&gt;59.4,"Tijd ongeldig: minuten boven 59",IF(J268="Nog bepalen","Prijstype nog bepalen",IF(AND(J268="Per uur",N(K268)=0),"Uurtarief ontbreekt",IF(AND(J268="Vaste prijs",N(K268)=0),"Vaste prijs ontbreekt",IF(AND(N(I268)=0,Q268&lt;&gt;"Niet doorgegaan / verplaatst",Q268&lt;&gt;"Geen factuur nodig"),"Geen uren",IF(AND(G268="NEE",Q268="Verstuurd"),"Verstuurd terwijl werk niet af",IF(IFERROR(VLOOKUP(C268,Tarieven!$A$2:$F$200,2,0),"")="Beide","Beide-klant: controleer prijstype","OK")))))))))</f>
        <v/>
      </c>
    </row>
    <row r="269" ht="15" customHeight="1" s="42">
      <c r="A269" s="56">
        <f>IF(B269="","",WEEKNUM(B269,21))</f>
        <v/>
      </c>
      <c r="B269" s="55" t="n"/>
      <c r="C269" s="57" t="n"/>
      <c r="D269" s="57" t="n"/>
      <c r="E269" s="57" t="n"/>
      <c r="F269" s="57" t="n"/>
      <c r="G269" s="67" t="n"/>
      <c r="H269" s="68" t="n"/>
      <c r="I269" s="61">
        <f>IF(C269="","",IF(H269&lt;&gt;"",INT(H269)+ROUND(MOD(H269,1)*100/60,2),SUMIFS(Registraties!$L$5:$L$3004,Registraties!$D$5:$D$3004,C269,Registraties!$A$5:$A$3004,B269)))</f>
        <v/>
      </c>
      <c r="J269" s="58">
        <f>IF(C269="","",IFERROR(IF(VLOOKUP(C269,Tarieven!$A$2:$F$200,2,0)="Beide","Per uur",VLOOKUP(C269,Tarieven!$A$2:$F$200,2,0)),"Nog bepalen"))</f>
        <v/>
      </c>
      <c r="K269" s="69">
        <f>IF(C269="","",IF(J269="Per uur",IFERROR(VLOOKUP(C269,Tarieven!$A$2:$F$200,3,0),""),IF(J269="Vaste prijs",IFERROR(VLOOKUP(C269,Tarieven!$A$2:$F$200,4,0),""),"")))</f>
        <v/>
      </c>
      <c r="L269" s="70">
        <f>IF(C269="","",IF(J269="Per uur",N(I269)*N(K269),IF(J269="Vaste prijs",N(K269),0)))</f>
        <v/>
      </c>
      <c r="M269" s="69">
        <f>IF(C269="","",IFERROR(IF(N(VLOOKUP(C269,Tarieven!$A$2:$F$200,5,0))=0,"",VLOOKUP(C269,Tarieven!$A$2:$F$200,5,0)),""))</f>
        <v/>
      </c>
      <c r="N269" s="69" t="n"/>
      <c r="O269" s="69" t="n"/>
      <c r="P269" s="70">
        <f>IF(C269="","",N(L269)+N(M269)+N(N269)+N(O269))</f>
        <v/>
      </c>
      <c r="Q269" s="58" t="n"/>
      <c r="R269" s="57" t="n"/>
      <c r="S269" s="57" t="n"/>
      <c r="T269" s="57" t="n"/>
      <c r="U269" s="62">
        <f>IF(C269="","",IF(COUNTIF(Tarieven!$A$2:$A$200,C269)=0,"Klant niet in Tarieven",IF(MOD(N(H269),1)*100&gt;59.4,"Tijd ongeldig: minuten boven 59",IF(J269="Nog bepalen","Prijstype nog bepalen",IF(AND(J269="Per uur",N(K269)=0),"Uurtarief ontbreekt",IF(AND(J269="Vaste prijs",N(K269)=0),"Vaste prijs ontbreekt",IF(AND(N(I269)=0,Q269&lt;&gt;"Niet doorgegaan / verplaatst",Q269&lt;&gt;"Geen factuur nodig"),"Geen uren",IF(AND(G269="NEE",Q269="Verstuurd"),"Verstuurd terwijl werk niet af",IF(IFERROR(VLOOKUP(C269,Tarieven!$A$2:$F$200,2,0),"")="Beide","Beide-klant: controleer prijstype","OK")))))))))</f>
        <v/>
      </c>
    </row>
    <row r="270" ht="15" customHeight="1" s="42">
      <c r="A270" s="56">
        <f>IF(B270="","",WEEKNUM(B270,21))</f>
        <v/>
      </c>
      <c r="B270" s="55" t="n"/>
      <c r="C270" s="57" t="n"/>
      <c r="D270" s="57" t="n"/>
      <c r="E270" s="57" t="n"/>
      <c r="F270" s="57" t="n"/>
      <c r="G270" s="67" t="n"/>
      <c r="H270" s="68" t="n"/>
      <c r="I270" s="61">
        <f>IF(C270="","",IF(H270&lt;&gt;"",INT(H270)+ROUND(MOD(H270,1)*100/60,2),SUMIFS(Registraties!$L$5:$L$3004,Registraties!$D$5:$D$3004,C270,Registraties!$A$5:$A$3004,B270)))</f>
        <v/>
      </c>
      <c r="J270" s="58">
        <f>IF(C270="","",IFERROR(IF(VLOOKUP(C270,Tarieven!$A$2:$F$200,2,0)="Beide","Per uur",VLOOKUP(C270,Tarieven!$A$2:$F$200,2,0)),"Nog bepalen"))</f>
        <v/>
      </c>
      <c r="K270" s="69">
        <f>IF(C270="","",IF(J270="Per uur",IFERROR(VLOOKUP(C270,Tarieven!$A$2:$F$200,3,0),""),IF(J270="Vaste prijs",IFERROR(VLOOKUP(C270,Tarieven!$A$2:$F$200,4,0),""),"")))</f>
        <v/>
      </c>
      <c r="L270" s="70">
        <f>IF(C270="","",IF(J270="Per uur",N(I270)*N(K270),IF(J270="Vaste prijs",N(K270),0)))</f>
        <v/>
      </c>
      <c r="M270" s="69">
        <f>IF(C270="","",IFERROR(IF(N(VLOOKUP(C270,Tarieven!$A$2:$F$200,5,0))=0,"",VLOOKUP(C270,Tarieven!$A$2:$F$200,5,0)),""))</f>
        <v/>
      </c>
      <c r="N270" s="69" t="n"/>
      <c r="O270" s="69" t="n"/>
      <c r="P270" s="70">
        <f>IF(C270="","",N(L270)+N(M270)+N(N270)+N(O270))</f>
        <v/>
      </c>
      <c r="Q270" s="58" t="n"/>
      <c r="R270" s="57" t="n"/>
      <c r="S270" s="57" t="n"/>
      <c r="T270" s="57" t="n"/>
      <c r="U270" s="62">
        <f>IF(C270="","",IF(COUNTIF(Tarieven!$A$2:$A$200,C270)=0,"Klant niet in Tarieven",IF(MOD(N(H270),1)*100&gt;59.4,"Tijd ongeldig: minuten boven 59",IF(J270="Nog bepalen","Prijstype nog bepalen",IF(AND(J270="Per uur",N(K270)=0),"Uurtarief ontbreekt",IF(AND(J270="Vaste prijs",N(K270)=0),"Vaste prijs ontbreekt",IF(AND(N(I270)=0,Q270&lt;&gt;"Niet doorgegaan / verplaatst",Q270&lt;&gt;"Geen factuur nodig"),"Geen uren",IF(AND(G270="NEE",Q270="Verstuurd"),"Verstuurd terwijl werk niet af",IF(IFERROR(VLOOKUP(C270,Tarieven!$A$2:$F$200,2,0),"")="Beide","Beide-klant: controleer prijstype","OK")))))))))</f>
        <v/>
      </c>
    </row>
    <row r="271" ht="15" customHeight="1" s="42">
      <c r="A271" s="56">
        <f>IF(B271="","",WEEKNUM(B271,21))</f>
        <v/>
      </c>
      <c r="B271" s="55" t="n"/>
      <c r="C271" s="57" t="n"/>
      <c r="D271" s="57" t="n"/>
      <c r="E271" s="57" t="n"/>
      <c r="F271" s="57" t="n"/>
      <c r="G271" s="67" t="n"/>
      <c r="H271" s="68" t="n"/>
      <c r="I271" s="61">
        <f>IF(C271="","",IF(H271&lt;&gt;"",INT(H271)+ROUND(MOD(H271,1)*100/60,2),SUMIFS(Registraties!$L$5:$L$3004,Registraties!$D$5:$D$3004,C271,Registraties!$A$5:$A$3004,B271)))</f>
        <v/>
      </c>
      <c r="J271" s="58">
        <f>IF(C271="","",IFERROR(IF(VLOOKUP(C271,Tarieven!$A$2:$F$200,2,0)="Beide","Per uur",VLOOKUP(C271,Tarieven!$A$2:$F$200,2,0)),"Nog bepalen"))</f>
        <v/>
      </c>
      <c r="K271" s="69">
        <f>IF(C271="","",IF(J271="Per uur",IFERROR(VLOOKUP(C271,Tarieven!$A$2:$F$200,3,0),""),IF(J271="Vaste prijs",IFERROR(VLOOKUP(C271,Tarieven!$A$2:$F$200,4,0),""),"")))</f>
        <v/>
      </c>
      <c r="L271" s="70">
        <f>IF(C271="","",IF(J271="Per uur",N(I271)*N(K271),IF(J271="Vaste prijs",N(K271),0)))</f>
        <v/>
      </c>
      <c r="M271" s="69">
        <f>IF(C271="","",IFERROR(IF(N(VLOOKUP(C271,Tarieven!$A$2:$F$200,5,0))=0,"",VLOOKUP(C271,Tarieven!$A$2:$F$200,5,0)),""))</f>
        <v/>
      </c>
      <c r="N271" s="69" t="n"/>
      <c r="O271" s="69" t="n"/>
      <c r="P271" s="70">
        <f>IF(C271="","",N(L271)+N(M271)+N(N271)+N(O271))</f>
        <v/>
      </c>
      <c r="Q271" s="58" t="n"/>
      <c r="R271" s="57" t="n"/>
      <c r="S271" s="57" t="n"/>
      <c r="T271" s="57" t="n"/>
      <c r="U271" s="62">
        <f>IF(C271="","",IF(COUNTIF(Tarieven!$A$2:$A$200,C271)=0,"Klant niet in Tarieven",IF(MOD(N(H271),1)*100&gt;59.4,"Tijd ongeldig: minuten boven 59",IF(J271="Nog bepalen","Prijstype nog bepalen",IF(AND(J271="Per uur",N(K271)=0),"Uurtarief ontbreekt",IF(AND(J271="Vaste prijs",N(K271)=0),"Vaste prijs ontbreekt",IF(AND(N(I271)=0,Q271&lt;&gt;"Niet doorgegaan / verplaatst",Q271&lt;&gt;"Geen factuur nodig"),"Geen uren",IF(AND(G271="NEE",Q271="Verstuurd"),"Verstuurd terwijl werk niet af",IF(IFERROR(VLOOKUP(C271,Tarieven!$A$2:$F$200,2,0),"")="Beide","Beide-klant: controleer prijstype","OK")))))))))</f>
        <v/>
      </c>
    </row>
    <row r="272" ht="15" customHeight="1" s="42">
      <c r="A272" s="56">
        <f>IF(B272="","",WEEKNUM(B272,21))</f>
        <v/>
      </c>
      <c r="B272" s="55" t="n"/>
      <c r="C272" s="57" t="n"/>
      <c r="D272" s="57" t="n"/>
      <c r="E272" s="57" t="n"/>
      <c r="F272" s="57" t="n"/>
      <c r="G272" s="67" t="n"/>
      <c r="H272" s="68" t="n"/>
      <c r="I272" s="61">
        <f>IF(C272="","",IF(H272&lt;&gt;"",INT(H272)+ROUND(MOD(H272,1)*100/60,2),SUMIFS(Registraties!$L$5:$L$3004,Registraties!$D$5:$D$3004,C272,Registraties!$A$5:$A$3004,B272)))</f>
        <v/>
      </c>
      <c r="J272" s="58">
        <f>IF(C272="","",IFERROR(IF(VLOOKUP(C272,Tarieven!$A$2:$F$200,2,0)="Beide","Per uur",VLOOKUP(C272,Tarieven!$A$2:$F$200,2,0)),"Nog bepalen"))</f>
        <v/>
      </c>
      <c r="K272" s="69">
        <f>IF(C272="","",IF(J272="Per uur",IFERROR(VLOOKUP(C272,Tarieven!$A$2:$F$200,3,0),""),IF(J272="Vaste prijs",IFERROR(VLOOKUP(C272,Tarieven!$A$2:$F$200,4,0),""),"")))</f>
        <v/>
      </c>
      <c r="L272" s="70">
        <f>IF(C272="","",IF(J272="Per uur",N(I272)*N(K272),IF(J272="Vaste prijs",N(K272),0)))</f>
        <v/>
      </c>
      <c r="M272" s="69">
        <f>IF(C272="","",IFERROR(IF(N(VLOOKUP(C272,Tarieven!$A$2:$F$200,5,0))=0,"",VLOOKUP(C272,Tarieven!$A$2:$F$200,5,0)),""))</f>
        <v/>
      </c>
      <c r="N272" s="69" t="n"/>
      <c r="O272" s="69" t="n"/>
      <c r="P272" s="70">
        <f>IF(C272="","",N(L272)+N(M272)+N(N272)+N(O272))</f>
        <v/>
      </c>
      <c r="Q272" s="58" t="n"/>
      <c r="R272" s="57" t="n"/>
      <c r="S272" s="57" t="n"/>
      <c r="T272" s="57" t="n"/>
      <c r="U272" s="62">
        <f>IF(C272="","",IF(COUNTIF(Tarieven!$A$2:$A$200,C272)=0,"Klant niet in Tarieven",IF(MOD(N(H272),1)*100&gt;59.4,"Tijd ongeldig: minuten boven 59",IF(J272="Nog bepalen","Prijstype nog bepalen",IF(AND(J272="Per uur",N(K272)=0),"Uurtarief ontbreekt",IF(AND(J272="Vaste prijs",N(K272)=0),"Vaste prijs ontbreekt",IF(AND(N(I272)=0,Q272&lt;&gt;"Niet doorgegaan / verplaatst",Q272&lt;&gt;"Geen factuur nodig"),"Geen uren",IF(AND(G272="NEE",Q272="Verstuurd"),"Verstuurd terwijl werk niet af",IF(IFERROR(VLOOKUP(C272,Tarieven!$A$2:$F$200,2,0),"")="Beide","Beide-klant: controleer prijstype","OK")))))))))</f>
        <v/>
      </c>
    </row>
    <row r="273" ht="15" customHeight="1" s="42">
      <c r="A273" s="56">
        <f>IF(B273="","",WEEKNUM(B273,21))</f>
        <v/>
      </c>
      <c r="B273" s="55" t="n"/>
      <c r="C273" s="57" t="n"/>
      <c r="D273" s="57" t="n"/>
      <c r="E273" s="57" t="n"/>
      <c r="F273" s="57" t="n"/>
      <c r="G273" s="67" t="n"/>
      <c r="H273" s="68" t="n"/>
      <c r="I273" s="61">
        <f>IF(C273="","",IF(H273&lt;&gt;"",INT(H273)+ROUND(MOD(H273,1)*100/60,2),SUMIFS(Registraties!$L$5:$L$3004,Registraties!$D$5:$D$3004,C273,Registraties!$A$5:$A$3004,B273)))</f>
        <v/>
      </c>
      <c r="J273" s="58">
        <f>IF(C273="","",IFERROR(IF(VLOOKUP(C273,Tarieven!$A$2:$F$200,2,0)="Beide","Per uur",VLOOKUP(C273,Tarieven!$A$2:$F$200,2,0)),"Nog bepalen"))</f>
        <v/>
      </c>
      <c r="K273" s="69">
        <f>IF(C273="","",IF(J273="Per uur",IFERROR(VLOOKUP(C273,Tarieven!$A$2:$F$200,3,0),""),IF(J273="Vaste prijs",IFERROR(VLOOKUP(C273,Tarieven!$A$2:$F$200,4,0),""),"")))</f>
        <v/>
      </c>
      <c r="L273" s="70">
        <f>IF(C273="","",IF(J273="Per uur",N(I273)*N(K273),IF(J273="Vaste prijs",N(K273),0)))</f>
        <v/>
      </c>
      <c r="M273" s="69">
        <f>IF(C273="","",IFERROR(IF(N(VLOOKUP(C273,Tarieven!$A$2:$F$200,5,0))=0,"",VLOOKUP(C273,Tarieven!$A$2:$F$200,5,0)),""))</f>
        <v/>
      </c>
      <c r="N273" s="69" t="n"/>
      <c r="O273" s="69" t="n"/>
      <c r="P273" s="70">
        <f>IF(C273="","",N(L273)+N(M273)+N(N273)+N(O273))</f>
        <v/>
      </c>
      <c r="Q273" s="58" t="n"/>
      <c r="R273" s="57" t="n"/>
      <c r="S273" s="57" t="n"/>
      <c r="T273" s="57" t="n"/>
      <c r="U273" s="62">
        <f>IF(C273="","",IF(COUNTIF(Tarieven!$A$2:$A$200,C273)=0,"Klant niet in Tarieven",IF(MOD(N(H273),1)*100&gt;59.4,"Tijd ongeldig: minuten boven 59",IF(J273="Nog bepalen","Prijstype nog bepalen",IF(AND(J273="Per uur",N(K273)=0),"Uurtarief ontbreekt",IF(AND(J273="Vaste prijs",N(K273)=0),"Vaste prijs ontbreekt",IF(AND(N(I273)=0,Q273&lt;&gt;"Niet doorgegaan / verplaatst",Q273&lt;&gt;"Geen factuur nodig"),"Geen uren",IF(AND(G273="NEE",Q273="Verstuurd"),"Verstuurd terwijl werk niet af",IF(IFERROR(VLOOKUP(C273,Tarieven!$A$2:$F$200,2,0),"")="Beide","Beide-klant: controleer prijstype","OK")))))))))</f>
        <v/>
      </c>
    </row>
    <row r="274" ht="15" customHeight="1" s="42">
      <c r="A274" s="56">
        <f>IF(B274="","",WEEKNUM(B274,21))</f>
        <v/>
      </c>
      <c r="B274" s="55" t="n"/>
      <c r="C274" s="57" t="n"/>
      <c r="D274" s="57" t="n"/>
      <c r="E274" s="57" t="n"/>
      <c r="F274" s="57" t="n"/>
      <c r="G274" s="67" t="n"/>
      <c r="H274" s="68" t="n"/>
      <c r="I274" s="61">
        <f>IF(C274="","",IF(H274&lt;&gt;"",INT(H274)+ROUND(MOD(H274,1)*100/60,2),SUMIFS(Registraties!$L$5:$L$3004,Registraties!$D$5:$D$3004,C274,Registraties!$A$5:$A$3004,B274)))</f>
        <v/>
      </c>
      <c r="J274" s="58">
        <f>IF(C274="","",IFERROR(IF(VLOOKUP(C274,Tarieven!$A$2:$F$200,2,0)="Beide","Per uur",VLOOKUP(C274,Tarieven!$A$2:$F$200,2,0)),"Nog bepalen"))</f>
        <v/>
      </c>
      <c r="K274" s="69">
        <f>IF(C274="","",IF(J274="Per uur",IFERROR(VLOOKUP(C274,Tarieven!$A$2:$F$200,3,0),""),IF(J274="Vaste prijs",IFERROR(VLOOKUP(C274,Tarieven!$A$2:$F$200,4,0),""),"")))</f>
        <v/>
      </c>
      <c r="L274" s="70">
        <f>IF(C274="","",IF(J274="Per uur",N(I274)*N(K274),IF(J274="Vaste prijs",N(K274),0)))</f>
        <v/>
      </c>
      <c r="M274" s="69">
        <f>IF(C274="","",IFERROR(IF(N(VLOOKUP(C274,Tarieven!$A$2:$F$200,5,0))=0,"",VLOOKUP(C274,Tarieven!$A$2:$F$200,5,0)),""))</f>
        <v/>
      </c>
      <c r="N274" s="69" t="n"/>
      <c r="O274" s="69" t="n"/>
      <c r="P274" s="70">
        <f>IF(C274="","",N(L274)+N(M274)+N(N274)+N(O274))</f>
        <v/>
      </c>
      <c r="Q274" s="58" t="n"/>
      <c r="R274" s="57" t="n"/>
      <c r="S274" s="57" t="n"/>
      <c r="T274" s="57" t="n"/>
      <c r="U274" s="62">
        <f>IF(C274="","",IF(COUNTIF(Tarieven!$A$2:$A$200,C274)=0,"Klant niet in Tarieven",IF(MOD(N(H274),1)*100&gt;59.4,"Tijd ongeldig: minuten boven 59",IF(J274="Nog bepalen","Prijstype nog bepalen",IF(AND(J274="Per uur",N(K274)=0),"Uurtarief ontbreekt",IF(AND(J274="Vaste prijs",N(K274)=0),"Vaste prijs ontbreekt",IF(AND(N(I274)=0,Q274&lt;&gt;"Niet doorgegaan / verplaatst",Q274&lt;&gt;"Geen factuur nodig"),"Geen uren",IF(AND(G274="NEE",Q274="Verstuurd"),"Verstuurd terwijl werk niet af",IF(IFERROR(VLOOKUP(C274,Tarieven!$A$2:$F$200,2,0),"")="Beide","Beide-klant: controleer prijstype","OK")))))))))</f>
        <v/>
      </c>
    </row>
    <row r="275" ht="15" customHeight="1" s="42">
      <c r="A275" s="56">
        <f>IF(B275="","",WEEKNUM(B275,21))</f>
        <v/>
      </c>
      <c r="B275" s="55" t="n"/>
      <c r="C275" s="57" t="n"/>
      <c r="D275" s="57" t="n"/>
      <c r="E275" s="57" t="n"/>
      <c r="F275" s="57" t="n"/>
      <c r="G275" s="67" t="n"/>
      <c r="H275" s="68" t="n"/>
      <c r="I275" s="61">
        <f>IF(C275="","",IF(H275&lt;&gt;"",INT(H275)+ROUND(MOD(H275,1)*100/60,2),SUMIFS(Registraties!$L$5:$L$3004,Registraties!$D$5:$D$3004,C275,Registraties!$A$5:$A$3004,B275)))</f>
        <v/>
      </c>
      <c r="J275" s="58">
        <f>IF(C275="","",IFERROR(IF(VLOOKUP(C275,Tarieven!$A$2:$F$200,2,0)="Beide","Per uur",VLOOKUP(C275,Tarieven!$A$2:$F$200,2,0)),"Nog bepalen"))</f>
        <v/>
      </c>
      <c r="K275" s="69">
        <f>IF(C275="","",IF(J275="Per uur",IFERROR(VLOOKUP(C275,Tarieven!$A$2:$F$200,3,0),""),IF(J275="Vaste prijs",IFERROR(VLOOKUP(C275,Tarieven!$A$2:$F$200,4,0),""),"")))</f>
        <v/>
      </c>
      <c r="L275" s="70">
        <f>IF(C275="","",IF(J275="Per uur",N(I275)*N(K275),IF(J275="Vaste prijs",N(K275),0)))</f>
        <v/>
      </c>
      <c r="M275" s="69">
        <f>IF(C275="","",IFERROR(IF(N(VLOOKUP(C275,Tarieven!$A$2:$F$200,5,0))=0,"",VLOOKUP(C275,Tarieven!$A$2:$F$200,5,0)),""))</f>
        <v/>
      </c>
      <c r="N275" s="69" t="n"/>
      <c r="O275" s="69" t="n"/>
      <c r="P275" s="70">
        <f>IF(C275="","",N(L275)+N(M275)+N(N275)+N(O275))</f>
        <v/>
      </c>
      <c r="Q275" s="58" t="n"/>
      <c r="R275" s="57" t="n"/>
      <c r="S275" s="57" t="n"/>
      <c r="T275" s="57" t="n"/>
      <c r="U275" s="62">
        <f>IF(C275="","",IF(COUNTIF(Tarieven!$A$2:$A$200,C275)=0,"Klant niet in Tarieven",IF(MOD(N(H275),1)*100&gt;59.4,"Tijd ongeldig: minuten boven 59",IF(J275="Nog bepalen","Prijstype nog bepalen",IF(AND(J275="Per uur",N(K275)=0),"Uurtarief ontbreekt",IF(AND(J275="Vaste prijs",N(K275)=0),"Vaste prijs ontbreekt",IF(AND(N(I275)=0,Q275&lt;&gt;"Niet doorgegaan / verplaatst",Q275&lt;&gt;"Geen factuur nodig"),"Geen uren",IF(AND(G275="NEE",Q275="Verstuurd"),"Verstuurd terwijl werk niet af",IF(IFERROR(VLOOKUP(C275,Tarieven!$A$2:$F$200,2,0),"")="Beide","Beide-klant: controleer prijstype","OK")))))))))</f>
        <v/>
      </c>
    </row>
    <row r="276" ht="15" customHeight="1" s="42">
      <c r="A276" s="56">
        <f>IF(B276="","",WEEKNUM(B276,21))</f>
        <v/>
      </c>
      <c r="B276" s="55" t="n"/>
      <c r="C276" s="57" t="n"/>
      <c r="D276" s="57" t="n"/>
      <c r="E276" s="57" t="n"/>
      <c r="F276" s="57" t="n"/>
      <c r="G276" s="67" t="n"/>
      <c r="H276" s="68" t="n"/>
      <c r="I276" s="61">
        <f>IF(C276="","",IF(H276&lt;&gt;"",INT(H276)+ROUND(MOD(H276,1)*100/60,2),SUMIFS(Registraties!$L$5:$L$3004,Registraties!$D$5:$D$3004,C276,Registraties!$A$5:$A$3004,B276)))</f>
        <v/>
      </c>
      <c r="J276" s="58">
        <f>IF(C276="","",IFERROR(IF(VLOOKUP(C276,Tarieven!$A$2:$F$200,2,0)="Beide","Per uur",VLOOKUP(C276,Tarieven!$A$2:$F$200,2,0)),"Nog bepalen"))</f>
        <v/>
      </c>
      <c r="K276" s="69">
        <f>IF(C276="","",IF(J276="Per uur",IFERROR(VLOOKUP(C276,Tarieven!$A$2:$F$200,3,0),""),IF(J276="Vaste prijs",IFERROR(VLOOKUP(C276,Tarieven!$A$2:$F$200,4,0),""),"")))</f>
        <v/>
      </c>
      <c r="L276" s="70">
        <f>IF(C276="","",IF(J276="Per uur",N(I276)*N(K276),IF(J276="Vaste prijs",N(K276),0)))</f>
        <v/>
      </c>
      <c r="M276" s="69">
        <f>IF(C276="","",IFERROR(IF(N(VLOOKUP(C276,Tarieven!$A$2:$F$200,5,0))=0,"",VLOOKUP(C276,Tarieven!$A$2:$F$200,5,0)),""))</f>
        <v/>
      </c>
      <c r="N276" s="69" t="n"/>
      <c r="O276" s="69" t="n"/>
      <c r="P276" s="70">
        <f>IF(C276="","",N(L276)+N(M276)+N(N276)+N(O276))</f>
        <v/>
      </c>
      <c r="Q276" s="58" t="n"/>
      <c r="R276" s="57" t="n"/>
      <c r="S276" s="57" t="n"/>
      <c r="T276" s="57" t="n"/>
      <c r="U276" s="62">
        <f>IF(C276="","",IF(COUNTIF(Tarieven!$A$2:$A$200,C276)=0,"Klant niet in Tarieven",IF(MOD(N(H276),1)*100&gt;59.4,"Tijd ongeldig: minuten boven 59",IF(J276="Nog bepalen","Prijstype nog bepalen",IF(AND(J276="Per uur",N(K276)=0),"Uurtarief ontbreekt",IF(AND(J276="Vaste prijs",N(K276)=0),"Vaste prijs ontbreekt",IF(AND(N(I276)=0,Q276&lt;&gt;"Niet doorgegaan / verplaatst",Q276&lt;&gt;"Geen factuur nodig"),"Geen uren",IF(AND(G276="NEE",Q276="Verstuurd"),"Verstuurd terwijl werk niet af",IF(IFERROR(VLOOKUP(C276,Tarieven!$A$2:$F$200,2,0),"")="Beide","Beide-klant: controleer prijstype","OK")))))))))</f>
        <v/>
      </c>
    </row>
    <row r="277" ht="15" customHeight="1" s="42">
      <c r="A277" s="56">
        <f>IF(B277="","",WEEKNUM(B277,21))</f>
        <v/>
      </c>
      <c r="B277" s="55" t="n"/>
      <c r="C277" s="57" t="n"/>
      <c r="D277" s="57" t="n"/>
      <c r="E277" s="57" t="n"/>
      <c r="F277" s="57" t="n"/>
      <c r="G277" s="67" t="n"/>
      <c r="H277" s="68" t="n"/>
      <c r="I277" s="61">
        <f>IF(C277="","",IF(H277&lt;&gt;"",INT(H277)+ROUND(MOD(H277,1)*100/60,2),SUMIFS(Registraties!$L$5:$L$3004,Registraties!$D$5:$D$3004,C277,Registraties!$A$5:$A$3004,B277)))</f>
        <v/>
      </c>
      <c r="J277" s="58">
        <f>IF(C277="","",IFERROR(IF(VLOOKUP(C277,Tarieven!$A$2:$F$200,2,0)="Beide","Per uur",VLOOKUP(C277,Tarieven!$A$2:$F$200,2,0)),"Nog bepalen"))</f>
        <v/>
      </c>
      <c r="K277" s="69">
        <f>IF(C277="","",IF(J277="Per uur",IFERROR(VLOOKUP(C277,Tarieven!$A$2:$F$200,3,0),""),IF(J277="Vaste prijs",IFERROR(VLOOKUP(C277,Tarieven!$A$2:$F$200,4,0),""),"")))</f>
        <v/>
      </c>
      <c r="L277" s="70">
        <f>IF(C277="","",IF(J277="Per uur",N(I277)*N(K277),IF(J277="Vaste prijs",N(K277),0)))</f>
        <v/>
      </c>
      <c r="M277" s="69">
        <f>IF(C277="","",IFERROR(IF(N(VLOOKUP(C277,Tarieven!$A$2:$F$200,5,0))=0,"",VLOOKUP(C277,Tarieven!$A$2:$F$200,5,0)),""))</f>
        <v/>
      </c>
      <c r="N277" s="69" t="n"/>
      <c r="O277" s="69" t="n"/>
      <c r="P277" s="70">
        <f>IF(C277="","",N(L277)+N(M277)+N(N277)+N(O277))</f>
        <v/>
      </c>
      <c r="Q277" s="58" t="n"/>
      <c r="R277" s="57" t="n"/>
      <c r="S277" s="57" t="n"/>
      <c r="T277" s="57" t="n"/>
      <c r="U277" s="62">
        <f>IF(C277="","",IF(COUNTIF(Tarieven!$A$2:$A$200,C277)=0,"Klant niet in Tarieven",IF(MOD(N(H277),1)*100&gt;59.4,"Tijd ongeldig: minuten boven 59",IF(J277="Nog bepalen","Prijstype nog bepalen",IF(AND(J277="Per uur",N(K277)=0),"Uurtarief ontbreekt",IF(AND(J277="Vaste prijs",N(K277)=0),"Vaste prijs ontbreekt",IF(AND(N(I277)=0,Q277&lt;&gt;"Niet doorgegaan / verplaatst",Q277&lt;&gt;"Geen factuur nodig"),"Geen uren",IF(AND(G277="NEE",Q277="Verstuurd"),"Verstuurd terwijl werk niet af",IF(IFERROR(VLOOKUP(C277,Tarieven!$A$2:$F$200,2,0),"")="Beide","Beide-klant: controleer prijstype","OK")))))))))</f>
        <v/>
      </c>
    </row>
    <row r="278" ht="15" customHeight="1" s="42">
      <c r="A278" s="56">
        <f>IF(B278="","",WEEKNUM(B278,21))</f>
        <v/>
      </c>
      <c r="B278" s="55" t="n"/>
      <c r="C278" s="57" t="n"/>
      <c r="D278" s="57" t="n"/>
      <c r="E278" s="57" t="n"/>
      <c r="F278" s="57" t="n"/>
      <c r="G278" s="67" t="n"/>
      <c r="H278" s="68" t="n"/>
      <c r="I278" s="61">
        <f>IF(C278="","",IF(H278&lt;&gt;"",INT(H278)+ROUND(MOD(H278,1)*100/60,2),SUMIFS(Registraties!$L$5:$L$3004,Registraties!$D$5:$D$3004,C278,Registraties!$A$5:$A$3004,B278)))</f>
        <v/>
      </c>
      <c r="J278" s="58">
        <f>IF(C278="","",IFERROR(IF(VLOOKUP(C278,Tarieven!$A$2:$F$200,2,0)="Beide","Per uur",VLOOKUP(C278,Tarieven!$A$2:$F$200,2,0)),"Nog bepalen"))</f>
        <v/>
      </c>
      <c r="K278" s="69">
        <f>IF(C278="","",IF(J278="Per uur",IFERROR(VLOOKUP(C278,Tarieven!$A$2:$F$200,3,0),""),IF(J278="Vaste prijs",IFERROR(VLOOKUP(C278,Tarieven!$A$2:$F$200,4,0),""),"")))</f>
        <v/>
      </c>
      <c r="L278" s="70">
        <f>IF(C278="","",IF(J278="Per uur",N(I278)*N(K278),IF(J278="Vaste prijs",N(K278),0)))</f>
        <v/>
      </c>
      <c r="M278" s="69">
        <f>IF(C278="","",IFERROR(IF(N(VLOOKUP(C278,Tarieven!$A$2:$F$200,5,0))=0,"",VLOOKUP(C278,Tarieven!$A$2:$F$200,5,0)),""))</f>
        <v/>
      </c>
      <c r="N278" s="69" t="n"/>
      <c r="O278" s="69" t="n"/>
      <c r="P278" s="70">
        <f>IF(C278="","",N(L278)+N(M278)+N(N278)+N(O278))</f>
        <v/>
      </c>
      <c r="Q278" s="58" t="n"/>
      <c r="R278" s="57" t="n"/>
      <c r="S278" s="57" t="n"/>
      <c r="T278" s="57" t="n"/>
      <c r="U278" s="62">
        <f>IF(C278="","",IF(COUNTIF(Tarieven!$A$2:$A$200,C278)=0,"Klant niet in Tarieven",IF(MOD(N(H278),1)*100&gt;59.4,"Tijd ongeldig: minuten boven 59",IF(J278="Nog bepalen","Prijstype nog bepalen",IF(AND(J278="Per uur",N(K278)=0),"Uurtarief ontbreekt",IF(AND(J278="Vaste prijs",N(K278)=0),"Vaste prijs ontbreekt",IF(AND(N(I278)=0,Q278&lt;&gt;"Niet doorgegaan / verplaatst",Q278&lt;&gt;"Geen factuur nodig"),"Geen uren",IF(AND(G278="NEE",Q278="Verstuurd"),"Verstuurd terwijl werk niet af",IF(IFERROR(VLOOKUP(C278,Tarieven!$A$2:$F$200,2,0),"")="Beide","Beide-klant: controleer prijstype","OK")))))))))</f>
        <v/>
      </c>
    </row>
    <row r="279" ht="15" customHeight="1" s="42">
      <c r="A279" s="56">
        <f>IF(B279="","",WEEKNUM(B279,21))</f>
        <v/>
      </c>
      <c r="B279" s="55" t="n"/>
      <c r="C279" s="57" t="n"/>
      <c r="D279" s="57" t="n"/>
      <c r="E279" s="57" t="n"/>
      <c r="F279" s="57" t="n"/>
      <c r="G279" s="67" t="n"/>
      <c r="H279" s="68" t="n"/>
      <c r="I279" s="61">
        <f>IF(C279="","",IF(H279&lt;&gt;"",INT(H279)+ROUND(MOD(H279,1)*100/60,2),SUMIFS(Registraties!$L$5:$L$3004,Registraties!$D$5:$D$3004,C279,Registraties!$A$5:$A$3004,B279)))</f>
        <v/>
      </c>
      <c r="J279" s="58">
        <f>IF(C279="","",IFERROR(IF(VLOOKUP(C279,Tarieven!$A$2:$F$200,2,0)="Beide","Per uur",VLOOKUP(C279,Tarieven!$A$2:$F$200,2,0)),"Nog bepalen"))</f>
        <v/>
      </c>
      <c r="K279" s="69">
        <f>IF(C279="","",IF(J279="Per uur",IFERROR(VLOOKUP(C279,Tarieven!$A$2:$F$200,3,0),""),IF(J279="Vaste prijs",IFERROR(VLOOKUP(C279,Tarieven!$A$2:$F$200,4,0),""),"")))</f>
        <v/>
      </c>
      <c r="L279" s="70">
        <f>IF(C279="","",IF(J279="Per uur",N(I279)*N(K279),IF(J279="Vaste prijs",N(K279),0)))</f>
        <v/>
      </c>
      <c r="M279" s="69">
        <f>IF(C279="","",IFERROR(IF(N(VLOOKUP(C279,Tarieven!$A$2:$F$200,5,0))=0,"",VLOOKUP(C279,Tarieven!$A$2:$F$200,5,0)),""))</f>
        <v/>
      </c>
      <c r="N279" s="69" t="n"/>
      <c r="O279" s="69" t="n"/>
      <c r="P279" s="70">
        <f>IF(C279="","",N(L279)+N(M279)+N(N279)+N(O279))</f>
        <v/>
      </c>
      <c r="Q279" s="58" t="n"/>
      <c r="R279" s="57" t="n"/>
      <c r="S279" s="57" t="n"/>
      <c r="T279" s="57" t="n"/>
      <c r="U279" s="62">
        <f>IF(C279="","",IF(COUNTIF(Tarieven!$A$2:$A$200,C279)=0,"Klant niet in Tarieven",IF(MOD(N(H279),1)*100&gt;59.4,"Tijd ongeldig: minuten boven 59",IF(J279="Nog bepalen","Prijstype nog bepalen",IF(AND(J279="Per uur",N(K279)=0),"Uurtarief ontbreekt",IF(AND(J279="Vaste prijs",N(K279)=0),"Vaste prijs ontbreekt",IF(AND(N(I279)=0,Q279&lt;&gt;"Niet doorgegaan / verplaatst",Q279&lt;&gt;"Geen factuur nodig"),"Geen uren",IF(AND(G279="NEE",Q279="Verstuurd"),"Verstuurd terwijl werk niet af",IF(IFERROR(VLOOKUP(C279,Tarieven!$A$2:$F$200,2,0),"")="Beide","Beide-klant: controleer prijstype","OK")))))))))</f>
        <v/>
      </c>
    </row>
    <row r="280" ht="15" customHeight="1" s="42">
      <c r="A280" s="56">
        <f>IF(B280="","",WEEKNUM(B280,21))</f>
        <v/>
      </c>
      <c r="B280" s="55" t="n"/>
      <c r="C280" s="57" t="n"/>
      <c r="D280" s="57" t="n"/>
      <c r="E280" s="57" t="n"/>
      <c r="F280" s="57" t="n"/>
      <c r="G280" s="67" t="n"/>
      <c r="H280" s="68" t="n"/>
      <c r="I280" s="61">
        <f>IF(C280="","",IF(H280&lt;&gt;"",INT(H280)+ROUND(MOD(H280,1)*100/60,2),SUMIFS(Registraties!$L$5:$L$3004,Registraties!$D$5:$D$3004,C280,Registraties!$A$5:$A$3004,B280)))</f>
        <v/>
      </c>
      <c r="J280" s="58">
        <f>IF(C280="","",IFERROR(IF(VLOOKUP(C280,Tarieven!$A$2:$F$200,2,0)="Beide","Per uur",VLOOKUP(C280,Tarieven!$A$2:$F$200,2,0)),"Nog bepalen"))</f>
        <v/>
      </c>
      <c r="K280" s="69">
        <f>IF(C280="","",IF(J280="Per uur",IFERROR(VLOOKUP(C280,Tarieven!$A$2:$F$200,3,0),""),IF(J280="Vaste prijs",IFERROR(VLOOKUP(C280,Tarieven!$A$2:$F$200,4,0),""),"")))</f>
        <v/>
      </c>
      <c r="L280" s="70">
        <f>IF(C280="","",IF(J280="Per uur",N(I280)*N(K280),IF(J280="Vaste prijs",N(K280),0)))</f>
        <v/>
      </c>
      <c r="M280" s="69">
        <f>IF(C280="","",IFERROR(IF(N(VLOOKUP(C280,Tarieven!$A$2:$F$200,5,0))=0,"",VLOOKUP(C280,Tarieven!$A$2:$F$200,5,0)),""))</f>
        <v/>
      </c>
      <c r="N280" s="69" t="n"/>
      <c r="O280" s="69" t="n"/>
      <c r="P280" s="70">
        <f>IF(C280="","",N(L280)+N(M280)+N(N280)+N(O280))</f>
        <v/>
      </c>
      <c r="Q280" s="58" t="n"/>
      <c r="R280" s="57" t="n"/>
      <c r="S280" s="57" t="n"/>
      <c r="T280" s="57" t="n"/>
      <c r="U280" s="62">
        <f>IF(C280="","",IF(COUNTIF(Tarieven!$A$2:$A$200,C280)=0,"Klant niet in Tarieven",IF(MOD(N(H280),1)*100&gt;59.4,"Tijd ongeldig: minuten boven 59",IF(J280="Nog bepalen","Prijstype nog bepalen",IF(AND(J280="Per uur",N(K280)=0),"Uurtarief ontbreekt",IF(AND(J280="Vaste prijs",N(K280)=0),"Vaste prijs ontbreekt",IF(AND(N(I280)=0,Q280&lt;&gt;"Niet doorgegaan / verplaatst",Q280&lt;&gt;"Geen factuur nodig"),"Geen uren",IF(AND(G280="NEE",Q280="Verstuurd"),"Verstuurd terwijl werk niet af",IF(IFERROR(VLOOKUP(C280,Tarieven!$A$2:$F$200,2,0),"")="Beide","Beide-klant: controleer prijstype","OK")))))))))</f>
        <v/>
      </c>
    </row>
    <row r="281" ht="15" customHeight="1" s="42">
      <c r="A281" s="56">
        <f>IF(B281="","",WEEKNUM(B281,21))</f>
        <v/>
      </c>
      <c r="B281" s="55" t="n"/>
      <c r="C281" s="57" t="n"/>
      <c r="D281" s="57" t="n"/>
      <c r="E281" s="57" t="n"/>
      <c r="F281" s="57" t="n"/>
      <c r="G281" s="67" t="n"/>
      <c r="H281" s="68" t="n"/>
      <c r="I281" s="61">
        <f>IF(C281="","",IF(H281&lt;&gt;"",INT(H281)+ROUND(MOD(H281,1)*100/60,2),SUMIFS(Registraties!$L$5:$L$3004,Registraties!$D$5:$D$3004,C281,Registraties!$A$5:$A$3004,B281)))</f>
        <v/>
      </c>
      <c r="J281" s="58">
        <f>IF(C281="","",IFERROR(IF(VLOOKUP(C281,Tarieven!$A$2:$F$200,2,0)="Beide","Per uur",VLOOKUP(C281,Tarieven!$A$2:$F$200,2,0)),"Nog bepalen"))</f>
        <v/>
      </c>
      <c r="K281" s="69">
        <f>IF(C281="","",IF(J281="Per uur",IFERROR(VLOOKUP(C281,Tarieven!$A$2:$F$200,3,0),""),IF(J281="Vaste prijs",IFERROR(VLOOKUP(C281,Tarieven!$A$2:$F$200,4,0),""),"")))</f>
        <v/>
      </c>
      <c r="L281" s="70">
        <f>IF(C281="","",IF(J281="Per uur",N(I281)*N(K281),IF(J281="Vaste prijs",N(K281),0)))</f>
        <v/>
      </c>
      <c r="M281" s="69">
        <f>IF(C281="","",IFERROR(IF(N(VLOOKUP(C281,Tarieven!$A$2:$F$200,5,0))=0,"",VLOOKUP(C281,Tarieven!$A$2:$F$200,5,0)),""))</f>
        <v/>
      </c>
      <c r="N281" s="69" t="n"/>
      <c r="O281" s="69" t="n"/>
      <c r="P281" s="70">
        <f>IF(C281="","",N(L281)+N(M281)+N(N281)+N(O281))</f>
        <v/>
      </c>
      <c r="Q281" s="58" t="n"/>
      <c r="R281" s="57" t="n"/>
      <c r="S281" s="57" t="n"/>
      <c r="T281" s="57" t="n"/>
      <c r="U281" s="62">
        <f>IF(C281="","",IF(COUNTIF(Tarieven!$A$2:$A$200,C281)=0,"Klant niet in Tarieven",IF(MOD(N(H281),1)*100&gt;59.4,"Tijd ongeldig: minuten boven 59",IF(J281="Nog bepalen","Prijstype nog bepalen",IF(AND(J281="Per uur",N(K281)=0),"Uurtarief ontbreekt",IF(AND(J281="Vaste prijs",N(K281)=0),"Vaste prijs ontbreekt",IF(AND(N(I281)=0,Q281&lt;&gt;"Niet doorgegaan / verplaatst",Q281&lt;&gt;"Geen factuur nodig"),"Geen uren",IF(AND(G281="NEE",Q281="Verstuurd"),"Verstuurd terwijl werk niet af",IF(IFERROR(VLOOKUP(C281,Tarieven!$A$2:$F$200,2,0),"")="Beide","Beide-klant: controleer prijstype","OK")))))))))</f>
        <v/>
      </c>
    </row>
    <row r="282" ht="15" customHeight="1" s="42">
      <c r="A282" s="56">
        <f>IF(B282="","",WEEKNUM(B282,21))</f>
        <v/>
      </c>
      <c r="B282" s="55" t="n"/>
      <c r="C282" s="57" t="n"/>
      <c r="D282" s="57" t="n"/>
      <c r="E282" s="57" t="n"/>
      <c r="F282" s="57" t="n"/>
      <c r="G282" s="67" t="n"/>
      <c r="H282" s="68" t="n"/>
      <c r="I282" s="61">
        <f>IF(C282="","",IF(H282&lt;&gt;"",INT(H282)+ROUND(MOD(H282,1)*100/60,2),SUMIFS(Registraties!$L$5:$L$3004,Registraties!$D$5:$D$3004,C282,Registraties!$A$5:$A$3004,B282)))</f>
        <v/>
      </c>
      <c r="J282" s="58">
        <f>IF(C282="","",IFERROR(IF(VLOOKUP(C282,Tarieven!$A$2:$F$200,2,0)="Beide","Per uur",VLOOKUP(C282,Tarieven!$A$2:$F$200,2,0)),"Nog bepalen"))</f>
        <v/>
      </c>
      <c r="K282" s="69">
        <f>IF(C282="","",IF(J282="Per uur",IFERROR(VLOOKUP(C282,Tarieven!$A$2:$F$200,3,0),""),IF(J282="Vaste prijs",IFERROR(VLOOKUP(C282,Tarieven!$A$2:$F$200,4,0),""),"")))</f>
        <v/>
      </c>
      <c r="L282" s="70">
        <f>IF(C282="","",IF(J282="Per uur",N(I282)*N(K282),IF(J282="Vaste prijs",N(K282),0)))</f>
        <v/>
      </c>
      <c r="M282" s="69">
        <f>IF(C282="","",IFERROR(IF(N(VLOOKUP(C282,Tarieven!$A$2:$F$200,5,0))=0,"",VLOOKUP(C282,Tarieven!$A$2:$F$200,5,0)),""))</f>
        <v/>
      </c>
      <c r="N282" s="69" t="n"/>
      <c r="O282" s="69" t="n"/>
      <c r="P282" s="70">
        <f>IF(C282="","",N(L282)+N(M282)+N(N282)+N(O282))</f>
        <v/>
      </c>
      <c r="Q282" s="58" t="n"/>
      <c r="R282" s="57" t="n"/>
      <c r="S282" s="57" t="n"/>
      <c r="T282" s="57" t="n"/>
      <c r="U282" s="62">
        <f>IF(C282="","",IF(COUNTIF(Tarieven!$A$2:$A$200,C282)=0,"Klant niet in Tarieven",IF(MOD(N(H282),1)*100&gt;59.4,"Tijd ongeldig: minuten boven 59",IF(J282="Nog bepalen","Prijstype nog bepalen",IF(AND(J282="Per uur",N(K282)=0),"Uurtarief ontbreekt",IF(AND(J282="Vaste prijs",N(K282)=0),"Vaste prijs ontbreekt",IF(AND(N(I282)=0,Q282&lt;&gt;"Niet doorgegaan / verplaatst",Q282&lt;&gt;"Geen factuur nodig"),"Geen uren",IF(AND(G282="NEE",Q282="Verstuurd"),"Verstuurd terwijl werk niet af",IF(IFERROR(VLOOKUP(C282,Tarieven!$A$2:$F$200,2,0),"")="Beide","Beide-klant: controleer prijstype","OK")))))))))</f>
        <v/>
      </c>
    </row>
    <row r="283" ht="15" customHeight="1" s="42">
      <c r="A283" s="56">
        <f>IF(B283="","",WEEKNUM(B283,21))</f>
        <v/>
      </c>
      <c r="B283" s="55" t="n"/>
      <c r="C283" s="57" t="n"/>
      <c r="D283" s="57" t="n"/>
      <c r="E283" s="57" t="n"/>
      <c r="F283" s="57" t="n"/>
      <c r="G283" s="67" t="n"/>
      <c r="H283" s="68" t="n"/>
      <c r="I283" s="61">
        <f>IF(C283="","",IF(H283&lt;&gt;"",INT(H283)+ROUND(MOD(H283,1)*100/60,2),SUMIFS(Registraties!$L$5:$L$3004,Registraties!$D$5:$D$3004,C283,Registraties!$A$5:$A$3004,B283)))</f>
        <v/>
      </c>
      <c r="J283" s="58">
        <f>IF(C283="","",IFERROR(IF(VLOOKUP(C283,Tarieven!$A$2:$F$200,2,0)="Beide","Per uur",VLOOKUP(C283,Tarieven!$A$2:$F$200,2,0)),"Nog bepalen"))</f>
        <v/>
      </c>
      <c r="K283" s="69">
        <f>IF(C283="","",IF(J283="Per uur",IFERROR(VLOOKUP(C283,Tarieven!$A$2:$F$200,3,0),""),IF(J283="Vaste prijs",IFERROR(VLOOKUP(C283,Tarieven!$A$2:$F$200,4,0),""),"")))</f>
        <v/>
      </c>
      <c r="L283" s="70">
        <f>IF(C283="","",IF(J283="Per uur",N(I283)*N(K283),IF(J283="Vaste prijs",N(K283),0)))</f>
        <v/>
      </c>
      <c r="M283" s="69">
        <f>IF(C283="","",IFERROR(IF(N(VLOOKUP(C283,Tarieven!$A$2:$F$200,5,0))=0,"",VLOOKUP(C283,Tarieven!$A$2:$F$200,5,0)),""))</f>
        <v/>
      </c>
      <c r="N283" s="69" t="n"/>
      <c r="O283" s="69" t="n"/>
      <c r="P283" s="70">
        <f>IF(C283="","",N(L283)+N(M283)+N(N283)+N(O283))</f>
        <v/>
      </c>
      <c r="Q283" s="58" t="n"/>
      <c r="R283" s="57" t="n"/>
      <c r="S283" s="57" t="n"/>
      <c r="T283" s="57" t="n"/>
      <c r="U283" s="62">
        <f>IF(C283="","",IF(COUNTIF(Tarieven!$A$2:$A$200,C283)=0,"Klant niet in Tarieven",IF(MOD(N(H283),1)*100&gt;59.4,"Tijd ongeldig: minuten boven 59",IF(J283="Nog bepalen","Prijstype nog bepalen",IF(AND(J283="Per uur",N(K283)=0),"Uurtarief ontbreekt",IF(AND(J283="Vaste prijs",N(K283)=0),"Vaste prijs ontbreekt",IF(AND(N(I283)=0,Q283&lt;&gt;"Niet doorgegaan / verplaatst",Q283&lt;&gt;"Geen factuur nodig"),"Geen uren",IF(AND(G283="NEE",Q283="Verstuurd"),"Verstuurd terwijl werk niet af",IF(IFERROR(VLOOKUP(C283,Tarieven!$A$2:$F$200,2,0),"")="Beide","Beide-klant: controleer prijstype","OK")))))))))</f>
        <v/>
      </c>
    </row>
    <row r="284" ht="15" customHeight="1" s="42">
      <c r="A284" s="56">
        <f>IF(B284="","",WEEKNUM(B284,21))</f>
        <v/>
      </c>
      <c r="B284" s="55" t="n"/>
      <c r="C284" s="57" t="n"/>
      <c r="D284" s="57" t="n"/>
      <c r="E284" s="57" t="n"/>
      <c r="F284" s="57" t="n"/>
      <c r="G284" s="67" t="n"/>
      <c r="H284" s="68" t="n"/>
      <c r="I284" s="61">
        <f>IF(C284="","",IF(H284&lt;&gt;"",INT(H284)+ROUND(MOD(H284,1)*100/60,2),SUMIFS(Registraties!$L$5:$L$3004,Registraties!$D$5:$D$3004,C284,Registraties!$A$5:$A$3004,B284)))</f>
        <v/>
      </c>
      <c r="J284" s="58">
        <f>IF(C284="","",IFERROR(IF(VLOOKUP(C284,Tarieven!$A$2:$F$200,2,0)="Beide","Per uur",VLOOKUP(C284,Tarieven!$A$2:$F$200,2,0)),"Nog bepalen"))</f>
        <v/>
      </c>
      <c r="K284" s="69">
        <f>IF(C284="","",IF(J284="Per uur",IFERROR(VLOOKUP(C284,Tarieven!$A$2:$F$200,3,0),""),IF(J284="Vaste prijs",IFERROR(VLOOKUP(C284,Tarieven!$A$2:$F$200,4,0),""),"")))</f>
        <v/>
      </c>
      <c r="L284" s="70">
        <f>IF(C284="","",IF(J284="Per uur",N(I284)*N(K284),IF(J284="Vaste prijs",N(K284),0)))</f>
        <v/>
      </c>
      <c r="M284" s="69">
        <f>IF(C284="","",IFERROR(IF(N(VLOOKUP(C284,Tarieven!$A$2:$F$200,5,0))=0,"",VLOOKUP(C284,Tarieven!$A$2:$F$200,5,0)),""))</f>
        <v/>
      </c>
      <c r="N284" s="69" t="n"/>
      <c r="O284" s="69" t="n"/>
      <c r="P284" s="70">
        <f>IF(C284="","",N(L284)+N(M284)+N(N284)+N(O284))</f>
        <v/>
      </c>
      <c r="Q284" s="58" t="n"/>
      <c r="R284" s="57" t="n"/>
      <c r="S284" s="57" t="n"/>
      <c r="T284" s="57" t="n"/>
      <c r="U284" s="62">
        <f>IF(C284="","",IF(COUNTIF(Tarieven!$A$2:$A$200,C284)=0,"Klant niet in Tarieven",IF(MOD(N(H284),1)*100&gt;59.4,"Tijd ongeldig: minuten boven 59",IF(J284="Nog bepalen","Prijstype nog bepalen",IF(AND(J284="Per uur",N(K284)=0),"Uurtarief ontbreekt",IF(AND(J284="Vaste prijs",N(K284)=0),"Vaste prijs ontbreekt",IF(AND(N(I284)=0,Q284&lt;&gt;"Niet doorgegaan / verplaatst",Q284&lt;&gt;"Geen factuur nodig"),"Geen uren",IF(AND(G284="NEE",Q284="Verstuurd"),"Verstuurd terwijl werk niet af",IF(IFERROR(VLOOKUP(C284,Tarieven!$A$2:$F$200,2,0),"")="Beide","Beide-klant: controleer prijstype","OK")))))))))</f>
        <v/>
      </c>
    </row>
    <row r="285" ht="15" customHeight="1" s="42">
      <c r="A285" s="56">
        <f>IF(B285="","",WEEKNUM(B285,21))</f>
        <v/>
      </c>
      <c r="B285" s="55" t="n"/>
      <c r="C285" s="57" t="n"/>
      <c r="D285" s="57" t="n"/>
      <c r="E285" s="57" t="n"/>
      <c r="F285" s="57" t="n"/>
      <c r="G285" s="67" t="n"/>
      <c r="H285" s="68" t="n"/>
      <c r="I285" s="61">
        <f>IF(C285="","",IF(H285&lt;&gt;"",INT(H285)+ROUND(MOD(H285,1)*100/60,2),SUMIFS(Registraties!$L$5:$L$3004,Registraties!$D$5:$D$3004,C285,Registraties!$A$5:$A$3004,B285)))</f>
        <v/>
      </c>
      <c r="J285" s="58">
        <f>IF(C285="","",IFERROR(IF(VLOOKUP(C285,Tarieven!$A$2:$F$200,2,0)="Beide","Per uur",VLOOKUP(C285,Tarieven!$A$2:$F$200,2,0)),"Nog bepalen"))</f>
        <v/>
      </c>
      <c r="K285" s="69">
        <f>IF(C285="","",IF(J285="Per uur",IFERROR(VLOOKUP(C285,Tarieven!$A$2:$F$200,3,0),""),IF(J285="Vaste prijs",IFERROR(VLOOKUP(C285,Tarieven!$A$2:$F$200,4,0),""),"")))</f>
        <v/>
      </c>
      <c r="L285" s="70">
        <f>IF(C285="","",IF(J285="Per uur",N(I285)*N(K285),IF(J285="Vaste prijs",N(K285),0)))</f>
        <v/>
      </c>
      <c r="M285" s="69">
        <f>IF(C285="","",IFERROR(IF(N(VLOOKUP(C285,Tarieven!$A$2:$F$200,5,0))=0,"",VLOOKUP(C285,Tarieven!$A$2:$F$200,5,0)),""))</f>
        <v/>
      </c>
      <c r="N285" s="69" t="n"/>
      <c r="O285" s="69" t="n"/>
      <c r="P285" s="70">
        <f>IF(C285="","",N(L285)+N(M285)+N(N285)+N(O285))</f>
        <v/>
      </c>
      <c r="Q285" s="58" t="n"/>
      <c r="R285" s="57" t="n"/>
      <c r="S285" s="57" t="n"/>
      <c r="T285" s="57" t="n"/>
      <c r="U285" s="62">
        <f>IF(C285="","",IF(COUNTIF(Tarieven!$A$2:$A$200,C285)=0,"Klant niet in Tarieven",IF(MOD(N(H285),1)*100&gt;59.4,"Tijd ongeldig: minuten boven 59",IF(J285="Nog bepalen","Prijstype nog bepalen",IF(AND(J285="Per uur",N(K285)=0),"Uurtarief ontbreekt",IF(AND(J285="Vaste prijs",N(K285)=0),"Vaste prijs ontbreekt",IF(AND(N(I285)=0,Q285&lt;&gt;"Niet doorgegaan / verplaatst",Q285&lt;&gt;"Geen factuur nodig"),"Geen uren",IF(AND(G285="NEE",Q285="Verstuurd"),"Verstuurd terwijl werk niet af",IF(IFERROR(VLOOKUP(C285,Tarieven!$A$2:$F$200,2,0),"")="Beide","Beide-klant: controleer prijstype","OK")))))))))</f>
        <v/>
      </c>
    </row>
    <row r="286" ht="15" customHeight="1" s="42">
      <c r="A286" s="56">
        <f>IF(B286="","",WEEKNUM(B286,21))</f>
        <v/>
      </c>
      <c r="B286" s="55" t="n"/>
      <c r="C286" s="57" t="n"/>
      <c r="D286" s="57" t="n"/>
      <c r="E286" s="57" t="n"/>
      <c r="F286" s="57" t="n"/>
      <c r="G286" s="67" t="n"/>
      <c r="H286" s="68" t="n"/>
      <c r="I286" s="61">
        <f>IF(C286="","",IF(H286&lt;&gt;"",INT(H286)+ROUND(MOD(H286,1)*100/60,2),SUMIFS(Registraties!$L$5:$L$3004,Registraties!$D$5:$D$3004,C286,Registraties!$A$5:$A$3004,B286)))</f>
        <v/>
      </c>
      <c r="J286" s="58">
        <f>IF(C286="","",IFERROR(IF(VLOOKUP(C286,Tarieven!$A$2:$F$200,2,0)="Beide","Per uur",VLOOKUP(C286,Tarieven!$A$2:$F$200,2,0)),"Nog bepalen"))</f>
        <v/>
      </c>
      <c r="K286" s="69">
        <f>IF(C286="","",IF(J286="Per uur",IFERROR(VLOOKUP(C286,Tarieven!$A$2:$F$200,3,0),""),IF(J286="Vaste prijs",IFERROR(VLOOKUP(C286,Tarieven!$A$2:$F$200,4,0),""),"")))</f>
        <v/>
      </c>
      <c r="L286" s="70">
        <f>IF(C286="","",IF(J286="Per uur",N(I286)*N(K286),IF(J286="Vaste prijs",N(K286),0)))</f>
        <v/>
      </c>
      <c r="M286" s="69">
        <f>IF(C286="","",IFERROR(IF(N(VLOOKUP(C286,Tarieven!$A$2:$F$200,5,0))=0,"",VLOOKUP(C286,Tarieven!$A$2:$F$200,5,0)),""))</f>
        <v/>
      </c>
      <c r="N286" s="69" t="n"/>
      <c r="O286" s="69" t="n"/>
      <c r="P286" s="70">
        <f>IF(C286="","",N(L286)+N(M286)+N(N286)+N(O286))</f>
        <v/>
      </c>
      <c r="Q286" s="58" t="n"/>
      <c r="R286" s="57" t="n"/>
      <c r="S286" s="57" t="n"/>
      <c r="T286" s="57" t="n"/>
      <c r="U286" s="62">
        <f>IF(C286="","",IF(COUNTIF(Tarieven!$A$2:$A$200,C286)=0,"Klant niet in Tarieven",IF(MOD(N(H286),1)*100&gt;59.4,"Tijd ongeldig: minuten boven 59",IF(J286="Nog bepalen","Prijstype nog bepalen",IF(AND(J286="Per uur",N(K286)=0),"Uurtarief ontbreekt",IF(AND(J286="Vaste prijs",N(K286)=0),"Vaste prijs ontbreekt",IF(AND(N(I286)=0,Q286&lt;&gt;"Niet doorgegaan / verplaatst",Q286&lt;&gt;"Geen factuur nodig"),"Geen uren",IF(AND(G286="NEE",Q286="Verstuurd"),"Verstuurd terwijl werk niet af",IF(IFERROR(VLOOKUP(C286,Tarieven!$A$2:$F$200,2,0),"")="Beide","Beide-klant: controleer prijstype","OK")))))))))</f>
        <v/>
      </c>
    </row>
    <row r="287" ht="15" customHeight="1" s="42">
      <c r="A287" s="56">
        <f>IF(B287="","",WEEKNUM(B287,21))</f>
        <v/>
      </c>
      <c r="B287" s="55" t="n"/>
      <c r="C287" s="57" t="n"/>
      <c r="D287" s="57" t="n"/>
      <c r="E287" s="57" t="n"/>
      <c r="F287" s="57" t="n"/>
      <c r="G287" s="67" t="n"/>
      <c r="H287" s="68" t="n"/>
      <c r="I287" s="61">
        <f>IF(C287="","",IF(H287&lt;&gt;"",INT(H287)+ROUND(MOD(H287,1)*100/60,2),SUMIFS(Registraties!$L$5:$L$3004,Registraties!$D$5:$D$3004,C287,Registraties!$A$5:$A$3004,B287)))</f>
        <v/>
      </c>
      <c r="J287" s="58">
        <f>IF(C287="","",IFERROR(IF(VLOOKUP(C287,Tarieven!$A$2:$F$200,2,0)="Beide","Per uur",VLOOKUP(C287,Tarieven!$A$2:$F$200,2,0)),"Nog bepalen"))</f>
        <v/>
      </c>
      <c r="K287" s="69">
        <f>IF(C287="","",IF(J287="Per uur",IFERROR(VLOOKUP(C287,Tarieven!$A$2:$F$200,3,0),""),IF(J287="Vaste prijs",IFERROR(VLOOKUP(C287,Tarieven!$A$2:$F$200,4,0),""),"")))</f>
        <v/>
      </c>
      <c r="L287" s="70">
        <f>IF(C287="","",IF(J287="Per uur",N(I287)*N(K287),IF(J287="Vaste prijs",N(K287),0)))</f>
        <v/>
      </c>
      <c r="M287" s="69">
        <f>IF(C287="","",IFERROR(IF(N(VLOOKUP(C287,Tarieven!$A$2:$F$200,5,0))=0,"",VLOOKUP(C287,Tarieven!$A$2:$F$200,5,0)),""))</f>
        <v/>
      </c>
      <c r="N287" s="69" t="n"/>
      <c r="O287" s="69" t="n"/>
      <c r="P287" s="70">
        <f>IF(C287="","",N(L287)+N(M287)+N(N287)+N(O287))</f>
        <v/>
      </c>
      <c r="Q287" s="58" t="n"/>
      <c r="R287" s="57" t="n"/>
      <c r="S287" s="57" t="n"/>
      <c r="T287" s="57" t="n"/>
      <c r="U287" s="62">
        <f>IF(C287="","",IF(COUNTIF(Tarieven!$A$2:$A$200,C287)=0,"Klant niet in Tarieven",IF(MOD(N(H287),1)*100&gt;59.4,"Tijd ongeldig: minuten boven 59",IF(J287="Nog bepalen","Prijstype nog bepalen",IF(AND(J287="Per uur",N(K287)=0),"Uurtarief ontbreekt",IF(AND(J287="Vaste prijs",N(K287)=0),"Vaste prijs ontbreekt",IF(AND(N(I287)=0,Q287&lt;&gt;"Niet doorgegaan / verplaatst",Q287&lt;&gt;"Geen factuur nodig"),"Geen uren",IF(AND(G287="NEE",Q287="Verstuurd"),"Verstuurd terwijl werk niet af",IF(IFERROR(VLOOKUP(C287,Tarieven!$A$2:$F$200,2,0),"")="Beide","Beide-klant: controleer prijstype","OK")))))))))</f>
        <v/>
      </c>
    </row>
    <row r="288" ht="15" customHeight="1" s="42">
      <c r="A288" s="56">
        <f>IF(B288="","",WEEKNUM(B288,21))</f>
        <v/>
      </c>
      <c r="B288" s="55" t="n"/>
      <c r="C288" s="57" t="n"/>
      <c r="D288" s="57" t="n"/>
      <c r="E288" s="57" t="n"/>
      <c r="F288" s="57" t="n"/>
      <c r="G288" s="67" t="n"/>
      <c r="H288" s="68" t="n"/>
      <c r="I288" s="61">
        <f>IF(C288="","",IF(H288&lt;&gt;"",INT(H288)+ROUND(MOD(H288,1)*100/60,2),SUMIFS(Registraties!$L$5:$L$3004,Registraties!$D$5:$D$3004,C288,Registraties!$A$5:$A$3004,B288)))</f>
        <v/>
      </c>
      <c r="J288" s="58">
        <f>IF(C288="","",IFERROR(IF(VLOOKUP(C288,Tarieven!$A$2:$F$200,2,0)="Beide","Per uur",VLOOKUP(C288,Tarieven!$A$2:$F$200,2,0)),"Nog bepalen"))</f>
        <v/>
      </c>
      <c r="K288" s="69">
        <f>IF(C288="","",IF(J288="Per uur",IFERROR(VLOOKUP(C288,Tarieven!$A$2:$F$200,3,0),""),IF(J288="Vaste prijs",IFERROR(VLOOKUP(C288,Tarieven!$A$2:$F$200,4,0),""),"")))</f>
        <v/>
      </c>
      <c r="L288" s="70">
        <f>IF(C288="","",IF(J288="Per uur",N(I288)*N(K288),IF(J288="Vaste prijs",N(K288),0)))</f>
        <v/>
      </c>
      <c r="M288" s="69">
        <f>IF(C288="","",IFERROR(IF(N(VLOOKUP(C288,Tarieven!$A$2:$F$200,5,0))=0,"",VLOOKUP(C288,Tarieven!$A$2:$F$200,5,0)),""))</f>
        <v/>
      </c>
      <c r="N288" s="69" t="n"/>
      <c r="O288" s="69" t="n"/>
      <c r="P288" s="70">
        <f>IF(C288="","",N(L288)+N(M288)+N(N288)+N(O288))</f>
        <v/>
      </c>
      <c r="Q288" s="58" t="n"/>
      <c r="R288" s="57" t="n"/>
      <c r="S288" s="57" t="n"/>
      <c r="T288" s="57" t="n"/>
      <c r="U288" s="62">
        <f>IF(C288="","",IF(COUNTIF(Tarieven!$A$2:$A$200,C288)=0,"Klant niet in Tarieven",IF(MOD(N(H288),1)*100&gt;59.4,"Tijd ongeldig: minuten boven 59",IF(J288="Nog bepalen","Prijstype nog bepalen",IF(AND(J288="Per uur",N(K288)=0),"Uurtarief ontbreekt",IF(AND(J288="Vaste prijs",N(K288)=0),"Vaste prijs ontbreekt",IF(AND(N(I288)=0,Q288&lt;&gt;"Niet doorgegaan / verplaatst",Q288&lt;&gt;"Geen factuur nodig"),"Geen uren",IF(AND(G288="NEE",Q288="Verstuurd"),"Verstuurd terwijl werk niet af",IF(IFERROR(VLOOKUP(C288,Tarieven!$A$2:$F$200,2,0),"")="Beide","Beide-klant: controleer prijstype","OK")))))))))</f>
        <v/>
      </c>
    </row>
    <row r="289" ht="15" customHeight="1" s="42">
      <c r="A289" s="56">
        <f>IF(B289="","",WEEKNUM(B289,21))</f>
        <v/>
      </c>
      <c r="B289" s="55" t="n"/>
      <c r="C289" s="57" t="n"/>
      <c r="D289" s="57" t="n"/>
      <c r="E289" s="57" t="n"/>
      <c r="F289" s="57" t="n"/>
      <c r="G289" s="67" t="n"/>
      <c r="H289" s="68" t="n"/>
      <c r="I289" s="61">
        <f>IF(C289="","",IF(H289&lt;&gt;"",INT(H289)+ROUND(MOD(H289,1)*100/60,2),SUMIFS(Registraties!$L$5:$L$3004,Registraties!$D$5:$D$3004,C289,Registraties!$A$5:$A$3004,B289)))</f>
        <v/>
      </c>
      <c r="J289" s="58">
        <f>IF(C289="","",IFERROR(IF(VLOOKUP(C289,Tarieven!$A$2:$F$200,2,0)="Beide","Per uur",VLOOKUP(C289,Tarieven!$A$2:$F$200,2,0)),"Nog bepalen"))</f>
        <v/>
      </c>
      <c r="K289" s="69">
        <f>IF(C289="","",IF(J289="Per uur",IFERROR(VLOOKUP(C289,Tarieven!$A$2:$F$200,3,0),""),IF(J289="Vaste prijs",IFERROR(VLOOKUP(C289,Tarieven!$A$2:$F$200,4,0),""),"")))</f>
        <v/>
      </c>
      <c r="L289" s="70">
        <f>IF(C289="","",IF(J289="Per uur",N(I289)*N(K289),IF(J289="Vaste prijs",N(K289),0)))</f>
        <v/>
      </c>
      <c r="M289" s="69">
        <f>IF(C289="","",IFERROR(IF(N(VLOOKUP(C289,Tarieven!$A$2:$F$200,5,0))=0,"",VLOOKUP(C289,Tarieven!$A$2:$F$200,5,0)),""))</f>
        <v/>
      </c>
      <c r="N289" s="69" t="n"/>
      <c r="O289" s="69" t="n"/>
      <c r="P289" s="70">
        <f>IF(C289="","",N(L289)+N(M289)+N(N289)+N(O289))</f>
        <v/>
      </c>
      <c r="Q289" s="58" t="n"/>
      <c r="R289" s="57" t="n"/>
      <c r="S289" s="57" t="n"/>
      <c r="T289" s="57" t="n"/>
      <c r="U289" s="62">
        <f>IF(C289="","",IF(COUNTIF(Tarieven!$A$2:$A$200,C289)=0,"Klant niet in Tarieven",IF(MOD(N(H289),1)*100&gt;59.4,"Tijd ongeldig: minuten boven 59",IF(J289="Nog bepalen","Prijstype nog bepalen",IF(AND(J289="Per uur",N(K289)=0),"Uurtarief ontbreekt",IF(AND(J289="Vaste prijs",N(K289)=0),"Vaste prijs ontbreekt",IF(AND(N(I289)=0,Q289&lt;&gt;"Niet doorgegaan / verplaatst",Q289&lt;&gt;"Geen factuur nodig"),"Geen uren",IF(AND(G289="NEE",Q289="Verstuurd"),"Verstuurd terwijl werk niet af",IF(IFERROR(VLOOKUP(C289,Tarieven!$A$2:$F$200,2,0),"")="Beide","Beide-klant: controleer prijstype","OK")))))))))</f>
        <v/>
      </c>
    </row>
    <row r="290" ht="15" customHeight="1" s="42">
      <c r="A290" s="56">
        <f>IF(B290="","",WEEKNUM(B290,21))</f>
        <v/>
      </c>
      <c r="B290" s="55" t="n"/>
      <c r="C290" s="57" t="n"/>
      <c r="D290" s="57" t="n"/>
      <c r="E290" s="57" t="n"/>
      <c r="F290" s="57" t="n"/>
      <c r="G290" s="67" t="n"/>
      <c r="H290" s="68" t="n"/>
      <c r="I290" s="61">
        <f>IF(C290="","",IF(H290&lt;&gt;"",INT(H290)+ROUND(MOD(H290,1)*100/60,2),SUMIFS(Registraties!$L$5:$L$3004,Registraties!$D$5:$D$3004,C290,Registraties!$A$5:$A$3004,B290)))</f>
        <v/>
      </c>
      <c r="J290" s="58">
        <f>IF(C290="","",IFERROR(IF(VLOOKUP(C290,Tarieven!$A$2:$F$200,2,0)="Beide","Per uur",VLOOKUP(C290,Tarieven!$A$2:$F$200,2,0)),"Nog bepalen"))</f>
        <v/>
      </c>
      <c r="K290" s="69">
        <f>IF(C290="","",IF(J290="Per uur",IFERROR(VLOOKUP(C290,Tarieven!$A$2:$F$200,3,0),""),IF(J290="Vaste prijs",IFERROR(VLOOKUP(C290,Tarieven!$A$2:$F$200,4,0),""),"")))</f>
        <v/>
      </c>
      <c r="L290" s="70">
        <f>IF(C290="","",IF(J290="Per uur",N(I290)*N(K290),IF(J290="Vaste prijs",N(K290),0)))</f>
        <v/>
      </c>
      <c r="M290" s="69">
        <f>IF(C290="","",IFERROR(IF(N(VLOOKUP(C290,Tarieven!$A$2:$F$200,5,0))=0,"",VLOOKUP(C290,Tarieven!$A$2:$F$200,5,0)),""))</f>
        <v/>
      </c>
      <c r="N290" s="69" t="n"/>
      <c r="O290" s="69" t="n"/>
      <c r="P290" s="70">
        <f>IF(C290="","",N(L290)+N(M290)+N(N290)+N(O290))</f>
        <v/>
      </c>
      <c r="Q290" s="58" t="n"/>
      <c r="R290" s="57" t="n"/>
      <c r="S290" s="57" t="n"/>
      <c r="T290" s="57" t="n"/>
      <c r="U290" s="62">
        <f>IF(C290="","",IF(COUNTIF(Tarieven!$A$2:$A$200,C290)=0,"Klant niet in Tarieven",IF(MOD(N(H290),1)*100&gt;59.4,"Tijd ongeldig: minuten boven 59",IF(J290="Nog bepalen","Prijstype nog bepalen",IF(AND(J290="Per uur",N(K290)=0),"Uurtarief ontbreekt",IF(AND(J290="Vaste prijs",N(K290)=0),"Vaste prijs ontbreekt",IF(AND(N(I290)=0,Q290&lt;&gt;"Niet doorgegaan / verplaatst",Q290&lt;&gt;"Geen factuur nodig"),"Geen uren",IF(AND(G290="NEE",Q290="Verstuurd"),"Verstuurd terwijl werk niet af",IF(IFERROR(VLOOKUP(C290,Tarieven!$A$2:$F$200,2,0),"")="Beide","Beide-klant: controleer prijstype","OK")))))))))</f>
        <v/>
      </c>
    </row>
    <row r="291" ht="15" customHeight="1" s="42">
      <c r="A291" s="56">
        <f>IF(B291="","",WEEKNUM(B291,21))</f>
        <v/>
      </c>
      <c r="B291" s="55" t="n"/>
      <c r="C291" s="57" t="n"/>
      <c r="D291" s="57" t="n"/>
      <c r="E291" s="57" t="n"/>
      <c r="F291" s="57" t="n"/>
      <c r="G291" s="67" t="n"/>
      <c r="H291" s="68" t="n"/>
      <c r="I291" s="61">
        <f>IF(C291="","",IF(H291&lt;&gt;"",INT(H291)+ROUND(MOD(H291,1)*100/60,2),SUMIFS(Registraties!$L$5:$L$3004,Registraties!$D$5:$D$3004,C291,Registraties!$A$5:$A$3004,B291)))</f>
        <v/>
      </c>
      <c r="J291" s="58">
        <f>IF(C291="","",IFERROR(IF(VLOOKUP(C291,Tarieven!$A$2:$F$200,2,0)="Beide","Per uur",VLOOKUP(C291,Tarieven!$A$2:$F$200,2,0)),"Nog bepalen"))</f>
        <v/>
      </c>
      <c r="K291" s="69">
        <f>IF(C291="","",IF(J291="Per uur",IFERROR(VLOOKUP(C291,Tarieven!$A$2:$F$200,3,0),""),IF(J291="Vaste prijs",IFERROR(VLOOKUP(C291,Tarieven!$A$2:$F$200,4,0),""),"")))</f>
        <v/>
      </c>
      <c r="L291" s="70">
        <f>IF(C291="","",IF(J291="Per uur",N(I291)*N(K291),IF(J291="Vaste prijs",N(K291),0)))</f>
        <v/>
      </c>
      <c r="M291" s="69">
        <f>IF(C291="","",IFERROR(IF(N(VLOOKUP(C291,Tarieven!$A$2:$F$200,5,0))=0,"",VLOOKUP(C291,Tarieven!$A$2:$F$200,5,0)),""))</f>
        <v/>
      </c>
      <c r="N291" s="69" t="n"/>
      <c r="O291" s="69" t="n"/>
      <c r="P291" s="70">
        <f>IF(C291="","",N(L291)+N(M291)+N(N291)+N(O291))</f>
        <v/>
      </c>
      <c r="Q291" s="58" t="n"/>
      <c r="R291" s="57" t="n"/>
      <c r="S291" s="57" t="n"/>
      <c r="T291" s="57" t="n"/>
      <c r="U291" s="62">
        <f>IF(C291="","",IF(COUNTIF(Tarieven!$A$2:$A$200,C291)=0,"Klant niet in Tarieven",IF(MOD(N(H291),1)*100&gt;59.4,"Tijd ongeldig: minuten boven 59",IF(J291="Nog bepalen","Prijstype nog bepalen",IF(AND(J291="Per uur",N(K291)=0),"Uurtarief ontbreekt",IF(AND(J291="Vaste prijs",N(K291)=0),"Vaste prijs ontbreekt",IF(AND(N(I291)=0,Q291&lt;&gt;"Niet doorgegaan / verplaatst",Q291&lt;&gt;"Geen factuur nodig"),"Geen uren",IF(AND(G291="NEE",Q291="Verstuurd"),"Verstuurd terwijl werk niet af",IF(IFERROR(VLOOKUP(C291,Tarieven!$A$2:$F$200,2,0),"")="Beide","Beide-klant: controleer prijstype","OK")))))))))</f>
        <v/>
      </c>
    </row>
    <row r="292" ht="15" customHeight="1" s="42">
      <c r="A292" s="56">
        <f>IF(B292="","",WEEKNUM(B292,21))</f>
        <v/>
      </c>
      <c r="B292" s="55" t="n"/>
      <c r="C292" s="57" t="n"/>
      <c r="D292" s="57" t="n"/>
      <c r="E292" s="57" t="n"/>
      <c r="F292" s="57" t="n"/>
      <c r="G292" s="67" t="n"/>
      <c r="H292" s="68" t="n"/>
      <c r="I292" s="61">
        <f>IF(C292="","",IF(H292&lt;&gt;"",INT(H292)+ROUND(MOD(H292,1)*100/60,2),SUMIFS(Registraties!$L$5:$L$3004,Registraties!$D$5:$D$3004,C292,Registraties!$A$5:$A$3004,B292)))</f>
        <v/>
      </c>
      <c r="J292" s="58">
        <f>IF(C292="","",IFERROR(IF(VLOOKUP(C292,Tarieven!$A$2:$F$200,2,0)="Beide","Per uur",VLOOKUP(C292,Tarieven!$A$2:$F$200,2,0)),"Nog bepalen"))</f>
        <v/>
      </c>
      <c r="K292" s="69">
        <f>IF(C292="","",IF(J292="Per uur",IFERROR(VLOOKUP(C292,Tarieven!$A$2:$F$200,3,0),""),IF(J292="Vaste prijs",IFERROR(VLOOKUP(C292,Tarieven!$A$2:$F$200,4,0),""),"")))</f>
        <v/>
      </c>
      <c r="L292" s="70">
        <f>IF(C292="","",IF(J292="Per uur",N(I292)*N(K292),IF(J292="Vaste prijs",N(K292),0)))</f>
        <v/>
      </c>
      <c r="M292" s="69">
        <f>IF(C292="","",IFERROR(IF(N(VLOOKUP(C292,Tarieven!$A$2:$F$200,5,0))=0,"",VLOOKUP(C292,Tarieven!$A$2:$F$200,5,0)),""))</f>
        <v/>
      </c>
      <c r="N292" s="69" t="n"/>
      <c r="O292" s="69" t="n"/>
      <c r="P292" s="70">
        <f>IF(C292="","",N(L292)+N(M292)+N(N292)+N(O292))</f>
        <v/>
      </c>
      <c r="Q292" s="58" t="n"/>
      <c r="R292" s="57" t="n"/>
      <c r="S292" s="57" t="n"/>
      <c r="T292" s="57" t="n"/>
      <c r="U292" s="62">
        <f>IF(C292="","",IF(COUNTIF(Tarieven!$A$2:$A$200,C292)=0,"Klant niet in Tarieven",IF(MOD(N(H292),1)*100&gt;59.4,"Tijd ongeldig: minuten boven 59",IF(J292="Nog bepalen","Prijstype nog bepalen",IF(AND(J292="Per uur",N(K292)=0),"Uurtarief ontbreekt",IF(AND(J292="Vaste prijs",N(K292)=0),"Vaste prijs ontbreekt",IF(AND(N(I292)=0,Q292&lt;&gt;"Niet doorgegaan / verplaatst",Q292&lt;&gt;"Geen factuur nodig"),"Geen uren",IF(AND(G292="NEE",Q292="Verstuurd"),"Verstuurd terwijl werk niet af",IF(IFERROR(VLOOKUP(C292,Tarieven!$A$2:$F$200,2,0),"")="Beide","Beide-klant: controleer prijstype","OK")))))))))</f>
        <v/>
      </c>
    </row>
    <row r="293" ht="15" customHeight="1" s="42">
      <c r="A293" s="56">
        <f>IF(B293="","",WEEKNUM(B293,21))</f>
        <v/>
      </c>
      <c r="B293" s="55" t="n"/>
      <c r="C293" s="57" t="n"/>
      <c r="D293" s="57" t="n"/>
      <c r="E293" s="57" t="n"/>
      <c r="F293" s="57" t="n"/>
      <c r="G293" s="67" t="n"/>
      <c r="H293" s="68" t="n"/>
      <c r="I293" s="61">
        <f>IF(C293="","",IF(H293&lt;&gt;"",INT(H293)+ROUND(MOD(H293,1)*100/60,2),SUMIFS(Registraties!$L$5:$L$3004,Registraties!$D$5:$D$3004,C293,Registraties!$A$5:$A$3004,B293)))</f>
        <v/>
      </c>
      <c r="J293" s="58">
        <f>IF(C293="","",IFERROR(IF(VLOOKUP(C293,Tarieven!$A$2:$F$200,2,0)="Beide","Per uur",VLOOKUP(C293,Tarieven!$A$2:$F$200,2,0)),"Nog bepalen"))</f>
        <v/>
      </c>
      <c r="K293" s="69">
        <f>IF(C293="","",IF(J293="Per uur",IFERROR(VLOOKUP(C293,Tarieven!$A$2:$F$200,3,0),""),IF(J293="Vaste prijs",IFERROR(VLOOKUP(C293,Tarieven!$A$2:$F$200,4,0),""),"")))</f>
        <v/>
      </c>
      <c r="L293" s="70">
        <f>IF(C293="","",IF(J293="Per uur",N(I293)*N(K293),IF(J293="Vaste prijs",N(K293),0)))</f>
        <v/>
      </c>
      <c r="M293" s="69">
        <f>IF(C293="","",IFERROR(IF(N(VLOOKUP(C293,Tarieven!$A$2:$F$200,5,0))=0,"",VLOOKUP(C293,Tarieven!$A$2:$F$200,5,0)),""))</f>
        <v/>
      </c>
      <c r="N293" s="69" t="n"/>
      <c r="O293" s="69" t="n"/>
      <c r="P293" s="70">
        <f>IF(C293="","",N(L293)+N(M293)+N(N293)+N(O293))</f>
        <v/>
      </c>
      <c r="Q293" s="58" t="n"/>
      <c r="R293" s="57" t="n"/>
      <c r="S293" s="57" t="n"/>
      <c r="T293" s="57" t="n"/>
      <c r="U293" s="62">
        <f>IF(C293="","",IF(COUNTIF(Tarieven!$A$2:$A$200,C293)=0,"Klant niet in Tarieven",IF(MOD(N(H293),1)*100&gt;59.4,"Tijd ongeldig: minuten boven 59",IF(J293="Nog bepalen","Prijstype nog bepalen",IF(AND(J293="Per uur",N(K293)=0),"Uurtarief ontbreekt",IF(AND(J293="Vaste prijs",N(K293)=0),"Vaste prijs ontbreekt",IF(AND(N(I293)=0,Q293&lt;&gt;"Niet doorgegaan / verplaatst",Q293&lt;&gt;"Geen factuur nodig"),"Geen uren",IF(AND(G293="NEE",Q293="Verstuurd"),"Verstuurd terwijl werk niet af",IF(IFERROR(VLOOKUP(C293,Tarieven!$A$2:$F$200,2,0),"")="Beide","Beide-klant: controleer prijstype","OK")))))))))</f>
        <v/>
      </c>
    </row>
    <row r="294" ht="15" customHeight="1" s="42">
      <c r="A294" s="56">
        <f>IF(B294="","",WEEKNUM(B294,21))</f>
        <v/>
      </c>
      <c r="B294" s="55" t="n"/>
      <c r="C294" s="57" t="n"/>
      <c r="D294" s="57" t="n"/>
      <c r="E294" s="57" t="n"/>
      <c r="F294" s="57" t="n"/>
      <c r="G294" s="67" t="n"/>
      <c r="H294" s="68" t="n"/>
      <c r="I294" s="61">
        <f>IF(C294="","",IF(H294&lt;&gt;"",INT(H294)+ROUND(MOD(H294,1)*100/60,2),SUMIFS(Registraties!$L$5:$L$3004,Registraties!$D$5:$D$3004,C294,Registraties!$A$5:$A$3004,B294)))</f>
        <v/>
      </c>
      <c r="J294" s="58">
        <f>IF(C294="","",IFERROR(IF(VLOOKUP(C294,Tarieven!$A$2:$F$200,2,0)="Beide","Per uur",VLOOKUP(C294,Tarieven!$A$2:$F$200,2,0)),"Nog bepalen"))</f>
        <v/>
      </c>
      <c r="K294" s="69">
        <f>IF(C294="","",IF(J294="Per uur",IFERROR(VLOOKUP(C294,Tarieven!$A$2:$F$200,3,0),""),IF(J294="Vaste prijs",IFERROR(VLOOKUP(C294,Tarieven!$A$2:$F$200,4,0),""),"")))</f>
        <v/>
      </c>
      <c r="L294" s="70">
        <f>IF(C294="","",IF(J294="Per uur",N(I294)*N(K294),IF(J294="Vaste prijs",N(K294),0)))</f>
        <v/>
      </c>
      <c r="M294" s="69">
        <f>IF(C294="","",IFERROR(IF(N(VLOOKUP(C294,Tarieven!$A$2:$F$200,5,0))=0,"",VLOOKUP(C294,Tarieven!$A$2:$F$200,5,0)),""))</f>
        <v/>
      </c>
      <c r="N294" s="69" t="n"/>
      <c r="O294" s="69" t="n"/>
      <c r="P294" s="70">
        <f>IF(C294="","",N(L294)+N(M294)+N(N294)+N(O294))</f>
        <v/>
      </c>
      <c r="Q294" s="58" t="n"/>
      <c r="R294" s="57" t="n"/>
      <c r="S294" s="57" t="n"/>
      <c r="T294" s="57" t="n"/>
      <c r="U294" s="62">
        <f>IF(C294="","",IF(COUNTIF(Tarieven!$A$2:$A$200,C294)=0,"Klant niet in Tarieven",IF(MOD(N(H294),1)*100&gt;59.4,"Tijd ongeldig: minuten boven 59",IF(J294="Nog bepalen","Prijstype nog bepalen",IF(AND(J294="Per uur",N(K294)=0),"Uurtarief ontbreekt",IF(AND(J294="Vaste prijs",N(K294)=0),"Vaste prijs ontbreekt",IF(AND(N(I294)=0,Q294&lt;&gt;"Niet doorgegaan / verplaatst",Q294&lt;&gt;"Geen factuur nodig"),"Geen uren",IF(AND(G294="NEE",Q294="Verstuurd"),"Verstuurd terwijl werk niet af",IF(IFERROR(VLOOKUP(C294,Tarieven!$A$2:$F$200,2,0),"")="Beide","Beide-klant: controleer prijstype","OK")))))))))</f>
        <v/>
      </c>
    </row>
    <row r="295" ht="15" customHeight="1" s="42">
      <c r="A295" s="56">
        <f>IF(B295="","",WEEKNUM(B295,21))</f>
        <v/>
      </c>
      <c r="B295" s="55" t="n"/>
      <c r="C295" s="57" t="n"/>
      <c r="D295" s="57" t="n"/>
      <c r="E295" s="57" t="n"/>
      <c r="F295" s="57" t="n"/>
      <c r="G295" s="67" t="n"/>
      <c r="H295" s="68" t="n"/>
      <c r="I295" s="61">
        <f>IF(C295="","",IF(H295&lt;&gt;"",INT(H295)+ROUND(MOD(H295,1)*100/60,2),SUMIFS(Registraties!$L$5:$L$3004,Registraties!$D$5:$D$3004,C295,Registraties!$A$5:$A$3004,B295)))</f>
        <v/>
      </c>
      <c r="J295" s="58">
        <f>IF(C295="","",IFERROR(IF(VLOOKUP(C295,Tarieven!$A$2:$F$200,2,0)="Beide","Per uur",VLOOKUP(C295,Tarieven!$A$2:$F$200,2,0)),"Nog bepalen"))</f>
        <v/>
      </c>
      <c r="K295" s="69">
        <f>IF(C295="","",IF(J295="Per uur",IFERROR(VLOOKUP(C295,Tarieven!$A$2:$F$200,3,0),""),IF(J295="Vaste prijs",IFERROR(VLOOKUP(C295,Tarieven!$A$2:$F$200,4,0),""),"")))</f>
        <v/>
      </c>
      <c r="L295" s="70">
        <f>IF(C295="","",IF(J295="Per uur",N(I295)*N(K295),IF(J295="Vaste prijs",N(K295),0)))</f>
        <v/>
      </c>
      <c r="M295" s="69">
        <f>IF(C295="","",IFERROR(IF(N(VLOOKUP(C295,Tarieven!$A$2:$F$200,5,0))=0,"",VLOOKUP(C295,Tarieven!$A$2:$F$200,5,0)),""))</f>
        <v/>
      </c>
      <c r="N295" s="69" t="n"/>
      <c r="O295" s="69" t="n"/>
      <c r="P295" s="70">
        <f>IF(C295="","",N(L295)+N(M295)+N(N295)+N(O295))</f>
        <v/>
      </c>
      <c r="Q295" s="58" t="n"/>
      <c r="R295" s="57" t="n"/>
      <c r="S295" s="57" t="n"/>
      <c r="T295" s="57" t="n"/>
      <c r="U295" s="62">
        <f>IF(C295="","",IF(COUNTIF(Tarieven!$A$2:$A$200,C295)=0,"Klant niet in Tarieven",IF(MOD(N(H295),1)*100&gt;59.4,"Tijd ongeldig: minuten boven 59",IF(J295="Nog bepalen","Prijstype nog bepalen",IF(AND(J295="Per uur",N(K295)=0),"Uurtarief ontbreekt",IF(AND(J295="Vaste prijs",N(K295)=0),"Vaste prijs ontbreekt",IF(AND(N(I295)=0,Q295&lt;&gt;"Niet doorgegaan / verplaatst",Q295&lt;&gt;"Geen factuur nodig"),"Geen uren",IF(AND(G295="NEE",Q295="Verstuurd"),"Verstuurd terwijl werk niet af",IF(IFERROR(VLOOKUP(C295,Tarieven!$A$2:$F$200,2,0),"")="Beide","Beide-klant: controleer prijstype","OK")))))))))</f>
        <v/>
      </c>
    </row>
    <row r="296" ht="15" customHeight="1" s="42">
      <c r="A296" s="56">
        <f>IF(B296="","",WEEKNUM(B296,21))</f>
        <v/>
      </c>
      <c r="B296" s="55" t="n"/>
      <c r="C296" s="57" t="n"/>
      <c r="D296" s="57" t="n"/>
      <c r="E296" s="57" t="n"/>
      <c r="F296" s="57" t="n"/>
      <c r="G296" s="67" t="n"/>
      <c r="H296" s="68" t="n"/>
      <c r="I296" s="61">
        <f>IF(C296="","",IF(H296&lt;&gt;"",INT(H296)+ROUND(MOD(H296,1)*100/60,2),SUMIFS(Registraties!$L$5:$L$3004,Registraties!$D$5:$D$3004,C296,Registraties!$A$5:$A$3004,B296)))</f>
        <v/>
      </c>
      <c r="J296" s="58">
        <f>IF(C296="","",IFERROR(IF(VLOOKUP(C296,Tarieven!$A$2:$F$200,2,0)="Beide","Per uur",VLOOKUP(C296,Tarieven!$A$2:$F$200,2,0)),"Nog bepalen"))</f>
        <v/>
      </c>
      <c r="K296" s="69">
        <f>IF(C296="","",IF(J296="Per uur",IFERROR(VLOOKUP(C296,Tarieven!$A$2:$F$200,3,0),""),IF(J296="Vaste prijs",IFERROR(VLOOKUP(C296,Tarieven!$A$2:$F$200,4,0),""),"")))</f>
        <v/>
      </c>
      <c r="L296" s="70">
        <f>IF(C296="","",IF(J296="Per uur",N(I296)*N(K296),IF(J296="Vaste prijs",N(K296),0)))</f>
        <v/>
      </c>
      <c r="M296" s="69">
        <f>IF(C296="","",IFERROR(IF(N(VLOOKUP(C296,Tarieven!$A$2:$F$200,5,0))=0,"",VLOOKUP(C296,Tarieven!$A$2:$F$200,5,0)),""))</f>
        <v/>
      </c>
      <c r="N296" s="69" t="n"/>
      <c r="O296" s="69" t="n"/>
      <c r="P296" s="70">
        <f>IF(C296="","",N(L296)+N(M296)+N(N296)+N(O296))</f>
        <v/>
      </c>
      <c r="Q296" s="58" t="n"/>
      <c r="R296" s="57" t="n"/>
      <c r="S296" s="57" t="n"/>
      <c r="T296" s="57" t="n"/>
      <c r="U296" s="62">
        <f>IF(C296="","",IF(COUNTIF(Tarieven!$A$2:$A$200,C296)=0,"Klant niet in Tarieven",IF(MOD(N(H296),1)*100&gt;59.4,"Tijd ongeldig: minuten boven 59",IF(J296="Nog bepalen","Prijstype nog bepalen",IF(AND(J296="Per uur",N(K296)=0),"Uurtarief ontbreekt",IF(AND(J296="Vaste prijs",N(K296)=0),"Vaste prijs ontbreekt",IF(AND(N(I296)=0,Q296&lt;&gt;"Niet doorgegaan / verplaatst",Q296&lt;&gt;"Geen factuur nodig"),"Geen uren",IF(AND(G296="NEE",Q296="Verstuurd"),"Verstuurd terwijl werk niet af",IF(IFERROR(VLOOKUP(C296,Tarieven!$A$2:$F$200,2,0),"")="Beide","Beide-klant: controleer prijstype","OK")))))))))</f>
        <v/>
      </c>
    </row>
    <row r="297" ht="15" customHeight="1" s="42">
      <c r="A297" s="56">
        <f>IF(B297="","",WEEKNUM(B297,21))</f>
        <v/>
      </c>
      <c r="B297" s="55" t="n"/>
      <c r="C297" s="57" t="n"/>
      <c r="D297" s="57" t="n"/>
      <c r="E297" s="57" t="n"/>
      <c r="F297" s="57" t="n"/>
      <c r="G297" s="67" t="n"/>
      <c r="H297" s="68" t="n"/>
      <c r="I297" s="61">
        <f>IF(C297="","",IF(H297&lt;&gt;"",INT(H297)+ROUND(MOD(H297,1)*100/60,2),SUMIFS(Registraties!$L$5:$L$3004,Registraties!$D$5:$D$3004,C297,Registraties!$A$5:$A$3004,B297)))</f>
        <v/>
      </c>
      <c r="J297" s="58">
        <f>IF(C297="","",IFERROR(IF(VLOOKUP(C297,Tarieven!$A$2:$F$200,2,0)="Beide","Per uur",VLOOKUP(C297,Tarieven!$A$2:$F$200,2,0)),"Nog bepalen"))</f>
        <v/>
      </c>
      <c r="K297" s="69">
        <f>IF(C297="","",IF(J297="Per uur",IFERROR(VLOOKUP(C297,Tarieven!$A$2:$F$200,3,0),""),IF(J297="Vaste prijs",IFERROR(VLOOKUP(C297,Tarieven!$A$2:$F$200,4,0),""),"")))</f>
        <v/>
      </c>
      <c r="L297" s="70">
        <f>IF(C297="","",IF(J297="Per uur",N(I297)*N(K297),IF(J297="Vaste prijs",N(K297),0)))</f>
        <v/>
      </c>
      <c r="M297" s="69">
        <f>IF(C297="","",IFERROR(IF(N(VLOOKUP(C297,Tarieven!$A$2:$F$200,5,0))=0,"",VLOOKUP(C297,Tarieven!$A$2:$F$200,5,0)),""))</f>
        <v/>
      </c>
      <c r="N297" s="69" t="n"/>
      <c r="O297" s="69" t="n"/>
      <c r="P297" s="70">
        <f>IF(C297="","",N(L297)+N(M297)+N(N297)+N(O297))</f>
        <v/>
      </c>
      <c r="Q297" s="58" t="n"/>
      <c r="R297" s="57" t="n"/>
      <c r="S297" s="57" t="n"/>
      <c r="T297" s="57" t="n"/>
      <c r="U297" s="62">
        <f>IF(C297="","",IF(COUNTIF(Tarieven!$A$2:$A$200,C297)=0,"Klant niet in Tarieven",IF(MOD(N(H297),1)*100&gt;59.4,"Tijd ongeldig: minuten boven 59",IF(J297="Nog bepalen","Prijstype nog bepalen",IF(AND(J297="Per uur",N(K297)=0),"Uurtarief ontbreekt",IF(AND(J297="Vaste prijs",N(K297)=0),"Vaste prijs ontbreekt",IF(AND(N(I297)=0,Q297&lt;&gt;"Niet doorgegaan / verplaatst",Q297&lt;&gt;"Geen factuur nodig"),"Geen uren",IF(AND(G297="NEE",Q297="Verstuurd"),"Verstuurd terwijl werk niet af",IF(IFERROR(VLOOKUP(C297,Tarieven!$A$2:$F$200,2,0),"")="Beide","Beide-klant: controleer prijstype","OK")))))))))</f>
        <v/>
      </c>
    </row>
    <row r="298" ht="15" customHeight="1" s="42">
      <c r="A298" s="56">
        <f>IF(B298="","",WEEKNUM(B298,21))</f>
        <v/>
      </c>
      <c r="B298" s="55" t="n"/>
      <c r="C298" s="57" t="n"/>
      <c r="D298" s="57" t="n"/>
      <c r="E298" s="57" t="n"/>
      <c r="F298" s="57" t="n"/>
      <c r="G298" s="67" t="n"/>
      <c r="H298" s="68" t="n"/>
      <c r="I298" s="61">
        <f>IF(C298="","",IF(H298&lt;&gt;"",INT(H298)+ROUND(MOD(H298,1)*100/60,2),SUMIFS(Registraties!$L$5:$L$3004,Registraties!$D$5:$D$3004,C298,Registraties!$A$5:$A$3004,B298)))</f>
        <v/>
      </c>
      <c r="J298" s="58">
        <f>IF(C298="","",IFERROR(IF(VLOOKUP(C298,Tarieven!$A$2:$F$200,2,0)="Beide","Per uur",VLOOKUP(C298,Tarieven!$A$2:$F$200,2,0)),"Nog bepalen"))</f>
        <v/>
      </c>
      <c r="K298" s="69">
        <f>IF(C298="","",IF(J298="Per uur",IFERROR(VLOOKUP(C298,Tarieven!$A$2:$F$200,3,0),""),IF(J298="Vaste prijs",IFERROR(VLOOKUP(C298,Tarieven!$A$2:$F$200,4,0),""),"")))</f>
        <v/>
      </c>
      <c r="L298" s="70">
        <f>IF(C298="","",IF(J298="Per uur",N(I298)*N(K298),IF(J298="Vaste prijs",N(K298),0)))</f>
        <v/>
      </c>
      <c r="M298" s="69">
        <f>IF(C298="","",IFERROR(IF(N(VLOOKUP(C298,Tarieven!$A$2:$F$200,5,0))=0,"",VLOOKUP(C298,Tarieven!$A$2:$F$200,5,0)),""))</f>
        <v/>
      </c>
      <c r="N298" s="69" t="n"/>
      <c r="O298" s="69" t="n"/>
      <c r="P298" s="70">
        <f>IF(C298="","",N(L298)+N(M298)+N(N298)+N(O298))</f>
        <v/>
      </c>
      <c r="Q298" s="58" t="n"/>
      <c r="R298" s="57" t="n"/>
      <c r="S298" s="57" t="n"/>
      <c r="T298" s="57" t="n"/>
      <c r="U298" s="62">
        <f>IF(C298="","",IF(COUNTIF(Tarieven!$A$2:$A$200,C298)=0,"Klant niet in Tarieven",IF(MOD(N(H298),1)*100&gt;59.4,"Tijd ongeldig: minuten boven 59",IF(J298="Nog bepalen","Prijstype nog bepalen",IF(AND(J298="Per uur",N(K298)=0),"Uurtarief ontbreekt",IF(AND(J298="Vaste prijs",N(K298)=0),"Vaste prijs ontbreekt",IF(AND(N(I298)=0,Q298&lt;&gt;"Niet doorgegaan / verplaatst",Q298&lt;&gt;"Geen factuur nodig"),"Geen uren",IF(AND(G298="NEE",Q298="Verstuurd"),"Verstuurd terwijl werk niet af",IF(IFERROR(VLOOKUP(C298,Tarieven!$A$2:$F$200,2,0),"")="Beide","Beide-klant: controleer prijstype","OK")))))))))</f>
        <v/>
      </c>
    </row>
    <row r="299" ht="15" customHeight="1" s="42">
      <c r="A299" s="56">
        <f>IF(B299="","",WEEKNUM(B299,21))</f>
        <v/>
      </c>
      <c r="B299" s="55" t="n"/>
      <c r="C299" s="57" t="n"/>
      <c r="D299" s="57" t="n"/>
      <c r="E299" s="57" t="n"/>
      <c r="F299" s="57" t="n"/>
      <c r="G299" s="67" t="n"/>
      <c r="H299" s="68" t="n"/>
      <c r="I299" s="61">
        <f>IF(C299="","",IF(H299&lt;&gt;"",INT(H299)+ROUND(MOD(H299,1)*100/60,2),SUMIFS(Registraties!$L$5:$L$3004,Registraties!$D$5:$D$3004,C299,Registraties!$A$5:$A$3004,B299)))</f>
        <v/>
      </c>
      <c r="J299" s="58">
        <f>IF(C299="","",IFERROR(IF(VLOOKUP(C299,Tarieven!$A$2:$F$200,2,0)="Beide","Per uur",VLOOKUP(C299,Tarieven!$A$2:$F$200,2,0)),"Nog bepalen"))</f>
        <v/>
      </c>
      <c r="K299" s="69">
        <f>IF(C299="","",IF(J299="Per uur",IFERROR(VLOOKUP(C299,Tarieven!$A$2:$F$200,3,0),""),IF(J299="Vaste prijs",IFERROR(VLOOKUP(C299,Tarieven!$A$2:$F$200,4,0),""),"")))</f>
        <v/>
      </c>
      <c r="L299" s="70">
        <f>IF(C299="","",IF(J299="Per uur",N(I299)*N(K299),IF(J299="Vaste prijs",N(K299),0)))</f>
        <v/>
      </c>
      <c r="M299" s="69">
        <f>IF(C299="","",IFERROR(IF(N(VLOOKUP(C299,Tarieven!$A$2:$F$200,5,0))=0,"",VLOOKUP(C299,Tarieven!$A$2:$F$200,5,0)),""))</f>
        <v/>
      </c>
      <c r="N299" s="69" t="n"/>
      <c r="O299" s="69" t="n"/>
      <c r="P299" s="70">
        <f>IF(C299="","",N(L299)+N(M299)+N(N299)+N(O299))</f>
        <v/>
      </c>
      <c r="Q299" s="58" t="n"/>
      <c r="R299" s="57" t="n"/>
      <c r="S299" s="57" t="n"/>
      <c r="T299" s="57" t="n"/>
      <c r="U299" s="62">
        <f>IF(C299="","",IF(COUNTIF(Tarieven!$A$2:$A$200,C299)=0,"Klant niet in Tarieven",IF(MOD(N(H299),1)*100&gt;59.4,"Tijd ongeldig: minuten boven 59",IF(J299="Nog bepalen","Prijstype nog bepalen",IF(AND(J299="Per uur",N(K299)=0),"Uurtarief ontbreekt",IF(AND(J299="Vaste prijs",N(K299)=0),"Vaste prijs ontbreekt",IF(AND(N(I299)=0,Q299&lt;&gt;"Niet doorgegaan / verplaatst",Q299&lt;&gt;"Geen factuur nodig"),"Geen uren",IF(AND(G299="NEE",Q299="Verstuurd"),"Verstuurd terwijl werk niet af",IF(IFERROR(VLOOKUP(C299,Tarieven!$A$2:$F$200,2,0),"")="Beide","Beide-klant: controleer prijstype","OK")))))))))</f>
        <v/>
      </c>
    </row>
    <row r="300" ht="15" customHeight="1" s="42">
      <c r="A300" s="56">
        <f>IF(B300="","",WEEKNUM(B300,21))</f>
        <v/>
      </c>
      <c r="B300" s="55" t="n"/>
      <c r="C300" s="57" t="n"/>
      <c r="D300" s="57" t="n"/>
      <c r="E300" s="57" t="n"/>
      <c r="F300" s="57" t="n"/>
      <c r="G300" s="67" t="n"/>
      <c r="H300" s="68" t="n"/>
      <c r="I300" s="61">
        <f>IF(C300="","",IF(H300&lt;&gt;"",INT(H300)+ROUND(MOD(H300,1)*100/60,2),SUMIFS(Registraties!$L$5:$L$3004,Registraties!$D$5:$D$3004,C300,Registraties!$A$5:$A$3004,B300)))</f>
        <v/>
      </c>
      <c r="J300" s="58">
        <f>IF(C300="","",IFERROR(IF(VLOOKUP(C300,Tarieven!$A$2:$F$200,2,0)="Beide","Per uur",VLOOKUP(C300,Tarieven!$A$2:$F$200,2,0)),"Nog bepalen"))</f>
        <v/>
      </c>
      <c r="K300" s="69">
        <f>IF(C300="","",IF(J300="Per uur",IFERROR(VLOOKUP(C300,Tarieven!$A$2:$F$200,3,0),""),IF(J300="Vaste prijs",IFERROR(VLOOKUP(C300,Tarieven!$A$2:$F$200,4,0),""),"")))</f>
        <v/>
      </c>
      <c r="L300" s="70">
        <f>IF(C300="","",IF(J300="Per uur",N(I300)*N(K300),IF(J300="Vaste prijs",N(K300),0)))</f>
        <v/>
      </c>
      <c r="M300" s="69">
        <f>IF(C300="","",IFERROR(IF(N(VLOOKUP(C300,Tarieven!$A$2:$F$200,5,0))=0,"",VLOOKUP(C300,Tarieven!$A$2:$F$200,5,0)),""))</f>
        <v/>
      </c>
      <c r="N300" s="69" t="n"/>
      <c r="O300" s="69" t="n"/>
      <c r="P300" s="70">
        <f>IF(C300="","",N(L300)+N(M300)+N(N300)+N(O300))</f>
        <v/>
      </c>
      <c r="Q300" s="58" t="n"/>
      <c r="R300" s="57" t="n"/>
      <c r="S300" s="57" t="n"/>
      <c r="T300" s="57" t="n"/>
      <c r="U300" s="62">
        <f>IF(C300="","",IF(COUNTIF(Tarieven!$A$2:$A$200,C300)=0,"Klant niet in Tarieven",IF(MOD(N(H300),1)*100&gt;59.4,"Tijd ongeldig: minuten boven 59",IF(J300="Nog bepalen","Prijstype nog bepalen",IF(AND(J300="Per uur",N(K300)=0),"Uurtarief ontbreekt",IF(AND(J300="Vaste prijs",N(K300)=0),"Vaste prijs ontbreekt",IF(AND(N(I300)=0,Q300&lt;&gt;"Niet doorgegaan / verplaatst",Q300&lt;&gt;"Geen factuur nodig"),"Geen uren",IF(AND(G300="NEE",Q300="Verstuurd"),"Verstuurd terwijl werk niet af",IF(IFERROR(VLOOKUP(C300,Tarieven!$A$2:$F$200,2,0),"")="Beide","Beide-klant: controleer prijstype","OK")))))))))</f>
        <v/>
      </c>
    </row>
    <row r="301" ht="15" customHeight="1" s="42">
      <c r="A301" s="56">
        <f>IF(B301="","",WEEKNUM(B301,21))</f>
        <v/>
      </c>
      <c r="B301" s="55" t="n"/>
      <c r="C301" s="57" t="n"/>
      <c r="D301" s="57" t="n"/>
      <c r="E301" s="57" t="n"/>
      <c r="F301" s="57" t="n"/>
      <c r="G301" s="67" t="n"/>
      <c r="H301" s="68" t="n"/>
      <c r="I301" s="61">
        <f>IF(C301="","",IF(H301&lt;&gt;"",INT(H301)+ROUND(MOD(H301,1)*100/60,2),SUMIFS(Registraties!$L$5:$L$3004,Registraties!$D$5:$D$3004,C301,Registraties!$A$5:$A$3004,B301)))</f>
        <v/>
      </c>
      <c r="J301" s="58">
        <f>IF(C301="","",IFERROR(IF(VLOOKUP(C301,Tarieven!$A$2:$F$200,2,0)="Beide","Per uur",VLOOKUP(C301,Tarieven!$A$2:$F$200,2,0)),"Nog bepalen"))</f>
        <v/>
      </c>
      <c r="K301" s="69">
        <f>IF(C301="","",IF(J301="Per uur",IFERROR(VLOOKUP(C301,Tarieven!$A$2:$F$200,3,0),""),IF(J301="Vaste prijs",IFERROR(VLOOKUP(C301,Tarieven!$A$2:$F$200,4,0),""),"")))</f>
        <v/>
      </c>
      <c r="L301" s="70">
        <f>IF(C301="","",IF(J301="Per uur",N(I301)*N(K301),IF(J301="Vaste prijs",N(K301),0)))</f>
        <v/>
      </c>
      <c r="M301" s="69">
        <f>IF(C301="","",IFERROR(IF(N(VLOOKUP(C301,Tarieven!$A$2:$F$200,5,0))=0,"",VLOOKUP(C301,Tarieven!$A$2:$F$200,5,0)),""))</f>
        <v/>
      </c>
      <c r="N301" s="69" t="n"/>
      <c r="O301" s="69" t="n"/>
      <c r="P301" s="70">
        <f>IF(C301="","",N(L301)+N(M301)+N(N301)+N(O301))</f>
        <v/>
      </c>
      <c r="Q301" s="58" t="n"/>
      <c r="R301" s="57" t="n"/>
      <c r="S301" s="57" t="n"/>
      <c r="T301" s="57" t="n"/>
      <c r="U301" s="62">
        <f>IF(C301="","",IF(COUNTIF(Tarieven!$A$2:$A$200,C301)=0,"Klant niet in Tarieven",IF(MOD(N(H301),1)*100&gt;59.4,"Tijd ongeldig: minuten boven 59",IF(J301="Nog bepalen","Prijstype nog bepalen",IF(AND(J301="Per uur",N(K301)=0),"Uurtarief ontbreekt",IF(AND(J301="Vaste prijs",N(K301)=0),"Vaste prijs ontbreekt",IF(AND(N(I301)=0,Q301&lt;&gt;"Niet doorgegaan / verplaatst",Q301&lt;&gt;"Geen factuur nodig"),"Geen uren",IF(AND(G301="NEE",Q301="Verstuurd"),"Verstuurd terwijl werk niet af",IF(IFERROR(VLOOKUP(C301,Tarieven!$A$2:$F$200,2,0),"")="Beide","Beide-klant: controleer prijstype","OK")))))))))</f>
        <v/>
      </c>
    </row>
    <row r="302" ht="15" customHeight="1" s="42">
      <c r="A302" s="56">
        <f>IF(B302="","",WEEKNUM(B302,21))</f>
        <v/>
      </c>
      <c r="B302" s="55" t="n"/>
      <c r="C302" s="57" t="n"/>
      <c r="D302" s="57" t="n"/>
      <c r="E302" s="57" t="n"/>
      <c r="F302" s="57" t="n"/>
      <c r="G302" s="67" t="n"/>
      <c r="H302" s="68" t="n"/>
      <c r="I302" s="61">
        <f>IF(C302="","",IF(H302&lt;&gt;"",INT(H302)+ROUND(MOD(H302,1)*100/60,2),SUMIFS(Registraties!$L$5:$L$3004,Registraties!$D$5:$D$3004,C302,Registraties!$A$5:$A$3004,B302)))</f>
        <v/>
      </c>
      <c r="J302" s="58">
        <f>IF(C302="","",IFERROR(IF(VLOOKUP(C302,Tarieven!$A$2:$F$200,2,0)="Beide","Per uur",VLOOKUP(C302,Tarieven!$A$2:$F$200,2,0)),"Nog bepalen"))</f>
        <v/>
      </c>
      <c r="K302" s="69">
        <f>IF(C302="","",IF(J302="Per uur",IFERROR(VLOOKUP(C302,Tarieven!$A$2:$F$200,3,0),""),IF(J302="Vaste prijs",IFERROR(VLOOKUP(C302,Tarieven!$A$2:$F$200,4,0),""),"")))</f>
        <v/>
      </c>
      <c r="L302" s="70">
        <f>IF(C302="","",IF(J302="Per uur",N(I302)*N(K302),IF(J302="Vaste prijs",N(K302),0)))</f>
        <v/>
      </c>
      <c r="M302" s="69">
        <f>IF(C302="","",IFERROR(IF(N(VLOOKUP(C302,Tarieven!$A$2:$F$200,5,0))=0,"",VLOOKUP(C302,Tarieven!$A$2:$F$200,5,0)),""))</f>
        <v/>
      </c>
      <c r="N302" s="69" t="n"/>
      <c r="O302" s="69" t="n"/>
      <c r="P302" s="70">
        <f>IF(C302="","",N(L302)+N(M302)+N(N302)+N(O302))</f>
        <v/>
      </c>
      <c r="Q302" s="58" t="n"/>
      <c r="R302" s="57" t="n"/>
      <c r="S302" s="57" t="n"/>
      <c r="T302" s="57" t="n"/>
      <c r="U302" s="62">
        <f>IF(C302="","",IF(COUNTIF(Tarieven!$A$2:$A$200,C302)=0,"Klant niet in Tarieven",IF(MOD(N(H302),1)*100&gt;59.4,"Tijd ongeldig: minuten boven 59",IF(J302="Nog bepalen","Prijstype nog bepalen",IF(AND(J302="Per uur",N(K302)=0),"Uurtarief ontbreekt",IF(AND(J302="Vaste prijs",N(K302)=0),"Vaste prijs ontbreekt",IF(AND(N(I302)=0,Q302&lt;&gt;"Niet doorgegaan / verplaatst",Q302&lt;&gt;"Geen factuur nodig"),"Geen uren",IF(AND(G302="NEE",Q302="Verstuurd"),"Verstuurd terwijl werk niet af",IF(IFERROR(VLOOKUP(C302,Tarieven!$A$2:$F$200,2,0),"")="Beide","Beide-klant: controleer prijstype","OK")))))))))</f>
        <v/>
      </c>
    </row>
    <row r="303" ht="15" customHeight="1" s="42">
      <c r="A303" s="56">
        <f>IF(B303="","",WEEKNUM(B303,21))</f>
        <v/>
      </c>
      <c r="B303" s="55" t="n"/>
      <c r="C303" s="57" t="n"/>
      <c r="D303" s="57" t="n"/>
      <c r="E303" s="57" t="n"/>
      <c r="F303" s="57" t="n"/>
      <c r="G303" s="67" t="n"/>
      <c r="H303" s="68" t="n"/>
      <c r="I303" s="61">
        <f>IF(C303="","",IF(H303&lt;&gt;"",INT(H303)+ROUND(MOD(H303,1)*100/60,2),SUMIFS(Registraties!$L$5:$L$3004,Registraties!$D$5:$D$3004,C303,Registraties!$A$5:$A$3004,B303)))</f>
        <v/>
      </c>
      <c r="J303" s="58">
        <f>IF(C303="","",IFERROR(IF(VLOOKUP(C303,Tarieven!$A$2:$F$200,2,0)="Beide","Per uur",VLOOKUP(C303,Tarieven!$A$2:$F$200,2,0)),"Nog bepalen"))</f>
        <v/>
      </c>
      <c r="K303" s="69">
        <f>IF(C303="","",IF(J303="Per uur",IFERROR(VLOOKUP(C303,Tarieven!$A$2:$F$200,3,0),""),IF(J303="Vaste prijs",IFERROR(VLOOKUP(C303,Tarieven!$A$2:$F$200,4,0),""),"")))</f>
        <v/>
      </c>
      <c r="L303" s="70">
        <f>IF(C303="","",IF(J303="Per uur",N(I303)*N(K303),IF(J303="Vaste prijs",N(K303),0)))</f>
        <v/>
      </c>
      <c r="M303" s="69">
        <f>IF(C303="","",IFERROR(IF(N(VLOOKUP(C303,Tarieven!$A$2:$F$200,5,0))=0,"",VLOOKUP(C303,Tarieven!$A$2:$F$200,5,0)),""))</f>
        <v/>
      </c>
      <c r="N303" s="69" t="n"/>
      <c r="O303" s="69" t="n"/>
      <c r="P303" s="70">
        <f>IF(C303="","",N(L303)+N(M303)+N(N303)+N(O303))</f>
        <v/>
      </c>
      <c r="Q303" s="58" t="n"/>
      <c r="R303" s="57" t="n"/>
      <c r="S303" s="57" t="n"/>
      <c r="T303" s="57" t="n"/>
      <c r="U303" s="62">
        <f>IF(C303="","",IF(COUNTIF(Tarieven!$A$2:$A$200,C303)=0,"Klant niet in Tarieven",IF(MOD(N(H303),1)*100&gt;59.4,"Tijd ongeldig: minuten boven 59",IF(J303="Nog bepalen","Prijstype nog bepalen",IF(AND(J303="Per uur",N(K303)=0),"Uurtarief ontbreekt",IF(AND(J303="Vaste prijs",N(K303)=0),"Vaste prijs ontbreekt",IF(AND(N(I303)=0,Q303&lt;&gt;"Niet doorgegaan / verplaatst",Q303&lt;&gt;"Geen factuur nodig"),"Geen uren",IF(AND(G303="NEE",Q303="Verstuurd"),"Verstuurd terwijl werk niet af",IF(IFERROR(VLOOKUP(C303,Tarieven!$A$2:$F$200,2,0),"")="Beide","Beide-klant: controleer prijstype","OK")))))))))</f>
        <v/>
      </c>
    </row>
    <row r="304" ht="15" customHeight="1" s="42">
      <c r="A304" s="56">
        <f>IF(B304="","",WEEKNUM(B304,21))</f>
        <v/>
      </c>
      <c r="B304" s="55" t="n"/>
      <c r="C304" s="57" t="n"/>
      <c r="D304" s="57" t="n"/>
      <c r="E304" s="57" t="n"/>
      <c r="F304" s="57" t="n"/>
      <c r="G304" s="67" t="n"/>
      <c r="H304" s="68" t="n"/>
      <c r="I304" s="61">
        <f>IF(C304="","",IF(H304&lt;&gt;"",INT(H304)+ROUND(MOD(H304,1)*100/60,2),SUMIFS(Registraties!$L$5:$L$3004,Registraties!$D$5:$D$3004,C304,Registraties!$A$5:$A$3004,B304)))</f>
        <v/>
      </c>
      <c r="J304" s="58">
        <f>IF(C304="","",IFERROR(IF(VLOOKUP(C304,Tarieven!$A$2:$F$200,2,0)="Beide","Per uur",VLOOKUP(C304,Tarieven!$A$2:$F$200,2,0)),"Nog bepalen"))</f>
        <v/>
      </c>
      <c r="K304" s="69">
        <f>IF(C304="","",IF(J304="Per uur",IFERROR(VLOOKUP(C304,Tarieven!$A$2:$F$200,3,0),""),IF(J304="Vaste prijs",IFERROR(VLOOKUP(C304,Tarieven!$A$2:$F$200,4,0),""),"")))</f>
        <v/>
      </c>
      <c r="L304" s="70">
        <f>IF(C304="","",IF(J304="Per uur",N(I304)*N(K304),IF(J304="Vaste prijs",N(K304),0)))</f>
        <v/>
      </c>
      <c r="M304" s="69">
        <f>IF(C304="","",IFERROR(IF(N(VLOOKUP(C304,Tarieven!$A$2:$F$200,5,0))=0,"",VLOOKUP(C304,Tarieven!$A$2:$F$200,5,0)),""))</f>
        <v/>
      </c>
      <c r="N304" s="69" t="n"/>
      <c r="O304" s="69" t="n"/>
      <c r="P304" s="70">
        <f>IF(C304="","",N(L304)+N(M304)+N(N304)+N(O304))</f>
        <v/>
      </c>
      <c r="Q304" s="58" t="n"/>
      <c r="R304" s="57" t="n"/>
      <c r="S304" s="57" t="n"/>
      <c r="T304" s="57" t="n"/>
      <c r="U304" s="62">
        <f>IF(C304="","",IF(COUNTIF(Tarieven!$A$2:$A$200,C304)=0,"Klant niet in Tarieven",IF(MOD(N(H304),1)*100&gt;59.4,"Tijd ongeldig: minuten boven 59",IF(J304="Nog bepalen","Prijstype nog bepalen",IF(AND(J304="Per uur",N(K304)=0),"Uurtarief ontbreekt",IF(AND(J304="Vaste prijs",N(K304)=0),"Vaste prijs ontbreekt",IF(AND(N(I304)=0,Q304&lt;&gt;"Niet doorgegaan / verplaatst",Q304&lt;&gt;"Geen factuur nodig"),"Geen uren",IF(AND(G304="NEE",Q304="Verstuurd"),"Verstuurd terwijl werk niet af",IF(IFERROR(VLOOKUP(C304,Tarieven!$A$2:$F$200,2,0),"")="Beide","Beide-klant: controleer prijstype","OK")))))))))</f>
        <v/>
      </c>
    </row>
    <row r="305" ht="15" customHeight="1" s="42">
      <c r="A305" s="56">
        <f>IF(B305="","",WEEKNUM(B305,21))</f>
        <v/>
      </c>
      <c r="B305" s="55" t="n"/>
      <c r="C305" s="57" t="n"/>
      <c r="D305" s="57" t="n"/>
      <c r="E305" s="57" t="n"/>
      <c r="F305" s="57" t="n"/>
      <c r="G305" s="67" t="n"/>
      <c r="H305" s="68" t="n"/>
      <c r="I305" s="61">
        <f>IF(C305="","",IF(H305&lt;&gt;"",INT(H305)+ROUND(MOD(H305,1)*100/60,2),SUMIFS(Registraties!$L$5:$L$3004,Registraties!$D$5:$D$3004,C305,Registraties!$A$5:$A$3004,B305)))</f>
        <v/>
      </c>
      <c r="J305" s="58">
        <f>IF(C305="","",IFERROR(IF(VLOOKUP(C305,Tarieven!$A$2:$F$200,2,0)="Beide","Per uur",VLOOKUP(C305,Tarieven!$A$2:$F$200,2,0)),"Nog bepalen"))</f>
        <v/>
      </c>
      <c r="K305" s="69">
        <f>IF(C305="","",IF(J305="Per uur",IFERROR(VLOOKUP(C305,Tarieven!$A$2:$F$200,3,0),""),IF(J305="Vaste prijs",IFERROR(VLOOKUP(C305,Tarieven!$A$2:$F$200,4,0),""),"")))</f>
        <v/>
      </c>
      <c r="L305" s="70">
        <f>IF(C305="","",IF(J305="Per uur",N(I305)*N(K305),IF(J305="Vaste prijs",N(K305),0)))</f>
        <v/>
      </c>
      <c r="M305" s="69">
        <f>IF(C305="","",IFERROR(IF(N(VLOOKUP(C305,Tarieven!$A$2:$F$200,5,0))=0,"",VLOOKUP(C305,Tarieven!$A$2:$F$200,5,0)),""))</f>
        <v/>
      </c>
      <c r="N305" s="69" t="n"/>
      <c r="O305" s="69" t="n"/>
      <c r="P305" s="70">
        <f>IF(C305="","",N(L305)+N(M305)+N(N305)+N(O305))</f>
        <v/>
      </c>
      <c r="Q305" s="58" t="n"/>
      <c r="R305" s="57" t="n"/>
      <c r="S305" s="57" t="n"/>
      <c r="T305" s="57" t="n"/>
      <c r="U305" s="62">
        <f>IF(C305="","",IF(COUNTIF(Tarieven!$A$2:$A$200,C305)=0,"Klant niet in Tarieven",IF(MOD(N(H305),1)*100&gt;59.4,"Tijd ongeldig: minuten boven 59",IF(J305="Nog bepalen","Prijstype nog bepalen",IF(AND(J305="Per uur",N(K305)=0),"Uurtarief ontbreekt",IF(AND(J305="Vaste prijs",N(K305)=0),"Vaste prijs ontbreekt",IF(AND(N(I305)=0,Q305&lt;&gt;"Niet doorgegaan / verplaatst",Q305&lt;&gt;"Geen factuur nodig"),"Geen uren",IF(AND(G305="NEE",Q305="Verstuurd"),"Verstuurd terwijl werk niet af",IF(IFERROR(VLOOKUP(C305,Tarieven!$A$2:$F$200,2,0),"")="Beide","Beide-klant: controleer prijstype","OK")))))))))</f>
        <v/>
      </c>
    </row>
    <row r="306" ht="15" customHeight="1" s="42">
      <c r="A306" s="56">
        <f>IF(B306="","",WEEKNUM(B306,21))</f>
        <v/>
      </c>
      <c r="B306" s="55" t="n"/>
      <c r="C306" s="57" t="n"/>
      <c r="D306" s="57" t="n"/>
      <c r="E306" s="57" t="n"/>
      <c r="F306" s="57" t="n"/>
      <c r="G306" s="67" t="n"/>
      <c r="H306" s="68" t="n"/>
      <c r="I306" s="61">
        <f>IF(C306="","",IF(H306&lt;&gt;"",INT(H306)+ROUND(MOD(H306,1)*100/60,2),SUMIFS(Registraties!$L$5:$L$3004,Registraties!$D$5:$D$3004,C306,Registraties!$A$5:$A$3004,B306)))</f>
        <v/>
      </c>
      <c r="J306" s="58">
        <f>IF(C306="","",IFERROR(IF(VLOOKUP(C306,Tarieven!$A$2:$F$200,2,0)="Beide","Per uur",VLOOKUP(C306,Tarieven!$A$2:$F$200,2,0)),"Nog bepalen"))</f>
        <v/>
      </c>
      <c r="K306" s="69">
        <f>IF(C306="","",IF(J306="Per uur",IFERROR(VLOOKUP(C306,Tarieven!$A$2:$F$200,3,0),""),IF(J306="Vaste prijs",IFERROR(VLOOKUP(C306,Tarieven!$A$2:$F$200,4,0),""),"")))</f>
        <v/>
      </c>
      <c r="L306" s="70">
        <f>IF(C306="","",IF(J306="Per uur",N(I306)*N(K306),IF(J306="Vaste prijs",N(K306),0)))</f>
        <v/>
      </c>
      <c r="M306" s="69">
        <f>IF(C306="","",IFERROR(IF(N(VLOOKUP(C306,Tarieven!$A$2:$F$200,5,0))=0,"",VLOOKUP(C306,Tarieven!$A$2:$F$200,5,0)),""))</f>
        <v/>
      </c>
      <c r="N306" s="69" t="n"/>
      <c r="O306" s="69" t="n"/>
      <c r="P306" s="70">
        <f>IF(C306="","",N(L306)+N(M306)+N(N306)+N(O306))</f>
        <v/>
      </c>
      <c r="Q306" s="58" t="n"/>
      <c r="R306" s="57" t="n"/>
      <c r="S306" s="57" t="n"/>
      <c r="T306" s="57" t="n"/>
      <c r="U306" s="62">
        <f>IF(C306="","",IF(COUNTIF(Tarieven!$A$2:$A$200,C306)=0,"Klant niet in Tarieven",IF(MOD(N(H306),1)*100&gt;59.4,"Tijd ongeldig: minuten boven 59",IF(J306="Nog bepalen","Prijstype nog bepalen",IF(AND(J306="Per uur",N(K306)=0),"Uurtarief ontbreekt",IF(AND(J306="Vaste prijs",N(K306)=0),"Vaste prijs ontbreekt",IF(AND(N(I306)=0,Q306&lt;&gt;"Niet doorgegaan / verplaatst",Q306&lt;&gt;"Geen factuur nodig"),"Geen uren",IF(AND(G306="NEE",Q306="Verstuurd"),"Verstuurd terwijl werk niet af",IF(IFERROR(VLOOKUP(C306,Tarieven!$A$2:$F$200,2,0),"")="Beide","Beide-klant: controleer prijstype","OK")))))))))</f>
        <v/>
      </c>
    </row>
    <row r="307" ht="15" customHeight="1" s="42">
      <c r="A307" s="56">
        <f>IF(B307="","",WEEKNUM(B307,21))</f>
        <v/>
      </c>
      <c r="B307" s="55" t="n"/>
      <c r="C307" s="57" t="n"/>
      <c r="D307" s="57" t="n"/>
      <c r="E307" s="57" t="n"/>
      <c r="F307" s="57" t="n"/>
      <c r="G307" s="67" t="n"/>
      <c r="H307" s="68" t="n"/>
      <c r="I307" s="61">
        <f>IF(C307="","",IF(H307&lt;&gt;"",INT(H307)+ROUND(MOD(H307,1)*100/60,2),SUMIFS(Registraties!$L$5:$L$3004,Registraties!$D$5:$D$3004,C307,Registraties!$A$5:$A$3004,B307)))</f>
        <v/>
      </c>
      <c r="J307" s="58">
        <f>IF(C307="","",IFERROR(IF(VLOOKUP(C307,Tarieven!$A$2:$F$200,2,0)="Beide","Per uur",VLOOKUP(C307,Tarieven!$A$2:$F$200,2,0)),"Nog bepalen"))</f>
        <v/>
      </c>
      <c r="K307" s="69">
        <f>IF(C307="","",IF(J307="Per uur",IFERROR(VLOOKUP(C307,Tarieven!$A$2:$F$200,3,0),""),IF(J307="Vaste prijs",IFERROR(VLOOKUP(C307,Tarieven!$A$2:$F$200,4,0),""),"")))</f>
        <v/>
      </c>
      <c r="L307" s="70">
        <f>IF(C307="","",IF(J307="Per uur",N(I307)*N(K307),IF(J307="Vaste prijs",N(K307),0)))</f>
        <v/>
      </c>
      <c r="M307" s="69">
        <f>IF(C307="","",IFERROR(IF(N(VLOOKUP(C307,Tarieven!$A$2:$F$200,5,0))=0,"",VLOOKUP(C307,Tarieven!$A$2:$F$200,5,0)),""))</f>
        <v/>
      </c>
      <c r="N307" s="69" t="n"/>
      <c r="O307" s="69" t="n"/>
      <c r="P307" s="70">
        <f>IF(C307="","",N(L307)+N(M307)+N(N307)+N(O307))</f>
        <v/>
      </c>
      <c r="Q307" s="58" t="n"/>
      <c r="R307" s="57" t="n"/>
      <c r="S307" s="57" t="n"/>
      <c r="T307" s="57" t="n"/>
      <c r="U307" s="62">
        <f>IF(C307="","",IF(COUNTIF(Tarieven!$A$2:$A$200,C307)=0,"Klant niet in Tarieven",IF(MOD(N(H307),1)*100&gt;59.4,"Tijd ongeldig: minuten boven 59",IF(J307="Nog bepalen","Prijstype nog bepalen",IF(AND(J307="Per uur",N(K307)=0),"Uurtarief ontbreekt",IF(AND(J307="Vaste prijs",N(K307)=0),"Vaste prijs ontbreekt",IF(AND(N(I307)=0,Q307&lt;&gt;"Niet doorgegaan / verplaatst",Q307&lt;&gt;"Geen factuur nodig"),"Geen uren",IF(AND(G307="NEE",Q307="Verstuurd"),"Verstuurd terwijl werk niet af",IF(IFERROR(VLOOKUP(C307,Tarieven!$A$2:$F$200,2,0),"")="Beide","Beide-klant: controleer prijstype","OK")))))))))</f>
        <v/>
      </c>
    </row>
    <row r="308" ht="15" customHeight="1" s="42">
      <c r="A308" s="56">
        <f>IF(B308="","",WEEKNUM(B308,21))</f>
        <v/>
      </c>
      <c r="B308" s="55" t="n"/>
      <c r="C308" s="57" t="n"/>
      <c r="D308" s="57" t="n"/>
      <c r="E308" s="57" t="n"/>
      <c r="F308" s="57" t="n"/>
      <c r="G308" s="67" t="n"/>
      <c r="H308" s="68" t="n"/>
      <c r="I308" s="61">
        <f>IF(C308="","",IF(H308&lt;&gt;"",INT(H308)+ROUND(MOD(H308,1)*100/60,2),SUMIFS(Registraties!$L$5:$L$3004,Registraties!$D$5:$D$3004,C308,Registraties!$A$5:$A$3004,B308)))</f>
        <v/>
      </c>
      <c r="J308" s="58">
        <f>IF(C308="","",IFERROR(IF(VLOOKUP(C308,Tarieven!$A$2:$F$200,2,0)="Beide","Per uur",VLOOKUP(C308,Tarieven!$A$2:$F$200,2,0)),"Nog bepalen"))</f>
        <v/>
      </c>
      <c r="K308" s="69">
        <f>IF(C308="","",IF(J308="Per uur",IFERROR(VLOOKUP(C308,Tarieven!$A$2:$F$200,3,0),""),IF(J308="Vaste prijs",IFERROR(VLOOKUP(C308,Tarieven!$A$2:$F$200,4,0),""),"")))</f>
        <v/>
      </c>
      <c r="L308" s="70">
        <f>IF(C308="","",IF(J308="Per uur",N(I308)*N(K308),IF(J308="Vaste prijs",N(K308),0)))</f>
        <v/>
      </c>
      <c r="M308" s="69">
        <f>IF(C308="","",IFERROR(IF(N(VLOOKUP(C308,Tarieven!$A$2:$F$200,5,0))=0,"",VLOOKUP(C308,Tarieven!$A$2:$F$200,5,0)),""))</f>
        <v/>
      </c>
      <c r="N308" s="69" t="n"/>
      <c r="O308" s="69" t="n"/>
      <c r="P308" s="70">
        <f>IF(C308="","",N(L308)+N(M308)+N(N308)+N(O308))</f>
        <v/>
      </c>
      <c r="Q308" s="58" t="n"/>
      <c r="R308" s="57" t="n"/>
      <c r="S308" s="57" t="n"/>
      <c r="T308" s="57" t="n"/>
      <c r="U308" s="62">
        <f>IF(C308="","",IF(COUNTIF(Tarieven!$A$2:$A$200,C308)=0,"Klant niet in Tarieven",IF(MOD(N(H308),1)*100&gt;59.4,"Tijd ongeldig: minuten boven 59",IF(J308="Nog bepalen","Prijstype nog bepalen",IF(AND(J308="Per uur",N(K308)=0),"Uurtarief ontbreekt",IF(AND(J308="Vaste prijs",N(K308)=0),"Vaste prijs ontbreekt",IF(AND(N(I308)=0,Q308&lt;&gt;"Niet doorgegaan / verplaatst",Q308&lt;&gt;"Geen factuur nodig"),"Geen uren",IF(AND(G308="NEE",Q308="Verstuurd"),"Verstuurd terwijl werk niet af",IF(IFERROR(VLOOKUP(C308,Tarieven!$A$2:$F$200,2,0),"")="Beide","Beide-klant: controleer prijstype","OK")))))))))</f>
        <v/>
      </c>
    </row>
    <row r="309" ht="15" customHeight="1" s="42">
      <c r="A309" s="56">
        <f>IF(B309="","",WEEKNUM(B309,21))</f>
        <v/>
      </c>
      <c r="B309" s="55" t="n"/>
      <c r="C309" s="57" t="n"/>
      <c r="D309" s="57" t="n"/>
      <c r="E309" s="57" t="n"/>
      <c r="F309" s="57" t="n"/>
      <c r="G309" s="67" t="n"/>
      <c r="H309" s="68" t="n"/>
      <c r="I309" s="61">
        <f>IF(C309="","",IF(H309&lt;&gt;"",INT(H309)+ROUND(MOD(H309,1)*100/60,2),SUMIFS(Registraties!$L$5:$L$3004,Registraties!$D$5:$D$3004,C309,Registraties!$A$5:$A$3004,B309)))</f>
        <v/>
      </c>
      <c r="J309" s="58">
        <f>IF(C309="","",IFERROR(IF(VLOOKUP(C309,Tarieven!$A$2:$F$200,2,0)="Beide","Per uur",VLOOKUP(C309,Tarieven!$A$2:$F$200,2,0)),"Nog bepalen"))</f>
        <v/>
      </c>
      <c r="K309" s="69">
        <f>IF(C309="","",IF(J309="Per uur",IFERROR(VLOOKUP(C309,Tarieven!$A$2:$F$200,3,0),""),IF(J309="Vaste prijs",IFERROR(VLOOKUP(C309,Tarieven!$A$2:$F$200,4,0),""),"")))</f>
        <v/>
      </c>
      <c r="L309" s="70">
        <f>IF(C309="","",IF(J309="Per uur",N(I309)*N(K309),IF(J309="Vaste prijs",N(K309),0)))</f>
        <v/>
      </c>
      <c r="M309" s="69">
        <f>IF(C309="","",IFERROR(IF(N(VLOOKUP(C309,Tarieven!$A$2:$F$200,5,0))=0,"",VLOOKUP(C309,Tarieven!$A$2:$F$200,5,0)),""))</f>
        <v/>
      </c>
      <c r="N309" s="69" t="n"/>
      <c r="O309" s="69" t="n"/>
      <c r="P309" s="70">
        <f>IF(C309="","",N(L309)+N(M309)+N(N309)+N(O309))</f>
        <v/>
      </c>
      <c r="Q309" s="58" t="n"/>
      <c r="R309" s="57" t="n"/>
      <c r="S309" s="57" t="n"/>
      <c r="T309" s="57" t="n"/>
      <c r="U309" s="62">
        <f>IF(C309="","",IF(COUNTIF(Tarieven!$A$2:$A$200,C309)=0,"Klant niet in Tarieven",IF(MOD(N(H309),1)*100&gt;59.4,"Tijd ongeldig: minuten boven 59",IF(J309="Nog bepalen","Prijstype nog bepalen",IF(AND(J309="Per uur",N(K309)=0),"Uurtarief ontbreekt",IF(AND(J309="Vaste prijs",N(K309)=0),"Vaste prijs ontbreekt",IF(AND(N(I309)=0,Q309&lt;&gt;"Niet doorgegaan / verplaatst",Q309&lt;&gt;"Geen factuur nodig"),"Geen uren",IF(AND(G309="NEE",Q309="Verstuurd"),"Verstuurd terwijl werk niet af",IF(IFERROR(VLOOKUP(C309,Tarieven!$A$2:$F$200,2,0),"")="Beide","Beide-klant: controleer prijstype","OK")))))))))</f>
        <v/>
      </c>
    </row>
    <row r="310" ht="15" customHeight="1" s="42">
      <c r="A310" s="56">
        <f>IF(B310="","",WEEKNUM(B310,21))</f>
        <v/>
      </c>
      <c r="B310" s="55" t="n"/>
      <c r="C310" s="57" t="n"/>
      <c r="D310" s="57" t="n"/>
      <c r="E310" s="57" t="n"/>
      <c r="F310" s="57" t="n"/>
      <c r="G310" s="67" t="n"/>
      <c r="H310" s="68" t="n"/>
      <c r="I310" s="61">
        <f>IF(C310="","",IF(H310&lt;&gt;"",INT(H310)+ROUND(MOD(H310,1)*100/60,2),SUMIFS(Registraties!$L$5:$L$3004,Registraties!$D$5:$D$3004,C310,Registraties!$A$5:$A$3004,B310)))</f>
        <v/>
      </c>
      <c r="J310" s="58">
        <f>IF(C310="","",IFERROR(IF(VLOOKUP(C310,Tarieven!$A$2:$F$200,2,0)="Beide","Per uur",VLOOKUP(C310,Tarieven!$A$2:$F$200,2,0)),"Nog bepalen"))</f>
        <v/>
      </c>
      <c r="K310" s="69">
        <f>IF(C310="","",IF(J310="Per uur",IFERROR(VLOOKUP(C310,Tarieven!$A$2:$F$200,3,0),""),IF(J310="Vaste prijs",IFERROR(VLOOKUP(C310,Tarieven!$A$2:$F$200,4,0),""),"")))</f>
        <v/>
      </c>
      <c r="L310" s="70">
        <f>IF(C310="","",IF(J310="Per uur",N(I310)*N(K310),IF(J310="Vaste prijs",N(K310),0)))</f>
        <v/>
      </c>
      <c r="M310" s="69">
        <f>IF(C310="","",IFERROR(IF(N(VLOOKUP(C310,Tarieven!$A$2:$F$200,5,0))=0,"",VLOOKUP(C310,Tarieven!$A$2:$F$200,5,0)),""))</f>
        <v/>
      </c>
      <c r="N310" s="69" t="n"/>
      <c r="O310" s="69" t="n"/>
      <c r="P310" s="70">
        <f>IF(C310="","",N(L310)+N(M310)+N(N310)+N(O310))</f>
        <v/>
      </c>
      <c r="Q310" s="58" t="n"/>
      <c r="R310" s="57" t="n"/>
      <c r="S310" s="57" t="n"/>
      <c r="T310" s="57" t="n"/>
      <c r="U310" s="62">
        <f>IF(C310="","",IF(COUNTIF(Tarieven!$A$2:$A$200,C310)=0,"Klant niet in Tarieven",IF(MOD(N(H310),1)*100&gt;59.4,"Tijd ongeldig: minuten boven 59",IF(J310="Nog bepalen","Prijstype nog bepalen",IF(AND(J310="Per uur",N(K310)=0),"Uurtarief ontbreekt",IF(AND(J310="Vaste prijs",N(K310)=0),"Vaste prijs ontbreekt",IF(AND(N(I310)=0,Q310&lt;&gt;"Niet doorgegaan / verplaatst",Q310&lt;&gt;"Geen factuur nodig"),"Geen uren",IF(AND(G310="NEE",Q310="Verstuurd"),"Verstuurd terwijl werk niet af",IF(IFERROR(VLOOKUP(C310,Tarieven!$A$2:$F$200,2,0),"")="Beide","Beide-klant: controleer prijstype","OK")))))))))</f>
        <v/>
      </c>
    </row>
    <row r="311" ht="15" customHeight="1" s="42">
      <c r="A311" s="56">
        <f>IF(B311="","",WEEKNUM(B311,21))</f>
        <v/>
      </c>
      <c r="B311" s="55" t="n"/>
      <c r="C311" s="57" t="n"/>
      <c r="D311" s="57" t="n"/>
      <c r="E311" s="57" t="n"/>
      <c r="F311" s="57" t="n"/>
      <c r="G311" s="67" t="n"/>
      <c r="H311" s="68" t="n"/>
      <c r="I311" s="61">
        <f>IF(C311="","",IF(H311&lt;&gt;"",INT(H311)+ROUND(MOD(H311,1)*100/60,2),SUMIFS(Registraties!$L$5:$L$3004,Registraties!$D$5:$D$3004,C311,Registraties!$A$5:$A$3004,B311)))</f>
        <v/>
      </c>
      <c r="J311" s="58">
        <f>IF(C311="","",IFERROR(IF(VLOOKUP(C311,Tarieven!$A$2:$F$200,2,0)="Beide","Per uur",VLOOKUP(C311,Tarieven!$A$2:$F$200,2,0)),"Nog bepalen"))</f>
        <v/>
      </c>
      <c r="K311" s="69">
        <f>IF(C311="","",IF(J311="Per uur",IFERROR(VLOOKUP(C311,Tarieven!$A$2:$F$200,3,0),""),IF(J311="Vaste prijs",IFERROR(VLOOKUP(C311,Tarieven!$A$2:$F$200,4,0),""),"")))</f>
        <v/>
      </c>
      <c r="L311" s="70">
        <f>IF(C311="","",IF(J311="Per uur",N(I311)*N(K311),IF(J311="Vaste prijs",N(K311),0)))</f>
        <v/>
      </c>
      <c r="M311" s="69">
        <f>IF(C311="","",IFERROR(IF(N(VLOOKUP(C311,Tarieven!$A$2:$F$200,5,0))=0,"",VLOOKUP(C311,Tarieven!$A$2:$F$200,5,0)),""))</f>
        <v/>
      </c>
      <c r="N311" s="69" t="n"/>
      <c r="O311" s="69" t="n"/>
      <c r="P311" s="70">
        <f>IF(C311="","",N(L311)+N(M311)+N(N311)+N(O311))</f>
        <v/>
      </c>
      <c r="Q311" s="58" t="n"/>
      <c r="R311" s="57" t="n"/>
      <c r="S311" s="57" t="n"/>
      <c r="T311" s="57" t="n"/>
      <c r="U311" s="62">
        <f>IF(C311="","",IF(COUNTIF(Tarieven!$A$2:$A$200,C311)=0,"Klant niet in Tarieven",IF(MOD(N(H311),1)*100&gt;59.4,"Tijd ongeldig: minuten boven 59",IF(J311="Nog bepalen","Prijstype nog bepalen",IF(AND(J311="Per uur",N(K311)=0),"Uurtarief ontbreekt",IF(AND(J311="Vaste prijs",N(K311)=0),"Vaste prijs ontbreekt",IF(AND(N(I311)=0,Q311&lt;&gt;"Niet doorgegaan / verplaatst",Q311&lt;&gt;"Geen factuur nodig"),"Geen uren",IF(AND(G311="NEE",Q311="Verstuurd"),"Verstuurd terwijl werk niet af",IF(IFERROR(VLOOKUP(C311,Tarieven!$A$2:$F$200,2,0),"")="Beide","Beide-klant: controleer prijstype","OK")))))))))</f>
        <v/>
      </c>
    </row>
    <row r="312" ht="15" customHeight="1" s="42">
      <c r="A312" s="56">
        <f>IF(B312="","",WEEKNUM(B312,21))</f>
        <v/>
      </c>
      <c r="B312" s="55" t="n"/>
      <c r="C312" s="57" t="n"/>
      <c r="D312" s="57" t="n"/>
      <c r="E312" s="57" t="n"/>
      <c r="F312" s="57" t="n"/>
      <c r="G312" s="67" t="n"/>
      <c r="H312" s="68" t="n"/>
      <c r="I312" s="61">
        <f>IF(C312="","",IF(H312&lt;&gt;"",INT(H312)+ROUND(MOD(H312,1)*100/60,2),SUMIFS(Registraties!$L$5:$L$3004,Registraties!$D$5:$D$3004,C312,Registraties!$A$5:$A$3004,B312)))</f>
        <v/>
      </c>
      <c r="J312" s="58">
        <f>IF(C312="","",IFERROR(IF(VLOOKUP(C312,Tarieven!$A$2:$F$200,2,0)="Beide","Per uur",VLOOKUP(C312,Tarieven!$A$2:$F$200,2,0)),"Nog bepalen"))</f>
        <v/>
      </c>
      <c r="K312" s="69">
        <f>IF(C312="","",IF(J312="Per uur",IFERROR(VLOOKUP(C312,Tarieven!$A$2:$F$200,3,0),""),IF(J312="Vaste prijs",IFERROR(VLOOKUP(C312,Tarieven!$A$2:$F$200,4,0),""),"")))</f>
        <v/>
      </c>
      <c r="L312" s="70">
        <f>IF(C312="","",IF(J312="Per uur",N(I312)*N(K312),IF(J312="Vaste prijs",N(K312),0)))</f>
        <v/>
      </c>
      <c r="M312" s="69">
        <f>IF(C312="","",IFERROR(IF(N(VLOOKUP(C312,Tarieven!$A$2:$F$200,5,0))=0,"",VLOOKUP(C312,Tarieven!$A$2:$F$200,5,0)),""))</f>
        <v/>
      </c>
      <c r="N312" s="69" t="n"/>
      <c r="O312" s="69" t="n"/>
      <c r="P312" s="70">
        <f>IF(C312="","",N(L312)+N(M312)+N(N312)+N(O312))</f>
        <v/>
      </c>
      <c r="Q312" s="58" t="n"/>
      <c r="R312" s="57" t="n"/>
      <c r="S312" s="57" t="n"/>
      <c r="T312" s="57" t="n"/>
      <c r="U312" s="62">
        <f>IF(C312="","",IF(COUNTIF(Tarieven!$A$2:$A$200,C312)=0,"Klant niet in Tarieven",IF(MOD(N(H312),1)*100&gt;59.4,"Tijd ongeldig: minuten boven 59",IF(J312="Nog bepalen","Prijstype nog bepalen",IF(AND(J312="Per uur",N(K312)=0),"Uurtarief ontbreekt",IF(AND(J312="Vaste prijs",N(K312)=0),"Vaste prijs ontbreekt",IF(AND(N(I312)=0,Q312&lt;&gt;"Niet doorgegaan / verplaatst",Q312&lt;&gt;"Geen factuur nodig"),"Geen uren",IF(AND(G312="NEE",Q312="Verstuurd"),"Verstuurd terwijl werk niet af",IF(IFERROR(VLOOKUP(C312,Tarieven!$A$2:$F$200,2,0),"")="Beide","Beide-klant: controleer prijstype","OK")))))))))</f>
        <v/>
      </c>
    </row>
    <row r="313" ht="15" customHeight="1" s="42">
      <c r="A313" s="56">
        <f>IF(B313="","",WEEKNUM(B313,21))</f>
        <v/>
      </c>
      <c r="B313" s="55" t="n"/>
      <c r="C313" s="57" t="n"/>
      <c r="D313" s="57" t="n"/>
      <c r="E313" s="57" t="n"/>
      <c r="F313" s="57" t="n"/>
      <c r="G313" s="67" t="n"/>
      <c r="H313" s="68" t="n"/>
      <c r="I313" s="61">
        <f>IF(C313="","",IF(H313&lt;&gt;"",INT(H313)+ROUND(MOD(H313,1)*100/60,2),SUMIFS(Registraties!$L$5:$L$3004,Registraties!$D$5:$D$3004,C313,Registraties!$A$5:$A$3004,B313)))</f>
        <v/>
      </c>
      <c r="J313" s="58">
        <f>IF(C313="","",IFERROR(IF(VLOOKUP(C313,Tarieven!$A$2:$F$200,2,0)="Beide","Per uur",VLOOKUP(C313,Tarieven!$A$2:$F$200,2,0)),"Nog bepalen"))</f>
        <v/>
      </c>
      <c r="K313" s="69">
        <f>IF(C313="","",IF(J313="Per uur",IFERROR(VLOOKUP(C313,Tarieven!$A$2:$F$200,3,0),""),IF(J313="Vaste prijs",IFERROR(VLOOKUP(C313,Tarieven!$A$2:$F$200,4,0),""),"")))</f>
        <v/>
      </c>
      <c r="L313" s="70">
        <f>IF(C313="","",IF(J313="Per uur",N(I313)*N(K313),IF(J313="Vaste prijs",N(K313),0)))</f>
        <v/>
      </c>
      <c r="M313" s="69">
        <f>IF(C313="","",IFERROR(IF(N(VLOOKUP(C313,Tarieven!$A$2:$F$200,5,0))=0,"",VLOOKUP(C313,Tarieven!$A$2:$F$200,5,0)),""))</f>
        <v/>
      </c>
      <c r="N313" s="69" t="n"/>
      <c r="O313" s="69" t="n"/>
      <c r="P313" s="70">
        <f>IF(C313="","",N(L313)+N(M313)+N(N313)+N(O313))</f>
        <v/>
      </c>
      <c r="Q313" s="58" t="n"/>
      <c r="R313" s="57" t="n"/>
      <c r="S313" s="57" t="n"/>
      <c r="T313" s="57" t="n"/>
      <c r="U313" s="62">
        <f>IF(C313="","",IF(COUNTIF(Tarieven!$A$2:$A$200,C313)=0,"Klant niet in Tarieven",IF(MOD(N(H313),1)*100&gt;59.4,"Tijd ongeldig: minuten boven 59",IF(J313="Nog bepalen","Prijstype nog bepalen",IF(AND(J313="Per uur",N(K313)=0),"Uurtarief ontbreekt",IF(AND(J313="Vaste prijs",N(K313)=0),"Vaste prijs ontbreekt",IF(AND(N(I313)=0,Q313&lt;&gt;"Niet doorgegaan / verplaatst",Q313&lt;&gt;"Geen factuur nodig"),"Geen uren",IF(AND(G313="NEE",Q313="Verstuurd"),"Verstuurd terwijl werk niet af",IF(IFERROR(VLOOKUP(C313,Tarieven!$A$2:$F$200,2,0),"")="Beide","Beide-klant: controleer prijstype","OK")))))))))</f>
        <v/>
      </c>
    </row>
    <row r="314" ht="15" customHeight="1" s="42">
      <c r="A314" s="56">
        <f>IF(B314="","",WEEKNUM(B314,21))</f>
        <v/>
      </c>
      <c r="B314" s="55" t="n"/>
      <c r="C314" s="57" t="n"/>
      <c r="D314" s="57" t="n"/>
      <c r="E314" s="57" t="n"/>
      <c r="F314" s="57" t="n"/>
      <c r="G314" s="67" t="n"/>
      <c r="H314" s="68" t="n"/>
      <c r="I314" s="61">
        <f>IF(C314="","",IF(H314&lt;&gt;"",INT(H314)+ROUND(MOD(H314,1)*100/60,2),SUMIFS(Registraties!$L$5:$L$3004,Registraties!$D$5:$D$3004,C314,Registraties!$A$5:$A$3004,B314)))</f>
        <v/>
      </c>
      <c r="J314" s="58">
        <f>IF(C314="","",IFERROR(IF(VLOOKUP(C314,Tarieven!$A$2:$F$200,2,0)="Beide","Per uur",VLOOKUP(C314,Tarieven!$A$2:$F$200,2,0)),"Nog bepalen"))</f>
        <v/>
      </c>
      <c r="K314" s="69">
        <f>IF(C314="","",IF(J314="Per uur",IFERROR(VLOOKUP(C314,Tarieven!$A$2:$F$200,3,0),""),IF(J314="Vaste prijs",IFERROR(VLOOKUP(C314,Tarieven!$A$2:$F$200,4,0),""),"")))</f>
        <v/>
      </c>
      <c r="L314" s="70">
        <f>IF(C314="","",IF(J314="Per uur",N(I314)*N(K314),IF(J314="Vaste prijs",N(K314),0)))</f>
        <v/>
      </c>
      <c r="M314" s="69">
        <f>IF(C314="","",IFERROR(IF(N(VLOOKUP(C314,Tarieven!$A$2:$F$200,5,0))=0,"",VLOOKUP(C314,Tarieven!$A$2:$F$200,5,0)),""))</f>
        <v/>
      </c>
      <c r="N314" s="69" t="n"/>
      <c r="O314" s="69" t="n"/>
      <c r="P314" s="70">
        <f>IF(C314="","",N(L314)+N(M314)+N(N314)+N(O314))</f>
        <v/>
      </c>
      <c r="Q314" s="58" t="n"/>
      <c r="R314" s="57" t="n"/>
      <c r="S314" s="57" t="n"/>
      <c r="T314" s="57" t="n"/>
      <c r="U314" s="62">
        <f>IF(C314="","",IF(COUNTIF(Tarieven!$A$2:$A$200,C314)=0,"Klant niet in Tarieven",IF(MOD(N(H314),1)*100&gt;59.4,"Tijd ongeldig: minuten boven 59",IF(J314="Nog bepalen","Prijstype nog bepalen",IF(AND(J314="Per uur",N(K314)=0),"Uurtarief ontbreekt",IF(AND(J314="Vaste prijs",N(K314)=0),"Vaste prijs ontbreekt",IF(AND(N(I314)=0,Q314&lt;&gt;"Niet doorgegaan / verplaatst",Q314&lt;&gt;"Geen factuur nodig"),"Geen uren",IF(AND(G314="NEE",Q314="Verstuurd"),"Verstuurd terwijl werk niet af",IF(IFERROR(VLOOKUP(C314,Tarieven!$A$2:$F$200,2,0),"")="Beide","Beide-klant: controleer prijstype","OK")))))))))</f>
        <v/>
      </c>
    </row>
    <row r="315" ht="15" customHeight="1" s="42">
      <c r="A315" s="56">
        <f>IF(B315="","",WEEKNUM(B315,21))</f>
        <v/>
      </c>
      <c r="B315" s="55" t="n"/>
      <c r="C315" s="57" t="n"/>
      <c r="D315" s="57" t="n"/>
      <c r="E315" s="57" t="n"/>
      <c r="F315" s="57" t="n"/>
      <c r="G315" s="67" t="n"/>
      <c r="H315" s="68" t="n"/>
      <c r="I315" s="61">
        <f>IF(C315="","",IF(H315&lt;&gt;"",INT(H315)+ROUND(MOD(H315,1)*100/60,2),SUMIFS(Registraties!$L$5:$L$3004,Registraties!$D$5:$D$3004,C315,Registraties!$A$5:$A$3004,B315)))</f>
        <v/>
      </c>
      <c r="J315" s="58">
        <f>IF(C315="","",IFERROR(IF(VLOOKUP(C315,Tarieven!$A$2:$F$200,2,0)="Beide","Per uur",VLOOKUP(C315,Tarieven!$A$2:$F$200,2,0)),"Nog bepalen"))</f>
        <v/>
      </c>
      <c r="K315" s="69">
        <f>IF(C315="","",IF(J315="Per uur",IFERROR(VLOOKUP(C315,Tarieven!$A$2:$F$200,3,0),""),IF(J315="Vaste prijs",IFERROR(VLOOKUP(C315,Tarieven!$A$2:$F$200,4,0),""),"")))</f>
        <v/>
      </c>
      <c r="L315" s="70">
        <f>IF(C315="","",IF(J315="Per uur",N(I315)*N(K315),IF(J315="Vaste prijs",N(K315),0)))</f>
        <v/>
      </c>
      <c r="M315" s="69">
        <f>IF(C315="","",IFERROR(IF(N(VLOOKUP(C315,Tarieven!$A$2:$F$200,5,0))=0,"",VLOOKUP(C315,Tarieven!$A$2:$F$200,5,0)),""))</f>
        <v/>
      </c>
      <c r="N315" s="69" t="n"/>
      <c r="O315" s="69" t="n"/>
      <c r="P315" s="70">
        <f>IF(C315="","",N(L315)+N(M315)+N(N315)+N(O315))</f>
        <v/>
      </c>
      <c r="Q315" s="58" t="n"/>
      <c r="R315" s="57" t="n"/>
      <c r="S315" s="57" t="n"/>
      <c r="T315" s="57" t="n"/>
      <c r="U315" s="62">
        <f>IF(C315="","",IF(COUNTIF(Tarieven!$A$2:$A$200,C315)=0,"Klant niet in Tarieven",IF(MOD(N(H315),1)*100&gt;59.4,"Tijd ongeldig: minuten boven 59",IF(J315="Nog bepalen","Prijstype nog bepalen",IF(AND(J315="Per uur",N(K315)=0),"Uurtarief ontbreekt",IF(AND(J315="Vaste prijs",N(K315)=0),"Vaste prijs ontbreekt",IF(AND(N(I315)=0,Q315&lt;&gt;"Niet doorgegaan / verplaatst",Q315&lt;&gt;"Geen factuur nodig"),"Geen uren",IF(AND(G315="NEE",Q315="Verstuurd"),"Verstuurd terwijl werk niet af",IF(IFERROR(VLOOKUP(C315,Tarieven!$A$2:$F$200,2,0),"")="Beide","Beide-klant: controleer prijstype","OK")))))))))</f>
        <v/>
      </c>
    </row>
    <row r="316" ht="15" customHeight="1" s="42">
      <c r="A316" s="56">
        <f>IF(B316="","",WEEKNUM(B316,21))</f>
        <v/>
      </c>
      <c r="B316" s="55" t="n"/>
      <c r="C316" s="57" t="n"/>
      <c r="D316" s="57" t="n"/>
      <c r="E316" s="57" t="n"/>
      <c r="F316" s="57" t="n"/>
      <c r="G316" s="67" t="n"/>
      <c r="H316" s="68" t="n"/>
      <c r="I316" s="61">
        <f>IF(C316="","",IF(H316&lt;&gt;"",INT(H316)+ROUND(MOD(H316,1)*100/60,2),SUMIFS(Registraties!$L$5:$L$3004,Registraties!$D$5:$D$3004,C316,Registraties!$A$5:$A$3004,B316)))</f>
        <v/>
      </c>
      <c r="J316" s="58">
        <f>IF(C316="","",IFERROR(IF(VLOOKUP(C316,Tarieven!$A$2:$F$200,2,0)="Beide","Per uur",VLOOKUP(C316,Tarieven!$A$2:$F$200,2,0)),"Nog bepalen"))</f>
        <v/>
      </c>
      <c r="K316" s="69">
        <f>IF(C316="","",IF(J316="Per uur",IFERROR(VLOOKUP(C316,Tarieven!$A$2:$F$200,3,0),""),IF(J316="Vaste prijs",IFERROR(VLOOKUP(C316,Tarieven!$A$2:$F$200,4,0),""),"")))</f>
        <v/>
      </c>
      <c r="L316" s="70">
        <f>IF(C316="","",IF(J316="Per uur",N(I316)*N(K316),IF(J316="Vaste prijs",N(K316),0)))</f>
        <v/>
      </c>
      <c r="M316" s="69">
        <f>IF(C316="","",IFERROR(IF(N(VLOOKUP(C316,Tarieven!$A$2:$F$200,5,0))=0,"",VLOOKUP(C316,Tarieven!$A$2:$F$200,5,0)),""))</f>
        <v/>
      </c>
      <c r="N316" s="69" t="n"/>
      <c r="O316" s="69" t="n"/>
      <c r="P316" s="70">
        <f>IF(C316="","",N(L316)+N(M316)+N(N316)+N(O316))</f>
        <v/>
      </c>
      <c r="Q316" s="58" t="n"/>
      <c r="R316" s="57" t="n"/>
      <c r="S316" s="57" t="n"/>
      <c r="T316" s="57" t="n"/>
      <c r="U316" s="62">
        <f>IF(C316="","",IF(COUNTIF(Tarieven!$A$2:$A$200,C316)=0,"Klant niet in Tarieven",IF(MOD(N(H316),1)*100&gt;59.4,"Tijd ongeldig: minuten boven 59",IF(J316="Nog bepalen","Prijstype nog bepalen",IF(AND(J316="Per uur",N(K316)=0),"Uurtarief ontbreekt",IF(AND(J316="Vaste prijs",N(K316)=0),"Vaste prijs ontbreekt",IF(AND(N(I316)=0,Q316&lt;&gt;"Niet doorgegaan / verplaatst",Q316&lt;&gt;"Geen factuur nodig"),"Geen uren",IF(AND(G316="NEE",Q316="Verstuurd"),"Verstuurd terwijl werk niet af",IF(IFERROR(VLOOKUP(C316,Tarieven!$A$2:$F$200,2,0),"")="Beide","Beide-klant: controleer prijstype","OK")))))))))</f>
        <v/>
      </c>
    </row>
    <row r="317" ht="15" customHeight="1" s="42">
      <c r="A317" s="56">
        <f>IF(B317="","",WEEKNUM(B317,21))</f>
        <v/>
      </c>
      <c r="B317" s="55" t="n"/>
      <c r="C317" s="57" t="n"/>
      <c r="D317" s="57" t="n"/>
      <c r="E317" s="57" t="n"/>
      <c r="F317" s="57" t="n"/>
      <c r="G317" s="67" t="n"/>
      <c r="H317" s="68" t="n"/>
      <c r="I317" s="61">
        <f>IF(C317="","",IF(H317&lt;&gt;"",INT(H317)+ROUND(MOD(H317,1)*100/60,2),SUMIFS(Registraties!$L$5:$L$3004,Registraties!$D$5:$D$3004,C317,Registraties!$A$5:$A$3004,B317)))</f>
        <v/>
      </c>
      <c r="J317" s="58">
        <f>IF(C317="","",IFERROR(IF(VLOOKUP(C317,Tarieven!$A$2:$F$200,2,0)="Beide","Per uur",VLOOKUP(C317,Tarieven!$A$2:$F$200,2,0)),"Nog bepalen"))</f>
        <v/>
      </c>
      <c r="K317" s="69">
        <f>IF(C317="","",IF(J317="Per uur",IFERROR(VLOOKUP(C317,Tarieven!$A$2:$F$200,3,0),""),IF(J317="Vaste prijs",IFERROR(VLOOKUP(C317,Tarieven!$A$2:$F$200,4,0),""),"")))</f>
        <v/>
      </c>
      <c r="L317" s="70">
        <f>IF(C317="","",IF(J317="Per uur",N(I317)*N(K317),IF(J317="Vaste prijs",N(K317),0)))</f>
        <v/>
      </c>
      <c r="M317" s="69">
        <f>IF(C317="","",IFERROR(IF(N(VLOOKUP(C317,Tarieven!$A$2:$F$200,5,0))=0,"",VLOOKUP(C317,Tarieven!$A$2:$F$200,5,0)),""))</f>
        <v/>
      </c>
      <c r="N317" s="69" t="n"/>
      <c r="O317" s="69" t="n"/>
      <c r="P317" s="70">
        <f>IF(C317="","",N(L317)+N(M317)+N(N317)+N(O317))</f>
        <v/>
      </c>
      <c r="Q317" s="58" t="n"/>
      <c r="R317" s="57" t="n"/>
      <c r="S317" s="57" t="n"/>
      <c r="T317" s="57" t="n"/>
      <c r="U317" s="62">
        <f>IF(C317="","",IF(COUNTIF(Tarieven!$A$2:$A$200,C317)=0,"Klant niet in Tarieven",IF(MOD(N(H317),1)*100&gt;59.4,"Tijd ongeldig: minuten boven 59",IF(J317="Nog bepalen","Prijstype nog bepalen",IF(AND(J317="Per uur",N(K317)=0),"Uurtarief ontbreekt",IF(AND(J317="Vaste prijs",N(K317)=0),"Vaste prijs ontbreekt",IF(AND(N(I317)=0,Q317&lt;&gt;"Niet doorgegaan / verplaatst",Q317&lt;&gt;"Geen factuur nodig"),"Geen uren",IF(AND(G317="NEE",Q317="Verstuurd"),"Verstuurd terwijl werk niet af",IF(IFERROR(VLOOKUP(C317,Tarieven!$A$2:$F$200,2,0),"")="Beide","Beide-klant: controleer prijstype","OK")))))))))</f>
        <v/>
      </c>
    </row>
    <row r="318" ht="15" customHeight="1" s="42">
      <c r="A318" s="56">
        <f>IF(B318="","",WEEKNUM(B318,21))</f>
        <v/>
      </c>
      <c r="B318" s="55" t="n"/>
      <c r="C318" s="57" t="n"/>
      <c r="D318" s="57" t="n"/>
      <c r="E318" s="57" t="n"/>
      <c r="F318" s="57" t="n"/>
      <c r="G318" s="67" t="n"/>
      <c r="H318" s="68" t="n"/>
      <c r="I318" s="61">
        <f>IF(C318="","",IF(H318&lt;&gt;"",INT(H318)+ROUND(MOD(H318,1)*100/60,2),SUMIFS(Registraties!$L$5:$L$3004,Registraties!$D$5:$D$3004,C318,Registraties!$A$5:$A$3004,B318)))</f>
        <v/>
      </c>
      <c r="J318" s="58">
        <f>IF(C318="","",IFERROR(IF(VLOOKUP(C318,Tarieven!$A$2:$F$200,2,0)="Beide","Per uur",VLOOKUP(C318,Tarieven!$A$2:$F$200,2,0)),"Nog bepalen"))</f>
        <v/>
      </c>
      <c r="K318" s="69">
        <f>IF(C318="","",IF(J318="Per uur",IFERROR(VLOOKUP(C318,Tarieven!$A$2:$F$200,3,0),""),IF(J318="Vaste prijs",IFERROR(VLOOKUP(C318,Tarieven!$A$2:$F$200,4,0),""),"")))</f>
        <v/>
      </c>
      <c r="L318" s="70">
        <f>IF(C318="","",IF(J318="Per uur",N(I318)*N(K318),IF(J318="Vaste prijs",N(K318),0)))</f>
        <v/>
      </c>
      <c r="M318" s="69">
        <f>IF(C318="","",IFERROR(IF(N(VLOOKUP(C318,Tarieven!$A$2:$F$200,5,0))=0,"",VLOOKUP(C318,Tarieven!$A$2:$F$200,5,0)),""))</f>
        <v/>
      </c>
      <c r="N318" s="69" t="n"/>
      <c r="O318" s="69" t="n"/>
      <c r="P318" s="70">
        <f>IF(C318="","",N(L318)+N(M318)+N(N318)+N(O318))</f>
        <v/>
      </c>
      <c r="Q318" s="58" t="n"/>
      <c r="R318" s="57" t="n"/>
      <c r="S318" s="57" t="n"/>
      <c r="T318" s="57" t="n"/>
      <c r="U318" s="62">
        <f>IF(C318="","",IF(COUNTIF(Tarieven!$A$2:$A$200,C318)=0,"Klant niet in Tarieven",IF(MOD(N(H318),1)*100&gt;59.4,"Tijd ongeldig: minuten boven 59",IF(J318="Nog bepalen","Prijstype nog bepalen",IF(AND(J318="Per uur",N(K318)=0),"Uurtarief ontbreekt",IF(AND(J318="Vaste prijs",N(K318)=0),"Vaste prijs ontbreekt",IF(AND(N(I318)=0,Q318&lt;&gt;"Niet doorgegaan / verplaatst",Q318&lt;&gt;"Geen factuur nodig"),"Geen uren",IF(AND(G318="NEE",Q318="Verstuurd"),"Verstuurd terwijl werk niet af",IF(IFERROR(VLOOKUP(C318,Tarieven!$A$2:$F$200,2,0),"")="Beide","Beide-klant: controleer prijstype","OK")))))))))</f>
        <v/>
      </c>
    </row>
    <row r="319" ht="15" customHeight="1" s="42">
      <c r="A319" s="56">
        <f>IF(B319="","",WEEKNUM(B319,21))</f>
        <v/>
      </c>
      <c r="B319" s="55" t="n"/>
      <c r="C319" s="57" t="n"/>
      <c r="D319" s="57" t="n"/>
      <c r="E319" s="57" t="n"/>
      <c r="F319" s="57" t="n"/>
      <c r="G319" s="67" t="n"/>
      <c r="H319" s="68" t="n"/>
      <c r="I319" s="61">
        <f>IF(C319="","",IF(H319&lt;&gt;"",INT(H319)+ROUND(MOD(H319,1)*100/60,2),SUMIFS(Registraties!$L$5:$L$3004,Registraties!$D$5:$D$3004,C319,Registraties!$A$5:$A$3004,B319)))</f>
        <v/>
      </c>
      <c r="J319" s="58">
        <f>IF(C319="","",IFERROR(IF(VLOOKUP(C319,Tarieven!$A$2:$F$200,2,0)="Beide","Per uur",VLOOKUP(C319,Tarieven!$A$2:$F$200,2,0)),"Nog bepalen"))</f>
        <v/>
      </c>
      <c r="K319" s="69">
        <f>IF(C319="","",IF(J319="Per uur",IFERROR(VLOOKUP(C319,Tarieven!$A$2:$F$200,3,0),""),IF(J319="Vaste prijs",IFERROR(VLOOKUP(C319,Tarieven!$A$2:$F$200,4,0),""),"")))</f>
        <v/>
      </c>
      <c r="L319" s="70">
        <f>IF(C319="","",IF(J319="Per uur",N(I319)*N(K319),IF(J319="Vaste prijs",N(K319),0)))</f>
        <v/>
      </c>
      <c r="M319" s="69">
        <f>IF(C319="","",IFERROR(IF(N(VLOOKUP(C319,Tarieven!$A$2:$F$200,5,0))=0,"",VLOOKUP(C319,Tarieven!$A$2:$F$200,5,0)),""))</f>
        <v/>
      </c>
      <c r="N319" s="69" t="n"/>
      <c r="O319" s="69" t="n"/>
      <c r="P319" s="70">
        <f>IF(C319="","",N(L319)+N(M319)+N(N319)+N(O319))</f>
        <v/>
      </c>
      <c r="Q319" s="58" t="n"/>
      <c r="R319" s="57" t="n"/>
      <c r="S319" s="57" t="n"/>
      <c r="T319" s="57" t="n"/>
      <c r="U319" s="62">
        <f>IF(C319="","",IF(COUNTIF(Tarieven!$A$2:$A$200,C319)=0,"Klant niet in Tarieven",IF(MOD(N(H319),1)*100&gt;59.4,"Tijd ongeldig: minuten boven 59",IF(J319="Nog bepalen","Prijstype nog bepalen",IF(AND(J319="Per uur",N(K319)=0),"Uurtarief ontbreekt",IF(AND(J319="Vaste prijs",N(K319)=0),"Vaste prijs ontbreekt",IF(AND(N(I319)=0,Q319&lt;&gt;"Niet doorgegaan / verplaatst",Q319&lt;&gt;"Geen factuur nodig"),"Geen uren",IF(AND(G319="NEE",Q319="Verstuurd"),"Verstuurd terwijl werk niet af",IF(IFERROR(VLOOKUP(C319,Tarieven!$A$2:$F$200,2,0),"")="Beide","Beide-klant: controleer prijstype","OK")))))))))</f>
        <v/>
      </c>
    </row>
    <row r="320" ht="15" customHeight="1" s="42">
      <c r="A320" s="56">
        <f>IF(B320="","",WEEKNUM(B320,21))</f>
        <v/>
      </c>
      <c r="B320" s="55" t="n"/>
      <c r="C320" s="57" t="n"/>
      <c r="D320" s="57" t="n"/>
      <c r="E320" s="57" t="n"/>
      <c r="F320" s="57" t="n"/>
      <c r="G320" s="67" t="n"/>
      <c r="H320" s="68" t="n"/>
      <c r="I320" s="61">
        <f>IF(C320="","",IF(H320&lt;&gt;"",INT(H320)+ROUND(MOD(H320,1)*100/60,2),SUMIFS(Registraties!$L$5:$L$3004,Registraties!$D$5:$D$3004,C320,Registraties!$A$5:$A$3004,B320)))</f>
        <v/>
      </c>
      <c r="J320" s="58">
        <f>IF(C320="","",IFERROR(IF(VLOOKUP(C320,Tarieven!$A$2:$F$200,2,0)="Beide","Per uur",VLOOKUP(C320,Tarieven!$A$2:$F$200,2,0)),"Nog bepalen"))</f>
        <v/>
      </c>
      <c r="K320" s="69">
        <f>IF(C320="","",IF(J320="Per uur",IFERROR(VLOOKUP(C320,Tarieven!$A$2:$F$200,3,0),""),IF(J320="Vaste prijs",IFERROR(VLOOKUP(C320,Tarieven!$A$2:$F$200,4,0),""),"")))</f>
        <v/>
      </c>
      <c r="L320" s="70">
        <f>IF(C320="","",IF(J320="Per uur",N(I320)*N(K320),IF(J320="Vaste prijs",N(K320),0)))</f>
        <v/>
      </c>
      <c r="M320" s="69">
        <f>IF(C320="","",IFERROR(IF(N(VLOOKUP(C320,Tarieven!$A$2:$F$200,5,0))=0,"",VLOOKUP(C320,Tarieven!$A$2:$F$200,5,0)),""))</f>
        <v/>
      </c>
      <c r="N320" s="69" t="n"/>
      <c r="O320" s="69" t="n"/>
      <c r="P320" s="70">
        <f>IF(C320="","",N(L320)+N(M320)+N(N320)+N(O320))</f>
        <v/>
      </c>
      <c r="Q320" s="58" t="n"/>
      <c r="R320" s="57" t="n"/>
      <c r="S320" s="57" t="n"/>
      <c r="T320" s="57" t="n"/>
      <c r="U320" s="62">
        <f>IF(C320="","",IF(COUNTIF(Tarieven!$A$2:$A$200,C320)=0,"Klant niet in Tarieven",IF(MOD(N(H320),1)*100&gt;59.4,"Tijd ongeldig: minuten boven 59",IF(J320="Nog bepalen","Prijstype nog bepalen",IF(AND(J320="Per uur",N(K320)=0),"Uurtarief ontbreekt",IF(AND(J320="Vaste prijs",N(K320)=0),"Vaste prijs ontbreekt",IF(AND(N(I320)=0,Q320&lt;&gt;"Niet doorgegaan / verplaatst",Q320&lt;&gt;"Geen factuur nodig"),"Geen uren",IF(AND(G320="NEE",Q320="Verstuurd"),"Verstuurd terwijl werk niet af",IF(IFERROR(VLOOKUP(C320,Tarieven!$A$2:$F$200,2,0),"")="Beide","Beide-klant: controleer prijstype","OK")))))))))</f>
        <v/>
      </c>
    </row>
    <row r="321" ht="15" customHeight="1" s="42">
      <c r="A321" s="56">
        <f>IF(B321="","",WEEKNUM(B321,21))</f>
        <v/>
      </c>
      <c r="B321" s="55" t="n"/>
      <c r="C321" s="57" t="n"/>
      <c r="D321" s="57" t="n"/>
      <c r="E321" s="57" t="n"/>
      <c r="F321" s="57" t="n"/>
      <c r="G321" s="67" t="n"/>
      <c r="H321" s="68" t="n"/>
      <c r="I321" s="61">
        <f>IF(C321="","",IF(H321&lt;&gt;"",INT(H321)+ROUND(MOD(H321,1)*100/60,2),SUMIFS(Registraties!$L$5:$L$3004,Registraties!$D$5:$D$3004,C321,Registraties!$A$5:$A$3004,B321)))</f>
        <v/>
      </c>
      <c r="J321" s="58">
        <f>IF(C321="","",IFERROR(IF(VLOOKUP(C321,Tarieven!$A$2:$F$200,2,0)="Beide","Per uur",VLOOKUP(C321,Tarieven!$A$2:$F$200,2,0)),"Nog bepalen"))</f>
        <v/>
      </c>
      <c r="K321" s="69">
        <f>IF(C321="","",IF(J321="Per uur",IFERROR(VLOOKUP(C321,Tarieven!$A$2:$F$200,3,0),""),IF(J321="Vaste prijs",IFERROR(VLOOKUP(C321,Tarieven!$A$2:$F$200,4,0),""),"")))</f>
        <v/>
      </c>
      <c r="L321" s="70">
        <f>IF(C321="","",IF(J321="Per uur",N(I321)*N(K321),IF(J321="Vaste prijs",N(K321),0)))</f>
        <v/>
      </c>
      <c r="M321" s="69">
        <f>IF(C321="","",IFERROR(IF(N(VLOOKUP(C321,Tarieven!$A$2:$F$200,5,0))=0,"",VLOOKUP(C321,Tarieven!$A$2:$F$200,5,0)),""))</f>
        <v/>
      </c>
      <c r="N321" s="69" t="n"/>
      <c r="O321" s="69" t="n"/>
      <c r="P321" s="70">
        <f>IF(C321="","",N(L321)+N(M321)+N(N321)+N(O321))</f>
        <v/>
      </c>
      <c r="Q321" s="58" t="n"/>
      <c r="R321" s="57" t="n"/>
      <c r="S321" s="57" t="n"/>
      <c r="T321" s="57" t="n"/>
      <c r="U321" s="62">
        <f>IF(C321="","",IF(COUNTIF(Tarieven!$A$2:$A$200,C321)=0,"Klant niet in Tarieven",IF(MOD(N(H321),1)*100&gt;59.4,"Tijd ongeldig: minuten boven 59",IF(J321="Nog bepalen","Prijstype nog bepalen",IF(AND(J321="Per uur",N(K321)=0),"Uurtarief ontbreekt",IF(AND(J321="Vaste prijs",N(K321)=0),"Vaste prijs ontbreekt",IF(AND(N(I321)=0,Q321&lt;&gt;"Niet doorgegaan / verplaatst",Q321&lt;&gt;"Geen factuur nodig"),"Geen uren",IF(AND(G321="NEE",Q321="Verstuurd"),"Verstuurd terwijl werk niet af",IF(IFERROR(VLOOKUP(C321,Tarieven!$A$2:$F$200,2,0),"")="Beide","Beide-klant: controleer prijstype","OK")))))))))</f>
        <v/>
      </c>
    </row>
    <row r="322" ht="15" customHeight="1" s="42">
      <c r="A322" s="56">
        <f>IF(B322="","",WEEKNUM(B322,21))</f>
        <v/>
      </c>
      <c r="B322" s="55" t="n"/>
      <c r="C322" s="57" t="n"/>
      <c r="D322" s="57" t="n"/>
      <c r="E322" s="57" t="n"/>
      <c r="F322" s="57" t="n"/>
      <c r="G322" s="67" t="n"/>
      <c r="H322" s="68" t="n"/>
      <c r="I322" s="61">
        <f>IF(C322="","",IF(H322&lt;&gt;"",INT(H322)+ROUND(MOD(H322,1)*100/60,2),SUMIFS(Registraties!$L$5:$L$3004,Registraties!$D$5:$D$3004,C322,Registraties!$A$5:$A$3004,B322)))</f>
        <v/>
      </c>
      <c r="J322" s="58">
        <f>IF(C322="","",IFERROR(IF(VLOOKUP(C322,Tarieven!$A$2:$F$200,2,0)="Beide","Per uur",VLOOKUP(C322,Tarieven!$A$2:$F$200,2,0)),"Nog bepalen"))</f>
        <v/>
      </c>
      <c r="K322" s="69">
        <f>IF(C322="","",IF(J322="Per uur",IFERROR(VLOOKUP(C322,Tarieven!$A$2:$F$200,3,0),""),IF(J322="Vaste prijs",IFERROR(VLOOKUP(C322,Tarieven!$A$2:$F$200,4,0),""),"")))</f>
        <v/>
      </c>
      <c r="L322" s="70">
        <f>IF(C322="","",IF(J322="Per uur",N(I322)*N(K322),IF(J322="Vaste prijs",N(K322),0)))</f>
        <v/>
      </c>
      <c r="M322" s="69">
        <f>IF(C322="","",IFERROR(IF(N(VLOOKUP(C322,Tarieven!$A$2:$F$200,5,0))=0,"",VLOOKUP(C322,Tarieven!$A$2:$F$200,5,0)),""))</f>
        <v/>
      </c>
      <c r="N322" s="69" t="n"/>
      <c r="O322" s="69" t="n"/>
      <c r="P322" s="70">
        <f>IF(C322="","",N(L322)+N(M322)+N(N322)+N(O322))</f>
        <v/>
      </c>
      <c r="Q322" s="58" t="n"/>
      <c r="R322" s="57" t="n"/>
      <c r="S322" s="57" t="n"/>
      <c r="T322" s="57" t="n"/>
      <c r="U322" s="62">
        <f>IF(C322="","",IF(COUNTIF(Tarieven!$A$2:$A$200,C322)=0,"Klant niet in Tarieven",IF(MOD(N(H322),1)*100&gt;59.4,"Tijd ongeldig: minuten boven 59",IF(J322="Nog bepalen","Prijstype nog bepalen",IF(AND(J322="Per uur",N(K322)=0),"Uurtarief ontbreekt",IF(AND(J322="Vaste prijs",N(K322)=0),"Vaste prijs ontbreekt",IF(AND(N(I322)=0,Q322&lt;&gt;"Niet doorgegaan / verplaatst",Q322&lt;&gt;"Geen factuur nodig"),"Geen uren",IF(AND(G322="NEE",Q322="Verstuurd"),"Verstuurd terwijl werk niet af",IF(IFERROR(VLOOKUP(C322,Tarieven!$A$2:$F$200,2,0),"")="Beide","Beide-klant: controleer prijstype","OK")))))))))</f>
        <v/>
      </c>
    </row>
    <row r="323" ht="15" customHeight="1" s="42">
      <c r="A323" s="56">
        <f>IF(B323="","",WEEKNUM(B323,21))</f>
        <v/>
      </c>
      <c r="B323" s="55" t="n"/>
      <c r="C323" s="57" t="n"/>
      <c r="D323" s="57" t="n"/>
      <c r="E323" s="57" t="n"/>
      <c r="F323" s="57" t="n"/>
      <c r="G323" s="67" t="n"/>
      <c r="H323" s="68" t="n"/>
      <c r="I323" s="61">
        <f>IF(C323="","",IF(H323&lt;&gt;"",INT(H323)+ROUND(MOD(H323,1)*100/60,2),SUMIFS(Registraties!$L$5:$L$3004,Registraties!$D$5:$D$3004,C323,Registraties!$A$5:$A$3004,B323)))</f>
        <v/>
      </c>
      <c r="J323" s="58">
        <f>IF(C323="","",IFERROR(IF(VLOOKUP(C323,Tarieven!$A$2:$F$200,2,0)="Beide","Per uur",VLOOKUP(C323,Tarieven!$A$2:$F$200,2,0)),"Nog bepalen"))</f>
        <v/>
      </c>
      <c r="K323" s="69">
        <f>IF(C323="","",IF(J323="Per uur",IFERROR(VLOOKUP(C323,Tarieven!$A$2:$F$200,3,0),""),IF(J323="Vaste prijs",IFERROR(VLOOKUP(C323,Tarieven!$A$2:$F$200,4,0),""),"")))</f>
        <v/>
      </c>
      <c r="L323" s="70">
        <f>IF(C323="","",IF(J323="Per uur",N(I323)*N(K323),IF(J323="Vaste prijs",N(K323),0)))</f>
        <v/>
      </c>
      <c r="M323" s="69">
        <f>IF(C323="","",IFERROR(IF(N(VLOOKUP(C323,Tarieven!$A$2:$F$200,5,0))=0,"",VLOOKUP(C323,Tarieven!$A$2:$F$200,5,0)),""))</f>
        <v/>
      </c>
      <c r="N323" s="69" t="n"/>
      <c r="O323" s="69" t="n"/>
      <c r="P323" s="70">
        <f>IF(C323="","",N(L323)+N(M323)+N(N323)+N(O323))</f>
        <v/>
      </c>
      <c r="Q323" s="58" t="n"/>
      <c r="R323" s="57" t="n"/>
      <c r="S323" s="57" t="n"/>
      <c r="T323" s="57" t="n"/>
      <c r="U323" s="62">
        <f>IF(C323="","",IF(COUNTIF(Tarieven!$A$2:$A$200,C323)=0,"Klant niet in Tarieven",IF(MOD(N(H323),1)*100&gt;59.4,"Tijd ongeldig: minuten boven 59",IF(J323="Nog bepalen","Prijstype nog bepalen",IF(AND(J323="Per uur",N(K323)=0),"Uurtarief ontbreekt",IF(AND(J323="Vaste prijs",N(K323)=0),"Vaste prijs ontbreekt",IF(AND(N(I323)=0,Q323&lt;&gt;"Niet doorgegaan / verplaatst",Q323&lt;&gt;"Geen factuur nodig"),"Geen uren",IF(AND(G323="NEE",Q323="Verstuurd"),"Verstuurd terwijl werk niet af",IF(IFERROR(VLOOKUP(C323,Tarieven!$A$2:$F$200,2,0),"")="Beide","Beide-klant: controleer prijstype","OK")))))))))</f>
        <v/>
      </c>
    </row>
    <row r="324" ht="15" customHeight="1" s="42">
      <c r="A324" s="56">
        <f>IF(B324="","",WEEKNUM(B324,21))</f>
        <v/>
      </c>
      <c r="B324" s="55" t="n"/>
      <c r="C324" s="57" t="n"/>
      <c r="D324" s="57" t="n"/>
      <c r="E324" s="57" t="n"/>
      <c r="F324" s="57" t="n"/>
      <c r="G324" s="67" t="n"/>
      <c r="H324" s="68" t="n"/>
      <c r="I324" s="61">
        <f>IF(C324="","",IF(H324&lt;&gt;"",INT(H324)+ROUND(MOD(H324,1)*100/60,2),SUMIFS(Registraties!$L$5:$L$3004,Registraties!$D$5:$D$3004,C324,Registraties!$A$5:$A$3004,B324)))</f>
        <v/>
      </c>
      <c r="J324" s="58">
        <f>IF(C324="","",IFERROR(IF(VLOOKUP(C324,Tarieven!$A$2:$F$200,2,0)="Beide","Per uur",VLOOKUP(C324,Tarieven!$A$2:$F$200,2,0)),"Nog bepalen"))</f>
        <v/>
      </c>
      <c r="K324" s="69">
        <f>IF(C324="","",IF(J324="Per uur",IFERROR(VLOOKUP(C324,Tarieven!$A$2:$F$200,3,0),""),IF(J324="Vaste prijs",IFERROR(VLOOKUP(C324,Tarieven!$A$2:$F$200,4,0),""),"")))</f>
        <v/>
      </c>
      <c r="L324" s="70">
        <f>IF(C324="","",IF(J324="Per uur",N(I324)*N(K324),IF(J324="Vaste prijs",N(K324),0)))</f>
        <v/>
      </c>
      <c r="M324" s="69">
        <f>IF(C324="","",IFERROR(IF(N(VLOOKUP(C324,Tarieven!$A$2:$F$200,5,0))=0,"",VLOOKUP(C324,Tarieven!$A$2:$F$200,5,0)),""))</f>
        <v/>
      </c>
      <c r="N324" s="69" t="n"/>
      <c r="O324" s="69" t="n"/>
      <c r="P324" s="70">
        <f>IF(C324="","",N(L324)+N(M324)+N(N324)+N(O324))</f>
        <v/>
      </c>
      <c r="Q324" s="58" t="n"/>
      <c r="R324" s="57" t="n"/>
      <c r="S324" s="57" t="n"/>
      <c r="T324" s="57" t="n"/>
      <c r="U324" s="62">
        <f>IF(C324="","",IF(COUNTIF(Tarieven!$A$2:$A$200,C324)=0,"Klant niet in Tarieven",IF(MOD(N(H324),1)*100&gt;59.4,"Tijd ongeldig: minuten boven 59",IF(J324="Nog bepalen","Prijstype nog bepalen",IF(AND(J324="Per uur",N(K324)=0),"Uurtarief ontbreekt",IF(AND(J324="Vaste prijs",N(K324)=0),"Vaste prijs ontbreekt",IF(AND(N(I324)=0,Q324&lt;&gt;"Niet doorgegaan / verplaatst",Q324&lt;&gt;"Geen factuur nodig"),"Geen uren",IF(AND(G324="NEE",Q324="Verstuurd"),"Verstuurd terwijl werk niet af",IF(IFERROR(VLOOKUP(C324,Tarieven!$A$2:$F$200,2,0),"")="Beide","Beide-klant: controleer prijstype","OK")))))))))</f>
        <v/>
      </c>
    </row>
    <row r="325" ht="15" customHeight="1" s="42">
      <c r="A325" s="56">
        <f>IF(B325="","",WEEKNUM(B325,21))</f>
        <v/>
      </c>
      <c r="B325" s="55" t="n"/>
      <c r="C325" s="57" t="n"/>
      <c r="D325" s="57" t="n"/>
      <c r="E325" s="57" t="n"/>
      <c r="F325" s="57" t="n"/>
      <c r="G325" s="67" t="n"/>
      <c r="H325" s="68" t="n"/>
      <c r="I325" s="61">
        <f>IF(C325="","",IF(H325&lt;&gt;"",INT(H325)+ROUND(MOD(H325,1)*100/60,2),SUMIFS(Registraties!$L$5:$L$3004,Registraties!$D$5:$D$3004,C325,Registraties!$A$5:$A$3004,B325)))</f>
        <v/>
      </c>
      <c r="J325" s="58">
        <f>IF(C325="","",IFERROR(IF(VLOOKUP(C325,Tarieven!$A$2:$F$200,2,0)="Beide","Per uur",VLOOKUP(C325,Tarieven!$A$2:$F$200,2,0)),"Nog bepalen"))</f>
        <v/>
      </c>
      <c r="K325" s="69">
        <f>IF(C325="","",IF(J325="Per uur",IFERROR(VLOOKUP(C325,Tarieven!$A$2:$F$200,3,0),""),IF(J325="Vaste prijs",IFERROR(VLOOKUP(C325,Tarieven!$A$2:$F$200,4,0),""),"")))</f>
        <v/>
      </c>
      <c r="L325" s="70">
        <f>IF(C325="","",IF(J325="Per uur",N(I325)*N(K325),IF(J325="Vaste prijs",N(K325),0)))</f>
        <v/>
      </c>
      <c r="M325" s="69">
        <f>IF(C325="","",IFERROR(IF(N(VLOOKUP(C325,Tarieven!$A$2:$F$200,5,0))=0,"",VLOOKUP(C325,Tarieven!$A$2:$F$200,5,0)),""))</f>
        <v/>
      </c>
      <c r="N325" s="69" t="n"/>
      <c r="O325" s="69" t="n"/>
      <c r="P325" s="70">
        <f>IF(C325="","",N(L325)+N(M325)+N(N325)+N(O325))</f>
        <v/>
      </c>
      <c r="Q325" s="58" t="n"/>
      <c r="R325" s="57" t="n"/>
      <c r="S325" s="57" t="n"/>
      <c r="T325" s="57" t="n"/>
      <c r="U325" s="62">
        <f>IF(C325="","",IF(COUNTIF(Tarieven!$A$2:$A$200,C325)=0,"Klant niet in Tarieven",IF(MOD(N(H325),1)*100&gt;59.4,"Tijd ongeldig: minuten boven 59",IF(J325="Nog bepalen","Prijstype nog bepalen",IF(AND(J325="Per uur",N(K325)=0),"Uurtarief ontbreekt",IF(AND(J325="Vaste prijs",N(K325)=0),"Vaste prijs ontbreekt",IF(AND(N(I325)=0,Q325&lt;&gt;"Niet doorgegaan / verplaatst",Q325&lt;&gt;"Geen factuur nodig"),"Geen uren",IF(AND(G325="NEE",Q325="Verstuurd"),"Verstuurd terwijl werk niet af",IF(IFERROR(VLOOKUP(C325,Tarieven!$A$2:$F$200,2,0),"")="Beide","Beide-klant: controleer prijstype","OK")))))))))</f>
        <v/>
      </c>
    </row>
    <row r="326" ht="15" customHeight="1" s="42">
      <c r="A326" s="56">
        <f>IF(B326="","",WEEKNUM(B326,21))</f>
        <v/>
      </c>
      <c r="B326" s="55" t="n"/>
      <c r="C326" s="57" t="n"/>
      <c r="D326" s="57" t="n"/>
      <c r="E326" s="57" t="n"/>
      <c r="F326" s="57" t="n"/>
      <c r="G326" s="67" t="n"/>
      <c r="H326" s="68" t="n"/>
      <c r="I326" s="61">
        <f>IF(C326="","",IF(H326&lt;&gt;"",INT(H326)+ROUND(MOD(H326,1)*100/60,2),SUMIFS(Registraties!$L$5:$L$3004,Registraties!$D$5:$D$3004,C326,Registraties!$A$5:$A$3004,B326)))</f>
        <v/>
      </c>
      <c r="J326" s="58">
        <f>IF(C326="","",IFERROR(IF(VLOOKUP(C326,Tarieven!$A$2:$F$200,2,0)="Beide","Per uur",VLOOKUP(C326,Tarieven!$A$2:$F$200,2,0)),"Nog bepalen"))</f>
        <v/>
      </c>
      <c r="K326" s="69">
        <f>IF(C326="","",IF(J326="Per uur",IFERROR(VLOOKUP(C326,Tarieven!$A$2:$F$200,3,0),""),IF(J326="Vaste prijs",IFERROR(VLOOKUP(C326,Tarieven!$A$2:$F$200,4,0),""),"")))</f>
        <v/>
      </c>
      <c r="L326" s="70">
        <f>IF(C326="","",IF(J326="Per uur",N(I326)*N(K326),IF(J326="Vaste prijs",N(K326),0)))</f>
        <v/>
      </c>
      <c r="M326" s="69">
        <f>IF(C326="","",IFERROR(IF(N(VLOOKUP(C326,Tarieven!$A$2:$F$200,5,0))=0,"",VLOOKUP(C326,Tarieven!$A$2:$F$200,5,0)),""))</f>
        <v/>
      </c>
      <c r="N326" s="69" t="n"/>
      <c r="O326" s="69" t="n"/>
      <c r="P326" s="70">
        <f>IF(C326="","",N(L326)+N(M326)+N(N326)+N(O326))</f>
        <v/>
      </c>
      <c r="Q326" s="58" t="n"/>
      <c r="R326" s="57" t="n"/>
      <c r="S326" s="57" t="n"/>
      <c r="T326" s="57" t="n"/>
      <c r="U326" s="62">
        <f>IF(C326="","",IF(COUNTIF(Tarieven!$A$2:$A$200,C326)=0,"Klant niet in Tarieven",IF(MOD(N(H326),1)*100&gt;59.4,"Tijd ongeldig: minuten boven 59",IF(J326="Nog bepalen","Prijstype nog bepalen",IF(AND(J326="Per uur",N(K326)=0),"Uurtarief ontbreekt",IF(AND(J326="Vaste prijs",N(K326)=0),"Vaste prijs ontbreekt",IF(AND(N(I326)=0,Q326&lt;&gt;"Niet doorgegaan / verplaatst",Q326&lt;&gt;"Geen factuur nodig"),"Geen uren",IF(AND(G326="NEE",Q326="Verstuurd"),"Verstuurd terwijl werk niet af",IF(IFERROR(VLOOKUP(C326,Tarieven!$A$2:$F$200,2,0),"")="Beide","Beide-klant: controleer prijstype","OK")))))))))</f>
        <v/>
      </c>
    </row>
    <row r="327" ht="15" customHeight="1" s="42">
      <c r="A327" s="56">
        <f>IF(B327="","",WEEKNUM(B327,21))</f>
        <v/>
      </c>
      <c r="B327" s="55" t="n"/>
      <c r="C327" s="57" t="n"/>
      <c r="D327" s="57" t="n"/>
      <c r="E327" s="57" t="n"/>
      <c r="F327" s="57" t="n"/>
      <c r="G327" s="67" t="n"/>
      <c r="H327" s="68" t="n"/>
      <c r="I327" s="61">
        <f>IF(C327="","",IF(H327&lt;&gt;"",INT(H327)+ROUND(MOD(H327,1)*100/60,2),SUMIFS(Registraties!$L$5:$L$3004,Registraties!$D$5:$D$3004,C327,Registraties!$A$5:$A$3004,B327)))</f>
        <v/>
      </c>
      <c r="J327" s="58">
        <f>IF(C327="","",IFERROR(IF(VLOOKUP(C327,Tarieven!$A$2:$F$200,2,0)="Beide","Per uur",VLOOKUP(C327,Tarieven!$A$2:$F$200,2,0)),"Nog bepalen"))</f>
        <v/>
      </c>
      <c r="K327" s="69">
        <f>IF(C327="","",IF(J327="Per uur",IFERROR(VLOOKUP(C327,Tarieven!$A$2:$F$200,3,0),""),IF(J327="Vaste prijs",IFERROR(VLOOKUP(C327,Tarieven!$A$2:$F$200,4,0),""),"")))</f>
        <v/>
      </c>
      <c r="L327" s="70">
        <f>IF(C327="","",IF(J327="Per uur",N(I327)*N(K327),IF(J327="Vaste prijs",N(K327),0)))</f>
        <v/>
      </c>
      <c r="M327" s="69">
        <f>IF(C327="","",IFERROR(IF(N(VLOOKUP(C327,Tarieven!$A$2:$F$200,5,0))=0,"",VLOOKUP(C327,Tarieven!$A$2:$F$200,5,0)),""))</f>
        <v/>
      </c>
      <c r="N327" s="69" t="n"/>
      <c r="O327" s="69" t="n"/>
      <c r="P327" s="70">
        <f>IF(C327="","",N(L327)+N(M327)+N(N327)+N(O327))</f>
        <v/>
      </c>
      <c r="Q327" s="58" t="n"/>
      <c r="R327" s="57" t="n"/>
      <c r="S327" s="57" t="n"/>
      <c r="T327" s="57" t="n"/>
      <c r="U327" s="62">
        <f>IF(C327="","",IF(COUNTIF(Tarieven!$A$2:$A$200,C327)=0,"Klant niet in Tarieven",IF(MOD(N(H327),1)*100&gt;59.4,"Tijd ongeldig: minuten boven 59",IF(J327="Nog bepalen","Prijstype nog bepalen",IF(AND(J327="Per uur",N(K327)=0),"Uurtarief ontbreekt",IF(AND(J327="Vaste prijs",N(K327)=0),"Vaste prijs ontbreekt",IF(AND(N(I327)=0,Q327&lt;&gt;"Niet doorgegaan / verplaatst",Q327&lt;&gt;"Geen factuur nodig"),"Geen uren",IF(AND(G327="NEE",Q327="Verstuurd"),"Verstuurd terwijl werk niet af",IF(IFERROR(VLOOKUP(C327,Tarieven!$A$2:$F$200,2,0),"")="Beide","Beide-klant: controleer prijstype","OK")))))))))</f>
        <v/>
      </c>
    </row>
    <row r="328" ht="15" customHeight="1" s="42">
      <c r="A328" s="56">
        <f>IF(B328="","",WEEKNUM(B328,21))</f>
        <v/>
      </c>
      <c r="B328" s="55" t="n"/>
      <c r="C328" s="57" t="n"/>
      <c r="D328" s="57" t="n"/>
      <c r="E328" s="57" t="n"/>
      <c r="F328" s="57" t="n"/>
      <c r="G328" s="67" t="n"/>
      <c r="H328" s="68" t="n"/>
      <c r="I328" s="61">
        <f>IF(C328="","",IF(H328&lt;&gt;"",INT(H328)+ROUND(MOD(H328,1)*100/60,2),SUMIFS(Registraties!$L$5:$L$3004,Registraties!$D$5:$D$3004,C328,Registraties!$A$5:$A$3004,B328)))</f>
        <v/>
      </c>
      <c r="J328" s="58">
        <f>IF(C328="","",IFERROR(IF(VLOOKUP(C328,Tarieven!$A$2:$F$200,2,0)="Beide","Per uur",VLOOKUP(C328,Tarieven!$A$2:$F$200,2,0)),"Nog bepalen"))</f>
        <v/>
      </c>
      <c r="K328" s="69">
        <f>IF(C328="","",IF(J328="Per uur",IFERROR(VLOOKUP(C328,Tarieven!$A$2:$F$200,3,0),""),IF(J328="Vaste prijs",IFERROR(VLOOKUP(C328,Tarieven!$A$2:$F$200,4,0),""),"")))</f>
        <v/>
      </c>
      <c r="L328" s="70">
        <f>IF(C328="","",IF(J328="Per uur",N(I328)*N(K328),IF(J328="Vaste prijs",N(K328),0)))</f>
        <v/>
      </c>
      <c r="M328" s="69">
        <f>IF(C328="","",IFERROR(IF(N(VLOOKUP(C328,Tarieven!$A$2:$F$200,5,0))=0,"",VLOOKUP(C328,Tarieven!$A$2:$F$200,5,0)),""))</f>
        <v/>
      </c>
      <c r="N328" s="69" t="n"/>
      <c r="O328" s="69" t="n"/>
      <c r="P328" s="70">
        <f>IF(C328="","",N(L328)+N(M328)+N(N328)+N(O328))</f>
        <v/>
      </c>
      <c r="Q328" s="58" t="n"/>
      <c r="R328" s="57" t="n"/>
      <c r="S328" s="57" t="n"/>
      <c r="T328" s="57" t="n"/>
      <c r="U328" s="62">
        <f>IF(C328="","",IF(COUNTIF(Tarieven!$A$2:$A$200,C328)=0,"Klant niet in Tarieven",IF(MOD(N(H328),1)*100&gt;59.4,"Tijd ongeldig: minuten boven 59",IF(J328="Nog bepalen","Prijstype nog bepalen",IF(AND(J328="Per uur",N(K328)=0),"Uurtarief ontbreekt",IF(AND(J328="Vaste prijs",N(K328)=0),"Vaste prijs ontbreekt",IF(AND(N(I328)=0,Q328&lt;&gt;"Niet doorgegaan / verplaatst",Q328&lt;&gt;"Geen factuur nodig"),"Geen uren",IF(AND(G328="NEE",Q328="Verstuurd"),"Verstuurd terwijl werk niet af",IF(IFERROR(VLOOKUP(C328,Tarieven!$A$2:$F$200,2,0),"")="Beide","Beide-klant: controleer prijstype","OK")))))))))</f>
        <v/>
      </c>
    </row>
    <row r="329" ht="15" customHeight="1" s="42">
      <c r="A329" s="56">
        <f>IF(B329="","",WEEKNUM(B329,21))</f>
        <v/>
      </c>
      <c r="B329" s="55" t="n"/>
      <c r="C329" s="57" t="n"/>
      <c r="D329" s="57" t="n"/>
      <c r="E329" s="57" t="n"/>
      <c r="F329" s="57" t="n"/>
      <c r="G329" s="67" t="n"/>
      <c r="H329" s="68" t="n"/>
      <c r="I329" s="61">
        <f>IF(C329="","",IF(H329&lt;&gt;"",INT(H329)+ROUND(MOD(H329,1)*100/60,2),SUMIFS(Registraties!$L$5:$L$3004,Registraties!$D$5:$D$3004,C329,Registraties!$A$5:$A$3004,B329)))</f>
        <v/>
      </c>
      <c r="J329" s="58">
        <f>IF(C329="","",IFERROR(IF(VLOOKUP(C329,Tarieven!$A$2:$F$200,2,0)="Beide","Per uur",VLOOKUP(C329,Tarieven!$A$2:$F$200,2,0)),"Nog bepalen"))</f>
        <v/>
      </c>
      <c r="K329" s="69">
        <f>IF(C329="","",IF(J329="Per uur",IFERROR(VLOOKUP(C329,Tarieven!$A$2:$F$200,3,0),""),IF(J329="Vaste prijs",IFERROR(VLOOKUP(C329,Tarieven!$A$2:$F$200,4,0),""),"")))</f>
        <v/>
      </c>
      <c r="L329" s="70">
        <f>IF(C329="","",IF(J329="Per uur",N(I329)*N(K329),IF(J329="Vaste prijs",N(K329),0)))</f>
        <v/>
      </c>
      <c r="M329" s="69">
        <f>IF(C329="","",IFERROR(IF(N(VLOOKUP(C329,Tarieven!$A$2:$F$200,5,0))=0,"",VLOOKUP(C329,Tarieven!$A$2:$F$200,5,0)),""))</f>
        <v/>
      </c>
      <c r="N329" s="69" t="n"/>
      <c r="O329" s="69" t="n"/>
      <c r="P329" s="70">
        <f>IF(C329="","",N(L329)+N(M329)+N(N329)+N(O329))</f>
        <v/>
      </c>
      <c r="Q329" s="58" t="n"/>
      <c r="R329" s="57" t="n"/>
      <c r="S329" s="57" t="n"/>
      <c r="T329" s="57" t="n"/>
      <c r="U329" s="62">
        <f>IF(C329="","",IF(COUNTIF(Tarieven!$A$2:$A$200,C329)=0,"Klant niet in Tarieven",IF(MOD(N(H329),1)*100&gt;59.4,"Tijd ongeldig: minuten boven 59",IF(J329="Nog bepalen","Prijstype nog bepalen",IF(AND(J329="Per uur",N(K329)=0),"Uurtarief ontbreekt",IF(AND(J329="Vaste prijs",N(K329)=0),"Vaste prijs ontbreekt",IF(AND(N(I329)=0,Q329&lt;&gt;"Niet doorgegaan / verplaatst",Q329&lt;&gt;"Geen factuur nodig"),"Geen uren",IF(AND(G329="NEE",Q329="Verstuurd"),"Verstuurd terwijl werk niet af",IF(IFERROR(VLOOKUP(C329,Tarieven!$A$2:$F$200,2,0),"")="Beide","Beide-klant: controleer prijstype","OK")))))))))</f>
        <v/>
      </c>
    </row>
    <row r="330" ht="15" customHeight="1" s="42">
      <c r="A330" s="56">
        <f>IF(B330="","",WEEKNUM(B330,21))</f>
        <v/>
      </c>
      <c r="B330" s="55" t="n"/>
      <c r="C330" s="57" t="n"/>
      <c r="D330" s="57" t="n"/>
      <c r="E330" s="57" t="n"/>
      <c r="F330" s="57" t="n"/>
      <c r="G330" s="67" t="n"/>
      <c r="H330" s="68" t="n"/>
      <c r="I330" s="61">
        <f>IF(C330="","",IF(H330&lt;&gt;"",INT(H330)+ROUND(MOD(H330,1)*100/60,2),SUMIFS(Registraties!$L$5:$L$3004,Registraties!$D$5:$D$3004,C330,Registraties!$A$5:$A$3004,B330)))</f>
        <v/>
      </c>
      <c r="J330" s="58">
        <f>IF(C330="","",IFERROR(IF(VLOOKUP(C330,Tarieven!$A$2:$F$200,2,0)="Beide","Per uur",VLOOKUP(C330,Tarieven!$A$2:$F$200,2,0)),"Nog bepalen"))</f>
        <v/>
      </c>
      <c r="K330" s="69">
        <f>IF(C330="","",IF(J330="Per uur",IFERROR(VLOOKUP(C330,Tarieven!$A$2:$F$200,3,0),""),IF(J330="Vaste prijs",IFERROR(VLOOKUP(C330,Tarieven!$A$2:$F$200,4,0),""),"")))</f>
        <v/>
      </c>
      <c r="L330" s="70">
        <f>IF(C330="","",IF(J330="Per uur",N(I330)*N(K330),IF(J330="Vaste prijs",N(K330),0)))</f>
        <v/>
      </c>
      <c r="M330" s="69">
        <f>IF(C330="","",IFERROR(IF(N(VLOOKUP(C330,Tarieven!$A$2:$F$200,5,0))=0,"",VLOOKUP(C330,Tarieven!$A$2:$F$200,5,0)),""))</f>
        <v/>
      </c>
      <c r="N330" s="69" t="n"/>
      <c r="O330" s="69" t="n"/>
      <c r="P330" s="70">
        <f>IF(C330="","",N(L330)+N(M330)+N(N330)+N(O330))</f>
        <v/>
      </c>
      <c r="Q330" s="58" t="n"/>
      <c r="R330" s="57" t="n"/>
      <c r="S330" s="57" t="n"/>
      <c r="T330" s="57" t="n"/>
      <c r="U330" s="62">
        <f>IF(C330="","",IF(COUNTIF(Tarieven!$A$2:$A$200,C330)=0,"Klant niet in Tarieven",IF(MOD(N(H330),1)*100&gt;59.4,"Tijd ongeldig: minuten boven 59",IF(J330="Nog bepalen","Prijstype nog bepalen",IF(AND(J330="Per uur",N(K330)=0),"Uurtarief ontbreekt",IF(AND(J330="Vaste prijs",N(K330)=0),"Vaste prijs ontbreekt",IF(AND(N(I330)=0,Q330&lt;&gt;"Niet doorgegaan / verplaatst",Q330&lt;&gt;"Geen factuur nodig"),"Geen uren",IF(AND(G330="NEE",Q330="Verstuurd"),"Verstuurd terwijl werk niet af",IF(IFERROR(VLOOKUP(C330,Tarieven!$A$2:$F$200,2,0),"")="Beide","Beide-klant: controleer prijstype","OK")))))))))</f>
        <v/>
      </c>
    </row>
    <row r="331" ht="15" customHeight="1" s="42">
      <c r="A331" s="56">
        <f>IF(B331="","",WEEKNUM(B331,21))</f>
        <v/>
      </c>
      <c r="B331" s="55" t="n"/>
      <c r="C331" s="57" t="n"/>
      <c r="D331" s="57" t="n"/>
      <c r="E331" s="57" t="n"/>
      <c r="F331" s="57" t="n"/>
      <c r="G331" s="67" t="n"/>
      <c r="H331" s="68" t="n"/>
      <c r="I331" s="61">
        <f>IF(C331="","",IF(H331&lt;&gt;"",INT(H331)+ROUND(MOD(H331,1)*100/60,2),SUMIFS(Registraties!$L$5:$L$3004,Registraties!$D$5:$D$3004,C331,Registraties!$A$5:$A$3004,B331)))</f>
        <v/>
      </c>
      <c r="J331" s="58">
        <f>IF(C331="","",IFERROR(IF(VLOOKUP(C331,Tarieven!$A$2:$F$200,2,0)="Beide","Per uur",VLOOKUP(C331,Tarieven!$A$2:$F$200,2,0)),"Nog bepalen"))</f>
        <v/>
      </c>
      <c r="K331" s="69">
        <f>IF(C331="","",IF(J331="Per uur",IFERROR(VLOOKUP(C331,Tarieven!$A$2:$F$200,3,0),""),IF(J331="Vaste prijs",IFERROR(VLOOKUP(C331,Tarieven!$A$2:$F$200,4,0),""),"")))</f>
        <v/>
      </c>
      <c r="L331" s="70">
        <f>IF(C331="","",IF(J331="Per uur",N(I331)*N(K331),IF(J331="Vaste prijs",N(K331),0)))</f>
        <v/>
      </c>
      <c r="M331" s="69">
        <f>IF(C331="","",IFERROR(IF(N(VLOOKUP(C331,Tarieven!$A$2:$F$200,5,0))=0,"",VLOOKUP(C331,Tarieven!$A$2:$F$200,5,0)),""))</f>
        <v/>
      </c>
      <c r="N331" s="69" t="n"/>
      <c r="O331" s="69" t="n"/>
      <c r="P331" s="70">
        <f>IF(C331="","",N(L331)+N(M331)+N(N331)+N(O331))</f>
        <v/>
      </c>
      <c r="Q331" s="58" t="n"/>
      <c r="R331" s="57" t="n"/>
      <c r="S331" s="57" t="n"/>
      <c r="T331" s="57" t="n"/>
      <c r="U331" s="62">
        <f>IF(C331="","",IF(COUNTIF(Tarieven!$A$2:$A$200,C331)=0,"Klant niet in Tarieven",IF(MOD(N(H331),1)*100&gt;59.4,"Tijd ongeldig: minuten boven 59",IF(J331="Nog bepalen","Prijstype nog bepalen",IF(AND(J331="Per uur",N(K331)=0),"Uurtarief ontbreekt",IF(AND(J331="Vaste prijs",N(K331)=0),"Vaste prijs ontbreekt",IF(AND(N(I331)=0,Q331&lt;&gt;"Niet doorgegaan / verplaatst",Q331&lt;&gt;"Geen factuur nodig"),"Geen uren",IF(AND(G331="NEE",Q331="Verstuurd"),"Verstuurd terwijl werk niet af",IF(IFERROR(VLOOKUP(C331,Tarieven!$A$2:$F$200,2,0),"")="Beide","Beide-klant: controleer prijstype","OK")))))))))</f>
        <v/>
      </c>
    </row>
    <row r="332" ht="15" customHeight="1" s="42">
      <c r="A332" s="56">
        <f>IF(B332="","",WEEKNUM(B332,21))</f>
        <v/>
      </c>
      <c r="B332" s="55" t="n"/>
      <c r="C332" s="57" t="n"/>
      <c r="D332" s="57" t="n"/>
      <c r="E332" s="57" t="n"/>
      <c r="F332" s="57" t="n"/>
      <c r="G332" s="67" t="n"/>
      <c r="H332" s="68" t="n"/>
      <c r="I332" s="61">
        <f>IF(C332="","",IF(H332&lt;&gt;"",INT(H332)+ROUND(MOD(H332,1)*100/60,2),SUMIFS(Registraties!$L$5:$L$3004,Registraties!$D$5:$D$3004,C332,Registraties!$A$5:$A$3004,B332)))</f>
        <v/>
      </c>
      <c r="J332" s="58">
        <f>IF(C332="","",IFERROR(IF(VLOOKUP(C332,Tarieven!$A$2:$F$200,2,0)="Beide","Per uur",VLOOKUP(C332,Tarieven!$A$2:$F$200,2,0)),"Nog bepalen"))</f>
        <v/>
      </c>
      <c r="K332" s="69">
        <f>IF(C332="","",IF(J332="Per uur",IFERROR(VLOOKUP(C332,Tarieven!$A$2:$F$200,3,0),""),IF(J332="Vaste prijs",IFERROR(VLOOKUP(C332,Tarieven!$A$2:$F$200,4,0),""),"")))</f>
        <v/>
      </c>
      <c r="L332" s="70">
        <f>IF(C332="","",IF(J332="Per uur",N(I332)*N(K332),IF(J332="Vaste prijs",N(K332),0)))</f>
        <v/>
      </c>
      <c r="M332" s="69">
        <f>IF(C332="","",IFERROR(IF(N(VLOOKUP(C332,Tarieven!$A$2:$F$200,5,0))=0,"",VLOOKUP(C332,Tarieven!$A$2:$F$200,5,0)),""))</f>
        <v/>
      </c>
      <c r="N332" s="69" t="n"/>
      <c r="O332" s="69" t="n"/>
      <c r="P332" s="70">
        <f>IF(C332="","",N(L332)+N(M332)+N(N332)+N(O332))</f>
        <v/>
      </c>
      <c r="Q332" s="58" t="n"/>
      <c r="R332" s="57" t="n"/>
      <c r="S332" s="57" t="n"/>
      <c r="T332" s="57" t="n"/>
      <c r="U332" s="62">
        <f>IF(C332="","",IF(COUNTIF(Tarieven!$A$2:$A$200,C332)=0,"Klant niet in Tarieven",IF(MOD(N(H332),1)*100&gt;59.4,"Tijd ongeldig: minuten boven 59",IF(J332="Nog bepalen","Prijstype nog bepalen",IF(AND(J332="Per uur",N(K332)=0),"Uurtarief ontbreekt",IF(AND(J332="Vaste prijs",N(K332)=0),"Vaste prijs ontbreekt",IF(AND(N(I332)=0,Q332&lt;&gt;"Niet doorgegaan / verplaatst",Q332&lt;&gt;"Geen factuur nodig"),"Geen uren",IF(AND(G332="NEE",Q332="Verstuurd"),"Verstuurd terwijl werk niet af",IF(IFERROR(VLOOKUP(C332,Tarieven!$A$2:$F$200,2,0),"")="Beide","Beide-klant: controleer prijstype","OK")))))))))</f>
        <v/>
      </c>
    </row>
    <row r="333" ht="15" customHeight="1" s="42">
      <c r="A333" s="56">
        <f>IF(B333="","",WEEKNUM(B333,21))</f>
        <v/>
      </c>
      <c r="B333" s="55" t="n"/>
      <c r="C333" s="57" t="n"/>
      <c r="D333" s="57" t="n"/>
      <c r="E333" s="57" t="n"/>
      <c r="F333" s="57" t="n"/>
      <c r="G333" s="67" t="n"/>
      <c r="H333" s="68" t="n"/>
      <c r="I333" s="61">
        <f>IF(C333="","",IF(H333&lt;&gt;"",INT(H333)+ROUND(MOD(H333,1)*100/60,2),SUMIFS(Registraties!$L$5:$L$3004,Registraties!$D$5:$D$3004,C333,Registraties!$A$5:$A$3004,B333)))</f>
        <v/>
      </c>
      <c r="J333" s="58">
        <f>IF(C333="","",IFERROR(IF(VLOOKUP(C333,Tarieven!$A$2:$F$200,2,0)="Beide","Per uur",VLOOKUP(C333,Tarieven!$A$2:$F$200,2,0)),"Nog bepalen"))</f>
        <v/>
      </c>
      <c r="K333" s="69">
        <f>IF(C333="","",IF(J333="Per uur",IFERROR(VLOOKUP(C333,Tarieven!$A$2:$F$200,3,0),""),IF(J333="Vaste prijs",IFERROR(VLOOKUP(C333,Tarieven!$A$2:$F$200,4,0),""),"")))</f>
        <v/>
      </c>
      <c r="L333" s="70">
        <f>IF(C333="","",IF(J333="Per uur",N(I333)*N(K333),IF(J333="Vaste prijs",N(K333),0)))</f>
        <v/>
      </c>
      <c r="M333" s="69">
        <f>IF(C333="","",IFERROR(IF(N(VLOOKUP(C333,Tarieven!$A$2:$F$200,5,0))=0,"",VLOOKUP(C333,Tarieven!$A$2:$F$200,5,0)),""))</f>
        <v/>
      </c>
      <c r="N333" s="69" t="n"/>
      <c r="O333" s="69" t="n"/>
      <c r="P333" s="70">
        <f>IF(C333="","",N(L333)+N(M333)+N(N333)+N(O333))</f>
        <v/>
      </c>
      <c r="Q333" s="58" t="n"/>
      <c r="R333" s="57" t="n"/>
      <c r="S333" s="57" t="n"/>
      <c r="T333" s="57" t="n"/>
      <c r="U333" s="62">
        <f>IF(C333="","",IF(COUNTIF(Tarieven!$A$2:$A$200,C333)=0,"Klant niet in Tarieven",IF(MOD(N(H333),1)*100&gt;59.4,"Tijd ongeldig: minuten boven 59",IF(J333="Nog bepalen","Prijstype nog bepalen",IF(AND(J333="Per uur",N(K333)=0),"Uurtarief ontbreekt",IF(AND(J333="Vaste prijs",N(K333)=0),"Vaste prijs ontbreekt",IF(AND(N(I333)=0,Q333&lt;&gt;"Niet doorgegaan / verplaatst",Q333&lt;&gt;"Geen factuur nodig"),"Geen uren",IF(AND(G333="NEE",Q333="Verstuurd"),"Verstuurd terwijl werk niet af",IF(IFERROR(VLOOKUP(C333,Tarieven!$A$2:$F$200,2,0),"")="Beide","Beide-klant: controleer prijstype","OK")))))))))</f>
        <v/>
      </c>
    </row>
    <row r="334" ht="15" customHeight="1" s="42">
      <c r="A334" s="56">
        <f>IF(B334="","",WEEKNUM(B334,21))</f>
        <v/>
      </c>
      <c r="B334" s="55" t="n"/>
      <c r="C334" s="57" t="n"/>
      <c r="D334" s="57" t="n"/>
      <c r="E334" s="57" t="n"/>
      <c r="F334" s="57" t="n"/>
      <c r="G334" s="67" t="n"/>
      <c r="H334" s="68" t="n"/>
      <c r="I334" s="61">
        <f>IF(C334="","",IF(H334&lt;&gt;"",INT(H334)+ROUND(MOD(H334,1)*100/60,2),SUMIFS(Registraties!$L$5:$L$3004,Registraties!$D$5:$D$3004,C334,Registraties!$A$5:$A$3004,B334)))</f>
        <v/>
      </c>
      <c r="J334" s="58">
        <f>IF(C334="","",IFERROR(IF(VLOOKUP(C334,Tarieven!$A$2:$F$200,2,0)="Beide","Per uur",VLOOKUP(C334,Tarieven!$A$2:$F$200,2,0)),"Nog bepalen"))</f>
        <v/>
      </c>
      <c r="K334" s="69">
        <f>IF(C334="","",IF(J334="Per uur",IFERROR(VLOOKUP(C334,Tarieven!$A$2:$F$200,3,0),""),IF(J334="Vaste prijs",IFERROR(VLOOKUP(C334,Tarieven!$A$2:$F$200,4,0),""),"")))</f>
        <v/>
      </c>
      <c r="L334" s="70">
        <f>IF(C334="","",IF(J334="Per uur",N(I334)*N(K334),IF(J334="Vaste prijs",N(K334),0)))</f>
        <v/>
      </c>
      <c r="M334" s="69">
        <f>IF(C334="","",IFERROR(IF(N(VLOOKUP(C334,Tarieven!$A$2:$F$200,5,0))=0,"",VLOOKUP(C334,Tarieven!$A$2:$F$200,5,0)),""))</f>
        <v/>
      </c>
      <c r="N334" s="69" t="n"/>
      <c r="O334" s="69" t="n"/>
      <c r="P334" s="70">
        <f>IF(C334="","",N(L334)+N(M334)+N(N334)+N(O334))</f>
        <v/>
      </c>
      <c r="Q334" s="58" t="n"/>
      <c r="R334" s="57" t="n"/>
      <c r="S334" s="57" t="n"/>
      <c r="T334" s="57" t="n"/>
      <c r="U334" s="62">
        <f>IF(C334="","",IF(COUNTIF(Tarieven!$A$2:$A$200,C334)=0,"Klant niet in Tarieven",IF(MOD(N(H334),1)*100&gt;59.4,"Tijd ongeldig: minuten boven 59",IF(J334="Nog bepalen","Prijstype nog bepalen",IF(AND(J334="Per uur",N(K334)=0),"Uurtarief ontbreekt",IF(AND(J334="Vaste prijs",N(K334)=0),"Vaste prijs ontbreekt",IF(AND(N(I334)=0,Q334&lt;&gt;"Niet doorgegaan / verplaatst",Q334&lt;&gt;"Geen factuur nodig"),"Geen uren",IF(AND(G334="NEE",Q334="Verstuurd"),"Verstuurd terwijl werk niet af",IF(IFERROR(VLOOKUP(C334,Tarieven!$A$2:$F$200,2,0),"")="Beide","Beide-klant: controleer prijstype","OK")))))))))</f>
        <v/>
      </c>
    </row>
    <row r="335" ht="15" customHeight="1" s="42">
      <c r="A335" s="56">
        <f>IF(B335="","",WEEKNUM(B335,21))</f>
        <v/>
      </c>
      <c r="B335" s="55" t="n"/>
      <c r="C335" s="57" t="n"/>
      <c r="D335" s="57" t="n"/>
      <c r="E335" s="57" t="n"/>
      <c r="F335" s="57" t="n"/>
      <c r="G335" s="67" t="n"/>
      <c r="H335" s="68" t="n"/>
      <c r="I335" s="61">
        <f>IF(C335="","",IF(H335&lt;&gt;"",INT(H335)+ROUND(MOD(H335,1)*100/60,2),SUMIFS(Registraties!$L$5:$L$3004,Registraties!$D$5:$D$3004,C335,Registraties!$A$5:$A$3004,B335)))</f>
        <v/>
      </c>
      <c r="J335" s="58">
        <f>IF(C335="","",IFERROR(IF(VLOOKUP(C335,Tarieven!$A$2:$F$200,2,0)="Beide","Per uur",VLOOKUP(C335,Tarieven!$A$2:$F$200,2,0)),"Nog bepalen"))</f>
        <v/>
      </c>
      <c r="K335" s="69">
        <f>IF(C335="","",IF(J335="Per uur",IFERROR(VLOOKUP(C335,Tarieven!$A$2:$F$200,3,0),""),IF(J335="Vaste prijs",IFERROR(VLOOKUP(C335,Tarieven!$A$2:$F$200,4,0),""),"")))</f>
        <v/>
      </c>
      <c r="L335" s="70">
        <f>IF(C335="","",IF(J335="Per uur",N(I335)*N(K335),IF(J335="Vaste prijs",N(K335),0)))</f>
        <v/>
      </c>
      <c r="M335" s="69">
        <f>IF(C335="","",IFERROR(IF(N(VLOOKUP(C335,Tarieven!$A$2:$F$200,5,0))=0,"",VLOOKUP(C335,Tarieven!$A$2:$F$200,5,0)),""))</f>
        <v/>
      </c>
      <c r="N335" s="69" t="n"/>
      <c r="O335" s="69" t="n"/>
      <c r="P335" s="70">
        <f>IF(C335="","",N(L335)+N(M335)+N(N335)+N(O335))</f>
        <v/>
      </c>
      <c r="Q335" s="58" t="n"/>
      <c r="R335" s="57" t="n"/>
      <c r="S335" s="57" t="n"/>
      <c r="T335" s="57" t="n"/>
      <c r="U335" s="62">
        <f>IF(C335="","",IF(COUNTIF(Tarieven!$A$2:$A$200,C335)=0,"Klant niet in Tarieven",IF(MOD(N(H335),1)*100&gt;59.4,"Tijd ongeldig: minuten boven 59",IF(J335="Nog bepalen","Prijstype nog bepalen",IF(AND(J335="Per uur",N(K335)=0),"Uurtarief ontbreekt",IF(AND(J335="Vaste prijs",N(K335)=0),"Vaste prijs ontbreekt",IF(AND(N(I335)=0,Q335&lt;&gt;"Niet doorgegaan / verplaatst",Q335&lt;&gt;"Geen factuur nodig"),"Geen uren",IF(AND(G335="NEE",Q335="Verstuurd"),"Verstuurd terwijl werk niet af",IF(IFERROR(VLOOKUP(C335,Tarieven!$A$2:$F$200,2,0),"")="Beide","Beide-klant: controleer prijstype","OK")))))))))</f>
        <v/>
      </c>
    </row>
    <row r="336" ht="15" customHeight="1" s="42">
      <c r="A336" s="56">
        <f>IF(B336="","",WEEKNUM(B336,21))</f>
        <v/>
      </c>
      <c r="B336" s="55" t="n"/>
      <c r="C336" s="57" t="n"/>
      <c r="D336" s="57" t="n"/>
      <c r="E336" s="57" t="n"/>
      <c r="F336" s="57" t="n"/>
      <c r="G336" s="67" t="n"/>
      <c r="H336" s="68" t="n"/>
      <c r="I336" s="61">
        <f>IF(C336="","",IF(H336&lt;&gt;"",INT(H336)+ROUND(MOD(H336,1)*100/60,2),SUMIFS(Registraties!$L$5:$L$3004,Registraties!$D$5:$D$3004,C336,Registraties!$A$5:$A$3004,B336)))</f>
        <v/>
      </c>
      <c r="J336" s="58">
        <f>IF(C336="","",IFERROR(IF(VLOOKUP(C336,Tarieven!$A$2:$F$200,2,0)="Beide","Per uur",VLOOKUP(C336,Tarieven!$A$2:$F$200,2,0)),"Nog bepalen"))</f>
        <v/>
      </c>
      <c r="K336" s="69">
        <f>IF(C336="","",IF(J336="Per uur",IFERROR(VLOOKUP(C336,Tarieven!$A$2:$F$200,3,0),""),IF(J336="Vaste prijs",IFERROR(VLOOKUP(C336,Tarieven!$A$2:$F$200,4,0),""),"")))</f>
        <v/>
      </c>
      <c r="L336" s="70">
        <f>IF(C336="","",IF(J336="Per uur",N(I336)*N(K336),IF(J336="Vaste prijs",N(K336),0)))</f>
        <v/>
      </c>
      <c r="M336" s="69">
        <f>IF(C336="","",IFERROR(IF(N(VLOOKUP(C336,Tarieven!$A$2:$F$200,5,0))=0,"",VLOOKUP(C336,Tarieven!$A$2:$F$200,5,0)),""))</f>
        <v/>
      </c>
      <c r="N336" s="69" t="n"/>
      <c r="O336" s="69" t="n"/>
      <c r="P336" s="70">
        <f>IF(C336="","",N(L336)+N(M336)+N(N336)+N(O336))</f>
        <v/>
      </c>
      <c r="Q336" s="58" t="n"/>
      <c r="R336" s="57" t="n"/>
      <c r="S336" s="57" t="n"/>
      <c r="T336" s="57" t="n"/>
      <c r="U336" s="62">
        <f>IF(C336="","",IF(COUNTIF(Tarieven!$A$2:$A$200,C336)=0,"Klant niet in Tarieven",IF(MOD(N(H336),1)*100&gt;59.4,"Tijd ongeldig: minuten boven 59",IF(J336="Nog bepalen","Prijstype nog bepalen",IF(AND(J336="Per uur",N(K336)=0),"Uurtarief ontbreekt",IF(AND(J336="Vaste prijs",N(K336)=0),"Vaste prijs ontbreekt",IF(AND(N(I336)=0,Q336&lt;&gt;"Niet doorgegaan / verplaatst",Q336&lt;&gt;"Geen factuur nodig"),"Geen uren",IF(AND(G336="NEE",Q336="Verstuurd"),"Verstuurd terwijl werk niet af",IF(IFERROR(VLOOKUP(C336,Tarieven!$A$2:$F$200,2,0),"")="Beide","Beide-klant: controleer prijstype","OK")))))))))</f>
        <v/>
      </c>
    </row>
    <row r="337" ht="15" customHeight="1" s="42">
      <c r="A337" s="56">
        <f>IF(B337="","",WEEKNUM(B337,21))</f>
        <v/>
      </c>
      <c r="B337" s="55" t="n"/>
      <c r="C337" s="57" t="n"/>
      <c r="D337" s="57" t="n"/>
      <c r="E337" s="57" t="n"/>
      <c r="F337" s="57" t="n"/>
      <c r="G337" s="67" t="n"/>
      <c r="H337" s="68" t="n"/>
      <c r="I337" s="61">
        <f>IF(C337="","",IF(H337&lt;&gt;"",INT(H337)+ROUND(MOD(H337,1)*100/60,2),SUMIFS(Registraties!$L$5:$L$3004,Registraties!$D$5:$D$3004,C337,Registraties!$A$5:$A$3004,B337)))</f>
        <v/>
      </c>
      <c r="J337" s="58">
        <f>IF(C337="","",IFERROR(IF(VLOOKUP(C337,Tarieven!$A$2:$F$200,2,0)="Beide","Per uur",VLOOKUP(C337,Tarieven!$A$2:$F$200,2,0)),"Nog bepalen"))</f>
        <v/>
      </c>
      <c r="K337" s="69">
        <f>IF(C337="","",IF(J337="Per uur",IFERROR(VLOOKUP(C337,Tarieven!$A$2:$F$200,3,0),""),IF(J337="Vaste prijs",IFERROR(VLOOKUP(C337,Tarieven!$A$2:$F$200,4,0),""),"")))</f>
        <v/>
      </c>
      <c r="L337" s="70">
        <f>IF(C337="","",IF(J337="Per uur",N(I337)*N(K337),IF(J337="Vaste prijs",N(K337),0)))</f>
        <v/>
      </c>
      <c r="M337" s="69">
        <f>IF(C337="","",IFERROR(IF(N(VLOOKUP(C337,Tarieven!$A$2:$F$200,5,0))=0,"",VLOOKUP(C337,Tarieven!$A$2:$F$200,5,0)),""))</f>
        <v/>
      </c>
      <c r="N337" s="69" t="n"/>
      <c r="O337" s="69" t="n"/>
      <c r="P337" s="70">
        <f>IF(C337="","",N(L337)+N(M337)+N(N337)+N(O337))</f>
        <v/>
      </c>
      <c r="Q337" s="58" t="n"/>
      <c r="R337" s="57" t="n"/>
      <c r="S337" s="57" t="n"/>
      <c r="T337" s="57" t="n"/>
      <c r="U337" s="62">
        <f>IF(C337="","",IF(COUNTIF(Tarieven!$A$2:$A$200,C337)=0,"Klant niet in Tarieven",IF(MOD(N(H337),1)*100&gt;59.4,"Tijd ongeldig: minuten boven 59",IF(J337="Nog bepalen","Prijstype nog bepalen",IF(AND(J337="Per uur",N(K337)=0),"Uurtarief ontbreekt",IF(AND(J337="Vaste prijs",N(K337)=0),"Vaste prijs ontbreekt",IF(AND(N(I337)=0,Q337&lt;&gt;"Niet doorgegaan / verplaatst",Q337&lt;&gt;"Geen factuur nodig"),"Geen uren",IF(AND(G337="NEE",Q337="Verstuurd"),"Verstuurd terwijl werk niet af",IF(IFERROR(VLOOKUP(C337,Tarieven!$A$2:$F$200,2,0),"")="Beide","Beide-klant: controleer prijstype","OK")))))))))</f>
        <v/>
      </c>
    </row>
    <row r="338" ht="15" customHeight="1" s="42">
      <c r="A338" s="56">
        <f>IF(B338="","",WEEKNUM(B338,21))</f>
        <v/>
      </c>
      <c r="B338" s="55" t="n"/>
      <c r="C338" s="57" t="n"/>
      <c r="D338" s="57" t="n"/>
      <c r="E338" s="57" t="n"/>
      <c r="F338" s="57" t="n"/>
      <c r="G338" s="67" t="n"/>
      <c r="H338" s="68" t="n"/>
      <c r="I338" s="61">
        <f>IF(C338="","",IF(H338&lt;&gt;"",INT(H338)+ROUND(MOD(H338,1)*100/60,2),SUMIFS(Registraties!$L$5:$L$3004,Registraties!$D$5:$D$3004,C338,Registraties!$A$5:$A$3004,B338)))</f>
        <v/>
      </c>
      <c r="J338" s="58">
        <f>IF(C338="","",IFERROR(IF(VLOOKUP(C338,Tarieven!$A$2:$F$200,2,0)="Beide","Per uur",VLOOKUP(C338,Tarieven!$A$2:$F$200,2,0)),"Nog bepalen"))</f>
        <v/>
      </c>
      <c r="K338" s="69">
        <f>IF(C338="","",IF(J338="Per uur",IFERROR(VLOOKUP(C338,Tarieven!$A$2:$F$200,3,0),""),IF(J338="Vaste prijs",IFERROR(VLOOKUP(C338,Tarieven!$A$2:$F$200,4,0),""),"")))</f>
        <v/>
      </c>
      <c r="L338" s="70">
        <f>IF(C338="","",IF(J338="Per uur",N(I338)*N(K338),IF(J338="Vaste prijs",N(K338),0)))</f>
        <v/>
      </c>
      <c r="M338" s="69">
        <f>IF(C338="","",IFERROR(IF(N(VLOOKUP(C338,Tarieven!$A$2:$F$200,5,0))=0,"",VLOOKUP(C338,Tarieven!$A$2:$F$200,5,0)),""))</f>
        <v/>
      </c>
      <c r="N338" s="69" t="n"/>
      <c r="O338" s="69" t="n"/>
      <c r="P338" s="70">
        <f>IF(C338="","",N(L338)+N(M338)+N(N338)+N(O338))</f>
        <v/>
      </c>
      <c r="Q338" s="58" t="n"/>
      <c r="R338" s="57" t="n"/>
      <c r="S338" s="57" t="n"/>
      <c r="T338" s="57" t="n"/>
      <c r="U338" s="62">
        <f>IF(C338="","",IF(COUNTIF(Tarieven!$A$2:$A$200,C338)=0,"Klant niet in Tarieven",IF(MOD(N(H338),1)*100&gt;59.4,"Tijd ongeldig: minuten boven 59",IF(J338="Nog bepalen","Prijstype nog bepalen",IF(AND(J338="Per uur",N(K338)=0),"Uurtarief ontbreekt",IF(AND(J338="Vaste prijs",N(K338)=0),"Vaste prijs ontbreekt",IF(AND(N(I338)=0,Q338&lt;&gt;"Niet doorgegaan / verplaatst",Q338&lt;&gt;"Geen factuur nodig"),"Geen uren",IF(AND(G338="NEE",Q338="Verstuurd"),"Verstuurd terwijl werk niet af",IF(IFERROR(VLOOKUP(C338,Tarieven!$A$2:$F$200,2,0),"")="Beide","Beide-klant: controleer prijstype","OK")))))))))</f>
        <v/>
      </c>
    </row>
    <row r="339" ht="15" customHeight="1" s="42">
      <c r="A339" s="56">
        <f>IF(B339="","",WEEKNUM(B339,21))</f>
        <v/>
      </c>
      <c r="B339" s="55" t="n"/>
      <c r="C339" s="57" t="n"/>
      <c r="D339" s="57" t="n"/>
      <c r="E339" s="57" t="n"/>
      <c r="F339" s="57" t="n"/>
      <c r="G339" s="67" t="n"/>
      <c r="H339" s="68" t="n"/>
      <c r="I339" s="61">
        <f>IF(C339="","",IF(H339&lt;&gt;"",INT(H339)+ROUND(MOD(H339,1)*100/60,2),SUMIFS(Registraties!$L$5:$L$3004,Registraties!$D$5:$D$3004,C339,Registraties!$A$5:$A$3004,B339)))</f>
        <v/>
      </c>
      <c r="J339" s="58">
        <f>IF(C339="","",IFERROR(IF(VLOOKUP(C339,Tarieven!$A$2:$F$200,2,0)="Beide","Per uur",VLOOKUP(C339,Tarieven!$A$2:$F$200,2,0)),"Nog bepalen"))</f>
        <v/>
      </c>
      <c r="K339" s="69">
        <f>IF(C339="","",IF(J339="Per uur",IFERROR(VLOOKUP(C339,Tarieven!$A$2:$F$200,3,0),""),IF(J339="Vaste prijs",IFERROR(VLOOKUP(C339,Tarieven!$A$2:$F$200,4,0),""),"")))</f>
        <v/>
      </c>
      <c r="L339" s="70">
        <f>IF(C339="","",IF(J339="Per uur",N(I339)*N(K339),IF(J339="Vaste prijs",N(K339),0)))</f>
        <v/>
      </c>
      <c r="M339" s="69">
        <f>IF(C339="","",IFERROR(IF(N(VLOOKUP(C339,Tarieven!$A$2:$F$200,5,0))=0,"",VLOOKUP(C339,Tarieven!$A$2:$F$200,5,0)),""))</f>
        <v/>
      </c>
      <c r="N339" s="69" t="n"/>
      <c r="O339" s="69" t="n"/>
      <c r="P339" s="70">
        <f>IF(C339="","",N(L339)+N(M339)+N(N339)+N(O339))</f>
        <v/>
      </c>
      <c r="Q339" s="58" t="n"/>
      <c r="R339" s="57" t="n"/>
      <c r="S339" s="57" t="n"/>
      <c r="T339" s="57" t="n"/>
      <c r="U339" s="62">
        <f>IF(C339="","",IF(COUNTIF(Tarieven!$A$2:$A$200,C339)=0,"Klant niet in Tarieven",IF(MOD(N(H339),1)*100&gt;59.4,"Tijd ongeldig: minuten boven 59",IF(J339="Nog bepalen","Prijstype nog bepalen",IF(AND(J339="Per uur",N(K339)=0),"Uurtarief ontbreekt",IF(AND(J339="Vaste prijs",N(K339)=0),"Vaste prijs ontbreekt",IF(AND(N(I339)=0,Q339&lt;&gt;"Niet doorgegaan / verplaatst",Q339&lt;&gt;"Geen factuur nodig"),"Geen uren",IF(AND(G339="NEE",Q339="Verstuurd"),"Verstuurd terwijl werk niet af",IF(IFERROR(VLOOKUP(C339,Tarieven!$A$2:$F$200,2,0),"")="Beide","Beide-klant: controleer prijstype","OK")))))))))</f>
        <v/>
      </c>
    </row>
    <row r="340" ht="15" customHeight="1" s="42">
      <c r="A340" s="56">
        <f>IF(B340="","",WEEKNUM(B340,21))</f>
        <v/>
      </c>
      <c r="B340" s="55" t="n"/>
      <c r="C340" s="57" t="n"/>
      <c r="D340" s="57" t="n"/>
      <c r="E340" s="57" t="n"/>
      <c r="F340" s="57" t="n"/>
      <c r="G340" s="67" t="n"/>
      <c r="H340" s="68" t="n"/>
      <c r="I340" s="61">
        <f>IF(C340="","",IF(H340&lt;&gt;"",INT(H340)+ROUND(MOD(H340,1)*100/60,2),SUMIFS(Registraties!$L$5:$L$3004,Registraties!$D$5:$D$3004,C340,Registraties!$A$5:$A$3004,B340)))</f>
        <v/>
      </c>
      <c r="J340" s="58">
        <f>IF(C340="","",IFERROR(IF(VLOOKUP(C340,Tarieven!$A$2:$F$200,2,0)="Beide","Per uur",VLOOKUP(C340,Tarieven!$A$2:$F$200,2,0)),"Nog bepalen"))</f>
        <v/>
      </c>
      <c r="K340" s="69">
        <f>IF(C340="","",IF(J340="Per uur",IFERROR(VLOOKUP(C340,Tarieven!$A$2:$F$200,3,0),""),IF(J340="Vaste prijs",IFERROR(VLOOKUP(C340,Tarieven!$A$2:$F$200,4,0),""),"")))</f>
        <v/>
      </c>
      <c r="L340" s="70">
        <f>IF(C340="","",IF(J340="Per uur",N(I340)*N(K340),IF(J340="Vaste prijs",N(K340),0)))</f>
        <v/>
      </c>
      <c r="M340" s="69">
        <f>IF(C340="","",IFERROR(IF(N(VLOOKUP(C340,Tarieven!$A$2:$F$200,5,0))=0,"",VLOOKUP(C340,Tarieven!$A$2:$F$200,5,0)),""))</f>
        <v/>
      </c>
      <c r="N340" s="69" t="n"/>
      <c r="O340" s="69" t="n"/>
      <c r="P340" s="70">
        <f>IF(C340="","",N(L340)+N(M340)+N(N340)+N(O340))</f>
        <v/>
      </c>
      <c r="Q340" s="58" t="n"/>
      <c r="R340" s="57" t="n"/>
      <c r="S340" s="57" t="n"/>
      <c r="T340" s="57" t="n"/>
      <c r="U340" s="62">
        <f>IF(C340="","",IF(COUNTIF(Tarieven!$A$2:$A$200,C340)=0,"Klant niet in Tarieven",IF(MOD(N(H340),1)*100&gt;59.4,"Tijd ongeldig: minuten boven 59",IF(J340="Nog bepalen","Prijstype nog bepalen",IF(AND(J340="Per uur",N(K340)=0),"Uurtarief ontbreekt",IF(AND(J340="Vaste prijs",N(K340)=0),"Vaste prijs ontbreekt",IF(AND(N(I340)=0,Q340&lt;&gt;"Niet doorgegaan / verplaatst",Q340&lt;&gt;"Geen factuur nodig"),"Geen uren",IF(AND(G340="NEE",Q340="Verstuurd"),"Verstuurd terwijl werk niet af",IF(IFERROR(VLOOKUP(C340,Tarieven!$A$2:$F$200,2,0),"")="Beide","Beide-klant: controleer prijstype","OK")))))))))</f>
        <v/>
      </c>
    </row>
    <row r="341" ht="15" customHeight="1" s="42">
      <c r="A341" s="56">
        <f>IF(B341="","",WEEKNUM(B341,21))</f>
        <v/>
      </c>
      <c r="B341" s="55" t="n"/>
      <c r="C341" s="57" t="n"/>
      <c r="D341" s="57" t="n"/>
      <c r="E341" s="57" t="n"/>
      <c r="F341" s="57" t="n"/>
      <c r="G341" s="67" t="n"/>
      <c r="H341" s="68" t="n"/>
      <c r="I341" s="61">
        <f>IF(C341="","",IF(H341&lt;&gt;"",INT(H341)+ROUND(MOD(H341,1)*100/60,2),SUMIFS(Registraties!$L$5:$L$3004,Registraties!$D$5:$D$3004,C341,Registraties!$A$5:$A$3004,B341)))</f>
        <v/>
      </c>
      <c r="J341" s="58">
        <f>IF(C341="","",IFERROR(IF(VLOOKUP(C341,Tarieven!$A$2:$F$200,2,0)="Beide","Per uur",VLOOKUP(C341,Tarieven!$A$2:$F$200,2,0)),"Nog bepalen"))</f>
        <v/>
      </c>
      <c r="K341" s="69">
        <f>IF(C341="","",IF(J341="Per uur",IFERROR(VLOOKUP(C341,Tarieven!$A$2:$F$200,3,0),""),IF(J341="Vaste prijs",IFERROR(VLOOKUP(C341,Tarieven!$A$2:$F$200,4,0),""),"")))</f>
        <v/>
      </c>
      <c r="L341" s="70">
        <f>IF(C341="","",IF(J341="Per uur",N(I341)*N(K341),IF(J341="Vaste prijs",N(K341),0)))</f>
        <v/>
      </c>
      <c r="M341" s="69">
        <f>IF(C341="","",IFERROR(IF(N(VLOOKUP(C341,Tarieven!$A$2:$F$200,5,0))=0,"",VLOOKUP(C341,Tarieven!$A$2:$F$200,5,0)),""))</f>
        <v/>
      </c>
      <c r="N341" s="69" t="n"/>
      <c r="O341" s="69" t="n"/>
      <c r="P341" s="70">
        <f>IF(C341="","",N(L341)+N(M341)+N(N341)+N(O341))</f>
        <v/>
      </c>
      <c r="Q341" s="58" t="n"/>
      <c r="R341" s="57" t="n"/>
      <c r="S341" s="57" t="n"/>
      <c r="T341" s="57" t="n"/>
      <c r="U341" s="62">
        <f>IF(C341="","",IF(COUNTIF(Tarieven!$A$2:$A$200,C341)=0,"Klant niet in Tarieven",IF(MOD(N(H341),1)*100&gt;59.4,"Tijd ongeldig: minuten boven 59",IF(J341="Nog bepalen","Prijstype nog bepalen",IF(AND(J341="Per uur",N(K341)=0),"Uurtarief ontbreekt",IF(AND(J341="Vaste prijs",N(K341)=0),"Vaste prijs ontbreekt",IF(AND(N(I341)=0,Q341&lt;&gt;"Niet doorgegaan / verplaatst",Q341&lt;&gt;"Geen factuur nodig"),"Geen uren",IF(AND(G341="NEE",Q341="Verstuurd"),"Verstuurd terwijl werk niet af",IF(IFERROR(VLOOKUP(C341,Tarieven!$A$2:$F$200,2,0),"")="Beide","Beide-klant: controleer prijstype","OK")))))))))</f>
        <v/>
      </c>
    </row>
    <row r="342" ht="15" customHeight="1" s="42">
      <c r="A342" s="56">
        <f>IF(B342="","",WEEKNUM(B342,21))</f>
        <v/>
      </c>
      <c r="B342" s="55" t="n"/>
      <c r="C342" s="57" t="n"/>
      <c r="D342" s="57" t="n"/>
      <c r="E342" s="57" t="n"/>
      <c r="F342" s="57" t="n"/>
      <c r="G342" s="67" t="n"/>
      <c r="H342" s="68" t="n"/>
      <c r="I342" s="61">
        <f>IF(C342="","",IF(H342&lt;&gt;"",INT(H342)+ROUND(MOD(H342,1)*100/60,2),SUMIFS(Registraties!$L$5:$L$3004,Registraties!$D$5:$D$3004,C342,Registraties!$A$5:$A$3004,B342)))</f>
        <v/>
      </c>
      <c r="J342" s="58">
        <f>IF(C342="","",IFERROR(IF(VLOOKUP(C342,Tarieven!$A$2:$F$200,2,0)="Beide","Per uur",VLOOKUP(C342,Tarieven!$A$2:$F$200,2,0)),"Nog bepalen"))</f>
        <v/>
      </c>
      <c r="K342" s="69">
        <f>IF(C342="","",IF(J342="Per uur",IFERROR(VLOOKUP(C342,Tarieven!$A$2:$F$200,3,0),""),IF(J342="Vaste prijs",IFERROR(VLOOKUP(C342,Tarieven!$A$2:$F$200,4,0),""),"")))</f>
        <v/>
      </c>
      <c r="L342" s="70">
        <f>IF(C342="","",IF(J342="Per uur",N(I342)*N(K342),IF(J342="Vaste prijs",N(K342),0)))</f>
        <v/>
      </c>
      <c r="M342" s="69">
        <f>IF(C342="","",IFERROR(IF(N(VLOOKUP(C342,Tarieven!$A$2:$F$200,5,0))=0,"",VLOOKUP(C342,Tarieven!$A$2:$F$200,5,0)),""))</f>
        <v/>
      </c>
      <c r="N342" s="69" t="n"/>
      <c r="O342" s="69" t="n"/>
      <c r="P342" s="70">
        <f>IF(C342="","",N(L342)+N(M342)+N(N342)+N(O342))</f>
        <v/>
      </c>
      <c r="Q342" s="58" t="n"/>
      <c r="R342" s="57" t="n"/>
      <c r="S342" s="57" t="n"/>
      <c r="T342" s="57" t="n"/>
      <c r="U342" s="62">
        <f>IF(C342="","",IF(COUNTIF(Tarieven!$A$2:$A$200,C342)=0,"Klant niet in Tarieven",IF(MOD(N(H342),1)*100&gt;59.4,"Tijd ongeldig: minuten boven 59",IF(J342="Nog bepalen","Prijstype nog bepalen",IF(AND(J342="Per uur",N(K342)=0),"Uurtarief ontbreekt",IF(AND(J342="Vaste prijs",N(K342)=0),"Vaste prijs ontbreekt",IF(AND(N(I342)=0,Q342&lt;&gt;"Niet doorgegaan / verplaatst",Q342&lt;&gt;"Geen factuur nodig"),"Geen uren",IF(AND(G342="NEE",Q342="Verstuurd"),"Verstuurd terwijl werk niet af",IF(IFERROR(VLOOKUP(C342,Tarieven!$A$2:$F$200,2,0),"")="Beide","Beide-klant: controleer prijstype","OK")))))))))</f>
        <v/>
      </c>
    </row>
    <row r="343" ht="15" customHeight="1" s="42">
      <c r="A343" s="56">
        <f>IF(B343="","",WEEKNUM(B343,21))</f>
        <v/>
      </c>
      <c r="B343" s="55" t="n"/>
      <c r="C343" s="57" t="n"/>
      <c r="D343" s="57" t="n"/>
      <c r="E343" s="57" t="n"/>
      <c r="F343" s="57" t="n"/>
      <c r="G343" s="67" t="n"/>
      <c r="H343" s="68" t="n"/>
      <c r="I343" s="61">
        <f>IF(C343="","",IF(H343&lt;&gt;"",INT(H343)+ROUND(MOD(H343,1)*100/60,2),SUMIFS(Registraties!$L$5:$L$3004,Registraties!$D$5:$D$3004,C343,Registraties!$A$5:$A$3004,B343)))</f>
        <v/>
      </c>
      <c r="J343" s="58">
        <f>IF(C343="","",IFERROR(IF(VLOOKUP(C343,Tarieven!$A$2:$F$200,2,0)="Beide","Per uur",VLOOKUP(C343,Tarieven!$A$2:$F$200,2,0)),"Nog bepalen"))</f>
        <v/>
      </c>
      <c r="K343" s="69">
        <f>IF(C343="","",IF(J343="Per uur",IFERROR(VLOOKUP(C343,Tarieven!$A$2:$F$200,3,0),""),IF(J343="Vaste prijs",IFERROR(VLOOKUP(C343,Tarieven!$A$2:$F$200,4,0),""),"")))</f>
        <v/>
      </c>
      <c r="L343" s="70">
        <f>IF(C343="","",IF(J343="Per uur",N(I343)*N(K343),IF(J343="Vaste prijs",N(K343),0)))</f>
        <v/>
      </c>
      <c r="M343" s="69">
        <f>IF(C343="","",IFERROR(IF(N(VLOOKUP(C343,Tarieven!$A$2:$F$200,5,0))=0,"",VLOOKUP(C343,Tarieven!$A$2:$F$200,5,0)),""))</f>
        <v/>
      </c>
      <c r="N343" s="69" t="n"/>
      <c r="O343" s="69" t="n"/>
      <c r="P343" s="70">
        <f>IF(C343="","",N(L343)+N(M343)+N(N343)+N(O343))</f>
        <v/>
      </c>
      <c r="Q343" s="58" t="n"/>
      <c r="R343" s="57" t="n"/>
      <c r="S343" s="57" t="n"/>
      <c r="T343" s="57" t="n"/>
      <c r="U343" s="62">
        <f>IF(C343="","",IF(COUNTIF(Tarieven!$A$2:$A$200,C343)=0,"Klant niet in Tarieven",IF(MOD(N(H343),1)*100&gt;59.4,"Tijd ongeldig: minuten boven 59",IF(J343="Nog bepalen","Prijstype nog bepalen",IF(AND(J343="Per uur",N(K343)=0),"Uurtarief ontbreekt",IF(AND(J343="Vaste prijs",N(K343)=0),"Vaste prijs ontbreekt",IF(AND(N(I343)=0,Q343&lt;&gt;"Niet doorgegaan / verplaatst",Q343&lt;&gt;"Geen factuur nodig"),"Geen uren",IF(AND(G343="NEE",Q343="Verstuurd"),"Verstuurd terwijl werk niet af",IF(IFERROR(VLOOKUP(C343,Tarieven!$A$2:$F$200,2,0),"")="Beide","Beide-klant: controleer prijstype","OK")))))))))</f>
        <v/>
      </c>
    </row>
    <row r="344" ht="15" customHeight="1" s="42">
      <c r="A344" s="56">
        <f>IF(B344="","",WEEKNUM(B344,21))</f>
        <v/>
      </c>
      <c r="B344" s="55" t="n"/>
      <c r="C344" s="57" t="n"/>
      <c r="D344" s="57" t="n"/>
      <c r="E344" s="57" t="n"/>
      <c r="F344" s="57" t="n"/>
      <c r="G344" s="67" t="n"/>
      <c r="H344" s="68" t="n"/>
      <c r="I344" s="61">
        <f>IF(C344="","",IF(H344&lt;&gt;"",INT(H344)+ROUND(MOD(H344,1)*100/60,2),SUMIFS(Registraties!$L$5:$L$3004,Registraties!$D$5:$D$3004,C344,Registraties!$A$5:$A$3004,B344)))</f>
        <v/>
      </c>
      <c r="J344" s="58">
        <f>IF(C344="","",IFERROR(IF(VLOOKUP(C344,Tarieven!$A$2:$F$200,2,0)="Beide","Per uur",VLOOKUP(C344,Tarieven!$A$2:$F$200,2,0)),"Nog bepalen"))</f>
        <v/>
      </c>
      <c r="K344" s="69">
        <f>IF(C344="","",IF(J344="Per uur",IFERROR(VLOOKUP(C344,Tarieven!$A$2:$F$200,3,0),""),IF(J344="Vaste prijs",IFERROR(VLOOKUP(C344,Tarieven!$A$2:$F$200,4,0),""),"")))</f>
        <v/>
      </c>
      <c r="L344" s="70">
        <f>IF(C344="","",IF(J344="Per uur",N(I344)*N(K344),IF(J344="Vaste prijs",N(K344),0)))</f>
        <v/>
      </c>
      <c r="M344" s="69">
        <f>IF(C344="","",IFERROR(IF(N(VLOOKUP(C344,Tarieven!$A$2:$F$200,5,0))=0,"",VLOOKUP(C344,Tarieven!$A$2:$F$200,5,0)),""))</f>
        <v/>
      </c>
      <c r="N344" s="69" t="n"/>
      <c r="O344" s="69" t="n"/>
      <c r="P344" s="70">
        <f>IF(C344="","",N(L344)+N(M344)+N(N344)+N(O344))</f>
        <v/>
      </c>
      <c r="Q344" s="58" t="n"/>
      <c r="R344" s="57" t="n"/>
      <c r="S344" s="57" t="n"/>
      <c r="T344" s="57" t="n"/>
      <c r="U344" s="62">
        <f>IF(C344="","",IF(COUNTIF(Tarieven!$A$2:$A$200,C344)=0,"Klant niet in Tarieven",IF(MOD(N(H344),1)*100&gt;59.4,"Tijd ongeldig: minuten boven 59",IF(J344="Nog bepalen","Prijstype nog bepalen",IF(AND(J344="Per uur",N(K344)=0),"Uurtarief ontbreekt",IF(AND(J344="Vaste prijs",N(K344)=0),"Vaste prijs ontbreekt",IF(AND(N(I344)=0,Q344&lt;&gt;"Niet doorgegaan / verplaatst",Q344&lt;&gt;"Geen factuur nodig"),"Geen uren",IF(AND(G344="NEE",Q344="Verstuurd"),"Verstuurd terwijl werk niet af",IF(IFERROR(VLOOKUP(C344,Tarieven!$A$2:$F$200,2,0),"")="Beide","Beide-klant: controleer prijstype","OK")))))))))</f>
        <v/>
      </c>
    </row>
    <row r="345" ht="15" customHeight="1" s="42">
      <c r="A345" s="56">
        <f>IF(B345="","",WEEKNUM(B345,21))</f>
        <v/>
      </c>
      <c r="B345" s="55" t="n"/>
      <c r="C345" s="57" t="n"/>
      <c r="D345" s="57" t="n"/>
      <c r="E345" s="57" t="n"/>
      <c r="F345" s="57" t="n"/>
      <c r="G345" s="67" t="n"/>
      <c r="H345" s="68" t="n"/>
      <c r="I345" s="61">
        <f>IF(C345="","",IF(H345&lt;&gt;"",INT(H345)+ROUND(MOD(H345,1)*100/60,2),SUMIFS(Registraties!$L$5:$L$3004,Registraties!$D$5:$D$3004,C345,Registraties!$A$5:$A$3004,B345)))</f>
        <v/>
      </c>
      <c r="J345" s="58">
        <f>IF(C345="","",IFERROR(IF(VLOOKUP(C345,Tarieven!$A$2:$F$200,2,0)="Beide","Per uur",VLOOKUP(C345,Tarieven!$A$2:$F$200,2,0)),"Nog bepalen"))</f>
        <v/>
      </c>
      <c r="K345" s="69">
        <f>IF(C345="","",IF(J345="Per uur",IFERROR(VLOOKUP(C345,Tarieven!$A$2:$F$200,3,0),""),IF(J345="Vaste prijs",IFERROR(VLOOKUP(C345,Tarieven!$A$2:$F$200,4,0),""),"")))</f>
        <v/>
      </c>
      <c r="L345" s="70">
        <f>IF(C345="","",IF(J345="Per uur",N(I345)*N(K345),IF(J345="Vaste prijs",N(K345),0)))</f>
        <v/>
      </c>
      <c r="M345" s="69">
        <f>IF(C345="","",IFERROR(IF(N(VLOOKUP(C345,Tarieven!$A$2:$F$200,5,0))=0,"",VLOOKUP(C345,Tarieven!$A$2:$F$200,5,0)),""))</f>
        <v/>
      </c>
      <c r="N345" s="69" t="n"/>
      <c r="O345" s="69" t="n"/>
      <c r="P345" s="70">
        <f>IF(C345="","",N(L345)+N(M345)+N(N345)+N(O345))</f>
        <v/>
      </c>
      <c r="Q345" s="58" t="n"/>
      <c r="R345" s="57" t="n"/>
      <c r="S345" s="57" t="n"/>
      <c r="T345" s="57" t="n"/>
      <c r="U345" s="62">
        <f>IF(C345="","",IF(COUNTIF(Tarieven!$A$2:$A$200,C345)=0,"Klant niet in Tarieven",IF(MOD(N(H345),1)*100&gt;59.4,"Tijd ongeldig: minuten boven 59",IF(J345="Nog bepalen","Prijstype nog bepalen",IF(AND(J345="Per uur",N(K345)=0),"Uurtarief ontbreekt",IF(AND(J345="Vaste prijs",N(K345)=0),"Vaste prijs ontbreekt",IF(AND(N(I345)=0,Q345&lt;&gt;"Niet doorgegaan / verplaatst",Q345&lt;&gt;"Geen factuur nodig"),"Geen uren",IF(AND(G345="NEE",Q345="Verstuurd"),"Verstuurd terwijl werk niet af",IF(IFERROR(VLOOKUP(C345,Tarieven!$A$2:$F$200,2,0),"")="Beide","Beide-klant: controleer prijstype","OK")))))))))</f>
        <v/>
      </c>
    </row>
    <row r="346" ht="15" customHeight="1" s="42">
      <c r="A346" s="56">
        <f>IF(B346="","",WEEKNUM(B346,21))</f>
        <v/>
      </c>
      <c r="B346" s="55" t="n"/>
      <c r="C346" s="57" t="n"/>
      <c r="D346" s="57" t="n"/>
      <c r="E346" s="57" t="n"/>
      <c r="F346" s="57" t="n"/>
      <c r="G346" s="67" t="n"/>
      <c r="H346" s="68" t="n"/>
      <c r="I346" s="61">
        <f>IF(C346="","",IF(H346&lt;&gt;"",INT(H346)+ROUND(MOD(H346,1)*100/60,2),SUMIFS(Registraties!$L$5:$L$3004,Registraties!$D$5:$D$3004,C346,Registraties!$A$5:$A$3004,B346)))</f>
        <v/>
      </c>
      <c r="J346" s="58">
        <f>IF(C346="","",IFERROR(IF(VLOOKUP(C346,Tarieven!$A$2:$F$200,2,0)="Beide","Per uur",VLOOKUP(C346,Tarieven!$A$2:$F$200,2,0)),"Nog bepalen"))</f>
        <v/>
      </c>
      <c r="K346" s="69">
        <f>IF(C346="","",IF(J346="Per uur",IFERROR(VLOOKUP(C346,Tarieven!$A$2:$F$200,3,0),""),IF(J346="Vaste prijs",IFERROR(VLOOKUP(C346,Tarieven!$A$2:$F$200,4,0),""),"")))</f>
        <v/>
      </c>
      <c r="L346" s="70">
        <f>IF(C346="","",IF(J346="Per uur",N(I346)*N(K346),IF(J346="Vaste prijs",N(K346),0)))</f>
        <v/>
      </c>
      <c r="M346" s="69">
        <f>IF(C346="","",IFERROR(IF(N(VLOOKUP(C346,Tarieven!$A$2:$F$200,5,0))=0,"",VLOOKUP(C346,Tarieven!$A$2:$F$200,5,0)),""))</f>
        <v/>
      </c>
      <c r="N346" s="69" t="n"/>
      <c r="O346" s="69" t="n"/>
      <c r="P346" s="70">
        <f>IF(C346="","",N(L346)+N(M346)+N(N346)+N(O346))</f>
        <v/>
      </c>
      <c r="Q346" s="58" t="n"/>
      <c r="R346" s="57" t="n"/>
      <c r="S346" s="57" t="n"/>
      <c r="T346" s="57" t="n"/>
      <c r="U346" s="62">
        <f>IF(C346="","",IF(COUNTIF(Tarieven!$A$2:$A$200,C346)=0,"Klant niet in Tarieven",IF(MOD(N(H346),1)*100&gt;59.4,"Tijd ongeldig: minuten boven 59",IF(J346="Nog bepalen","Prijstype nog bepalen",IF(AND(J346="Per uur",N(K346)=0),"Uurtarief ontbreekt",IF(AND(J346="Vaste prijs",N(K346)=0),"Vaste prijs ontbreekt",IF(AND(N(I346)=0,Q346&lt;&gt;"Niet doorgegaan / verplaatst",Q346&lt;&gt;"Geen factuur nodig"),"Geen uren",IF(AND(G346="NEE",Q346="Verstuurd"),"Verstuurd terwijl werk niet af",IF(IFERROR(VLOOKUP(C346,Tarieven!$A$2:$F$200,2,0),"")="Beide","Beide-klant: controleer prijstype","OK")))))))))</f>
        <v/>
      </c>
    </row>
    <row r="347" ht="15" customHeight="1" s="42">
      <c r="A347" s="56">
        <f>IF(B347="","",WEEKNUM(B347,21))</f>
        <v/>
      </c>
      <c r="B347" s="55" t="n"/>
      <c r="C347" s="57" t="n"/>
      <c r="D347" s="57" t="n"/>
      <c r="E347" s="57" t="n"/>
      <c r="F347" s="57" t="n"/>
      <c r="G347" s="67" t="n"/>
      <c r="H347" s="68" t="n"/>
      <c r="I347" s="61">
        <f>IF(C347="","",IF(H347&lt;&gt;"",INT(H347)+ROUND(MOD(H347,1)*100/60,2),SUMIFS(Registraties!$L$5:$L$3004,Registraties!$D$5:$D$3004,C347,Registraties!$A$5:$A$3004,B347)))</f>
        <v/>
      </c>
      <c r="J347" s="58">
        <f>IF(C347="","",IFERROR(IF(VLOOKUP(C347,Tarieven!$A$2:$F$200,2,0)="Beide","Per uur",VLOOKUP(C347,Tarieven!$A$2:$F$200,2,0)),"Nog bepalen"))</f>
        <v/>
      </c>
      <c r="K347" s="69">
        <f>IF(C347="","",IF(J347="Per uur",IFERROR(VLOOKUP(C347,Tarieven!$A$2:$F$200,3,0),""),IF(J347="Vaste prijs",IFERROR(VLOOKUP(C347,Tarieven!$A$2:$F$200,4,0),""),"")))</f>
        <v/>
      </c>
      <c r="L347" s="70">
        <f>IF(C347="","",IF(J347="Per uur",N(I347)*N(K347),IF(J347="Vaste prijs",N(K347),0)))</f>
        <v/>
      </c>
      <c r="M347" s="69">
        <f>IF(C347="","",IFERROR(IF(N(VLOOKUP(C347,Tarieven!$A$2:$F$200,5,0))=0,"",VLOOKUP(C347,Tarieven!$A$2:$F$200,5,0)),""))</f>
        <v/>
      </c>
      <c r="N347" s="69" t="n"/>
      <c r="O347" s="69" t="n"/>
      <c r="P347" s="70">
        <f>IF(C347="","",N(L347)+N(M347)+N(N347)+N(O347))</f>
        <v/>
      </c>
      <c r="Q347" s="58" t="n"/>
      <c r="R347" s="57" t="n"/>
      <c r="S347" s="57" t="n"/>
      <c r="T347" s="57" t="n"/>
      <c r="U347" s="62">
        <f>IF(C347="","",IF(COUNTIF(Tarieven!$A$2:$A$200,C347)=0,"Klant niet in Tarieven",IF(MOD(N(H347),1)*100&gt;59.4,"Tijd ongeldig: minuten boven 59",IF(J347="Nog bepalen","Prijstype nog bepalen",IF(AND(J347="Per uur",N(K347)=0),"Uurtarief ontbreekt",IF(AND(J347="Vaste prijs",N(K347)=0),"Vaste prijs ontbreekt",IF(AND(N(I347)=0,Q347&lt;&gt;"Niet doorgegaan / verplaatst",Q347&lt;&gt;"Geen factuur nodig"),"Geen uren",IF(AND(G347="NEE",Q347="Verstuurd"),"Verstuurd terwijl werk niet af",IF(IFERROR(VLOOKUP(C347,Tarieven!$A$2:$F$200,2,0),"")="Beide","Beide-klant: controleer prijstype","OK")))))))))</f>
        <v/>
      </c>
    </row>
    <row r="348" ht="15" customHeight="1" s="42">
      <c r="A348" s="56">
        <f>IF(B348="","",WEEKNUM(B348,21))</f>
        <v/>
      </c>
      <c r="B348" s="55" t="n"/>
      <c r="C348" s="57" t="n"/>
      <c r="D348" s="57" t="n"/>
      <c r="E348" s="57" t="n"/>
      <c r="F348" s="57" t="n"/>
      <c r="G348" s="67" t="n"/>
      <c r="H348" s="68" t="n"/>
      <c r="I348" s="61">
        <f>IF(C348="","",IF(H348&lt;&gt;"",INT(H348)+ROUND(MOD(H348,1)*100/60,2),SUMIFS(Registraties!$L$5:$L$3004,Registraties!$D$5:$D$3004,C348,Registraties!$A$5:$A$3004,B348)))</f>
        <v/>
      </c>
      <c r="J348" s="58">
        <f>IF(C348="","",IFERROR(IF(VLOOKUP(C348,Tarieven!$A$2:$F$200,2,0)="Beide","Per uur",VLOOKUP(C348,Tarieven!$A$2:$F$200,2,0)),"Nog bepalen"))</f>
        <v/>
      </c>
      <c r="K348" s="69">
        <f>IF(C348="","",IF(J348="Per uur",IFERROR(VLOOKUP(C348,Tarieven!$A$2:$F$200,3,0),""),IF(J348="Vaste prijs",IFERROR(VLOOKUP(C348,Tarieven!$A$2:$F$200,4,0),""),"")))</f>
        <v/>
      </c>
      <c r="L348" s="70">
        <f>IF(C348="","",IF(J348="Per uur",N(I348)*N(K348),IF(J348="Vaste prijs",N(K348),0)))</f>
        <v/>
      </c>
      <c r="M348" s="69">
        <f>IF(C348="","",IFERROR(IF(N(VLOOKUP(C348,Tarieven!$A$2:$F$200,5,0))=0,"",VLOOKUP(C348,Tarieven!$A$2:$F$200,5,0)),""))</f>
        <v/>
      </c>
      <c r="N348" s="69" t="n"/>
      <c r="O348" s="69" t="n"/>
      <c r="P348" s="70">
        <f>IF(C348="","",N(L348)+N(M348)+N(N348)+N(O348))</f>
        <v/>
      </c>
      <c r="Q348" s="58" t="n"/>
      <c r="R348" s="57" t="n"/>
      <c r="S348" s="57" t="n"/>
      <c r="T348" s="57" t="n"/>
      <c r="U348" s="62">
        <f>IF(C348="","",IF(COUNTIF(Tarieven!$A$2:$A$200,C348)=0,"Klant niet in Tarieven",IF(MOD(N(H348),1)*100&gt;59.4,"Tijd ongeldig: minuten boven 59",IF(J348="Nog bepalen","Prijstype nog bepalen",IF(AND(J348="Per uur",N(K348)=0),"Uurtarief ontbreekt",IF(AND(J348="Vaste prijs",N(K348)=0),"Vaste prijs ontbreekt",IF(AND(N(I348)=0,Q348&lt;&gt;"Niet doorgegaan / verplaatst",Q348&lt;&gt;"Geen factuur nodig"),"Geen uren",IF(AND(G348="NEE",Q348="Verstuurd"),"Verstuurd terwijl werk niet af",IF(IFERROR(VLOOKUP(C348,Tarieven!$A$2:$F$200,2,0),"")="Beide","Beide-klant: controleer prijstype","OK")))))))))</f>
        <v/>
      </c>
    </row>
    <row r="349" ht="15" customHeight="1" s="42">
      <c r="A349" s="56">
        <f>IF(B349="","",WEEKNUM(B349,21))</f>
        <v/>
      </c>
      <c r="B349" s="55" t="n"/>
      <c r="C349" s="57" t="n"/>
      <c r="D349" s="57" t="n"/>
      <c r="E349" s="57" t="n"/>
      <c r="F349" s="57" t="n"/>
      <c r="G349" s="67" t="n"/>
      <c r="H349" s="68" t="n"/>
      <c r="I349" s="61">
        <f>IF(C349="","",IF(H349&lt;&gt;"",INT(H349)+ROUND(MOD(H349,1)*100/60,2),SUMIFS(Registraties!$L$5:$L$3004,Registraties!$D$5:$D$3004,C349,Registraties!$A$5:$A$3004,B349)))</f>
        <v/>
      </c>
      <c r="J349" s="58">
        <f>IF(C349="","",IFERROR(IF(VLOOKUP(C349,Tarieven!$A$2:$F$200,2,0)="Beide","Per uur",VLOOKUP(C349,Tarieven!$A$2:$F$200,2,0)),"Nog bepalen"))</f>
        <v/>
      </c>
      <c r="K349" s="69">
        <f>IF(C349="","",IF(J349="Per uur",IFERROR(VLOOKUP(C349,Tarieven!$A$2:$F$200,3,0),""),IF(J349="Vaste prijs",IFERROR(VLOOKUP(C349,Tarieven!$A$2:$F$200,4,0),""),"")))</f>
        <v/>
      </c>
      <c r="L349" s="70">
        <f>IF(C349="","",IF(J349="Per uur",N(I349)*N(K349),IF(J349="Vaste prijs",N(K349),0)))</f>
        <v/>
      </c>
      <c r="M349" s="69">
        <f>IF(C349="","",IFERROR(IF(N(VLOOKUP(C349,Tarieven!$A$2:$F$200,5,0))=0,"",VLOOKUP(C349,Tarieven!$A$2:$F$200,5,0)),""))</f>
        <v/>
      </c>
      <c r="N349" s="69" t="n"/>
      <c r="O349" s="69" t="n"/>
      <c r="P349" s="70">
        <f>IF(C349="","",N(L349)+N(M349)+N(N349)+N(O349))</f>
        <v/>
      </c>
      <c r="Q349" s="58" t="n"/>
      <c r="R349" s="57" t="n"/>
      <c r="S349" s="57" t="n"/>
      <c r="T349" s="57" t="n"/>
      <c r="U349" s="62">
        <f>IF(C349="","",IF(COUNTIF(Tarieven!$A$2:$A$200,C349)=0,"Klant niet in Tarieven",IF(MOD(N(H349),1)*100&gt;59.4,"Tijd ongeldig: minuten boven 59",IF(J349="Nog bepalen","Prijstype nog bepalen",IF(AND(J349="Per uur",N(K349)=0),"Uurtarief ontbreekt",IF(AND(J349="Vaste prijs",N(K349)=0),"Vaste prijs ontbreekt",IF(AND(N(I349)=0,Q349&lt;&gt;"Niet doorgegaan / verplaatst",Q349&lt;&gt;"Geen factuur nodig"),"Geen uren",IF(AND(G349="NEE",Q349="Verstuurd"),"Verstuurd terwijl werk niet af",IF(IFERROR(VLOOKUP(C349,Tarieven!$A$2:$F$200,2,0),"")="Beide","Beide-klant: controleer prijstype","OK")))))))))</f>
        <v/>
      </c>
    </row>
    <row r="350" ht="15" customHeight="1" s="42">
      <c r="A350" s="56">
        <f>IF(B350="","",WEEKNUM(B350,21))</f>
        <v/>
      </c>
      <c r="B350" s="55" t="n"/>
      <c r="C350" s="57" t="n"/>
      <c r="D350" s="57" t="n"/>
      <c r="E350" s="57" t="n"/>
      <c r="F350" s="57" t="n"/>
      <c r="G350" s="67" t="n"/>
      <c r="H350" s="68" t="n"/>
      <c r="I350" s="61">
        <f>IF(C350="","",IF(H350&lt;&gt;"",INT(H350)+ROUND(MOD(H350,1)*100/60,2),SUMIFS(Registraties!$L$5:$L$3004,Registraties!$D$5:$D$3004,C350,Registraties!$A$5:$A$3004,B350)))</f>
        <v/>
      </c>
      <c r="J350" s="58">
        <f>IF(C350="","",IFERROR(IF(VLOOKUP(C350,Tarieven!$A$2:$F$200,2,0)="Beide","Per uur",VLOOKUP(C350,Tarieven!$A$2:$F$200,2,0)),"Nog bepalen"))</f>
        <v/>
      </c>
      <c r="K350" s="69">
        <f>IF(C350="","",IF(J350="Per uur",IFERROR(VLOOKUP(C350,Tarieven!$A$2:$F$200,3,0),""),IF(J350="Vaste prijs",IFERROR(VLOOKUP(C350,Tarieven!$A$2:$F$200,4,0),""),"")))</f>
        <v/>
      </c>
      <c r="L350" s="70">
        <f>IF(C350="","",IF(J350="Per uur",N(I350)*N(K350),IF(J350="Vaste prijs",N(K350),0)))</f>
        <v/>
      </c>
      <c r="M350" s="69">
        <f>IF(C350="","",IFERROR(IF(N(VLOOKUP(C350,Tarieven!$A$2:$F$200,5,0))=0,"",VLOOKUP(C350,Tarieven!$A$2:$F$200,5,0)),""))</f>
        <v/>
      </c>
      <c r="N350" s="69" t="n"/>
      <c r="O350" s="69" t="n"/>
      <c r="P350" s="70">
        <f>IF(C350="","",N(L350)+N(M350)+N(N350)+N(O350))</f>
        <v/>
      </c>
      <c r="Q350" s="58" t="n"/>
      <c r="R350" s="57" t="n"/>
      <c r="S350" s="57" t="n"/>
      <c r="T350" s="57" t="n"/>
      <c r="U350" s="62">
        <f>IF(C350="","",IF(COUNTIF(Tarieven!$A$2:$A$200,C350)=0,"Klant niet in Tarieven",IF(MOD(N(H350),1)*100&gt;59.4,"Tijd ongeldig: minuten boven 59",IF(J350="Nog bepalen","Prijstype nog bepalen",IF(AND(J350="Per uur",N(K350)=0),"Uurtarief ontbreekt",IF(AND(J350="Vaste prijs",N(K350)=0),"Vaste prijs ontbreekt",IF(AND(N(I350)=0,Q350&lt;&gt;"Niet doorgegaan / verplaatst",Q350&lt;&gt;"Geen factuur nodig"),"Geen uren",IF(AND(G350="NEE",Q350="Verstuurd"),"Verstuurd terwijl werk niet af",IF(IFERROR(VLOOKUP(C350,Tarieven!$A$2:$F$200,2,0),"")="Beide","Beide-klant: controleer prijstype","OK")))))))))</f>
        <v/>
      </c>
    </row>
    <row r="351" ht="15" customHeight="1" s="42">
      <c r="A351" s="56">
        <f>IF(B351="","",WEEKNUM(B351,21))</f>
        <v/>
      </c>
      <c r="B351" s="55" t="n"/>
      <c r="C351" s="57" t="n"/>
      <c r="D351" s="57" t="n"/>
      <c r="E351" s="57" t="n"/>
      <c r="F351" s="57" t="n"/>
      <c r="G351" s="67" t="n"/>
      <c r="H351" s="68" t="n"/>
      <c r="I351" s="61">
        <f>IF(C351="","",IF(H351&lt;&gt;"",INT(H351)+ROUND(MOD(H351,1)*100/60,2),SUMIFS(Registraties!$L$5:$L$3004,Registraties!$D$5:$D$3004,C351,Registraties!$A$5:$A$3004,B351)))</f>
        <v/>
      </c>
      <c r="J351" s="58">
        <f>IF(C351="","",IFERROR(IF(VLOOKUP(C351,Tarieven!$A$2:$F$200,2,0)="Beide","Per uur",VLOOKUP(C351,Tarieven!$A$2:$F$200,2,0)),"Nog bepalen"))</f>
        <v/>
      </c>
      <c r="K351" s="69">
        <f>IF(C351="","",IF(J351="Per uur",IFERROR(VLOOKUP(C351,Tarieven!$A$2:$F$200,3,0),""),IF(J351="Vaste prijs",IFERROR(VLOOKUP(C351,Tarieven!$A$2:$F$200,4,0),""),"")))</f>
        <v/>
      </c>
      <c r="L351" s="70">
        <f>IF(C351="","",IF(J351="Per uur",N(I351)*N(K351),IF(J351="Vaste prijs",N(K351),0)))</f>
        <v/>
      </c>
      <c r="M351" s="69">
        <f>IF(C351="","",IFERROR(IF(N(VLOOKUP(C351,Tarieven!$A$2:$F$200,5,0))=0,"",VLOOKUP(C351,Tarieven!$A$2:$F$200,5,0)),""))</f>
        <v/>
      </c>
      <c r="N351" s="69" t="n"/>
      <c r="O351" s="69" t="n"/>
      <c r="P351" s="70">
        <f>IF(C351="","",N(L351)+N(M351)+N(N351)+N(O351))</f>
        <v/>
      </c>
      <c r="Q351" s="58" t="n"/>
      <c r="R351" s="57" t="n"/>
      <c r="S351" s="57" t="n"/>
      <c r="T351" s="57" t="n"/>
      <c r="U351" s="62">
        <f>IF(C351="","",IF(COUNTIF(Tarieven!$A$2:$A$200,C351)=0,"Klant niet in Tarieven",IF(MOD(N(H351),1)*100&gt;59.4,"Tijd ongeldig: minuten boven 59",IF(J351="Nog bepalen","Prijstype nog bepalen",IF(AND(J351="Per uur",N(K351)=0),"Uurtarief ontbreekt",IF(AND(J351="Vaste prijs",N(K351)=0),"Vaste prijs ontbreekt",IF(AND(N(I351)=0,Q351&lt;&gt;"Niet doorgegaan / verplaatst",Q351&lt;&gt;"Geen factuur nodig"),"Geen uren",IF(AND(G351="NEE",Q351="Verstuurd"),"Verstuurd terwijl werk niet af",IF(IFERROR(VLOOKUP(C351,Tarieven!$A$2:$F$200,2,0),"")="Beide","Beide-klant: controleer prijstype","OK")))))))))</f>
        <v/>
      </c>
    </row>
    <row r="352" ht="15" customHeight="1" s="42">
      <c r="A352" s="56">
        <f>IF(B352="","",WEEKNUM(B352,21))</f>
        <v/>
      </c>
      <c r="B352" s="55" t="n"/>
      <c r="C352" s="57" t="n"/>
      <c r="D352" s="57" t="n"/>
      <c r="E352" s="57" t="n"/>
      <c r="F352" s="57" t="n"/>
      <c r="G352" s="67" t="n"/>
      <c r="H352" s="68" t="n"/>
      <c r="I352" s="61">
        <f>IF(C352="","",IF(H352&lt;&gt;"",INT(H352)+ROUND(MOD(H352,1)*100/60,2),SUMIFS(Registraties!$L$5:$L$3004,Registraties!$D$5:$D$3004,C352,Registraties!$A$5:$A$3004,B352)))</f>
        <v/>
      </c>
      <c r="J352" s="58">
        <f>IF(C352="","",IFERROR(IF(VLOOKUP(C352,Tarieven!$A$2:$F$200,2,0)="Beide","Per uur",VLOOKUP(C352,Tarieven!$A$2:$F$200,2,0)),"Nog bepalen"))</f>
        <v/>
      </c>
      <c r="K352" s="69">
        <f>IF(C352="","",IF(J352="Per uur",IFERROR(VLOOKUP(C352,Tarieven!$A$2:$F$200,3,0),""),IF(J352="Vaste prijs",IFERROR(VLOOKUP(C352,Tarieven!$A$2:$F$200,4,0),""),"")))</f>
        <v/>
      </c>
      <c r="L352" s="70">
        <f>IF(C352="","",IF(J352="Per uur",N(I352)*N(K352),IF(J352="Vaste prijs",N(K352),0)))</f>
        <v/>
      </c>
      <c r="M352" s="69">
        <f>IF(C352="","",IFERROR(IF(N(VLOOKUP(C352,Tarieven!$A$2:$F$200,5,0))=0,"",VLOOKUP(C352,Tarieven!$A$2:$F$200,5,0)),""))</f>
        <v/>
      </c>
      <c r="N352" s="69" t="n"/>
      <c r="O352" s="69" t="n"/>
      <c r="P352" s="70">
        <f>IF(C352="","",N(L352)+N(M352)+N(N352)+N(O352))</f>
        <v/>
      </c>
      <c r="Q352" s="58" t="n"/>
      <c r="R352" s="57" t="n"/>
      <c r="S352" s="57" t="n"/>
      <c r="T352" s="57" t="n"/>
      <c r="U352" s="62">
        <f>IF(C352="","",IF(COUNTIF(Tarieven!$A$2:$A$200,C352)=0,"Klant niet in Tarieven",IF(MOD(N(H352),1)*100&gt;59.4,"Tijd ongeldig: minuten boven 59",IF(J352="Nog bepalen","Prijstype nog bepalen",IF(AND(J352="Per uur",N(K352)=0),"Uurtarief ontbreekt",IF(AND(J352="Vaste prijs",N(K352)=0),"Vaste prijs ontbreekt",IF(AND(N(I352)=0,Q352&lt;&gt;"Niet doorgegaan / verplaatst",Q352&lt;&gt;"Geen factuur nodig"),"Geen uren",IF(AND(G352="NEE",Q352="Verstuurd"),"Verstuurd terwijl werk niet af",IF(IFERROR(VLOOKUP(C352,Tarieven!$A$2:$F$200,2,0),"")="Beide","Beide-klant: controleer prijstype","OK")))))))))</f>
        <v/>
      </c>
    </row>
    <row r="353" ht="15" customHeight="1" s="42">
      <c r="A353" s="56">
        <f>IF(B353="","",WEEKNUM(B353,21))</f>
        <v/>
      </c>
      <c r="B353" s="55" t="n"/>
      <c r="C353" s="57" t="n"/>
      <c r="D353" s="57" t="n"/>
      <c r="E353" s="57" t="n"/>
      <c r="F353" s="57" t="n"/>
      <c r="G353" s="67" t="n"/>
      <c r="H353" s="68" t="n"/>
      <c r="I353" s="61">
        <f>IF(C353="","",IF(H353&lt;&gt;"",INT(H353)+ROUND(MOD(H353,1)*100/60,2),SUMIFS(Registraties!$L$5:$L$3004,Registraties!$D$5:$D$3004,C353,Registraties!$A$5:$A$3004,B353)))</f>
        <v/>
      </c>
      <c r="J353" s="58">
        <f>IF(C353="","",IFERROR(IF(VLOOKUP(C353,Tarieven!$A$2:$F$200,2,0)="Beide","Per uur",VLOOKUP(C353,Tarieven!$A$2:$F$200,2,0)),"Nog bepalen"))</f>
        <v/>
      </c>
      <c r="K353" s="69">
        <f>IF(C353="","",IF(J353="Per uur",IFERROR(VLOOKUP(C353,Tarieven!$A$2:$F$200,3,0),""),IF(J353="Vaste prijs",IFERROR(VLOOKUP(C353,Tarieven!$A$2:$F$200,4,0),""),"")))</f>
        <v/>
      </c>
      <c r="L353" s="70">
        <f>IF(C353="","",IF(J353="Per uur",N(I353)*N(K353),IF(J353="Vaste prijs",N(K353),0)))</f>
        <v/>
      </c>
      <c r="M353" s="69">
        <f>IF(C353="","",IFERROR(IF(N(VLOOKUP(C353,Tarieven!$A$2:$F$200,5,0))=0,"",VLOOKUP(C353,Tarieven!$A$2:$F$200,5,0)),""))</f>
        <v/>
      </c>
      <c r="N353" s="69" t="n"/>
      <c r="O353" s="69" t="n"/>
      <c r="P353" s="70">
        <f>IF(C353="","",N(L353)+N(M353)+N(N353)+N(O353))</f>
        <v/>
      </c>
      <c r="Q353" s="58" t="n"/>
      <c r="R353" s="57" t="n"/>
      <c r="S353" s="57" t="n"/>
      <c r="T353" s="57" t="n"/>
      <c r="U353" s="62">
        <f>IF(C353="","",IF(COUNTIF(Tarieven!$A$2:$A$200,C353)=0,"Klant niet in Tarieven",IF(MOD(N(H353),1)*100&gt;59.4,"Tijd ongeldig: minuten boven 59",IF(J353="Nog bepalen","Prijstype nog bepalen",IF(AND(J353="Per uur",N(K353)=0),"Uurtarief ontbreekt",IF(AND(J353="Vaste prijs",N(K353)=0),"Vaste prijs ontbreekt",IF(AND(N(I353)=0,Q353&lt;&gt;"Niet doorgegaan / verplaatst",Q353&lt;&gt;"Geen factuur nodig"),"Geen uren",IF(AND(G353="NEE",Q353="Verstuurd"),"Verstuurd terwijl werk niet af",IF(IFERROR(VLOOKUP(C353,Tarieven!$A$2:$F$200,2,0),"")="Beide","Beide-klant: controleer prijstype","OK")))))))))</f>
        <v/>
      </c>
    </row>
    <row r="354" ht="15" customHeight="1" s="42">
      <c r="A354" s="56">
        <f>IF(B354="","",WEEKNUM(B354,21))</f>
        <v/>
      </c>
      <c r="B354" s="55" t="n"/>
      <c r="C354" s="57" t="n"/>
      <c r="D354" s="57" t="n"/>
      <c r="E354" s="57" t="n"/>
      <c r="F354" s="57" t="n"/>
      <c r="G354" s="67" t="n"/>
      <c r="H354" s="68" t="n"/>
      <c r="I354" s="61">
        <f>IF(C354="","",IF(H354&lt;&gt;"",INT(H354)+ROUND(MOD(H354,1)*100/60,2),SUMIFS(Registraties!$L$5:$L$3004,Registraties!$D$5:$D$3004,C354,Registraties!$A$5:$A$3004,B354)))</f>
        <v/>
      </c>
      <c r="J354" s="58">
        <f>IF(C354="","",IFERROR(IF(VLOOKUP(C354,Tarieven!$A$2:$F$200,2,0)="Beide","Per uur",VLOOKUP(C354,Tarieven!$A$2:$F$200,2,0)),"Nog bepalen"))</f>
        <v/>
      </c>
      <c r="K354" s="69">
        <f>IF(C354="","",IF(J354="Per uur",IFERROR(VLOOKUP(C354,Tarieven!$A$2:$F$200,3,0),""),IF(J354="Vaste prijs",IFERROR(VLOOKUP(C354,Tarieven!$A$2:$F$200,4,0),""),"")))</f>
        <v/>
      </c>
      <c r="L354" s="70">
        <f>IF(C354="","",IF(J354="Per uur",N(I354)*N(K354),IF(J354="Vaste prijs",N(K354),0)))</f>
        <v/>
      </c>
      <c r="M354" s="69">
        <f>IF(C354="","",IFERROR(IF(N(VLOOKUP(C354,Tarieven!$A$2:$F$200,5,0))=0,"",VLOOKUP(C354,Tarieven!$A$2:$F$200,5,0)),""))</f>
        <v/>
      </c>
      <c r="N354" s="69" t="n"/>
      <c r="O354" s="69" t="n"/>
      <c r="P354" s="70">
        <f>IF(C354="","",N(L354)+N(M354)+N(N354)+N(O354))</f>
        <v/>
      </c>
      <c r="Q354" s="58" t="n"/>
      <c r="R354" s="57" t="n"/>
      <c r="S354" s="57" t="n"/>
      <c r="T354" s="57" t="n"/>
      <c r="U354" s="62">
        <f>IF(C354="","",IF(COUNTIF(Tarieven!$A$2:$A$200,C354)=0,"Klant niet in Tarieven",IF(MOD(N(H354),1)*100&gt;59.4,"Tijd ongeldig: minuten boven 59",IF(J354="Nog bepalen","Prijstype nog bepalen",IF(AND(J354="Per uur",N(K354)=0),"Uurtarief ontbreekt",IF(AND(J354="Vaste prijs",N(K354)=0),"Vaste prijs ontbreekt",IF(AND(N(I354)=0,Q354&lt;&gt;"Niet doorgegaan / verplaatst",Q354&lt;&gt;"Geen factuur nodig"),"Geen uren",IF(AND(G354="NEE",Q354="Verstuurd"),"Verstuurd terwijl werk niet af",IF(IFERROR(VLOOKUP(C354,Tarieven!$A$2:$F$200,2,0),"")="Beide","Beide-klant: controleer prijstype","OK")))))))))</f>
        <v/>
      </c>
    </row>
    <row r="355" ht="15" customHeight="1" s="42">
      <c r="A355" s="56">
        <f>IF(B355="","",WEEKNUM(B355,21))</f>
        <v/>
      </c>
      <c r="B355" s="55" t="n"/>
      <c r="C355" s="57" t="n"/>
      <c r="D355" s="57" t="n"/>
      <c r="E355" s="57" t="n"/>
      <c r="F355" s="57" t="n"/>
      <c r="G355" s="67" t="n"/>
      <c r="H355" s="68" t="n"/>
      <c r="I355" s="61">
        <f>IF(C355="","",IF(H355&lt;&gt;"",INT(H355)+ROUND(MOD(H355,1)*100/60,2),SUMIFS(Registraties!$L$5:$L$3004,Registraties!$D$5:$D$3004,C355,Registraties!$A$5:$A$3004,B355)))</f>
        <v/>
      </c>
      <c r="J355" s="58">
        <f>IF(C355="","",IFERROR(IF(VLOOKUP(C355,Tarieven!$A$2:$F$200,2,0)="Beide","Per uur",VLOOKUP(C355,Tarieven!$A$2:$F$200,2,0)),"Nog bepalen"))</f>
        <v/>
      </c>
      <c r="K355" s="69">
        <f>IF(C355="","",IF(J355="Per uur",IFERROR(VLOOKUP(C355,Tarieven!$A$2:$F$200,3,0),""),IF(J355="Vaste prijs",IFERROR(VLOOKUP(C355,Tarieven!$A$2:$F$200,4,0),""),"")))</f>
        <v/>
      </c>
      <c r="L355" s="70">
        <f>IF(C355="","",IF(J355="Per uur",N(I355)*N(K355),IF(J355="Vaste prijs",N(K355),0)))</f>
        <v/>
      </c>
      <c r="M355" s="69">
        <f>IF(C355="","",IFERROR(IF(N(VLOOKUP(C355,Tarieven!$A$2:$F$200,5,0))=0,"",VLOOKUP(C355,Tarieven!$A$2:$F$200,5,0)),""))</f>
        <v/>
      </c>
      <c r="N355" s="69" t="n"/>
      <c r="O355" s="69" t="n"/>
      <c r="P355" s="70">
        <f>IF(C355="","",N(L355)+N(M355)+N(N355)+N(O355))</f>
        <v/>
      </c>
      <c r="Q355" s="58" t="n"/>
      <c r="R355" s="57" t="n"/>
      <c r="S355" s="57" t="n"/>
      <c r="T355" s="57" t="n"/>
      <c r="U355" s="62">
        <f>IF(C355="","",IF(COUNTIF(Tarieven!$A$2:$A$200,C355)=0,"Klant niet in Tarieven",IF(MOD(N(H355),1)*100&gt;59.4,"Tijd ongeldig: minuten boven 59",IF(J355="Nog bepalen","Prijstype nog bepalen",IF(AND(J355="Per uur",N(K355)=0),"Uurtarief ontbreekt",IF(AND(J355="Vaste prijs",N(K355)=0),"Vaste prijs ontbreekt",IF(AND(N(I355)=0,Q355&lt;&gt;"Niet doorgegaan / verplaatst",Q355&lt;&gt;"Geen factuur nodig"),"Geen uren",IF(AND(G355="NEE",Q355="Verstuurd"),"Verstuurd terwijl werk niet af",IF(IFERROR(VLOOKUP(C355,Tarieven!$A$2:$F$200,2,0),"")="Beide","Beide-klant: controleer prijstype","OK")))))))))</f>
        <v/>
      </c>
    </row>
    <row r="356" ht="15" customHeight="1" s="42">
      <c r="A356" s="56">
        <f>IF(B356="","",WEEKNUM(B356,21))</f>
        <v/>
      </c>
      <c r="B356" s="55" t="n"/>
      <c r="C356" s="57" t="n"/>
      <c r="D356" s="57" t="n"/>
      <c r="E356" s="57" t="n"/>
      <c r="F356" s="57" t="n"/>
      <c r="G356" s="67" t="n"/>
      <c r="H356" s="68" t="n"/>
      <c r="I356" s="61">
        <f>IF(C356="","",IF(H356&lt;&gt;"",INT(H356)+ROUND(MOD(H356,1)*100/60,2),SUMIFS(Registraties!$L$5:$L$3004,Registraties!$D$5:$D$3004,C356,Registraties!$A$5:$A$3004,B356)))</f>
        <v/>
      </c>
      <c r="J356" s="58">
        <f>IF(C356="","",IFERROR(IF(VLOOKUP(C356,Tarieven!$A$2:$F$200,2,0)="Beide","Per uur",VLOOKUP(C356,Tarieven!$A$2:$F$200,2,0)),"Nog bepalen"))</f>
        <v/>
      </c>
      <c r="K356" s="69">
        <f>IF(C356="","",IF(J356="Per uur",IFERROR(VLOOKUP(C356,Tarieven!$A$2:$F$200,3,0),""),IF(J356="Vaste prijs",IFERROR(VLOOKUP(C356,Tarieven!$A$2:$F$200,4,0),""),"")))</f>
        <v/>
      </c>
      <c r="L356" s="70">
        <f>IF(C356="","",IF(J356="Per uur",N(I356)*N(K356),IF(J356="Vaste prijs",N(K356),0)))</f>
        <v/>
      </c>
      <c r="M356" s="69">
        <f>IF(C356="","",IFERROR(IF(N(VLOOKUP(C356,Tarieven!$A$2:$F$200,5,0))=0,"",VLOOKUP(C356,Tarieven!$A$2:$F$200,5,0)),""))</f>
        <v/>
      </c>
      <c r="N356" s="69" t="n"/>
      <c r="O356" s="69" t="n"/>
      <c r="P356" s="70">
        <f>IF(C356="","",N(L356)+N(M356)+N(N356)+N(O356))</f>
        <v/>
      </c>
      <c r="Q356" s="58" t="n"/>
      <c r="R356" s="57" t="n"/>
      <c r="S356" s="57" t="n"/>
      <c r="T356" s="57" t="n"/>
      <c r="U356" s="62">
        <f>IF(C356="","",IF(COUNTIF(Tarieven!$A$2:$A$200,C356)=0,"Klant niet in Tarieven",IF(MOD(N(H356),1)*100&gt;59.4,"Tijd ongeldig: minuten boven 59",IF(J356="Nog bepalen","Prijstype nog bepalen",IF(AND(J356="Per uur",N(K356)=0),"Uurtarief ontbreekt",IF(AND(J356="Vaste prijs",N(K356)=0),"Vaste prijs ontbreekt",IF(AND(N(I356)=0,Q356&lt;&gt;"Niet doorgegaan / verplaatst",Q356&lt;&gt;"Geen factuur nodig"),"Geen uren",IF(AND(G356="NEE",Q356="Verstuurd"),"Verstuurd terwijl werk niet af",IF(IFERROR(VLOOKUP(C356,Tarieven!$A$2:$F$200,2,0),"")="Beide","Beide-klant: controleer prijstype","OK")))))))))</f>
        <v/>
      </c>
    </row>
    <row r="357" ht="15" customHeight="1" s="42">
      <c r="A357" s="56">
        <f>IF(B357="","",WEEKNUM(B357,21))</f>
        <v/>
      </c>
      <c r="B357" s="55" t="n"/>
      <c r="C357" s="57" t="n"/>
      <c r="D357" s="57" t="n"/>
      <c r="E357" s="57" t="n"/>
      <c r="F357" s="57" t="n"/>
      <c r="G357" s="67" t="n"/>
      <c r="H357" s="68" t="n"/>
      <c r="I357" s="61">
        <f>IF(C357="","",IF(H357&lt;&gt;"",INT(H357)+ROUND(MOD(H357,1)*100/60,2),SUMIFS(Registraties!$L$5:$L$3004,Registraties!$D$5:$D$3004,C357,Registraties!$A$5:$A$3004,B357)))</f>
        <v/>
      </c>
      <c r="J357" s="58">
        <f>IF(C357="","",IFERROR(IF(VLOOKUP(C357,Tarieven!$A$2:$F$200,2,0)="Beide","Per uur",VLOOKUP(C357,Tarieven!$A$2:$F$200,2,0)),"Nog bepalen"))</f>
        <v/>
      </c>
      <c r="K357" s="69">
        <f>IF(C357="","",IF(J357="Per uur",IFERROR(VLOOKUP(C357,Tarieven!$A$2:$F$200,3,0),""),IF(J357="Vaste prijs",IFERROR(VLOOKUP(C357,Tarieven!$A$2:$F$200,4,0),""),"")))</f>
        <v/>
      </c>
      <c r="L357" s="70">
        <f>IF(C357="","",IF(J357="Per uur",N(I357)*N(K357),IF(J357="Vaste prijs",N(K357),0)))</f>
        <v/>
      </c>
      <c r="M357" s="69">
        <f>IF(C357="","",IFERROR(IF(N(VLOOKUP(C357,Tarieven!$A$2:$F$200,5,0))=0,"",VLOOKUP(C357,Tarieven!$A$2:$F$200,5,0)),""))</f>
        <v/>
      </c>
      <c r="N357" s="69" t="n"/>
      <c r="O357" s="69" t="n"/>
      <c r="P357" s="70">
        <f>IF(C357="","",N(L357)+N(M357)+N(N357)+N(O357))</f>
        <v/>
      </c>
      <c r="Q357" s="58" t="n"/>
      <c r="R357" s="57" t="n"/>
      <c r="S357" s="57" t="n"/>
      <c r="T357" s="57" t="n"/>
      <c r="U357" s="62">
        <f>IF(C357="","",IF(COUNTIF(Tarieven!$A$2:$A$200,C357)=0,"Klant niet in Tarieven",IF(MOD(N(H357),1)*100&gt;59.4,"Tijd ongeldig: minuten boven 59",IF(J357="Nog bepalen","Prijstype nog bepalen",IF(AND(J357="Per uur",N(K357)=0),"Uurtarief ontbreekt",IF(AND(J357="Vaste prijs",N(K357)=0),"Vaste prijs ontbreekt",IF(AND(N(I357)=0,Q357&lt;&gt;"Niet doorgegaan / verplaatst",Q357&lt;&gt;"Geen factuur nodig"),"Geen uren",IF(AND(G357="NEE",Q357="Verstuurd"),"Verstuurd terwijl werk niet af",IF(IFERROR(VLOOKUP(C357,Tarieven!$A$2:$F$200,2,0),"")="Beide","Beide-klant: controleer prijstype","OK")))))))))</f>
        <v/>
      </c>
    </row>
    <row r="358" ht="15" customHeight="1" s="42">
      <c r="A358" s="56">
        <f>IF(B358="","",WEEKNUM(B358,21))</f>
        <v/>
      </c>
      <c r="B358" s="55" t="n"/>
      <c r="C358" s="57" t="n"/>
      <c r="D358" s="57" t="n"/>
      <c r="E358" s="57" t="n"/>
      <c r="F358" s="57" t="n"/>
      <c r="G358" s="67" t="n"/>
      <c r="H358" s="68" t="n"/>
      <c r="I358" s="61">
        <f>IF(C358="","",IF(H358&lt;&gt;"",INT(H358)+ROUND(MOD(H358,1)*100/60,2),SUMIFS(Registraties!$L$5:$L$3004,Registraties!$D$5:$D$3004,C358,Registraties!$A$5:$A$3004,B358)))</f>
        <v/>
      </c>
      <c r="J358" s="58">
        <f>IF(C358="","",IFERROR(IF(VLOOKUP(C358,Tarieven!$A$2:$F$200,2,0)="Beide","Per uur",VLOOKUP(C358,Tarieven!$A$2:$F$200,2,0)),"Nog bepalen"))</f>
        <v/>
      </c>
      <c r="K358" s="69">
        <f>IF(C358="","",IF(J358="Per uur",IFERROR(VLOOKUP(C358,Tarieven!$A$2:$F$200,3,0),""),IF(J358="Vaste prijs",IFERROR(VLOOKUP(C358,Tarieven!$A$2:$F$200,4,0),""),"")))</f>
        <v/>
      </c>
      <c r="L358" s="70">
        <f>IF(C358="","",IF(J358="Per uur",N(I358)*N(K358),IF(J358="Vaste prijs",N(K358),0)))</f>
        <v/>
      </c>
      <c r="M358" s="69">
        <f>IF(C358="","",IFERROR(IF(N(VLOOKUP(C358,Tarieven!$A$2:$F$200,5,0))=0,"",VLOOKUP(C358,Tarieven!$A$2:$F$200,5,0)),""))</f>
        <v/>
      </c>
      <c r="N358" s="69" t="n"/>
      <c r="O358" s="69" t="n"/>
      <c r="P358" s="70">
        <f>IF(C358="","",N(L358)+N(M358)+N(N358)+N(O358))</f>
        <v/>
      </c>
      <c r="Q358" s="58" t="n"/>
      <c r="R358" s="57" t="n"/>
      <c r="S358" s="57" t="n"/>
      <c r="T358" s="57" t="n"/>
      <c r="U358" s="62">
        <f>IF(C358="","",IF(COUNTIF(Tarieven!$A$2:$A$200,C358)=0,"Klant niet in Tarieven",IF(MOD(N(H358),1)*100&gt;59.4,"Tijd ongeldig: minuten boven 59",IF(J358="Nog bepalen","Prijstype nog bepalen",IF(AND(J358="Per uur",N(K358)=0),"Uurtarief ontbreekt",IF(AND(J358="Vaste prijs",N(K358)=0),"Vaste prijs ontbreekt",IF(AND(N(I358)=0,Q358&lt;&gt;"Niet doorgegaan / verplaatst",Q358&lt;&gt;"Geen factuur nodig"),"Geen uren",IF(AND(G358="NEE",Q358="Verstuurd"),"Verstuurd terwijl werk niet af",IF(IFERROR(VLOOKUP(C358,Tarieven!$A$2:$F$200,2,0),"")="Beide","Beide-klant: controleer prijstype","OK")))))))))</f>
        <v/>
      </c>
    </row>
    <row r="359" ht="15" customHeight="1" s="42">
      <c r="A359" s="56">
        <f>IF(B359="","",WEEKNUM(B359,21))</f>
        <v/>
      </c>
      <c r="B359" s="55" t="n"/>
      <c r="C359" s="57" t="n"/>
      <c r="D359" s="57" t="n"/>
      <c r="E359" s="57" t="n"/>
      <c r="F359" s="57" t="n"/>
      <c r="G359" s="67" t="n"/>
      <c r="H359" s="68" t="n"/>
      <c r="I359" s="61">
        <f>IF(C359="","",IF(H359&lt;&gt;"",INT(H359)+ROUND(MOD(H359,1)*100/60,2),SUMIFS(Registraties!$L$5:$L$3004,Registraties!$D$5:$D$3004,C359,Registraties!$A$5:$A$3004,B359)))</f>
        <v/>
      </c>
      <c r="J359" s="58">
        <f>IF(C359="","",IFERROR(IF(VLOOKUP(C359,Tarieven!$A$2:$F$200,2,0)="Beide","Per uur",VLOOKUP(C359,Tarieven!$A$2:$F$200,2,0)),"Nog bepalen"))</f>
        <v/>
      </c>
      <c r="K359" s="69">
        <f>IF(C359="","",IF(J359="Per uur",IFERROR(VLOOKUP(C359,Tarieven!$A$2:$F$200,3,0),""),IF(J359="Vaste prijs",IFERROR(VLOOKUP(C359,Tarieven!$A$2:$F$200,4,0),""),"")))</f>
        <v/>
      </c>
      <c r="L359" s="70">
        <f>IF(C359="","",IF(J359="Per uur",N(I359)*N(K359),IF(J359="Vaste prijs",N(K359),0)))</f>
        <v/>
      </c>
      <c r="M359" s="69">
        <f>IF(C359="","",IFERROR(IF(N(VLOOKUP(C359,Tarieven!$A$2:$F$200,5,0))=0,"",VLOOKUP(C359,Tarieven!$A$2:$F$200,5,0)),""))</f>
        <v/>
      </c>
      <c r="N359" s="69" t="n"/>
      <c r="O359" s="69" t="n"/>
      <c r="P359" s="70">
        <f>IF(C359="","",N(L359)+N(M359)+N(N359)+N(O359))</f>
        <v/>
      </c>
      <c r="Q359" s="58" t="n"/>
      <c r="R359" s="57" t="n"/>
      <c r="S359" s="57" t="n"/>
      <c r="T359" s="57" t="n"/>
      <c r="U359" s="62">
        <f>IF(C359="","",IF(COUNTIF(Tarieven!$A$2:$A$200,C359)=0,"Klant niet in Tarieven",IF(MOD(N(H359),1)*100&gt;59.4,"Tijd ongeldig: minuten boven 59",IF(J359="Nog bepalen","Prijstype nog bepalen",IF(AND(J359="Per uur",N(K359)=0),"Uurtarief ontbreekt",IF(AND(J359="Vaste prijs",N(K359)=0),"Vaste prijs ontbreekt",IF(AND(N(I359)=0,Q359&lt;&gt;"Niet doorgegaan / verplaatst",Q359&lt;&gt;"Geen factuur nodig"),"Geen uren",IF(AND(G359="NEE",Q359="Verstuurd"),"Verstuurd terwijl werk niet af",IF(IFERROR(VLOOKUP(C359,Tarieven!$A$2:$F$200,2,0),"")="Beide","Beide-klant: controleer prijstype","OK")))))))))</f>
        <v/>
      </c>
    </row>
    <row r="360" ht="15" customHeight="1" s="42">
      <c r="A360" s="56">
        <f>IF(B360="","",WEEKNUM(B360,21))</f>
        <v/>
      </c>
      <c r="B360" s="55" t="n"/>
      <c r="C360" s="57" t="n"/>
      <c r="D360" s="57" t="n"/>
      <c r="E360" s="57" t="n"/>
      <c r="F360" s="57" t="n"/>
      <c r="G360" s="67" t="n"/>
      <c r="H360" s="68" t="n"/>
      <c r="I360" s="61">
        <f>IF(C360="","",IF(H360&lt;&gt;"",INT(H360)+ROUND(MOD(H360,1)*100/60,2),SUMIFS(Registraties!$L$5:$L$3004,Registraties!$D$5:$D$3004,C360,Registraties!$A$5:$A$3004,B360)))</f>
        <v/>
      </c>
      <c r="J360" s="58">
        <f>IF(C360="","",IFERROR(IF(VLOOKUP(C360,Tarieven!$A$2:$F$200,2,0)="Beide","Per uur",VLOOKUP(C360,Tarieven!$A$2:$F$200,2,0)),"Nog bepalen"))</f>
        <v/>
      </c>
      <c r="K360" s="69">
        <f>IF(C360="","",IF(J360="Per uur",IFERROR(VLOOKUP(C360,Tarieven!$A$2:$F$200,3,0),""),IF(J360="Vaste prijs",IFERROR(VLOOKUP(C360,Tarieven!$A$2:$F$200,4,0),""),"")))</f>
        <v/>
      </c>
      <c r="L360" s="70">
        <f>IF(C360="","",IF(J360="Per uur",N(I360)*N(K360),IF(J360="Vaste prijs",N(K360),0)))</f>
        <v/>
      </c>
      <c r="M360" s="69">
        <f>IF(C360="","",IFERROR(IF(N(VLOOKUP(C360,Tarieven!$A$2:$F$200,5,0))=0,"",VLOOKUP(C360,Tarieven!$A$2:$F$200,5,0)),""))</f>
        <v/>
      </c>
      <c r="N360" s="69" t="n"/>
      <c r="O360" s="69" t="n"/>
      <c r="P360" s="70">
        <f>IF(C360="","",N(L360)+N(M360)+N(N360)+N(O360))</f>
        <v/>
      </c>
      <c r="Q360" s="58" t="n"/>
      <c r="R360" s="57" t="n"/>
      <c r="S360" s="57" t="n"/>
      <c r="T360" s="57" t="n"/>
      <c r="U360" s="62">
        <f>IF(C360="","",IF(COUNTIF(Tarieven!$A$2:$A$200,C360)=0,"Klant niet in Tarieven",IF(MOD(N(H360),1)*100&gt;59.4,"Tijd ongeldig: minuten boven 59",IF(J360="Nog bepalen","Prijstype nog bepalen",IF(AND(J360="Per uur",N(K360)=0),"Uurtarief ontbreekt",IF(AND(J360="Vaste prijs",N(K360)=0),"Vaste prijs ontbreekt",IF(AND(N(I360)=0,Q360&lt;&gt;"Niet doorgegaan / verplaatst",Q360&lt;&gt;"Geen factuur nodig"),"Geen uren",IF(AND(G360="NEE",Q360="Verstuurd"),"Verstuurd terwijl werk niet af",IF(IFERROR(VLOOKUP(C360,Tarieven!$A$2:$F$200,2,0),"")="Beide","Beide-klant: controleer prijstype","OK")))))))))</f>
        <v/>
      </c>
    </row>
    <row r="361" ht="15" customHeight="1" s="42">
      <c r="A361" s="56">
        <f>IF(B361="","",WEEKNUM(B361,21))</f>
        <v/>
      </c>
      <c r="B361" s="55" t="n"/>
      <c r="C361" s="57" t="n"/>
      <c r="D361" s="57" t="n"/>
      <c r="E361" s="57" t="n"/>
      <c r="F361" s="57" t="n"/>
      <c r="G361" s="67" t="n"/>
      <c r="H361" s="68" t="n"/>
      <c r="I361" s="61">
        <f>IF(C361="","",IF(H361&lt;&gt;"",INT(H361)+ROUND(MOD(H361,1)*100/60,2),SUMIFS(Registraties!$L$5:$L$3004,Registraties!$D$5:$D$3004,C361,Registraties!$A$5:$A$3004,B361)))</f>
        <v/>
      </c>
      <c r="J361" s="58">
        <f>IF(C361="","",IFERROR(IF(VLOOKUP(C361,Tarieven!$A$2:$F$200,2,0)="Beide","Per uur",VLOOKUP(C361,Tarieven!$A$2:$F$200,2,0)),"Nog bepalen"))</f>
        <v/>
      </c>
      <c r="K361" s="69">
        <f>IF(C361="","",IF(J361="Per uur",IFERROR(VLOOKUP(C361,Tarieven!$A$2:$F$200,3,0),""),IF(J361="Vaste prijs",IFERROR(VLOOKUP(C361,Tarieven!$A$2:$F$200,4,0),""),"")))</f>
        <v/>
      </c>
      <c r="L361" s="70">
        <f>IF(C361="","",IF(J361="Per uur",N(I361)*N(K361),IF(J361="Vaste prijs",N(K361),0)))</f>
        <v/>
      </c>
      <c r="M361" s="69">
        <f>IF(C361="","",IFERROR(IF(N(VLOOKUP(C361,Tarieven!$A$2:$F$200,5,0))=0,"",VLOOKUP(C361,Tarieven!$A$2:$F$200,5,0)),""))</f>
        <v/>
      </c>
      <c r="N361" s="69" t="n"/>
      <c r="O361" s="69" t="n"/>
      <c r="P361" s="70">
        <f>IF(C361="","",N(L361)+N(M361)+N(N361)+N(O361))</f>
        <v/>
      </c>
      <c r="Q361" s="58" t="n"/>
      <c r="R361" s="57" t="n"/>
      <c r="S361" s="57" t="n"/>
      <c r="T361" s="57" t="n"/>
      <c r="U361" s="62">
        <f>IF(C361="","",IF(COUNTIF(Tarieven!$A$2:$A$200,C361)=0,"Klant niet in Tarieven",IF(MOD(N(H361),1)*100&gt;59.4,"Tijd ongeldig: minuten boven 59",IF(J361="Nog bepalen","Prijstype nog bepalen",IF(AND(J361="Per uur",N(K361)=0),"Uurtarief ontbreekt",IF(AND(J361="Vaste prijs",N(K361)=0),"Vaste prijs ontbreekt",IF(AND(N(I361)=0,Q361&lt;&gt;"Niet doorgegaan / verplaatst",Q361&lt;&gt;"Geen factuur nodig"),"Geen uren",IF(AND(G361="NEE",Q361="Verstuurd"),"Verstuurd terwijl werk niet af",IF(IFERROR(VLOOKUP(C361,Tarieven!$A$2:$F$200,2,0),"")="Beide","Beide-klant: controleer prijstype","OK")))))))))</f>
        <v/>
      </c>
    </row>
    <row r="362" ht="15" customHeight="1" s="42">
      <c r="A362" s="56">
        <f>IF(B362="","",WEEKNUM(B362,21))</f>
        <v/>
      </c>
      <c r="B362" s="55" t="n"/>
      <c r="C362" s="57" t="n"/>
      <c r="D362" s="57" t="n"/>
      <c r="E362" s="57" t="n"/>
      <c r="F362" s="57" t="n"/>
      <c r="G362" s="67" t="n"/>
      <c r="H362" s="68" t="n"/>
      <c r="I362" s="61">
        <f>IF(C362="","",IF(H362&lt;&gt;"",INT(H362)+ROUND(MOD(H362,1)*100/60,2),SUMIFS(Registraties!$L$5:$L$3004,Registraties!$D$5:$D$3004,C362,Registraties!$A$5:$A$3004,B362)))</f>
        <v/>
      </c>
      <c r="J362" s="58">
        <f>IF(C362="","",IFERROR(IF(VLOOKUP(C362,Tarieven!$A$2:$F$200,2,0)="Beide","Per uur",VLOOKUP(C362,Tarieven!$A$2:$F$200,2,0)),"Nog bepalen"))</f>
        <v/>
      </c>
      <c r="K362" s="69">
        <f>IF(C362="","",IF(J362="Per uur",IFERROR(VLOOKUP(C362,Tarieven!$A$2:$F$200,3,0),""),IF(J362="Vaste prijs",IFERROR(VLOOKUP(C362,Tarieven!$A$2:$F$200,4,0),""),"")))</f>
        <v/>
      </c>
      <c r="L362" s="70">
        <f>IF(C362="","",IF(J362="Per uur",N(I362)*N(K362),IF(J362="Vaste prijs",N(K362),0)))</f>
        <v/>
      </c>
      <c r="M362" s="69">
        <f>IF(C362="","",IFERROR(IF(N(VLOOKUP(C362,Tarieven!$A$2:$F$200,5,0))=0,"",VLOOKUP(C362,Tarieven!$A$2:$F$200,5,0)),""))</f>
        <v/>
      </c>
      <c r="N362" s="69" t="n"/>
      <c r="O362" s="69" t="n"/>
      <c r="P362" s="70">
        <f>IF(C362="","",N(L362)+N(M362)+N(N362)+N(O362))</f>
        <v/>
      </c>
      <c r="Q362" s="58" t="n"/>
      <c r="R362" s="57" t="n"/>
      <c r="S362" s="57" t="n"/>
      <c r="T362" s="57" t="n"/>
      <c r="U362" s="62">
        <f>IF(C362="","",IF(COUNTIF(Tarieven!$A$2:$A$200,C362)=0,"Klant niet in Tarieven",IF(MOD(N(H362),1)*100&gt;59.4,"Tijd ongeldig: minuten boven 59",IF(J362="Nog bepalen","Prijstype nog bepalen",IF(AND(J362="Per uur",N(K362)=0),"Uurtarief ontbreekt",IF(AND(J362="Vaste prijs",N(K362)=0),"Vaste prijs ontbreekt",IF(AND(N(I362)=0,Q362&lt;&gt;"Niet doorgegaan / verplaatst",Q362&lt;&gt;"Geen factuur nodig"),"Geen uren",IF(AND(G362="NEE",Q362="Verstuurd"),"Verstuurd terwijl werk niet af",IF(IFERROR(VLOOKUP(C362,Tarieven!$A$2:$F$200,2,0),"")="Beide","Beide-klant: controleer prijstype","OK")))))))))</f>
        <v/>
      </c>
    </row>
    <row r="363" ht="15" customHeight="1" s="42">
      <c r="A363" s="56">
        <f>IF(B363="","",WEEKNUM(B363,21))</f>
        <v/>
      </c>
      <c r="B363" s="55" t="n"/>
      <c r="C363" s="57" t="n"/>
      <c r="D363" s="57" t="n"/>
      <c r="E363" s="57" t="n"/>
      <c r="F363" s="57" t="n"/>
      <c r="G363" s="67" t="n"/>
      <c r="H363" s="68" t="n"/>
      <c r="I363" s="61">
        <f>IF(C363="","",IF(H363&lt;&gt;"",INT(H363)+ROUND(MOD(H363,1)*100/60,2),SUMIFS(Registraties!$L$5:$L$3004,Registraties!$D$5:$D$3004,C363,Registraties!$A$5:$A$3004,B363)))</f>
        <v/>
      </c>
      <c r="J363" s="58">
        <f>IF(C363="","",IFERROR(IF(VLOOKUP(C363,Tarieven!$A$2:$F$200,2,0)="Beide","Per uur",VLOOKUP(C363,Tarieven!$A$2:$F$200,2,0)),"Nog bepalen"))</f>
        <v/>
      </c>
      <c r="K363" s="69">
        <f>IF(C363="","",IF(J363="Per uur",IFERROR(VLOOKUP(C363,Tarieven!$A$2:$F$200,3,0),""),IF(J363="Vaste prijs",IFERROR(VLOOKUP(C363,Tarieven!$A$2:$F$200,4,0),""),"")))</f>
        <v/>
      </c>
      <c r="L363" s="70">
        <f>IF(C363="","",IF(J363="Per uur",N(I363)*N(K363),IF(J363="Vaste prijs",N(K363),0)))</f>
        <v/>
      </c>
      <c r="M363" s="69">
        <f>IF(C363="","",IFERROR(IF(N(VLOOKUP(C363,Tarieven!$A$2:$F$200,5,0))=0,"",VLOOKUP(C363,Tarieven!$A$2:$F$200,5,0)),""))</f>
        <v/>
      </c>
      <c r="N363" s="69" t="n"/>
      <c r="O363" s="69" t="n"/>
      <c r="P363" s="70">
        <f>IF(C363="","",N(L363)+N(M363)+N(N363)+N(O363))</f>
        <v/>
      </c>
      <c r="Q363" s="58" t="n"/>
      <c r="R363" s="57" t="n"/>
      <c r="S363" s="57" t="n"/>
      <c r="T363" s="57" t="n"/>
      <c r="U363" s="62">
        <f>IF(C363="","",IF(COUNTIF(Tarieven!$A$2:$A$200,C363)=0,"Klant niet in Tarieven",IF(MOD(N(H363),1)*100&gt;59.4,"Tijd ongeldig: minuten boven 59",IF(J363="Nog bepalen","Prijstype nog bepalen",IF(AND(J363="Per uur",N(K363)=0),"Uurtarief ontbreekt",IF(AND(J363="Vaste prijs",N(K363)=0),"Vaste prijs ontbreekt",IF(AND(N(I363)=0,Q363&lt;&gt;"Niet doorgegaan / verplaatst",Q363&lt;&gt;"Geen factuur nodig"),"Geen uren",IF(AND(G363="NEE",Q363="Verstuurd"),"Verstuurd terwijl werk niet af",IF(IFERROR(VLOOKUP(C363,Tarieven!$A$2:$F$200,2,0),"")="Beide","Beide-klant: controleer prijstype","OK")))))))))</f>
        <v/>
      </c>
    </row>
    <row r="364" ht="15" customHeight="1" s="42">
      <c r="A364" s="56">
        <f>IF(B364="","",WEEKNUM(B364,21))</f>
        <v/>
      </c>
      <c r="B364" s="55" t="n"/>
      <c r="C364" s="57" t="n"/>
      <c r="D364" s="57" t="n"/>
      <c r="E364" s="57" t="n"/>
      <c r="F364" s="57" t="n"/>
      <c r="G364" s="67" t="n"/>
      <c r="H364" s="68" t="n"/>
      <c r="I364" s="61">
        <f>IF(C364="","",IF(H364&lt;&gt;"",INT(H364)+ROUND(MOD(H364,1)*100/60,2),SUMIFS(Registraties!$L$5:$L$3004,Registraties!$D$5:$D$3004,C364,Registraties!$A$5:$A$3004,B364)))</f>
        <v/>
      </c>
      <c r="J364" s="58">
        <f>IF(C364="","",IFERROR(IF(VLOOKUP(C364,Tarieven!$A$2:$F$200,2,0)="Beide","Per uur",VLOOKUP(C364,Tarieven!$A$2:$F$200,2,0)),"Nog bepalen"))</f>
        <v/>
      </c>
      <c r="K364" s="69">
        <f>IF(C364="","",IF(J364="Per uur",IFERROR(VLOOKUP(C364,Tarieven!$A$2:$F$200,3,0),""),IF(J364="Vaste prijs",IFERROR(VLOOKUP(C364,Tarieven!$A$2:$F$200,4,0),""),"")))</f>
        <v/>
      </c>
      <c r="L364" s="70">
        <f>IF(C364="","",IF(J364="Per uur",N(I364)*N(K364),IF(J364="Vaste prijs",N(K364),0)))</f>
        <v/>
      </c>
      <c r="M364" s="69">
        <f>IF(C364="","",IFERROR(IF(N(VLOOKUP(C364,Tarieven!$A$2:$F$200,5,0))=0,"",VLOOKUP(C364,Tarieven!$A$2:$F$200,5,0)),""))</f>
        <v/>
      </c>
      <c r="N364" s="69" t="n"/>
      <c r="O364" s="69" t="n"/>
      <c r="P364" s="70">
        <f>IF(C364="","",N(L364)+N(M364)+N(N364)+N(O364))</f>
        <v/>
      </c>
      <c r="Q364" s="58" t="n"/>
      <c r="R364" s="57" t="n"/>
      <c r="S364" s="57" t="n"/>
      <c r="T364" s="57" t="n"/>
      <c r="U364" s="62">
        <f>IF(C364="","",IF(COUNTIF(Tarieven!$A$2:$A$200,C364)=0,"Klant niet in Tarieven",IF(MOD(N(H364),1)*100&gt;59.4,"Tijd ongeldig: minuten boven 59",IF(J364="Nog bepalen","Prijstype nog bepalen",IF(AND(J364="Per uur",N(K364)=0),"Uurtarief ontbreekt",IF(AND(J364="Vaste prijs",N(K364)=0),"Vaste prijs ontbreekt",IF(AND(N(I364)=0,Q364&lt;&gt;"Niet doorgegaan / verplaatst",Q364&lt;&gt;"Geen factuur nodig"),"Geen uren",IF(AND(G364="NEE",Q364="Verstuurd"),"Verstuurd terwijl werk niet af",IF(IFERROR(VLOOKUP(C364,Tarieven!$A$2:$F$200,2,0),"")="Beide","Beide-klant: controleer prijstype","OK")))))))))</f>
        <v/>
      </c>
    </row>
    <row r="365" ht="15" customHeight="1" s="42">
      <c r="A365" s="56">
        <f>IF(B365="","",WEEKNUM(B365,21))</f>
        <v/>
      </c>
      <c r="B365" s="55" t="n"/>
      <c r="C365" s="57" t="n"/>
      <c r="D365" s="57" t="n"/>
      <c r="E365" s="57" t="n"/>
      <c r="F365" s="57" t="n"/>
      <c r="G365" s="67" t="n"/>
      <c r="H365" s="68" t="n"/>
      <c r="I365" s="61">
        <f>IF(C365="","",IF(H365&lt;&gt;"",INT(H365)+ROUND(MOD(H365,1)*100/60,2),SUMIFS(Registraties!$L$5:$L$3004,Registraties!$D$5:$D$3004,C365,Registraties!$A$5:$A$3004,B365)))</f>
        <v/>
      </c>
      <c r="J365" s="58">
        <f>IF(C365="","",IFERROR(IF(VLOOKUP(C365,Tarieven!$A$2:$F$200,2,0)="Beide","Per uur",VLOOKUP(C365,Tarieven!$A$2:$F$200,2,0)),"Nog bepalen"))</f>
        <v/>
      </c>
      <c r="K365" s="69">
        <f>IF(C365="","",IF(J365="Per uur",IFERROR(VLOOKUP(C365,Tarieven!$A$2:$F$200,3,0),""),IF(J365="Vaste prijs",IFERROR(VLOOKUP(C365,Tarieven!$A$2:$F$200,4,0),""),"")))</f>
        <v/>
      </c>
      <c r="L365" s="70">
        <f>IF(C365="","",IF(J365="Per uur",N(I365)*N(K365),IF(J365="Vaste prijs",N(K365),0)))</f>
        <v/>
      </c>
      <c r="M365" s="69">
        <f>IF(C365="","",IFERROR(IF(N(VLOOKUP(C365,Tarieven!$A$2:$F$200,5,0))=0,"",VLOOKUP(C365,Tarieven!$A$2:$F$200,5,0)),""))</f>
        <v/>
      </c>
      <c r="N365" s="69" t="n"/>
      <c r="O365" s="69" t="n"/>
      <c r="P365" s="70">
        <f>IF(C365="","",N(L365)+N(M365)+N(N365)+N(O365))</f>
        <v/>
      </c>
      <c r="Q365" s="58" t="n"/>
      <c r="R365" s="57" t="n"/>
      <c r="S365" s="57" t="n"/>
      <c r="T365" s="57" t="n"/>
      <c r="U365" s="62">
        <f>IF(C365="","",IF(COUNTIF(Tarieven!$A$2:$A$200,C365)=0,"Klant niet in Tarieven",IF(MOD(N(H365),1)*100&gt;59.4,"Tijd ongeldig: minuten boven 59",IF(J365="Nog bepalen","Prijstype nog bepalen",IF(AND(J365="Per uur",N(K365)=0),"Uurtarief ontbreekt",IF(AND(J365="Vaste prijs",N(K365)=0),"Vaste prijs ontbreekt",IF(AND(N(I365)=0,Q365&lt;&gt;"Niet doorgegaan / verplaatst",Q365&lt;&gt;"Geen factuur nodig"),"Geen uren",IF(AND(G365="NEE",Q365="Verstuurd"),"Verstuurd terwijl werk niet af",IF(IFERROR(VLOOKUP(C365,Tarieven!$A$2:$F$200,2,0),"")="Beide","Beide-klant: controleer prijstype","OK")))))))))</f>
        <v/>
      </c>
    </row>
    <row r="366" ht="15" customHeight="1" s="42">
      <c r="A366" s="56">
        <f>IF(B366="","",WEEKNUM(B366,21))</f>
        <v/>
      </c>
      <c r="B366" s="55" t="n"/>
      <c r="C366" s="57" t="n"/>
      <c r="D366" s="57" t="n"/>
      <c r="E366" s="57" t="n"/>
      <c r="F366" s="57" t="n"/>
      <c r="G366" s="67" t="n"/>
      <c r="H366" s="68" t="n"/>
      <c r="I366" s="61">
        <f>IF(C366="","",IF(H366&lt;&gt;"",INT(H366)+ROUND(MOD(H366,1)*100/60,2),SUMIFS(Registraties!$L$5:$L$3004,Registraties!$D$5:$D$3004,C366,Registraties!$A$5:$A$3004,B366)))</f>
        <v/>
      </c>
      <c r="J366" s="58">
        <f>IF(C366="","",IFERROR(IF(VLOOKUP(C366,Tarieven!$A$2:$F$200,2,0)="Beide","Per uur",VLOOKUP(C366,Tarieven!$A$2:$F$200,2,0)),"Nog bepalen"))</f>
        <v/>
      </c>
      <c r="K366" s="69">
        <f>IF(C366="","",IF(J366="Per uur",IFERROR(VLOOKUP(C366,Tarieven!$A$2:$F$200,3,0),""),IF(J366="Vaste prijs",IFERROR(VLOOKUP(C366,Tarieven!$A$2:$F$200,4,0),""),"")))</f>
        <v/>
      </c>
      <c r="L366" s="70">
        <f>IF(C366="","",IF(J366="Per uur",N(I366)*N(K366),IF(J366="Vaste prijs",N(K366),0)))</f>
        <v/>
      </c>
      <c r="M366" s="69">
        <f>IF(C366="","",IFERROR(IF(N(VLOOKUP(C366,Tarieven!$A$2:$F$200,5,0))=0,"",VLOOKUP(C366,Tarieven!$A$2:$F$200,5,0)),""))</f>
        <v/>
      </c>
      <c r="N366" s="69" t="n"/>
      <c r="O366" s="69" t="n"/>
      <c r="P366" s="70">
        <f>IF(C366="","",N(L366)+N(M366)+N(N366)+N(O366))</f>
        <v/>
      </c>
      <c r="Q366" s="58" t="n"/>
      <c r="R366" s="57" t="n"/>
      <c r="S366" s="57" t="n"/>
      <c r="T366" s="57" t="n"/>
      <c r="U366" s="62">
        <f>IF(C366="","",IF(COUNTIF(Tarieven!$A$2:$A$200,C366)=0,"Klant niet in Tarieven",IF(MOD(N(H366),1)*100&gt;59.4,"Tijd ongeldig: minuten boven 59",IF(J366="Nog bepalen","Prijstype nog bepalen",IF(AND(J366="Per uur",N(K366)=0),"Uurtarief ontbreekt",IF(AND(J366="Vaste prijs",N(K366)=0),"Vaste prijs ontbreekt",IF(AND(N(I366)=0,Q366&lt;&gt;"Niet doorgegaan / verplaatst",Q366&lt;&gt;"Geen factuur nodig"),"Geen uren",IF(AND(G366="NEE",Q366="Verstuurd"),"Verstuurd terwijl werk niet af",IF(IFERROR(VLOOKUP(C366,Tarieven!$A$2:$F$200,2,0),"")="Beide","Beide-klant: controleer prijstype","OK")))))))))</f>
        <v/>
      </c>
    </row>
    <row r="367" ht="15" customHeight="1" s="42">
      <c r="A367" s="56">
        <f>IF(B367="","",WEEKNUM(B367,21))</f>
        <v/>
      </c>
      <c r="B367" s="55" t="n"/>
      <c r="C367" s="57" t="n"/>
      <c r="D367" s="57" t="n"/>
      <c r="E367" s="57" t="n"/>
      <c r="F367" s="57" t="n"/>
      <c r="G367" s="67" t="n"/>
      <c r="H367" s="68" t="n"/>
      <c r="I367" s="61">
        <f>IF(C367="","",IF(H367&lt;&gt;"",INT(H367)+ROUND(MOD(H367,1)*100/60,2),SUMIFS(Registraties!$L$5:$L$3004,Registraties!$D$5:$D$3004,C367,Registraties!$A$5:$A$3004,B367)))</f>
        <v/>
      </c>
      <c r="J367" s="58">
        <f>IF(C367="","",IFERROR(IF(VLOOKUP(C367,Tarieven!$A$2:$F$200,2,0)="Beide","Per uur",VLOOKUP(C367,Tarieven!$A$2:$F$200,2,0)),"Nog bepalen"))</f>
        <v/>
      </c>
      <c r="K367" s="69">
        <f>IF(C367="","",IF(J367="Per uur",IFERROR(VLOOKUP(C367,Tarieven!$A$2:$F$200,3,0),""),IF(J367="Vaste prijs",IFERROR(VLOOKUP(C367,Tarieven!$A$2:$F$200,4,0),""),"")))</f>
        <v/>
      </c>
      <c r="L367" s="70">
        <f>IF(C367="","",IF(J367="Per uur",N(I367)*N(K367),IF(J367="Vaste prijs",N(K367),0)))</f>
        <v/>
      </c>
      <c r="M367" s="69">
        <f>IF(C367="","",IFERROR(IF(N(VLOOKUP(C367,Tarieven!$A$2:$F$200,5,0))=0,"",VLOOKUP(C367,Tarieven!$A$2:$F$200,5,0)),""))</f>
        <v/>
      </c>
      <c r="N367" s="69" t="n"/>
      <c r="O367" s="69" t="n"/>
      <c r="P367" s="70">
        <f>IF(C367="","",N(L367)+N(M367)+N(N367)+N(O367))</f>
        <v/>
      </c>
      <c r="Q367" s="58" t="n"/>
      <c r="R367" s="57" t="n"/>
      <c r="S367" s="57" t="n"/>
      <c r="T367" s="57" t="n"/>
      <c r="U367" s="62">
        <f>IF(C367="","",IF(COUNTIF(Tarieven!$A$2:$A$200,C367)=0,"Klant niet in Tarieven",IF(MOD(N(H367),1)*100&gt;59.4,"Tijd ongeldig: minuten boven 59",IF(J367="Nog bepalen","Prijstype nog bepalen",IF(AND(J367="Per uur",N(K367)=0),"Uurtarief ontbreekt",IF(AND(J367="Vaste prijs",N(K367)=0),"Vaste prijs ontbreekt",IF(AND(N(I367)=0,Q367&lt;&gt;"Niet doorgegaan / verplaatst",Q367&lt;&gt;"Geen factuur nodig"),"Geen uren",IF(AND(G367="NEE",Q367="Verstuurd"),"Verstuurd terwijl werk niet af",IF(IFERROR(VLOOKUP(C367,Tarieven!$A$2:$F$200,2,0),"")="Beide","Beide-klant: controleer prijstype","OK")))))))))</f>
        <v/>
      </c>
    </row>
    <row r="368" ht="15" customHeight="1" s="42">
      <c r="A368" s="56">
        <f>IF(B368="","",WEEKNUM(B368,21))</f>
        <v/>
      </c>
      <c r="B368" s="55" t="n"/>
      <c r="C368" s="57" t="n"/>
      <c r="D368" s="57" t="n"/>
      <c r="E368" s="57" t="n"/>
      <c r="F368" s="57" t="n"/>
      <c r="G368" s="67" t="n"/>
      <c r="H368" s="68" t="n"/>
      <c r="I368" s="61">
        <f>IF(C368="","",IF(H368&lt;&gt;"",INT(H368)+ROUND(MOD(H368,1)*100/60,2),SUMIFS(Registraties!$L$5:$L$3004,Registraties!$D$5:$D$3004,C368,Registraties!$A$5:$A$3004,B368)))</f>
        <v/>
      </c>
      <c r="J368" s="58">
        <f>IF(C368="","",IFERROR(IF(VLOOKUP(C368,Tarieven!$A$2:$F$200,2,0)="Beide","Per uur",VLOOKUP(C368,Tarieven!$A$2:$F$200,2,0)),"Nog bepalen"))</f>
        <v/>
      </c>
      <c r="K368" s="69">
        <f>IF(C368="","",IF(J368="Per uur",IFERROR(VLOOKUP(C368,Tarieven!$A$2:$F$200,3,0),""),IF(J368="Vaste prijs",IFERROR(VLOOKUP(C368,Tarieven!$A$2:$F$200,4,0),""),"")))</f>
        <v/>
      </c>
      <c r="L368" s="70">
        <f>IF(C368="","",IF(J368="Per uur",N(I368)*N(K368),IF(J368="Vaste prijs",N(K368),0)))</f>
        <v/>
      </c>
      <c r="M368" s="69">
        <f>IF(C368="","",IFERROR(IF(N(VLOOKUP(C368,Tarieven!$A$2:$F$200,5,0))=0,"",VLOOKUP(C368,Tarieven!$A$2:$F$200,5,0)),""))</f>
        <v/>
      </c>
      <c r="N368" s="69" t="n"/>
      <c r="O368" s="69" t="n"/>
      <c r="P368" s="70">
        <f>IF(C368="","",N(L368)+N(M368)+N(N368)+N(O368))</f>
        <v/>
      </c>
      <c r="Q368" s="58" t="n"/>
      <c r="R368" s="57" t="n"/>
      <c r="S368" s="57" t="n"/>
      <c r="T368" s="57" t="n"/>
      <c r="U368" s="62">
        <f>IF(C368="","",IF(COUNTIF(Tarieven!$A$2:$A$200,C368)=0,"Klant niet in Tarieven",IF(MOD(N(H368),1)*100&gt;59.4,"Tijd ongeldig: minuten boven 59",IF(J368="Nog bepalen","Prijstype nog bepalen",IF(AND(J368="Per uur",N(K368)=0),"Uurtarief ontbreekt",IF(AND(J368="Vaste prijs",N(K368)=0),"Vaste prijs ontbreekt",IF(AND(N(I368)=0,Q368&lt;&gt;"Niet doorgegaan / verplaatst",Q368&lt;&gt;"Geen factuur nodig"),"Geen uren",IF(AND(G368="NEE",Q368="Verstuurd"),"Verstuurd terwijl werk niet af",IF(IFERROR(VLOOKUP(C368,Tarieven!$A$2:$F$200,2,0),"")="Beide","Beide-klant: controleer prijstype","OK")))))))))</f>
        <v/>
      </c>
    </row>
    <row r="369" ht="15" customHeight="1" s="42">
      <c r="A369" s="56">
        <f>IF(B369="","",WEEKNUM(B369,21))</f>
        <v/>
      </c>
      <c r="B369" s="55" t="n"/>
      <c r="C369" s="57" t="n"/>
      <c r="D369" s="57" t="n"/>
      <c r="E369" s="57" t="n"/>
      <c r="F369" s="57" t="n"/>
      <c r="G369" s="67" t="n"/>
      <c r="H369" s="68" t="n"/>
      <c r="I369" s="61">
        <f>IF(C369="","",IF(H369&lt;&gt;"",INT(H369)+ROUND(MOD(H369,1)*100/60,2),SUMIFS(Registraties!$L$5:$L$3004,Registraties!$D$5:$D$3004,C369,Registraties!$A$5:$A$3004,B369)))</f>
        <v/>
      </c>
      <c r="J369" s="58">
        <f>IF(C369="","",IFERROR(IF(VLOOKUP(C369,Tarieven!$A$2:$F$200,2,0)="Beide","Per uur",VLOOKUP(C369,Tarieven!$A$2:$F$200,2,0)),"Nog bepalen"))</f>
        <v/>
      </c>
      <c r="K369" s="69">
        <f>IF(C369="","",IF(J369="Per uur",IFERROR(VLOOKUP(C369,Tarieven!$A$2:$F$200,3,0),""),IF(J369="Vaste prijs",IFERROR(VLOOKUP(C369,Tarieven!$A$2:$F$200,4,0),""),"")))</f>
        <v/>
      </c>
      <c r="L369" s="70">
        <f>IF(C369="","",IF(J369="Per uur",N(I369)*N(K369),IF(J369="Vaste prijs",N(K369),0)))</f>
        <v/>
      </c>
      <c r="M369" s="69">
        <f>IF(C369="","",IFERROR(IF(N(VLOOKUP(C369,Tarieven!$A$2:$F$200,5,0))=0,"",VLOOKUP(C369,Tarieven!$A$2:$F$200,5,0)),""))</f>
        <v/>
      </c>
      <c r="N369" s="69" t="n"/>
      <c r="O369" s="69" t="n"/>
      <c r="P369" s="70">
        <f>IF(C369="","",N(L369)+N(M369)+N(N369)+N(O369))</f>
        <v/>
      </c>
      <c r="Q369" s="58" t="n"/>
      <c r="R369" s="57" t="n"/>
      <c r="S369" s="57" t="n"/>
      <c r="T369" s="57" t="n"/>
      <c r="U369" s="62">
        <f>IF(C369="","",IF(COUNTIF(Tarieven!$A$2:$A$200,C369)=0,"Klant niet in Tarieven",IF(MOD(N(H369),1)*100&gt;59.4,"Tijd ongeldig: minuten boven 59",IF(J369="Nog bepalen","Prijstype nog bepalen",IF(AND(J369="Per uur",N(K369)=0),"Uurtarief ontbreekt",IF(AND(J369="Vaste prijs",N(K369)=0),"Vaste prijs ontbreekt",IF(AND(N(I369)=0,Q369&lt;&gt;"Niet doorgegaan / verplaatst",Q369&lt;&gt;"Geen factuur nodig"),"Geen uren",IF(AND(G369="NEE",Q369="Verstuurd"),"Verstuurd terwijl werk niet af",IF(IFERROR(VLOOKUP(C369,Tarieven!$A$2:$F$200,2,0),"")="Beide","Beide-klant: controleer prijstype","OK")))))))))</f>
        <v/>
      </c>
    </row>
    <row r="370" ht="15" customHeight="1" s="42">
      <c r="A370" s="56">
        <f>IF(B370="","",WEEKNUM(B370,21))</f>
        <v/>
      </c>
      <c r="B370" s="55" t="n"/>
      <c r="C370" s="57" t="n"/>
      <c r="D370" s="57" t="n"/>
      <c r="E370" s="57" t="n"/>
      <c r="F370" s="57" t="n"/>
      <c r="G370" s="67" t="n"/>
      <c r="H370" s="68" t="n"/>
      <c r="I370" s="61">
        <f>IF(C370="","",IF(H370&lt;&gt;"",INT(H370)+ROUND(MOD(H370,1)*100/60,2),SUMIFS(Registraties!$L$5:$L$3004,Registraties!$D$5:$D$3004,C370,Registraties!$A$5:$A$3004,B370)))</f>
        <v/>
      </c>
      <c r="J370" s="58">
        <f>IF(C370="","",IFERROR(IF(VLOOKUP(C370,Tarieven!$A$2:$F$200,2,0)="Beide","Per uur",VLOOKUP(C370,Tarieven!$A$2:$F$200,2,0)),"Nog bepalen"))</f>
        <v/>
      </c>
      <c r="K370" s="69">
        <f>IF(C370="","",IF(J370="Per uur",IFERROR(VLOOKUP(C370,Tarieven!$A$2:$F$200,3,0),""),IF(J370="Vaste prijs",IFERROR(VLOOKUP(C370,Tarieven!$A$2:$F$200,4,0),""),"")))</f>
        <v/>
      </c>
      <c r="L370" s="70">
        <f>IF(C370="","",IF(J370="Per uur",N(I370)*N(K370),IF(J370="Vaste prijs",N(K370),0)))</f>
        <v/>
      </c>
      <c r="M370" s="69">
        <f>IF(C370="","",IFERROR(IF(N(VLOOKUP(C370,Tarieven!$A$2:$F$200,5,0))=0,"",VLOOKUP(C370,Tarieven!$A$2:$F$200,5,0)),""))</f>
        <v/>
      </c>
      <c r="N370" s="69" t="n"/>
      <c r="O370" s="69" t="n"/>
      <c r="P370" s="70">
        <f>IF(C370="","",N(L370)+N(M370)+N(N370)+N(O370))</f>
        <v/>
      </c>
      <c r="Q370" s="58" t="n"/>
      <c r="R370" s="57" t="n"/>
      <c r="S370" s="57" t="n"/>
      <c r="T370" s="57" t="n"/>
      <c r="U370" s="62">
        <f>IF(C370="","",IF(COUNTIF(Tarieven!$A$2:$A$200,C370)=0,"Klant niet in Tarieven",IF(MOD(N(H370),1)*100&gt;59.4,"Tijd ongeldig: minuten boven 59",IF(J370="Nog bepalen","Prijstype nog bepalen",IF(AND(J370="Per uur",N(K370)=0),"Uurtarief ontbreekt",IF(AND(J370="Vaste prijs",N(K370)=0),"Vaste prijs ontbreekt",IF(AND(N(I370)=0,Q370&lt;&gt;"Niet doorgegaan / verplaatst",Q370&lt;&gt;"Geen factuur nodig"),"Geen uren",IF(AND(G370="NEE",Q370="Verstuurd"),"Verstuurd terwijl werk niet af",IF(IFERROR(VLOOKUP(C370,Tarieven!$A$2:$F$200,2,0),"")="Beide","Beide-klant: controleer prijstype","OK")))))))))</f>
        <v/>
      </c>
    </row>
    <row r="371" ht="15" customHeight="1" s="42">
      <c r="A371" s="56">
        <f>IF(B371="","",WEEKNUM(B371,21))</f>
        <v/>
      </c>
      <c r="B371" s="55" t="n"/>
      <c r="C371" s="57" t="n"/>
      <c r="D371" s="57" t="n"/>
      <c r="E371" s="57" t="n"/>
      <c r="F371" s="57" t="n"/>
      <c r="G371" s="67" t="n"/>
      <c r="H371" s="68" t="n"/>
      <c r="I371" s="61">
        <f>IF(C371="","",IF(H371&lt;&gt;"",INT(H371)+ROUND(MOD(H371,1)*100/60,2),SUMIFS(Registraties!$L$5:$L$3004,Registraties!$D$5:$D$3004,C371,Registraties!$A$5:$A$3004,B371)))</f>
        <v/>
      </c>
      <c r="J371" s="58">
        <f>IF(C371="","",IFERROR(IF(VLOOKUP(C371,Tarieven!$A$2:$F$200,2,0)="Beide","Per uur",VLOOKUP(C371,Tarieven!$A$2:$F$200,2,0)),"Nog bepalen"))</f>
        <v/>
      </c>
      <c r="K371" s="69">
        <f>IF(C371="","",IF(J371="Per uur",IFERROR(VLOOKUP(C371,Tarieven!$A$2:$F$200,3,0),""),IF(J371="Vaste prijs",IFERROR(VLOOKUP(C371,Tarieven!$A$2:$F$200,4,0),""),"")))</f>
        <v/>
      </c>
      <c r="L371" s="70">
        <f>IF(C371="","",IF(J371="Per uur",N(I371)*N(K371),IF(J371="Vaste prijs",N(K371),0)))</f>
        <v/>
      </c>
      <c r="M371" s="69">
        <f>IF(C371="","",IFERROR(IF(N(VLOOKUP(C371,Tarieven!$A$2:$F$200,5,0))=0,"",VLOOKUP(C371,Tarieven!$A$2:$F$200,5,0)),""))</f>
        <v/>
      </c>
      <c r="N371" s="69" t="n"/>
      <c r="O371" s="69" t="n"/>
      <c r="P371" s="70">
        <f>IF(C371="","",N(L371)+N(M371)+N(N371)+N(O371))</f>
        <v/>
      </c>
      <c r="Q371" s="58" t="n"/>
      <c r="R371" s="57" t="n"/>
      <c r="S371" s="57" t="n"/>
      <c r="T371" s="57" t="n"/>
      <c r="U371" s="62">
        <f>IF(C371="","",IF(COUNTIF(Tarieven!$A$2:$A$200,C371)=0,"Klant niet in Tarieven",IF(MOD(N(H371),1)*100&gt;59.4,"Tijd ongeldig: minuten boven 59",IF(J371="Nog bepalen","Prijstype nog bepalen",IF(AND(J371="Per uur",N(K371)=0),"Uurtarief ontbreekt",IF(AND(J371="Vaste prijs",N(K371)=0),"Vaste prijs ontbreekt",IF(AND(N(I371)=0,Q371&lt;&gt;"Niet doorgegaan / verplaatst",Q371&lt;&gt;"Geen factuur nodig"),"Geen uren",IF(AND(G371="NEE",Q371="Verstuurd"),"Verstuurd terwijl werk niet af",IF(IFERROR(VLOOKUP(C371,Tarieven!$A$2:$F$200,2,0),"")="Beide","Beide-klant: controleer prijstype","OK")))))))))</f>
        <v/>
      </c>
    </row>
    <row r="372" ht="15" customHeight="1" s="42">
      <c r="A372" s="56">
        <f>IF(B372="","",WEEKNUM(B372,21))</f>
        <v/>
      </c>
      <c r="B372" s="55" t="n"/>
      <c r="C372" s="57" t="n"/>
      <c r="D372" s="57" t="n"/>
      <c r="E372" s="57" t="n"/>
      <c r="F372" s="57" t="n"/>
      <c r="G372" s="67" t="n"/>
      <c r="H372" s="68" t="n"/>
      <c r="I372" s="61">
        <f>IF(C372="","",IF(H372&lt;&gt;"",INT(H372)+ROUND(MOD(H372,1)*100/60,2),SUMIFS(Registraties!$L$5:$L$3004,Registraties!$D$5:$D$3004,C372,Registraties!$A$5:$A$3004,B372)))</f>
        <v/>
      </c>
      <c r="J372" s="58">
        <f>IF(C372="","",IFERROR(IF(VLOOKUP(C372,Tarieven!$A$2:$F$200,2,0)="Beide","Per uur",VLOOKUP(C372,Tarieven!$A$2:$F$200,2,0)),"Nog bepalen"))</f>
        <v/>
      </c>
      <c r="K372" s="69">
        <f>IF(C372="","",IF(J372="Per uur",IFERROR(VLOOKUP(C372,Tarieven!$A$2:$F$200,3,0),""),IF(J372="Vaste prijs",IFERROR(VLOOKUP(C372,Tarieven!$A$2:$F$200,4,0),""),"")))</f>
        <v/>
      </c>
      <c r="L372" s="70">
        <f>IF(C372="","",IF(J372="Per uur",N(I372)*N(K372),IF(J372="Vaste prijs",N(K372),0)))</f>
        <v/>
      </c>
      <c r="M372" s="69">
        <f>IF(C372="","",IFERROR(IF(N(VLOOKUP(C372,Tarieven!$A$2:$F$200,5,0))=0,"",VLOOKUP(C372,Tarieven!$A$2:$F$200,5,0)),""))</f>
        <v/>
      </c>
      <c r="N372" s="69" t="n"/>
      <c r="O372" s="69" t="n"/>
      <c r="P372" s="70">
        <f>IF(C372="","",N(L372)+N(M372)+N(N372)+N(O372))</f>
        <v/>
      </c>
      <c r="Q372" s="58" t="n"/>
      <c r="R372" s="57" t="n"/>
      <c r="S372" s="57" t="n"/>
      <c r="T372" s="57" t="n"/>
      <c r="U372" s="62">
        <f>IF(C372="","",IF(COUNTIF(Tarieven!$A$2:$A$200,C372)=0,"Klant niet in Tarieven",IF(MOD(N(H372),1)*100&gt;59.4,"Tijd ongeldig: minuten boven 59",IF(J372="Nog bepalen","Prijstype nog bepalen",IF(AND(J372="Per uur",N(K372)=0),"Uurtarief ontbreekt",IF(AND(J372="Vaste prijs",N(K372)=0),"Vaste prijs ontbreekt",IF(AND(N(I372)=0,Q372&lt;&gt;"Niet doorgegaan / verplaatst",Q372&lt;&gt;"Geen factuur nodig"),"Geen uren",IF(AND(G372="NEE",Q372="Verstuurd"),"Verstuurd terwijl werk niet af",IF(IFERROR(VLOOKUP(C372,Tarieven!$A$2:$F$200,2,0),"")="Beide","Beide-klant: controleer prijstype","OK")))))))))</f>
        <v/>
      </c>
    </row>
    <row r="373" ht="15" customHeight="1" s="42">
      <c r="A373" s="56">
        <f>IF(B373="","",WEEKNUM(B373,21))</f>
        <v/>
      </c>
      <c r="B373" s="55" t="n"/>
      <c r="C373" s="57" t="n"/>
      <c r="D373" s="57" t="n"/>
      <c r="E373" s="57" t="n"/>
      <c r="F373" s="57" t="n"/>
      <c r="G373" s="67" t="n"/>
      <c r="H373" s="68" t="n"/>
      <c r="I373" s="61">
        <f>IF(C373="","",IF(H373&lt;&gt;"",INT(H373)+ROUND(MOD(H373,1)*100/60,2),SUMIFS(Registraties!$L$5:$L$3004,Registraties!$D$5:$D$3004,C373,Registraties!$A$5:$A$3004,B373)))</f>
        <v/>
      </c>
      <c r="J373" s="58">
        <f>IF(C373="","",IFERROR(IF(VLOOKUP(C373,Tarieven!$A$2:$F$200,2,0)="Beide","Per uur",VLOOKUP(C373,Tarieven!$A$2:$F$200,2,0)),"Nog bepalen"))</f>
        <v/>
      </c>
      <c r="K373" s="69">
        <f>IF(C373="","",IF(J373="Per uur",IFERROR(VLOOKUP(C373,Tarieven!$A$2:$F$200,3,0),""),IF(J373="Vaste prijs",IFERROR(VLOOKUP(C373,Tarieven!$A$2:$F$200,4,0),""),"")))</f>
        <v/>
      </c>
      <c r="L373" s="70">
        <f>IF(C373="","",IF(J373="Per uur",N(I373)*N(K373),IF(J373="Vaste prijs",N(K373),0)))</f>
        <v/>
      </c>
      <c r="M373" s="69">
        <f>IF(C373="","",IFERROR(IF(N(VLOOKUP(C373,Tarieven!$A$2:$F$200,5,0))=0,"",VLOOKUP(C373,Tarieven!$A$2:$F$200,5,0)),""))</f>
        <v/>
      </c>
      <c r="N373" s="69" t="n"/>
      <c r="O373" s="69" t="n"/>
      <c r="P373" s="70">
        <f>IF(C373="","",N(L373)+N(M373)+N(N373)+N(O373))</f>
        <v/>
      </c>
      <c r="Q373" s="58" t="n"/>
      <c r="R373" s="57" t="n"/>
      <c r="S373" s="57" t="n"/>
      <c r="T373" s="57" t="n"/>
      <c r="U373" s="62">
        <f>IF(C373="","",IF(COUNTIF(Tarieven!$A$2:$A$200,C373)=0,"Klant niet in Tarieven",IF(MOD(N(H373),1)*100&gt;59.4,"Tijd ongeldig: minuten boven 59",IF(J373="Nog bepalen","Prijstype nog bepalen",IF(AND(J373="Per uur",N(K373)=0),"Uurtarief ontbreekt",IF(AND(J373="Vaste prijs",N(K373)=0),"Vaste prijs ontbreekt",IF(AND(N(I373)=0,Q373&lt;&gt;"Niet doorgegaan / verplaatst",Q373&lt;&gt;"Geen factuur nodig"),"Geen uren",IF(AND(G373="NEE",Q373="Verstuurd"),"Verstuurd terwijl werk niet af",IF(IFERROR(VLOOKUP(C373,Tarieven!$A$2:$F$200,2,0),"")="Beide","Beide-klant: controleer prijstype","OK")))))))))</f>
        <v/>
      </c>
    </row>
    <row r="374" ht="15" customHeight="1" s="42">
      <c r="A374" s="56">
        <f>IF(B374="","",WEEKNUM(B374,21))</f>
        <v/>
      </c>
      <c r="B374" s="55" t="n"/>
      <c r="C374" s="57" t="n"/>
      <c r="D374" s="57" t="n"/>
      <c r="E374" s="57" t="n"/>
      <c r="F374" s="57" t="n"/>
      <c r="G374" s="67" t="n"/>
      <c r="H374" s="68" t="n"/>
      <c r="I374" s="61">
        <f>IF(C374="","",IF(H374&lt;&gt;"",INT(H374)+ROUND(MOD(H374,1)*100/60,2),SUMIFS(Registraties!$L$5:$L$3004,Registraties!$D$5:$D$3004,C374,Registraties!$A$5:$A$3004,B374)))</f>
        <v/>
      </c>
      <c r="J374" s="58">
        <f>IF(C374="","",IFERROR(IF(VLOOKUP(C374,Tarieven!$A$2:$F$200,2,0)="Beide","Per uur",VLOOKUP(C374,Tarieven!$A$2:$F$200,2,0)),"Nog bepalen"))</f>
        <v/>
      </c>
      <c r="K374" s="69">
        <f>IF(C374="","",IF(J374="Per uur",IFERROR(VLOOKUP(C374,Tarieven!$A$2:$F$200,3,0),""),IF(J374="Vaste prijs",IFERROR(VLOOKUP(C374,Tarieven!$A$2:$F$200,4,0),""),"")))</f>
        <v/>
      </c>
      <c r="L374" s="70">
        <f>IF(C374="","",IF(J374="Per uur",N(I374)*N(K374),IF(J374="Vaste prijs",N(K374),0)))</f>
        <v/>
      </c>
      <c r="M374" s="69">
        <f>IF(C374="","",IFERROR(IF(N(VLOOKUP(C374,Tarieven!$A$2:$F$200,5,0))=0,"",VLOOKUP(C374,Tarieven!$A$2:$F$200,5,0)),""))</f>
        <v/>
      </c>
      <c r="N374" s="69" t="n"/>
      <c r="O374" s="69" t="n"/>
      <c r="P374" s="70">
        <f>IF(C374="","",N(L374)+N(M374)+N(N374)+N(O374))</f>
        <v/>
      </c>
      <c r="Q374" s="58" t="n"/>
      <c r="R374" s="57" t="n"/>
      <c r="S374" s="57" t="n"/>
      <c r="T374" s="57" t="n"/>
      <c r="U374" s="62">
        <f>IF(C374="","",IF(COUNTIF(Tarieven!$A$2:$A$200,C374)=0,"Klant niet in Tarieven",IF(MOD(N(H374),1)*100&gt;59.4,"Tijd ongeldig: minuten boven 59",IF(J374="Nog bepalen","Prijstype nog bepalen",IF(AND(J374="Per uur",N(K374)=0),"Uurtarief ontbreekt",IF(AND(J374="Vaste prijs",N(K374)=0),"Vaste prijs ontbreekt",IF(AND(N(I374)=0,Q374&lt;&gt;"Niet doorgegaan / verplaatst",Q374&lt;&gt;"Geen factuur nodig"),"Geen uren",IF(AND(G374="NEE",Q374="Verstuurd"),"Verstuurd terwijl werk niet af",IF(IFERROR(VLOOKUP(C374,Tarieven!$A$2:$F$200,2,0),"")="Beide","Beide-klant: controleer prijstype","OK")))))))))</f>
        <v/>
      </c>
    </row>
    <row r="375" ht="15" customHeight="1" s="42">
      <c r="A375" s="56">
        <f>IF(B375="","",WEEKNUM(B375,21))</f>
        <v/>
      </c>
      <c r="B375" s="55" t="n"/>
      <c r="C375" s="57" t="n"/>
      <c r="D375" s="57" t="n"/>
      <c r="E375" s="57" t="n"/>
      <c r="F375" s="57" t="n"/>
      <c r="G375" s="67" t="n"/>
      <c r="H375" s="68" t="n"/>
      <c r="I375" s="61">
        <f>IF(C375="","",IF(H375&lt;&gt;"",INT(H375)+ROUND(MOD(H375,1)*100/60,2),SUMIFS(Registraties!$L$5:$L$3004,Registraties!$D$5:$D$3004,C375,Registraties!$A$5:$A$3004,B375)))</f>
        <v/>
      </c>
      <c r="J375" s="58">
        <f>IF(C375="","",IFERROR(IF(VLOOKUP(C375,Tarieven!$A$2:$F$200,2,0)="Beide","Per uur",VLOOKUP(C375,Tarieven!$A$2:$F$200,2,0)),"Nog bepalen"))</f>
        <v/>
      </c>
      <c r="K375" s="69">
        <f>IF(C375="","",IF(J375="Per uur",IFERROR(VLOOKUP(C375,Tarieven!$A$2:$F$200,3,0),""),IF(J375="Vaste prijs",IFERROR(VLOOKUP(C375,Tarieven!$A$2:$F$200,4,0),""),"")))</f>
        <v/>
      </c>
      <c r="L375" s="70">
        <f>IF(C375="","",IF(J375="Per uur",N(I375)*N(K375),IF(J375="Vaste prijs",N(K375),0)))</f>
        <v/>
      </c>
      <c r="M375" s="69">
        <f>IF(C375="","",IFERROR(IF(N(VLOOKUP(C375,Tarieven!$A$2:$F$200,5,0))=0,"",VLOOKUP(C375,Tarieven!$A$2:$F$200,5,0)),""))</f>
        <v/>
      </c>
      <c r="N375" s="69" t="n"/>
      <c r="O375" s="69" t="n"/>
      <c r="P375" s="70">
        <f>IF(C375="","",N(L375)+N(M375)+N(N375)+N(O375))</f>
        <v/>
      </c>
      <c r="Q375" s="58" t="n"/>
      <c r="R375" s="57" t="n"/>
      <c r="S375" s="57" t="n"/>
      <c r="T375" s="57" t="n"/>
      <c r="U375" s="62">
        <f>IF(C375="","",IF(COUNTIF(Tarieven!$A$2:$A$200,C375)=0,"Klant niet in Tarieven",IF(MOD(N(H375),1)*100&gt;59.4,"Tijd ongeldig: minuten boven 59",IF(J375="Nog bepalen","Prijstype nog bepalen",IF(AND(J375="Per uur",N(K375)=0),"Uurtarief ontbreekt",IF(AND(J375="Vaste prijs",N(K375)=0),"Vaste prijs ontbreekt",IF(AND(N(I375)=0,Q375&lt;&gt;"Niet doorgegaan / verplaatst",Q375&lt;&gt;"Geen factuur nodig"),"Geen uren",IF(AND(G375="NEE",Q375="Verstuurd"),"Verstuurd terwijl werk niet af",IF(IFERROR(VLOOKUP(C375,Tarieven!$A$2:$F$200,2,0),"")="Beide","Beide-klant: controleer prijstype","OK")))))))))</f>
        <v/>
      </c>
    </row>
    <row r="376" ht="15" customHeight="1" s="42">
      <c r="A376" s="56">
        <f>IF(B376="","",WEEKNUM(B376,21))</f>
        <v/>
      </c>
      <c r="B376" s="55" t="n"/>
      <c r="C376" s="57" t="n"/>
      <c r="D376" s="57" t="n"/>
      <c r="E376" s="57" t="n"/>
      <c r="F376" s="57" t="n"/>
      <c r="G376" s="67" t="n"/>
      <c r="H376" s="68" t="n"/>
      <c r="I376" s="61">
        <f>IF(C376="","",IF(H376&lt;&gt;"",INT(H376)+ROUND(MOD(H376,1)*100/60,2),SUMIFS(Registraties!$L$5:$L$3004,Registraties!$D$5:$D$3004,C376,Registraties!$A$5:$A$3004,B376)))</f>
        <v/>
      </c>
      <c r="J376" s="58">
        <f>IF(C376="","",IFERROR(IF(VLOOKUP(C376,Tarieven!$A$2:$F$200,2,0)="Beide","Per uur",VLOOKUP(C376,Tarieven!$A$2:$F$200,2,0)),"Nog bepalen"))</f>
        <v/>
      </c>
      <c r="K376" s="69">
        <f>IF(C376="","",IF(J376="Per uur",IFERROR(VLOOKUP(C376,Tarieven!$A$2:$F$200,3,0),""),IF(J376="Vaste prijs",IFERROR(VLOOKUP(C376,Tarieven!$A$2:$F$200,4,0),""),"")))</f>
        <v/>
      </c>
      <c r="L376" s="70">
        <f>IF(C376="","",IF(J376="Per uur",N(I376)*N(K376),IF(J376="Vaste prijs",N(K376),0)))</f>
        <v/>
      </c>
      <c r="M376" s="69">
        <f>IF(C376="","",IFERROR(IF(N(VLOOKUP(C376,Tarieven!$A$2:$F$200,5,0))=0,"",VLOOKUP(C376,Tarieven!$A$2:$F$200,5,0)),""))</f>
        <v/>
      </c>
      <c r="N376" s="69" t="n"/>
      <c r="O376" s="69" t="n"/>
      <c r="P376" s="70">
        <f>IF(C376="","",N(L376)+N(M376)+N(N376)+N(O376))</f>
        <v/>
      </c>
      <c r="Q376" s="58" t="n"/>
      <c r="R376" s="57" t="n"/>
      <c r="S376" s="57" t="n"/>
      <c r="T376" s="57" t="n"/>
      <c r="U376" s="62">
        <f>IF(C376="","",IF(COUNTIF(Tarieven!$A$2:$A$200,C376)=0,"Klant niet in Tarieven",IF(MOD(N(H376),1)*100&gt;59.4,"Tijd ongeldig: minuten boven 59",IF(J376="Nog bepalen","Prijstype nog bepalen",IF(AND(J376="Per uur",N(K376)=0),"Uurtarief ontbreekt",IF(AND(J376="Vaste prijs",N(K376)=0),"Vaste prijs ontbreekt",IF(AND(N(I376)=0,Q376&lt;&gt;"Niet doorgegaan / verplaatst",Q376&lt;&gt;"Geen factuur nodig"),"Geen uren",IF(AND(G376="NEE",Q376="Verstuurd"),"Verstuurd terwijl werk niet af",IF(IFERROR(VLOOKUP(C376,Tarieven!$A$2:$F$200,2,0),"")="Beide","Beide-klant: controleer prijstype","OK")))))))))</f>
        <v/>
      </c>
    </row>
    <row r="377" ht="15" customHeight="1" s="42">
      <c r="A377" s="56">
        <f>IF(B377="","",WEEKNUM(B377,21))</f>
        <v/>
      </c>
      <c r="B377" s="55" t="n"/>
      <c r="C377" s="57" t="n"/>
      <c r="D377" s="57" t="n"/>
      <c r="E377" s="57" t="n"/>
      <c r="F377" s="57" t="n"/>
      <c r="G377" s="67" t="n"/>
      <c r="H377" s="68" t="n"/>
      <c r="I377" s="61">
        <f>IF(C377="","",IF(H377&lt;&gt;"",INT(H377)+ROUND(MOD(H377,1)*100/60,2),SUMIFS(Registraties!$L$5:$L$3004,Registraties!$D$5:$D$3004,C377,Registraties!$A$5:$A$3004,B377)))</f>
        <v/>
      </c>
      <c r="J377" s="58">
        <f>IF(C377="","",IFERROR(IF(VLOOKUP(C377,Tarieven!$A$2:$F$200,2,0)="Beide","Per uur",VLOOKUP(C377,Tarieven!$A$2:$F$200,2,0)),"Nog bepalen"))</f>
        <v/>
      </c>
      <c r="K377" s="69">
        <f>IF(C377="","",IF(J377="Per uur",IFERROR(VLOOKUP(C377,Tarieven!$A$2:$F$200,3,0),""),IF(J377="Vaste prijs",IFERROR(VLOOKUP(C377,Tarieven!$A$2:$F$200,4,0),""),"")))</f>
        <v/>
      </c>
      <c r="L377" s="70">
        <f>IF(C377="","",IF(J377="Per uur",N(I377)*N(K377),IF(J377="Vaste prijs",N(K377),0)))</f>
        <v/>
      </c>
      <c r="M377" s="69">
        <f>IF(C377="","",IFERROR(IF(N(VLOOKUP(C377,Tarieven!$A$2:$F$200,5,0))=0,"",VLOOKUP(C377,Tarieven!$A$2:$F$200,5,0)),""))</f>
        <v/>
      </c>
      <c r="N377" s="69" t="n"/>
      <c r="O377" s="69" t="n"/>
      <c r="P377" s="70">
        <f>IF(C377="","",N(L377)+N(M377)+N(N377)+N(O377))</f>
        <v/>
      </c>
      <c r="Q377" s="58" t="n"/>
      <c r="R377" s="57" t="n"/>
      <c r="S377" s="57" t="n"/>
      <c r="T377" s="57" t="n"/>
      <c r="U377" s="62">
        <f>IF(C377="","",IF(COUNTIF(Tarieven!$A$2:$A$200,C377)=0,"Klant niet in Tarieven",IF(MOD(N(H377),1)*100&gt;59.4,"Tijd ongeldig: minuten boven 59",IF(J377="Nog bepalen","Prijstype nog bepalen",IF(AND(J377="Per uur",N(K377)=0),"Uurtarief ontbreekt",IF(AND(J377="Vaste prijs",N(K377)=0),"Vaste prijs ontbreekt",IF(AND(N(I377)=0,Q377&lt;&gt;"Niet doorgegaan / verplaatst",Q377&lt;&gt;"Geen factuur nodig"),"Geen uren",IF(AND(G377="NEE",Q377="Verstuurd"),"Verstuurd terwijl werk niet af",IF(IFERROR(VLOOKUP(C377,Tarieven!$A$2:$F$200,2,0),"")="Beide","Beide-klant: controleer prijstype","OK")))))))))</f>
        <v/>
      </c>
    </row>
    <row r="378" ht="15" customHeight="1" s="42">
      <c r="A378" s="56">
        <f>IF(B378="","",WEEKNUM(B378,21))</f>
        <v/>
      </c>
      <c r="B378" s="55" t="n"/>
      <c r="C378" s="57" t="n"/>
      <c r="D378" s="57" t="n"/>
      <c r="E378" s="57" t="n"/>
      <c r="F378" s="57" t="n"/>
      <c r="G378" s="67" t="n"/>
      <c r="H378" s="68" t="n"/>
      <c r="I378" s="61">
        <f>IF(C378="","",IF(H378&lt;&gt;"",INT(H378)+ROUND(MOD(H378,1)*100/60,2),SUMIFS(Registraties!$L$5:$L$3004,Registraties!$D$5:$D$3004,C378,Registraties!$A$5:$A$3004,B378)))</f>
        <v/>
      </c>
      <c r="J378" s="58">
        <f>IF(C378="","",IFERROR(IF(VLOOKUP(C378,Tarieven!$A$2:$F$200,2,0)="Beide","Per uur",VLOOKUP(C378,Tarieven!$A$2:$F$200,2,0)),"Nog bepalen"))</f>
        <v/>
      </c>
      <c r="K378" s="69">
        <f>IF(C378="","",IF(J378="Per uur",IFERROR(VLOOKUP(C378,Tarieven!$A$2:$F$200,3,0),""),IF(J378="Vaste prijs",IFERROR(VLOOKUP(C378,Tarieven!$A$2:$F$200,4,0),""),"")))</f>
        <v/>
      </c>
      <c r="L378" s="70">
        <f>IF(C378="","",IF(J378="Per uur",N(I378)*N(K378),IF(J378="Vaste prijs",N(K378),0)))</f>
        <v/>
      </c>
      <c r="M378" s="69">
        <f>IF(C378="","",IFERROR(IF(N(VLOOKUP(C378,Tarieven!$A$2:$F$200,5,0))=0,"",VLOOKUP(C378,Tarieven!$A$2:$F$200,5,0)),""))</f>
        <v/>
      </c>
      <c r="N378" s="69" t="n"/>
      <c r="O378" s="69" t="n"/>
      <c r="P378" s="70">
        <f>IF(C378="","",N(L378)+N(M378)+N(N378)+N(O378))</f>
        <v/>
      </c>
      <c r="Q378" s="58" t="n"/>
      <c r="R378" s="57" t="n"/>
      <c r="S378" s="57" t="n"/>
      <c r="T378" s="57" t="n"/>
      <c r="U378" s="62">
        <f>IF(C378="","",IF(COUNTIF(Tarieven!$A$2:$A$200,C378)=0,"Klant niet in Tarieven",IF(MOD(N(H378),1)*100&gt;59.4,"Tijd ongeldig: minuten boven 59",IF(J378="Nog bepalen","Prijstype nog bepalen",IF(AND(J378="Per uur",N(K378)=0),"Uurtarief ontbreekt",IF(AND(J378="Vaste prijs",N(K378)=0),"Vaste prijs ontbreekt",IF(AND(N(I378)=0,Q378&lt;&gt;"Niet doorgegaan / verplaatst",Q378&lt;&gt;"Geen factuur nodig"),"Geen uren",IF(AND(G378="NEE",Q378="Verstuurd"),"Verstuurd terwijl werk niet af",IF(IFERROR(VLOOKUP(C378,Tarieven!$A$2:$F$200,2,0),"")="Beide","Beide-klant: controleer prijstype","OK")))))))))</f>
        <v/>
      </c>
    </row>
    <row r="379" ht="15" customHeight="1" s="42">
      <c r="A379" s="56">
        <f>IF(B379="","",WEEKNUM(B379,21))</f>
        <v/>
      </c>
      <c r="B379" s="55" t="n"/>
      <c r="C379" s="57" t="n"/>
      <c r="D379" s="57" t="n"/>
      <c r="E379" s="57" t="n"/>
      <c r="F379" s="57" t="n"/>
      <c r="G379" s="67" t="n"/>
      <c r="H379" s="68" t="n"/>
      <c r="I379" s="61">
        <f>IF(C379="","",IF(H379&lt;&gt;"",INT(H379)+ROUND(MOD(H379,1)*100/60,2),SUMIFS(Registraties!$L$5:$L$3004,Registraties!$D$5:$D$3004,C379,Registraties!$A$5:$A$3004,B379)))</f>
        <v/>
      </c>
      <c r="J379" s="58">
        <f>IF(C379="","",IFERROR(IF(VLOOKUP(C379,Tarieven!$A$2:$F$200,2,0)="Beide","Per uur",VLOOKUP(C379,Tarieven!$A$2:$F$200,2,0)),"Nog bepalen"))</f>
        <v/>
      </c>
      <c r="K379" s="69">
        <f>IF(C379="","",IF(J379="Per uur",IFERROR(VLOOKUP(C379,Tarieven!$A$2:$F$200,3,0),""),IF(J379="Vaste prijs",IFERROR(VLOOKUP(C379,Tarieven!$A$2:$F$200,4,0),""),"")))</f>
        <v/>
      </c>
      <c r="L379" s="70">
        <f>IF(C379="","",IF(J379="Per uur",N(I379)*N(K379),IF(J379="Vaste prijs",N(K379),0)))</f>
        <v/>
      </c>
      <c r="M379" s="69">
        <f>IF(C379="","",IFERROR(IF(N(VLOOKUP(C379,Tarieven!$A$2:$F$200,5,0))=0,"",VLOOKUP(C379,Tarieven!$A$2:$F$200,5,0)),""))</f>
        <v/>
      </c>
      <c r="N379" s="69" t="n"/>
      <c r="O379" s="69" t="n"/>
      <c r="P379" s="70">
        <f>IF(C379="","",N(L379)+N(M379)+N(N379)+N(O379))</f>
        <v/>
      </c>
      <c r="Q379" s="58" t="n"/>
      <c r="R379" s="57" t="n"/>
      <c r="S379" s="57" t="n"/>
      <c r="T379" s="57" t="n"/>
      <c r="U379" s="62">
        <f>IF(C379="","",IF(COUNTIF(Tarieven!$A$2:$A$200,C379)=0,"Klant niet in Tarieven",IF(MOD(N(H379),1)*100&gt;59.4,"Tijd ongeldig: minuten boven 59",IF(J379="Nog bepalen","Prijstype nog bepalen",IF(AND(J379="Per uur",N(K379)=0),"Uurtarief ontbreekt",IF(AND(J379="Vaste prijs",N(K379)=0),"Vaste prijs ontbreekt",IF(AND(N(I379)=0,Q379&lt;&gt;"Niet doorgegaan / verplaatst",Q379&lt;&gt;"Geen factuur nodig"),"Geen uren",IF(AND(G379="NEE",Q379="Verstuurd"),"Verstuurd terwijl werk niet af",IF(IFERROR(VLOOKUP(C379,Tarieven!$A$2:$F$200,2,0),"")="Beide","Beide-klant: controleer prijstype","OK")))))))))</f>
        <v/>
      </c>
    </row>
    <row r="380" ht="15" customHeight="1" s="42">
      <c r="A380" s="56">
        <f>IF(B380="","",WEEKNUM(B380,21))</f>
        <v/>
      </c>
      <c r="B380" s="55" t="n"/>
      <c r="C380" s="57" t="n"/>
      <c r="D380" s="57" t="n"/>
      <c r="E380" s="57" t="n"/>
      <c r="F380" s="57" t="n"/>
      <c r="G380" s="67" t="n"/>
      <c r="H380" s="68" t="n"/>
      <c r="I380" s="61">
        <f>IF(C380="","",IF(H380&lt;&gt;"",INT(H380)+ROUND(MOD(H380,1)*100/60,2),SUMIFS(Registraties!$L$5:$L$3004,Registraties!$D$5:$D$3004,C380,Registraties!$A$5:$A$3004,B380)))</f>
        <v/>
      </c>
      <c r="J380" s="58">
        <f>IF(C380="","",IFERROR(IF(VLOOKUP(C380,Tarieven!$A$2:$F$200,2,0)="Beide","Per uur",VLOOKUP(C380,Tarieven!$A$2:$F$200,2,0)),"Nog bepalen"))</f>
        <v/>
      </c>
      <c r="K380" s="69">
        <f>IF(C380="","",IF(J380="Per uur",IFERROR(VLOOKUP(C380,Tarieven!$A$2:$F$200,3,0),""),IF(J380="Vaste prijs",IFERROR(VLOOKUP(C380,Tarieven!$A$2:$F$200,4,0),""),"")))</f>
        <v/>
      </c>
      <c r="L380" s="70">
        <f>IF(C380="","",IF(J380="Per uur",N(I380)*N(K380),IF(J380="Vaste prijs",N(K380),0)))</f>
        <v/>
      </c>
      <c r="M380" s="69">
        <f>IF(C380="","",IFERROR(IF(N(VLOOKUP(C380,Tarieven!$A$2:$F$200,5,0))=0,"",VLOOKUP(C380,Tarieven!$A$2:$F$200,5,0)),""))</f>
        <v/>
      </c>
      <c r="N380" s="69" t="n"/>
      <c r="O380" s="69" t="n"/>
      <c r="P380" s="70">
        <f>IF(C380="","",N(L380)+N(M380)+N(N380)+N(O380))</f>
        <v/>
      </c>
      <c r="Q380" s="58" t="n"/>
      <c r="R380" s="57" t="n"/>
      <c r="S380" s="57" t="n"/>
      <c r="T380" s="57" t="n"/>
      <c r="U380" s="62">
        <f>IF(C380="","",IF(COUNTIF(Tarieven!$A$2:$A$200,C380)=0,"Klant niet in Tarieven",IF(MOD(N(H380),1)*100&gt;59.4,"Tijd ongeldig: minuten boven 59",IF(J380="Nog bepalen","Prijstype nog bepalen",IF(AND(J380="Per uur",N(K380)=0),"Uurtarief ontbreekt",IF(AND(J380="Vaste prijs",N(K380)=0),"Vaste prijs ontbreekt",IF(AND(N(I380)=0,Q380&lt;&gt;"Niet doorgegaan / verplaatst",Q380&lt;&gt;"Geen factuur nodig"),"Geen uren",IF(AND(G380="NEE",Q380="Verstuurd"),"Verstuurd terwijl werk niet af",IF(IFERROR(VLOOKUP(C380,Tarieven!$A$2:$F$200,2,0),"")="Beide","Beide-klant: controleer prijstype","OK")))))))))</f>
        <v/>
      </c>
    </row>
    <row r="381" ht="15" customHeight="1" s="42">
      <c r="A381" s="56">
        <f>IF(B381="","",WEEKNUM(B381,21))</f>
        <v/>
      </c>
      <c r="B381" s="55" t="n"/>
      <c r="C381" s="57" t="n"/>
      <c r="D381" s="57" t="n"/>
      <c r="E381" s="57" t="n"/>
      <c r="F381" s="57" t="n"/>
      <c r="G381" s="67" t="n"/>
      <c r="H381" s="68" t="n"/>
      <c r="I381" s="61">
        <f>IF(C381="","",IF(H381&lt;&gt;"",INT(H381)+ROUND(MOD(H381,1)*100/60,2),SUMIFS(Registraties!$L$5:$L$3004,Registraties!$D$5:$D$3004,C381,Registraties!$A$5:$A$3004,B381)))</f>
        <v/>
      </c>
      <c r="J381" s="58">
        <f>IF(C381="","",IFERROR(IF(VLOOKUP(C381,Tarieven!$A$2:$F$200,2,0)="Beide","Per uur",VLOOKUP(C381,Tarieven!$A$2:$F$200,2,0)),"Nog bepalen"))</f>
        <v/>
      </c>
      <c r="K381" s="69">
        <f>IF(C381="","",IF(J381="Per uur",IFERROR(VLOOKUP(C381,Tarieven!$A$2:$F$200,3,0),""),IF(J381="Vaste prijs",IFERROR(VLOOKUP(C381,Tarieven!$A$2:$F$200,4,0),""),"")))</f>
        <v/>
      </c>
      <c r="L381" s="70">
        <f>IF(C381="","",IF(J381="Per uur",N(I381)*N(K381),IF(J381="Vaste prijs",N(K381),0)))</f>
        <v/>
      </c>
      <c r="M381" s="69">
        <f>IF(C381="","",IFERROR(IF(N(VLOOKUP(C381,Tarieven!$A$2:$F$200,5,0))=0,"",VLOOKUP(C381,Tarieven!$A$2:$F$200,5,0)),""))</f>
        <v/>
      </c>
      <c r="N381" s="69" t="n"/>
      <c r="O381" s="69" t="n"/>
      <c r="P381" s="70">
        <f>IF(C381="","",N(L381)+N(M381)+N(N381)+N(O381))</f>
        <v/>
      </c>
      <c r="Q381" s="58" t="n"/>
      <c r="R381" s="57" t="n"/>
      <c r="S381" s="57" t="n"/>
      <c r="T381" s="57" t="n"/>
      <c r="U381" s="62">
        <f>IF(C381="","",IF(COUNTIF(Tarieven!$A$2:$A$200,C381)=0,"Klant niet in Tarieven",IF(MOD(N(H381),1)*100&gt;59.4,"Tijd ongeldig: minuten boven 59",IF(J381="Nog bepalen","Prijstype nog bepalen",IF(AND(J381="Per uur",N(K381)=0),"Uurtarief ontbreekt",IF(AND(J381="Vaste prijs",N(K381)=0),"Vaste prijs ontbreekt",IF(AND(N(I381)=0,Q381&lt;&gt;"Niet doorgegaan / verplaatst",Q381&lt;&gt;"Geen factuur nodig"),"Geen uren",IF(AND(G381="NEE",Q381="Verstuurd"),"Verstuurd terwijl werk niet af",IF(IFERROR(VLOOKUP(C381,Tarieven!$A$2:$F$200,2,0),"")="Beide","Beide-klant: controleer prijstype","OK")))))))))</f>
        <v/>
      </c>
    </row>
    <row r="382" ht="15" customHeight="1" s="42">
      <c r="A382" s="56">
        <f>IF(B382="","",WEEKNUM(B382,21))</f>
        <v/>
      </c>
      <c r="B382" s="55" t="n"/>
      <c r="C382" s="57" t="n"/>
      <c r="D382" s="57" t="n"/>
      <c r="E382" s="57" t="n"/>
      <c r="F382" s="57" t="n"/>
      <c r="G382" s="67" t="n"/>
      <c r="H382" s="68" t="n"/>
      <c r="I382" s="61">
        <f>IF(C382="","",IF(H382&lt;&gt;"",INT(H382)+ROUND(MOD(H382,1)*100/60,2),SUMIFS(Registraties!$L$5:$L$3004,Registraties!$D$5:$D$3004,C382,Registraties!$A$5:$A$3004,B382)))</f>
        <v/>
      </c>
      <c r="J382" s="58">
        <f>IF(C382="","",IFERROR(IF(VLOOKUP(C382,Tarieven!$A$2:$F$200,2,0)="Beide","Per uur",VLOOKUP(C382,Tarieven!$A$2:$F$200,2,0)),"Nog bepalen"))</f>
        <v/>
      </c>
      <c r="K382" s="69">
        <f>IF(C382="","",IF(J382="Per uur",IFERROR(VLOOKUP(C382,Tarieven!$A$2:$F$200,3,0),""),IF(J382="Vaste prijs",IFERROR(VLOOKUP(C382,Tarieven!$A$2:$F$200,4,0),""),"")))</f>
        <v/>
      </c>
      <c r="L382" s="70">
        <f>IF(C382="","",IF(J382="Per uur",N(I382)*N(K382),IF(J382="Vaste prijs",N(K382),0)))</f>
        <v/>
      </c>
      <c r="M382" s="69">
        <f>IF(C382="","",IFERROR(IF(N(VLOOKUP(C382,Tarieven!$A$2:$F$200,5,0))=0,"",VLOOKUP(C382,Tarieven!$A$2:$F$200,5,0)),""))</f>
        <v/>
      </c>
      <c r="N382" s="69" t="n"/>
      <c r="O382" s="69" t="n"/>
      <c r="P382" s="70">
        <f>IF(C382="","",N(L382)+N(M382)+N(N382)+N(O382))</f>
        <v/>
      </c>
      <c r="Q382" s="58" t="n"/>
      <c r="R382" s="57" t="n"/>
      <c r="S382" s="57" t="n"/>
      <c r="T382" s="57" t="n"/>
      <c r="U382" s="62">
        <f>IF(C382="","",IF(COUNTIF(Tarieven!$A$2:$A$200,C382)=0,"Klant niet in Tarieven",IF(MOD(N(H382),1)*100&gt;59.4,"Tijd ongeldig: minuten boven 59",IF(J382="Nog bepalen","Prijstype nog bepalen",IF(AND(J382="Per uur",N(K382)=0),"Uurtarief ontbreekt",IF(AND(J382="Vaste prijs",N(K382)=0),"Vaste prijs ontbreekt",IF(AND(N(I382)=0,Q382&lt;&gt;"Niet doorgegaan / verplaatst",Q382&lt;&gt;"Geen factuur nodig"),"Geen uren",IF(AND(G382="NEE",Q382="Verstuurd"),"Verstuurd terwijl werk niet af",IF(IFERROR(VLOOKUP(C382,Tarieven!$A$2:$F$200,2,0),"")="Beide","Beide-klant: controleer prijstype","OK")))))))))</f>
        <v/>
      </c>
    </row>
    <row r="383" ht="15" customHeight="1" s="42">
      <c r="A383" s="56">
        <f>IF(B383="","",WEEKNUM(B383,21))</f>
        <v/>
      </c>
      <c r="B383" s="55" t="n"/>
      <c r="C383" s="57" t="n"/>
      <c r="D383" s="57" t="n"/>
      <c r="E383" s="57" t="n"/>
      <c r="F383" s="57" t="n"/>
      <c r="G383" s="67" t="n"/>
      <c r="H383" s="68" t="n"/>
      <c r="I383" s="61">
        <f>IF(C383="","",IF(H383&lt;&gt;"",INT(H383)+ROUND(MOD(H383,1)*100/60,2),SUMIFS(Registraties!$L$5:$L$3004,Registraties!$D$5:$D$3004,C383,Registraties!$A$5:$A$3004,B383)))</f>
        <v/>
      </c>
      <c r="J383" s="58">
        <f>IF(C383="","",IFERROR(IF(VLOOKUP(C383,Tarieven!$A$2:$F$200,2,0)="Beide","Per uur",VLOOKUP(C383,Tarieven!$A$2:$F$200,2,0)),"Nog bepalen"))</f>
        <v/>
      </c>
      <c r="K383" s="69">
        <f>IF(C383="","",IF(J383="Per uur",IFERROR(VLOOKUP(C383,Tarieven!$A$2:$F$200,3,0),""),IF(J383="Vaste prijs",IFERROR(VLOOKUP(C383,Tarieven!$A$2:$F$200,4,0),""),"")))</f>
        <v/>
      </c>
      <c r="L383" s="70">
        <f>IF(C383="","",IF(J383="Per uur",N(I383)*N(K383),IF(J383="Vaste prijs",N(K383),0)))</f>
        <v/>
      </c>
      <c r="M383" s="69">
        <f>IF(C383="","",IFERROR(IF(N(VLOOKUP(C383,Tarieven!$A$2:$F$200,5,0))=0,"",VLOOKUP(C383,Tarieven!$A$2:$F$200,5,0)),""))</f>
        <v/>
      </c>
      <c r="N383" s="69" t="n"/>
      <c r="O383" s="69" t="n"/>
      <c r="P383" s="70">
        <f>IF(C383="","",N(L383)+N(M383)+N(N383)+N(O383))</f>
        <v/>
      </c>
      <c r="Q383" s="58" t="n"/>
      <c r="R383" s="57" t="n"/>
      <c r="S383" s="57" t="n"/>
      <c r="T383" s="57" t="n"/>
      <c r="U383" s="62">
        <f>IF(C383="","",IF(COUNTIF(Tarieven!$A$2:$A$200,C383)=0,"Klant niet in Tarieven",IF(MOD(N(H383),1)*100&gt;59.4,"Tijd ongeldig: minuten boven 59",IF(J383="Nog bepalen","Prijstype nog bepalen",IF(AND(J383="Per uur",N(K383)=0),"Uurtarief ontbreekt",IF(AND(J383="Vaste prijs",N(K383)=0),"Vaste prijs ontbreekt",IF(AND(N(I383)=0,Q383&lt;&gt;"Niet doorgegaan / verplaatst",Q383&lt;&gt;"Geen factuur nodig"),"Geen uren",IF(AND(G383="NEE",Q383="Verstuurd"),"Verstuurd terwijl werk niet af",IF(IFERROR(VLOOKUP(C383,Tarieven!$A$2:$F$200,2,0),"")="Beide","Beide-klant: controleer prijstype","OK")))))))))</f>
        <v/>
      </c>
    </row>
    <row r="384" ht="15" customHeight="1" s="42">
      <c r="A384" s="56">
        <f>IF(B384="","",WEEKNUM(B384,21))</f>
        <v/>
      </c>
      <c r="B384" s="55" t="n"/>
      <c r="C384" s="57" t="n"/>
      <c r="D384" s="57" t="n"/>
      <c r="E384" s="57" t="n"/>
      <c r="F384" s="57" t="n"/>
      <c r="G384" s="67" t="n"/>
      <c r="H384" s="68" t="n"/>
      <c r="I384" s="61">
        <f>IF(C384="","",IF(H384&lt;&gt;"",INT(H384)+ROUND(MOD(H384,1)*100/60,2),SUMIFS(Registraties!$L$5:$L$3004,Registraties!$D$5:$D$3004,C384,Registraties!$A$5:$A$3004,B384)))</f>
        <v/>
      </c>
      <c r="J384" s="58">
        <f>IF(C384="","",IFERROR(IF(VLOOKUP(C384,Tarieven!$A$2:$F$200,2,0)="Beide","Per uur",VLOOKUP(C384,Tarieven!$A$2:$F$200,2,0)),"Nog bepalen"))</f>
        <v/>
      </c>
      <c r="K384" s="69">
        <f>IF(C384="","",IF(J384="Per uur",IFERROR(VLOOKUP(C384,Tarieven!$A$2:$F$200,3,0),""),IF(J384="Vaste prijs",IFERROR(VLOOKUP(C384,Tarieven!$A$2:$F$200,4,0),""),"")))</f>
        <v/>
      </c>
      <c r="L384" s="70">
        <f>IF(C384="","",IF(J384="Per uur",N(I384)*N(K384),IF(J384="Vaste prijs",N(K384),0)))</f>
        <v/>
      </c>
      <c r="M384" s="69">
        <f>IF(C384="","",IFERROR(IF(N(VLOOKUP(C384,Tarieven!$A$2:$F$200,5,0))=0,"",VLOOKUP(C384,Tarieven!$A$2:$F$200,5,0)),""))</f>
        <v/>
      </c>
      <c r="N384" s="69" t="n"/>
      <c r="O384" s="69" t="n"/>
      <c r="P384" s="70">
        <f>IF(C384="","",N(L384)+N(M384)+N(N384)+N(O384))</f>
        <v/>
      </c>
      <c r="Q384" s="58" t="n"/>
      <c r="R384" s="57" t="n"/>
      <c r="S384" s="57" t="n"/>
      <c r="T384" s="57" t="n"/>
      <c r="U384" s="62">
        <f>IF(C384="","",IF(COUNTIF(Tarieven!$A$2:$A$200,C384)=0,"Klant niet in Tarieven",IF(MOD(N(H384),1)*100&gt;59.4,"Tijd ongeldig: minuten boven 59",IF(J384="Nog bepalen","Prijstype nog bepalen",IF(AND(J384="Per uur",N(K384)=0),"Uurtarief ontbreekt",IF(AND(J384="Vaste prijs",N(K384)=0),"Vaste prijs ontbreekt",IF(AND(N(I384)=0,Q384&lt;&gt;"Niet doorgegaan / verplaatst",Q384&lt;&gt;"Geen factuur nodig"),"Geen uren",IF(AND(G384="NEE",Q384="Verstuurd"),"Verstuurd terwijl werk niet af",IF(IFERROR(VLOOKUP(C384,Tarieven!$A$2:$F$200,2,0),"")="Beide","Beide-klant: controleer prijstype","OK")))))))))</f>
        <v/>
      </c>
    </row>
    <row r="385" ht="15" customHeight="1" s="42">
      <c r="A385" s="56">
        <f>IF(B385="","",WEEKNUM(B385,21))</f>
        <v/>
      </c>
      <c r="B385" s="55" t="n"/>
      <c r="C385" s="57" t="n"/>
      <c r="D385" s="57" t="n"/>
      <c r="E385" s="57" t="n"/>
      <c r="F385" s="57" t="n"/>
      <c r="G385" s="67" t="n"/>
      <c r="H385" s="68" t="n"/>
      <c r="I385" s="61">
        <f>IF(C385="","",IF(H385&lt;&gt;"",INT(H385)+ROUND(MOD(H385,1)*100/60,2),SUMIFS(Registraties!$L$5:$L$3004,Registraties!$D$5:$D$3004,C385,Registraties!$A$5:$A$3004,B385)))</f>
        <v/>
      </c>
      <c r="J385" s="58">
        <f>IF(C385="","",IFERROR(IF(VLOOKUP(C385,Tarieven!$A$2:$F$200,2,0)="Beide","Per uur",VLOOKUP(C385,Tarieven!$A$2:$F$200,2,0)),"Nog bepalen"))</f>
        <v/>
      </c>
      <c r="K385" s="69">
        <f>IF(C385="","",IF(J385="Per uur",IFERROR(VLOOKUP(C385,Tarieven!$A$2:$F$200,3,0),""),IF(J385="Vaste prijs",IFERROR(VLOOKUP(C385,Tarieven!$A$2:$F$200,4,0),""),"")))</f>
        <v/>
      </c>
      <c r="L385" s="70">
        <f>IF(C385="","",IF(J385="Per uur",N(I385)*N(K385),IF(J385="Vaste prijs",N(K385),0)))</f>
        <v/>
      </c>
      <c r="M385" s="69">
        <f>IF(C385="","",IFERROR(IF(N(VLOOKUP(C385,Tarieven!$A$2:$F$200,5,0))=0,"",VLOOKUP(C385,Tarieven!$A$2:$F$200,5,0)),""))</f>
        <v/>
      </c>
      <c r="N385" s="69" t="n"/>
      <c r="O385" s="69" t="n"/>
      <c r="P385" s="70">
        <f>IF(C385="","",N(L385)+N(M385)+N(N385)+N(O385))</f>
        <v/>
      </c>
      <c r="Q385" s="58" t="n"/>
      <c r="R385" s="57" t="n"/>
      <c r="S385" s="57" t="n"/>
      <c r="T385" s="57" t="n"/>
      <c r="U385" s="62">
        <f>IF(C385="","",IF(COUNTIF(Tarieven!$A$2:$A$200,C385)=0,"Klant niet in Tarieven",IF(MOD(N(H385),1)*100&gt;59.4,"Tijd ongeldig: minuten boven 59",IF(J385="Nog bepalen","Prijstype nog bepalen",IF(AND(J385="Per uur",N(K385)=0),"Uurtarief ontbreekt",IF(AND(J385="Vaste prijs",N(K385)=0),"Vaste prijs ontbreekt",IF(AND(N(I385)=0,Q385&lt;&gt;"Niet doorgegaan / verplaatst",Q385&lt;&gt;"Geen factuur nodig"),"Geen uren",IF(AND(G385="NEE",Q385="Verstuurd"),"Verstuurd terwijl werk niet af",IF(IFERROR(VLOOKUP(C385,Tarieven!$A$2:$F$200,2,0),"")="Beide","Beide-klant: controleer prijstype","OK")))))))))</f>
        <v/>
      </c>
    </row>
    <row r="386" ht="15" customHeight="1" s="42">
      <c r="A386" s="56">
        <f>IF(B386="","",WEEKNUM(B386,21))</f>
        <v/>
      </c>
      <c r="B386" s="55" t="n"/>
      <c r="C386" s="57" t="n"/>
      <c r="D386" s="57" t="n"/>
      <c r="E386" s="57" t="n"/>
      <c r="F386" s="57" t="n"/>
      <c r="G386" s="67" t="n"/>
      <c r="H386" s="68" t="n"/>
      <c r="I386" s="61">
        <f>IF(C386="","",IF(H386&lt;&gt;"",INT(H386)+ROUND(MOD(H386,1)*100/60,2),SUMIFS(Registraties!$L$5:$L$3004,Registraties!$D$5:$D$3004,C386,Registraties!$A$5:$A$3004,B386)))</f>
        <v/>
      </c>
      <c r="J386" s="58">
        <f>IF(C386="","",IFERROR(IF(VLOOKUP(C386,Tarieven!$A$2:$F$200,2,0)="Beide","Per uur",VLOOKUP(C386,Tarieven!$A$2:$F$200,2,0)),"Nog bepalen"))</f>
        <v/>
      </c>
      <c r="K386" s="69">
        <f>IF(C386="","",IF(J386="Per uur",IFERROR(VLOOKUP(C386,Tarieven!$A$2:$F$200,3,0),""),IF(J386="Vaste prijs",IFERROR(VLOOKUP(C386,Tarieven!$A$2:$F$200,4,0),""),"")))</f>
        <v/>
      </c>
      <c r="L386" s="70">
        <f>IF(C386="","",IF(J386="Per uur",N(I386)*N(K386),IF(J386="Vaste prijs",N(K386),0)))</f>
        <v/>
      </c>
      <c r="M386" s="69">
        <f>IF(C386="","",IFERROR(IF(N(VLOOKUP(C386,Tarieven!$A$2:$F$200,5,0))=0,"",VLOOKUP(C386,Tarieven!$A$2:$F$200,5,0)),""))</f>
        <v/>
      </c>
      <c r="N386" s="69" t="n"/>
      <c r="O386" s="69" t="n"/>
      <c r="P386" s="70">
        <f>IF(C386="","",N(L386)+N(M386)+N(N386)+N(O386))</f>
        <v/>
      </c>
      <c r="Q386" s="58" t="n"/>
      <c r="R386" s="57" t="n"/>
      <c r="S386" s="57" t="n"/>
      <c r="T386" s="57" t="n"/>
      <c r="U386" s="62">
        <f>IF(C386="","",IF(COUNTIF(Tarieven!$A$2:$A$200,C386)=0,"Klant niet in Tarieven",IF(MOD(N(H386),1)*100&gt;59.4,"Tijd ongeldig: minuten boven 59",IF(J386="Nog bepalen","Prijstype nog bepalen",IF(AND(J386="Per uur",N(K386)=0),"Uurtarief ontbreekt",IF(AND(J386="Vaste prijs",N(K386)=0),"Vaste prijs ontbreekt",IF(AND(N(I386)=0,Q386&lt;&gt;"Niet doorgegaan / verplaatst",Q386&lt;&gt;"Geen factuur nodig"),"Geen uren",IF(AND(G386="NEE",Q386="Verstuurd"),"Verstuurd terwijl werk niet af",IF(IFERROR(VLOOKUP(C386,Tarieven!$A$2:$F$200,2,0),"")="Beide","Beide-klant: controleer prijstype","OK")))))))))</f>
        <v/>
      </c>
    </row>
    <row r="387" ht="15" customHeight="1" s="42">
      <c r="A387" s="56">
        <f>IF(B387="","",WEEKNUM(B387,21))</f>
        <v/>
      </c>
      <c r="B387" s="55" t="n"/>
      <c r="C387" s="57" t="n"/>
      <c r="D387" s="57" t="n"/>
      <c r="E387" s="57" t="n"/>
      <c r="F387" s="57" t="n"/>
      <c r="G387" s="67" t="n"/>
      <c r="H387" s="68" t="n"/>
      <c r="I387" s="61">
        <f>IF(C387="","",IF(H387&lt;&gt;"",INT(H387)+ROUND(MOD(H387,1)*100/60,2),SUMIFS(Registraties!$L$5:$L$3004,Registraties!$D$5:$D$3004,C387,Registraties!$A$5:$A$3004,B387)))</f>
        <v/>
      </c>
      <c r="J387" s="58">
        <f>IF(C387="","",IFERROR(IF(VLOOKUP(C387,Tarieven!$A$2:$F$200,2,0)="Beide","Per uur",VLOOKUP(C387,Tarieven!$A$2:$F$200,2,0)),"Nog bepalen"))</f>
        <v/>
      </c>
      <c r="K387" s="69">
        <f>IF(C387="","",IF(J387="Per uur",IFERROR(VLOOKUP(C387,Tarieven!$A$2:$F$200,3,0),""),IF(J387="Vaste prijs",IFERROR(VLOOKUP(C387,Tarieven!$A$2:$F$200,4,0),""),"")))</f>
        <v/>
      </c>
      <c r="L387" s="70">
        <f>IF(C387="","",IF(J387="Per uur",N(I387)*N(K387),IF(J387="Vaste prijs",N(K387),0)))</f>
        <v/>
      </c>
      <c r="M387" s="69">
        <f>IF(C387="","",IFERROR(IF(N(VLOOKUP(C387,Tarieven!$A$2:$F$200,5,0))=0,"",VLOOKUP(C387,Tarieven!$A$2:$F$200,5,0)),""))</f>
        <v/>
      </c>
      <c r="N387" s="69" t="n"/>
      <c r="O387" s="69" t="n"/>
      <c r="P387" s="70">
        <f>IF(C387="","",N(L387)+N(M387)+N(N387)+N(O387))</f>
        <v/>
      </c>
      <c r="Q387" s="58" t="n"/>
      <c r="R387" s="57" t="n"/>
      <c r="S387" s="57" t="n"/>
      <c r="T387" s="57" t="n"/>
      <c r="U387" s="62">
        <f>IF(C387="","",IF(COUNTIF(Tarieven!$A$2:$A$200,C387)=0,"Klant niet in Tarieven",IF(MOD(N(H387),1)*100&gt;59.4,"Tijd ongeldig: minuten boven 59",IF(J387="Nog bepalen","Prijstype nog bepalen",IF(AND(J387="Per uur",N(K387)=0),"Uurtarief ontbreekt",IF(AND(J387="Vaste prijs",N(K387)=0),"Vaste prijs ontbreekt",IF(AND(N(I387)=0,Q387&lt;&gt;"Niet doorgegaan / verplaatst",Q387&lt;&gt;"Geen factuur nodig"),"Geen uren",IF(AND(G387="NEE",Q387="Verstuurd"),"Verstuurd terwijl werk niet af",IF(IFERROR(VLOOKUP(C387,Tarieven!$A$2:$F$200,2,0),"")="Beide","Beide-klant: controleer prijstype","OK")))))))))</f>
        <v/>
      </c>
    </row>
    <row r="388" ht="15" customHeight="1" s="42">
      <c r="A388" s="56">
        <f>IF(B388="","",WEEKNUM(B388,21))</f>
        <v/>
      </c>
      <c r="B388" s="55" t="n"/>
      <c r="C388" s="57" t="n"/>
      <c r="D388" s="57" t="n"/>
      <c r="E388" s="57" t="n"/>
      <c r="F388" s="57" t="n"/>
      <c r="G388" s="67" t="n"/>
      <c r="H388" s="68" t="n"/>
      <c r="I388" s="61">
        <f>IF(C388="","",IF(H388&lt;&gt;"",INT(H388)+ROUND(MOD(H388,1)*100/60,2),SUMIFS(Registraties!$L$5:$L$3004,Registraties!$D$5:$D$3004,C388,Registraties!$A$5:$A$3004,B388)))</f>
        <v/>
      </c>
      <c r="J388" s="58">
        <f>IF(C388="","",IFERROR(IF(VLOOKUP(C388,Tarieven!$A$2:$F$200,2,0)="Beide","Per uur",VLOOKUP(C388,Tarieven!$A$2:$F$200,2,0)),"Nog bepalen"))</f>
        <v/>
      </c>
      <c r="K388" s="69">
        <f>IF(C388="","",IF(J388="Per uur",IFERROR(VLOOKUP(C388,Tarieven!$A$2:$F$200,3,0),""),IF(J388="Vaste prijs",IFERROR(VLOOKUP(C388,Tarieven!$A$2:$F$200,4,0),""),"")))</f>
        <v/>
      </c>
      <c r="L388" s="70">
        <f>IF(C388="","",IF(J388="Per uur",N(I388)*N(K388),IF(J388="Vaste prijs",N(K388),0)))</f>
        <v/>
      </c>
      <c r="M388" s="69">
        <f>IF(C388="","",IFERROR(IF(N(VLOOKUP(C388,Tarieven!$A$2:$F$200,5,0))=0,"",VLOOKUP(C388,Tarieven!$A$2:$F$200,5,0)),""))</f>
        <v/>
      </c>
      <c r="N388" s="69" t="n"/>
      <c r="O388" s="69" t="n"/>
      <c r="P388" s="70">
        <f>IF(C388="","",N(L388)+N(M388)+N(N388)+N(O388))</f>
        <v/>
      </c>
      <c r="Q388" s="58" t="n"/>
      <c r="R388" s="57" t="n"/>
      <c r="S388" s="57" t="n"/>
      <c r="T388" s="57" t="n"/>
      <c r="U388" s="62">
        <f>IF(C388="","",IF(COUNTIF(Tarieven!$A$2:$A$200,C388)=0,"Klant niet in Tarieven",IF(MOD(N(H388),1)*100&gt;59.4,"Tijd ongeldig: minuten boven 59",IF(J388="Nog bepalen","Prijstype nog bepalen",IF(AND(J388="Per uur",N(K388)=0),"Uurtarief ontbreekt",IF(AND(J388="Vaste prijs",N(K388)=0),"Vaste prijs ontbreekt",IF(AND(N(I388)=0,Q388&lt;&gt;"Niet doorgegaan / verplaatst",Q388&lt;&gt;"Geen factuur nodig"),"Geen uren",IF(AND(G388="NEE",Q388="Verstuurd"),"Verstuurd terwijl werk niet af",IF(IFERROR(VLOOKUP(C388,Tarieven!$A$2:$F$200,2,0),"")="Beide","Beide-klant: controleer prijstype","OK")))))))))</f>
        <v/>
      </c>
    </row>
    <row r="389" ht="15" customHeight="1" s="42">
      <c r="A389" s="56">
        <f>IF(B389="","",WEEKNUM(B389,21))</f>
        <v/>
      </c>
      <c r="B389" s="55" t="n"/>
      <c r="C389" s="57" t="n"/>
      <c r="D389" s="57" t="n"/>
      <c r="E389" s="57" t="n"/>
      <c r="F389" s="57" t="n"/>
      <c r="G389" s="67" t="n"/>
      <c r="H389" s="68" t="n"/>
      <c r="I389" s="61">
        <f>IF(C389="","",IF(H389&lt;&gt;"",INT(H389)+ROUND(MOD(H389,1)*100/60,2),SUMIFS(Registraties!$L$5:$L$3004,Registraties!$D$5:$D$3004,C389,Registraties!$A$5:$A$3004,B389)))</f>
        <v/>
      </c>
      <c r="J389" s="58">
        <f>IF(C389="","",IFERROR(IF(VLOOKUP(C389,Tarieven!$A$2:$F$200,2,0)="Beide","Per uur",VLOOKUP(C389,Tarieven!$A$2:$F$200,2,0)),"Nog bepalen"))</f>
        <v/>
      </c>
      <c r="K389" s="69">
        <f>IF(C389="","",IF(J389="Per uur",IFERROR(VLOOKUP(C389,Tarieven!$A$2:$F$200,3,0),""),IF(J389="Vaste prijs",IFERROR(VLOOKUP(C389,Tarieven!$A$2:$F$200,4,0),""),"")))</f>
        <v/>
      </c>
      <c r="L389" s="70">
        <f>IF(C389="","",IF(J389="Per uur",N(I389)*N(K389),IF(J389="Vaste prijs",N(K389),0)))</f>
        <v/>
      </c>
      <c r="M389" s="69">
        <f>IF(C389="","",IFERROR(IF(N(VLOOKUP(C389,Tarieven!$A$2:$F$200,5,0))=0,"",VLOOKUP(C389,Tarieven!$A$2:$F$200,5,0)),""))</f>
        <v/>
      </c>
      <c r="N389" s="69" t="n"/>
      <c r="O389" s="69" t="n"/>
      <c r="P389" s="70">
        <f>IF(C389="","",N(L389)+N(M389)+N(N389)+N(O389))</f>
        <v/>
      </c>
      <c r="Q389" s="58" t="n"/>
      <c r="R389" s="57" t="n"/>
      <c r="S389" s="57" t="n"/>
      <c r="T389" s="57" t="n"/>
      <c r="U389" s="62">
        <f>IF(C389="","",IF(COUNTIF(Tarieven!$A$2:$A$200,C389)=0,"Klant niet in Tarieven",IF(MOD(N(H389),1)*100&gt;59.4,"Tijd ongeldig: minuten boven 59",IF(J389="Nog bepalen","Prijstype nog bepalen",IF(AND(J389="Per uur",N(K389)=0),"Uurtarief ontbreekt",IF(AND(J389="Vaste prijs",N(K389)=0),"Vaste prijs ontbreekt",IF(AND(N(I389)=0,Q389&lt;&gt;"Niet doorgegaan / verplaatst",Q389&lt;&gt;"Geen factuur nodig"),"Geen uren",IF(AND(G389="NEE",Q389="Verstuurd"),"Verstuurd terwijl werk niet af",IF(IFERROR(VLOOKUP(C389,Tarieven!$A$2:$F$200,2,0),"")="Beide","Beide-klant: controleer prijstype","OK")))))))))</f>
        <v/>
      </c>
    </row>
    <row r="390" ht="15" customHeight="1" s="42">
      <c r="A390" s="56">
        <f>IF(B390="","",WEEKNUM(B390,21))</f>
        <v/>
      </c>
      <c r="B390" s="55" t="n"/>
      <c r="C390" s="57" t="n"/>
      <c r="D390" s="57" t="n"/>
      <c r="E390" s="57" t="n"/>
      <c r="F390" s="57" t="n"/>
      <c r="G390" s="67" t="n"/>
      <c r="H390" s="68" t="n"/>
      <c r="I390" s="61">
        <f>IF(C390="","",IF(H390&lt;&gt;"",INT(H390)+ROUND(MOD(H390,1)*100/60,2),SUMIFS(Registraties!$L$5:$L$3004,Registraties!$D$5:$D$3004,C390,Registraties!$A$5:$A$3004,B390)))</f>
        <v/>
      </c>
      <c r="J390" s="58">
        <f>IF(C390="","",IFERROR(IF(VLOOKUP(C390,Tarieven!$A$2:$F$200,2,0)="Beide","Per uur",VLOOKUP(C390,Tarieven!$A$2:$F$200,2,0)),"Nog bepalen"))</f>
        <v/>
      </c>
      <c r="K390" s="69">
        <f>IF(C390="","",IF(J390="Per uur",IFERROR(VLOOKUP(C390,Tarieven!$A$2:$F$200,3,0),""),IF(J390="Vaste prijs",IFERROR(VLOOKUP(C390,Tarieven!$A$2:$F$200,4,0),""),"")))</f>
        <v/>
      </c>
      <c r="L390" s="70">
        <f>IF(C390="","",IF(J390="Per uur",N(I390)*N(K390),IF(J390="Vaste prijs",N(K390),0)))</f>
        <v/>
      </c>
      <c r="M390" s="69">
        <f>IF(C390="","",IFERROR(IF(N(VLOOKUP(C390,Tarieven!$A$2:$F$200,5,0))=0,"",VLOOKUP(C390,Tarieven!$A$2:$F$200,5,0)),""))</f>
        <v/>
      </c>
      <c r="N390" s="69" t="n"/>
      <c r="O390" s="69" t="n"/>
      <c r="P390" s="70">
        <f>IF(C390="","",N(L390)+N(M390)+N(N390)+N(O390))</f>
        <v/>
      </c>
      <c r="Q390" s="58" t="n"/>
      <c r="R390" s="57" t="n"/>
      <c r="S390" s="57" t="n"/>
      <c r="T390" s="57" t="n"/>
      <c r="U390" s="62">
        <f>IF(C390="","",IF(COUNTIF(Tarieven!$A$2:$A$200,C390)=0,"Klant niet in Tarieven",IF(MOD(N(H390),1)*100&gt;59.4,"Tijd ongeldig: minuten boven 59",IF(J390="Nog bepalen","Prijstype nog bepalen",IF(AND(J390="Per uur",N(K390)=0),"Uurtarief ontbreekt",IF(AND(J390="Vaste prijs",N(K390)=0),"Vaste prijs ontbreekt",IF(AND(N(I390)=0,Q390&lt;&gt;"Niet doorgegaan / verplaatst",Q390&lt;&gt;"Geen factuur nodig"),"Geen uren",IF(AND(G390="NEE",Q390="Verstuurd"),"Verstuurd terwijl werk niet af",IF(IFERROR(VLOOKUP(C390,Tarieven!$A$2:$F$200,2,0),"")="Beide","Beide-klant: controleer prijstype","OK")))))))))</f>
        <v/>
      </c>
    </row>
    <row r="391" ht="15" customHeight="1" s="42">
      <c r="A391" s="56">
        <f>IF(B391="","",WEEKNUM(B391,21))</f>
        <v/>
      </c>
      <c r="B391" s="55" t="n"/>
      <c r="C391" s="57" t="n"/>
      <c r="D391" s="57" t="n"/>
      <c r="E391" s="57" t="n"/>
      <c r="F391" s="57" t="n"/>
      <c r="G391" s="67" t="n"/>
      <c r="H391" s="68" t="n"/>
      <c r="I391" s="61">
        <f>IF(C391="","",IF(H391&lt;&gt;"",INT(H391)+ROUND(MOD(H391,1)*100/60,2),SUMIFS(Registraties!$L$5:$L$3004,Registraties!$D$5:$D$3004,C391,Registraties!$A$5:$A$3004,B391)))</f>
        <v/>
      </c>
      <c r="J391" s="58">
        <f>IF(C391="","",IFERROR(IF(VLOOKUP(C391,Tarieven!$A$2:$F$200,2,0)="Beide","Per uur",VLOOKUP(C391,Tarieven!$A$2:$F$200,2,0)),"Nog bepalen"))</f>
        <v/>
      </c>
      <c r="K391" s="69">
        <f>IF(C391="","",IF(J391="Per uur",IFERROR(VLOOKUP(C391,Tarieven!$A$2:$F$200,3,0),""),IF(J391="Vaste prijs",IFERROR(VLOOKUP(C391,Tarieven!$A$2:$F$200,4,0),""),"")))</f>
        <v/>
      </c>
      <c r="L391" s="70">
        <f>IF(C391="","",IF(J391="Per uur",N(I391)*N(K391),IF(J391="Vaste prijs",N(K391),0)))</f>
        <v/>
      </c>
      <c r="M391" s="69">
        <f>IF(C391="","",IFERROR(IF(N(VLOOKUP(C391,Tarieven!$A$2:$F$200,5,0))=0,"",VLOOKUP(C391,Tarieven!$A$2:$F$200,5,0)),""))</f>
        <v/>
      </c>
      <c r="N391" s="69" t="n"/>
      <c r="O391" s="69" t="n"/>
      <c r="P391" s="70">
        <f>IF(C391="","",N(L391)+N(M391)+N(N391)+N(O391))</f>
        <v/>
      </c>
      <c r="Q391" s="58" t="n"/>
      <c r="R391" s="57" t="n"/>
      <c r="S391" s="57" t="n"/>
      <c r="T391" s="57" t="n"/>
      <c r="U391" s="62">
        <f>IF(C391="","",IF(COUNTIF(Tarieven!$A$2:$A$200,C391)=0,"Klant niet in Tarieven",IF(MOD(N(H391),1)*100&gt;59.4,"Tijd ongeldig: minuten boven 59",IF(J391="Nog bepalen","Prijstype nog bepalen",IF(AND(J391="Per uur",N(K391)=0),"Uurtarief ontbreekt",IF(AND(J391="Vaste prijs",N(K391)=0),"Vaste prijs ontbreekt",IF(AND(N(I391)=0,Q391&lt;&gt;"Niet doorgegaan / verplaatst",Q391&lt;&gt;"Geen factuur nodig"),"Geen uren",IF(AND(G391="NEE",Q391="Verstuurd"),"Verstuurd terwijl werk niet af",IF(IFERROR(VLOOKUP(C391,Tarieven!$A$2:$F$200,2,0),"")="Beide","Beide-klant: controleer prijstype","OK")))))))))</f>
        <v/>
      </c>
    </row>
    <row r="392" ht="15" customHeight="1" s="42">
      <c r="A392" s="56">
        <f>IF(B392="","",WEEKNUM(B392,21))</f>
        <v/>
      </c>
      <c r="B392" s="55" t="n"/>
      <c r="C392" s="57" t="n"/>
      <c r="D392" s="57" t="n"/>
      <c r="E392" s="57" t="n"/>
      <c r="F392" s="57" t="n"/>
      <c r="G392" s="67" t="n"/>
      <c r="H392" s="68" t="n"/>
      <c r="I392" s="61">
        <f>IF(C392="","",IF(H392&lt;&gt;"",INT(H392)+ROUND(MOD(H392,1)*100/60,2),SUMIFS(Registraties!$L$5:$L$3004,Registraties!$D$5:$D$3004,C392,Registraties!$A$5:$A$3004,B392)))</f>
        <v/>
      </c>
      <c r="J392" s="58">
        <f>IF(C392="","",IFERROR(IF(VLOOKUP(C392,Tarieven!$A$2:$F$200,2,0)="Beide","Per uur",VLOOKUP(C392,Tarieven!$A$2:$F$200,2,0)),"Nog bepalen"))</f>
        <v/>
      </c>
      <c r="K392" s="69">
        <f>IF(C392="","",IF(J392="Per uur",IFERROR(VLOOKUP(C392,Tarieven!$A$2:$F$200,3,0),""),IF(J392="Vaste prijs",IFERROR(VLOOKUP(C392,Tarieven!$A$2:$F$200,4,0),""),"")))</f>
        <v/>
      </c>
      <c r="L392" s="70">
        <f>IF(C392="","",IF(J392="Per uur",N(I392)*N(K392),IF(J392="Vaste prijs",N(K392),0)))</f>
        <v/>
      </c>
      <c r="M392" s="69">
        <f>IF(C392="","",IFERROR(IF(N(VLOOKUP(C392,Tarieven!$A$2:$F$200,5,0))=0,"",VLOOKUP(C392,Tarieven!$A$2:$F$200,5,0)),""))</f>
        <v/>
      </c>
      <c r="N392" s="69" t="n"/>
      <c r="O392" s="69" t="n"/>
      <c r="P392" s="70">
        <f>IF(C392="","",N(L392)+N(M392)+N(N392)+N(O392))</f>
        <v/>
      </c>
      <c r="Q392" s="58" t="n"/>
      <c r="R392" s="57" t="n"/>
      <c r="S392" s="57" t="n"/>
      <c r="T392" s="57" t="n"/>
      <c r="U392" s="62">
        <f>IF(C392="","",IF(COUNTIF(Tarieven!$A$2:$A$200,C392)=0,"Klant niet in Tarieven",IF(MOD(N(H392),1)*100&gt;59.4,"Tijd ongeldig: minuten boven 59",IF(J392="Nog bepalen","Prijstype nog bepalen",IF(AND(J392="Per uur",N(K392)=0),"Uurtarief ontbreekt",IF(AND(J392="Vaste prijs",N(K392)=0),"Vaste prijs ontbreekt",IF(AND(N(I392)=0,Q392&lt;&gt;"Niet doorgegaan / verplaatst",Q392&lt;&gt;"Geen factuur nodig"),"Geen uren",IF(AND(G392="NEE",Q392="Verstuurd"),"Verstuurd terwijl werk niet af",IF(IFERROR(VLOOKUP(C392,Tarieven!$A$2:$F$200,2,0),"")="Beide","Beide-klant: controleer prijstype","OK")))))))))</f>
        <v/>
      </c>
    </row>
    <row r="393" ht="15" customHeight="1" s="42">
      <c r="A393" s="56">
        <f>IF(B393="","",WEEKNUM(B393,21))</f>
        <v/>
      </c>
      <c r="B393" s="55" t="n"/>
      <c r="C393" s="57" t="n"/>
      <c r="D393" s="57" t="n"/>
      <c r="E393" s="57" t="n"/>
      <c r="F393" s="57" t="n"/>
      <c r="G393" s="67" t="n"/>
      <c r="H393" s="68" t="n"/>
      <c r="I393" s="61">
        <f>IF(C393="","",IF(H393&lt;&gt;"",INT(H393)+ROUND(MOD(H393,1)*100/60,2),SUMIFS(Registraties!$L$5:$L$3004,Registraties!$D$5:$D$3004,C393,Registraties!$A$5:$A$3004,B393)))</f>
        <v/>
      </c>
      <c r="J393" s="58">
        <f>IF(C393="","",IFERROR(IF(VLOOKUP(C393,Tarieven!$A$2:$F$200,2,0)="Beide","Per uur",VLOOKUP(C393,Tarieven!$A$2:$F$200,2,0)),"Nog bepalen"))</f>
        <v/>
      </c>
      <c r="K393" s="69">
        <f>IF(C393="","",IF(J393="Per uur",IFERROR(VLOOKUP(C393,Tarieven!$A$2:$F$200,3,0),""),IF(J393="Vaste prijs",IFERROR(VLOOKUP(C393,Tarieven!$A$2:$F$200,4,0),""),"")))</f>
        <v/>
      </c>
      <c r="L393" s="70">
        <f>IF(C393="","",IF(J393="Per uur",N(I393)*N(K393),IF(J393="Vaste prijs",N(K393),0)))</f>
        <v/>
      </c>
      <c r="M393" s="69">
        <f>IF(C393="","",IFERROR(IF(N(VLOOKUP(C393,Tarieven!$A$2:$F$200,5,0))=0,"",VLOOKUP(C393,Tarieven!$A$2:$F$200,5,0)),""))</f>
        <v/>
      </c>
      <c r="N393" s="69" t="n"/>
      <c r="O393" s="69" t="n"/>
      <c r="P393" s="70">
        <f>IF(C393="","",N(L393)+N(M393)+N(N393)+N(O393))</f>
        <v/>
      </c>
      <c r="Q393" s="58" t="n"/>
      <c r="R393" s="57" t="n"/>
      <c r="S393" s="57" t="n"/>
      <c r="T393" s="57" t="n"/>
      <c r="U393" s="62">
        <f>IF(C393="","",IF(COUNTIF(Tarieven!$A$2:$A$200,C393)=0,"Klant niet in Tarieven",IF(MOD(N(H393),1)*100&gt;59.4,"Tijd ongeldig: minuten boven 59",IF(J393="Nog bepalen","Prijstype nog bepalen",IF(AND(J393="Per uur",N(K393)=0),"Uurtarief ontbreekt",IF(AND(J393="Vaste prijs",N(K393)=0),"Vaste prijs ontbreekt",IF(AND(N(I393)=0,Q393&lt;&gt;"Niet doorgegaan / verplaatst",Q393&lt;&gt;"Geen factuur nodig"),"Geen uren",IF(AND(G393="NEE",Q393="Verstuurd"),"Verstuurd terwijl werk niet af",IF(IFERROR(VLOOKUP(C393,Tarieven!$A$2:$F$200,2,0),"")="Beide","Beide-klant: controleer prijstype","OK")))))))))</f>
        <v/>
      </c>
    </row>
    <row r="394" ht="15" customHeight="1" s="42">
      <c r="A394" s="56">
        <f>IF(B394="","",WEEKNUM(B394,21))</f>
        <v/>
      </c>
      <c r="B394" s="55" t="n"/>
      <c r="C394" s="57" t="n"/>
      <c r="D394" s="57" t="n"/>
      <c r="E394" s="57" t="n"/>
      <c r="F394" s="57" t="n"/>
      <c r="G394" s="67" t="n"/>
      <c r="H394" s="68" t="n"/>
      <c r="I394" s="61">
        <f>IF(C394="","",IF(H394&lt;&gt;"",INT(H394)+ROUND(MOD(H394,1)*100/60,2),SUMIFS(Registraties!$L$5:$L$3004,Registraties!$D$5:$D$3004,C394,Registraties!$A$5:$A$3004,B394)))</f>
        <v/>
      </c>
      <c r="J394" s="58">
        <f>IF(C394="","",IFERROR(IF(VLOOKUP(C394,Tarieven!$A$2:$F$200,2,0)="Beide","Per uur",VLOOKUP(C394,Tarieven!$A$2:$F$200,2,0)),"Nog bepalen"))</f>
        <v/>
      </c>
      <c r="K394" s="69">
        <f>IF(C394="","",IF(J394="Per uur",IFERROR(VLOOKUP(C394,Tarieven!$A$2:$F$200,3,0),""),IF(J394="Vaste prijs",IFERROR(VLOOKUP(C394,Tarieven!$A$2:$F$200,4,0),""),"")))</f>
        <v/>
      </c>
      <c r="L394" s="70">
        <f>IF(C394="","",IF(J394="Per uur",N(I394)*N(K394),IF(J394="Vaste prijs",N(K394),0)))</f>
        <v/>
      </c>
      <c r="M394" s="69">
        <f>IF(C394="","",IFERROR(IF(N(VLOOKUP(C394,Tarieven!$A$2:$F$200,5,0))=0,"",VLOOKUP(C394,Tarieven!$A$2:$F$200,5,0)),""))</f>
        <v/>
      </c>
      <c r="N394" s="69" t="n"/>
      <c r="O394" s="69" t="n"/>
      <c r="P394" s="70">
        <f>IF(C394="","",N(L394)+N(M394)+N(N394)+N(O394))</f>
        <v/>
      </c>
      <c r="Q394" s="58" t="n"/>
      <c r="R394" s="57" t="n"/>
      <c r="S394" s="57" t="n"/>
      <c r="T394" s="57" t="n"/>
      <c r="U394" s="62">
        <f>IF(C394="","",IF(COUNTIF(Tarieven!$A$2:$A$200,C394)=0,"Klant niet in Tarieven",IF(MOD(N(H394),1)*100&gt;59.4,"Tijd ongeldig: minuten boven 59",IF(J394="Nog bepalen","Prijstype nog bepalen",IF(AND(J394="Per uur",N(K394)=0),"Uurtarief ontbreekt",IF(AND(J394="Vaste prijs",N(K394)=0),"Vaste prijs ontbreekt",IF(AND(N(I394)=0,Q394&lt;&gt;"Niet doorgegaan / verplaatst",Q394&lt;&gt;"Geen factuur nodig"),"Geen uren",IF(AND(G394="NEE",Q394="Verstuurd"),"Verstuurd terwijl werk niet af",IF(IFERROR(VLOOKUP(C394,Tarieven!$A$2:$F$200,2,0),"")="Beide","Beide-klant: controleer prijstype","OK")))))))))</f>
        <v/>
      </c>
    </row>
    <row r="395" ht="15" customHeight="1" s="42">
      <c r="A395" s="56">
        <f>IF(B395="","",WEEKNUM(B395,21))</f>
        <v/>
      </c>
      <c r="B395" s="55" t="n"/>
      <c r="C395" s="57" t="n"/>
      <c r="D395" s="57" t="n"/>
      <c r="E395" s="57" t="n"/>
      <c r="F395" s="57" t="n"/>
      <c r="G395" s="67" t="n"/>
      <c r="H395" s="68" t="n"/>
      <c r="I395" s="61">
        <f>IF(C395="","",IF(H395&lt;&gt;"",INT(H395)+ROUND(MOD(H395,1)*100/60,2),SUMIFS(Registraties!$L$5:$L$3004,Registraties!$D$5:$D$3004,C395,Registraties!$A$5:$A$3004,B395)))</f>
        <v/>
      </c>
      <c r="J395" s="58">
        <f>IF(C395="","",IFERROR(IF(VLOOKUP(C395,Tarieven!$A$2:$F$200,2,0)="Beide","Per uur",VLOOKUP(C395,Tarieven!$A$2:$F$200,2,0)),"Nog bepalen"))</f>
        <v/>
      </c>
      <c r="K395" s="69">
        <f>IF(C395="","",IF(J395="Per uur",IFERROR(VLOOKUP(C395,Tarieven!$A$2:$F$200,3,0),""),IF(J395="Vaste prijs",IFERROR(VLOOKUP(C395,Tarieven!$A$2:$F$200,4,0),""),"")))</f>
        <v/>
      </c>
      <c r="L395" s="70">
        <f>IF(C395="","",IF(J395="Per uur",N(I395)*N(K395),IF(J395="Vaste prijs",N(K395),0)))</f>
        <v/>
      </c>
      <c r="M395" s="69">
        <f>IF(C395="","",IFERROR(IF(N(VLOOKUP(C395,Tarieven!$A$2:$F$200,5,0))=0,"",VLOOKUP(C395,Tarieven!$A$2:$F$200,5,0)),""))</f>
        <v/>
      </c>
      <c r="N395" s="69" t="n"/>
      <c r="O395" s="69" t="n"/>
      <c r="P395" s="70">
        <f>IF(C395="","",N(L395)+N(M395)+N(N395)+N(O395))</f>
        <v/>
      </c>
      <c r="Q395" s="58" t="n"/>
      <c r="R395" s="57" t="n"/>
      <c r="S395" s="57" t="n"/>
      <c r="T395" s="57" t="n"/>
      <c r="U395" s="62">
        <f>IF(C395="","",IF(COUNTIF(Tarieven!$A$2:$A$200,C395)=0,"Klant niet in Tarieven",IF(MOD(N(H395),1)*100&gt;59.4,"Tijd ongeldig: minuten boven 59",IF(J395="Nog bepalen","Prijstype nog bepalen",IF(AND(J395="Per uur",N(K395)=0),"Uurtarief ontbreekt",IF(AND(J395="Vaste prijs",N(K395)=0),"Vaste prijs ontbreekt",IF(AND(N(I395)=0,Q395&lt;&gt;"Niet doorgegaan / verplaatst",Q395&lt;&gt;"Geen factuur nodig"),"Geen uren",IF(AND(G395="NEE",Q395="Verstuurd"),"Verstuurd terwijl werk niet af",IF(IFERROR(VLOOKUP(C395,Tarieven!$A$2:$F$200,2,0),"")="Beide","Beide-klant: controleer prijstype","OK")))))))))</f>
        <v/>
      </c>
    </row>
    <row r="396" ht="15" customHeight="1" s="42">
      <c r="A396" s="56">
        <f>IF(B396="","",WEEKNUM(B396,21))</f>
        <v/>
      </c>
      <c r="B396" s="55" t="n"/>
      <c r="C396" s="57" t="n"/>
      <c r="D396" s="57" t="n"/>
      <c r="E396" s="57" t="n"/>
      <c r="F396" s="57" t="n"/>
      <c r="G396" s="67" t="n"/>
      <c r="H396" s="68" t="n"/>
      <c r="I396" s="61">
        <f>IF(C396="","",IF(H396&lt;&gt;"",INT(H396)+ROUND(MOD(H396,1)*100/60,2),SUMIFS(Registraties!$L$5:$L$3004,Registraties!$D$5:$D$3004,C396,Registraties!$A$5:$A$3004,B396)))</f>
        <v/>
      </c>
      <c r="J396" s="58">
        <f>IF(C396="","",IFERROR(IF(VLOOKUP(C396,Tarieven!$A$2:$F$200,2,0)="Beide","Per uur",VLOOKUP(C396,Tarieven!$A$2:$F$200,2,0)),"Nog bepalen"))</f>
        <v/>
      </c>
      <c r="K396" s="69">
        <f>IF(C396="","",IF(J396="Per uur",IFERROR(VLOOKUP(C396,Tarieven!$A$2:$F$200,3,0),""),IF(J396="Vaste prijs",IFERROR(VLOOKUP(C396,Tarieven!$A$2:$F$200,4,0),""),"")))</f>
        <v/>
      </c>
      <c r="L396" s="70">
        <f>IF(C396="","",IF(J396="Per uur",N(I396)*N(K396),IF(J396="Vaste prijs",N(K396),0)))</f>
        <v/>
      </c>
      <c r="M396" s="69">
        <f>IF(C396="","",IFERROR(IF(N(VLOOKUP(C396,Tarieven!$A$2:$F$200,5,0))=0,"",VLOOKUP(C396,Tarieven!$A$2:$F$200,5,0)),""))</f>
        <v/>
      </c>
      <c r="N396" s="69" t="n"/>
      <c r="O396" s="69" t="n"/>
      <c r="P396" s="70">
        <f>IF(C396="","",N(L396)+N(M396)+N(N396)+N(O396))</f>
        <v/>
      </c>
      <c r="Q396" s="58" t="n"/>
      <c r="R396" s="57" t="n"/>
      <c r="S396" s="57" t="n"/>
      <c r="T396" s="57" t="n"/>
      <c r="U396" s="62">
        <f>IF(C396="","",IF(COUNTIF(Tarieven!$A$2:$A$200,C396)=0,"Klant niet in Tarieven",IF(MOD(N(H396),1)*100&gt;59.4,"Tijd ongeldig: minuten boven 59",IF(J396="Nog bepalen","Prijstype nog bepalen",IF(AND(J396="Per uur",N(K396)=0),"Uurtarief ontbreekt",IF(AND(J396="Vaste prijs",N(K396)=0),"Vaste prijs ontbreekt",IF(AND(N(I396)=0,Q396&lt;&gt;"Niet doorgegaan / verplaatst",Q396&lt;&gt;"Geen factuur nodig"),"Geen uren",IF(AND(G396="NEE",Q396="Verstuurd"),"Verstuurd terwijl werk niet af",IF(IFERROR(VLOOKUP(C396,Tarieven!$A$2:$F$200,2,0),"")="Beide","Beide-klant: controleer prijstype","OK")))))))))</f>
        <v/>
      </c>
    </row>
    <row r="397" ht="15" customHeight="1" s="42">
      <c r="A397" s="56">
        <f>IF(B397="","",WEEKNUM(B397,21))</f>
        <v/>
      </c>
      <c r="B397" s="55" t="n"/>
      <c r="C397" s="57" t="n"/>
      <c r="D397" s="57" t="n"/>
      <c r="E397" s="57" t="n"/>
      <c r="F397" s="57" t="n"/>
      <c r="G397" s="67" t="n"/>
      <c r="H397" s="68" t="n"/>
      <c r="I397" s="61">
        <f>IF(C397="","",IF(H397&lt;&gt;"",INT(H397)+ROUND(MOD(H397,1)*100/60,2),SUMIFS(Registraties!$L$5:$L$3004,Registraties!$D$5:$D$3004,C397,Registraties!$A$5:$A$3004,B397)))</f>
        <v/>
      </c>
      <c r="J397" s="58">
        <f>IF(C397="","",IFERROR(IF(VLOOKUP(C397,Tarieven!$A$2:$F$200,2,0)="Beide","Per uur",VLOOKUP(C397,Tarieven!$A$2:$F$200,2,0)),"Nog bepalen"))</f>
        <v/>
      </c>
      <c r="K397" s="69">
        <f>IF(C397="","",IF(J397="Per uur",IFERROR(VLOOKUP(C397,Tarieven!$A$2:$F$200,3,0),""),IF(J397="Vaste prijs",IFERROR(VLOOKUP(C397,Tarieven!$A$2:$F$200,4,0),""),"")))</f>
        <v/>
      </c>
      <c r="L397" s="70">
        <f>IF(C397="","",IF(J397="Per uur",N(I397)*N(K397),IF(J397="Vaste prijs",N(K397),0)))</f>
        <v/>
      </c>
      <c r="M397" s="69">
        <f>IF(C397="","",IFERROR(IF(N(VLOOKUP(C397,Tarieven!$A$2:$F$200,5,0))=0,"",VLOOKUP(C397,Tarieven!$A$2:$F$200,5,0)),""))</f>
        <v/>
      </c>
      <c r="N397" s="69" t="n"/>
      <c r="O397" s="69" t="n"/>
      <c r="P397" s="70">
        <f>IF(C397="","",N(L397)+N(M397)+N(N397)+N(O397))</f>
        <v/>
      </c>
      <c r="Q397" s="58" t="n"/>
      <c r="R397" s="57" t="n"/>
      <c r="S397" s="57" t="n"/>
      <c r="T397" s="57" t="n"/>
      <c r="U397" s="62">
        <f>IF(C397="","",IF(COUNTIF(Tarieven!$A$2:$A$200,C397)=0,"Klant niet in Tarieven",IF(MOD(N(H397),1)*100&gt;59.4,"Tijd ongeldig: minuten boven 59",IF(J397="Nog bepalen","Prijstype nog bepalen",IF(AND(J397="Per uur",N(K397)=0),"Uurtarief ontbreekt",IF(AND(J397="Vaste prijs",N(K397)=0),"Vaste prijs ontbreekt",IF(AND(N(I397)=0,Q397&lt;&gt;"Niet doorgegaan / verplaatst",Q397&lt;&gt;"Geen factuur nodig"),"Geen uren",IF(AND(G397="NEE",Q397="Verstuurd"),"Verstuurd terwijl werk niet af",IF(IFERROR(VLOOKUP(C397,Tarieven!$A$2:$F$200,2,0),"")="Beide","Beide-klant: controleer prijstype","OK")))))))))</f>
        <v/>
      </c>
    </row>
    <row r="398" ht="15" customHeight="1" s="42">
      <c r="A398" s="56">
        <f>IF(B398="","",WEEKNUM(B398,21))</f>
        <v/>
      </c>
      <c r="B398" s="55" t="n"/>
      <c r="C398" s="57" t="n"/>
      <c r="D398" s="57" t="n"/>
      <c r="E398" s="57" t="n"/>
      <c r="F398" s="57" t="n"/>
      <c r="G398" s="67" t="n"/>
      <c r="H398" s="68" t="n"/>
      <c r="I398" s="61">
        <f>IF(C398="","",IF(H398&lt;&gt;"",INT(H398)+ROUND(MOD(H398,1)*100/60,2),SUMIFS(Registraties!$L$5:$L$3004,Registraties!$D$5:$D$3004,C398,Registraties!$A$5:$A$3004,B398)))</f>
        <v/>
      </c>
      <c r="J398" s="58">
        <f>IF(C398="","",IFERROR(IF(VLOOKUP(C398,Tarieven!$A$2:$F$200,2,0)="Beide","Per uur",VLOOKUP(C398,Tarieven!$A$2:$F$200,2,0)),"Nog bepalen"))</f>
        <v/>
      </c>
      <c r="K398" s="69">
        <f>IF(C398="","",IF(J398="Per uur",IFERROR(VLOOKUP(C398,Tarieven!$A$2:$F$200,3,0),""),IF(J398="Vaste prijs",IFERROR(VLOOKUP(C398,Tarieven!$A$2:$F$200,4,0),""),"")))</f>
        <v/>
      </c>
      <c r="L398" s="70">
        <f>IF(C398="","",IF(J398="Per uur",N(I398)*N(K398),IF(J398="Vaste prijs",N(K398),0)))</f>
        <v/>
      </c>
      <c r="M398" s="69">
        <f>IF(C398="","",IFERROR(IF(N(VLOOKUP(C398,Tarieven!$A$2:$F$200,5,0))=0,"",VLOOKUP(C398,Tarieven!$A$2:$F$200,5,0)),""))</f>
        <v/>
      </c>
      <c r="N398" s="69" t="n"/>
      <c r="O398" s="69" t="n"/>
      <c r="P398" s="70">
        <f>IF(C398="","",N(L398)+N(M398)+N(N398)+N(O398))</f>
        <v/>
      </c>
      <c r="Q398" s="58" t="n"/>
      <c r="R398" s="57" t="n"/>
      <c r="S398" s="57" t="n"/>
      <c r="T398" s="57" t="n"/>
      <c r="U398" s="62">
        <f>IF(C398="","",IF(COUNTIF(Tarieven!$A$2:$A$200,C398)=0,"Klant niet in Tarieven",IF(MOD(N(H398),1)*100&gt;59.4,"Tijd ongeldig: minuten boven 59",IF(J398="Nog bepalen","Prijstype nog bepalen",IF(AND(J398="Per uur",N(K398)=0),"Uurtarief ontbreekt",IF(AND(J398="Vaste prijs",N(K398)=0),"Vaste prijs ontbreekt",IF(AND(N(I398)=0,Q398&lt;&gt;"Niet doorgegaan / verplaatst",Q398&lt;&gt;"Geen factuur nodig"),"Geen uren",IF(AND(G398="NEE",Q398="Verstuurd"),"Verstuurd terwijl werk niet af",IF(IFERROR(VLOOKUP(C398,Tarieven!$A$2:$F$200,2,0),"")="Beide","Beide-klant: controleer prijstype","OK")))))))))</f>
        <v/>
      </c>
    </row>
    <row r="399" ht="15" customHeight="1" s="42">
      <c r="A399" s="56">
        <f>IF(B399="","",WEEKNUM(B399,21))</f>
        <v/>
      </c>
      <c r="B399" s="55" t="n"/>
      <c r="C399" s="57" t="n"/>
      <c r="D399" s="57" t="n"/>
      <c r="E399" s="57" t="n"/>
      <c r="F399" s="57" t="n"/>
      <c r="G399" s="67" t="n"/>
      <c r="H399" s="68" t="n"/>
      <c r="I399" s="61">
        <f>IF(C399="","",IF(H399&lt;&gt;"",INT(H399)+ROUND(MOD(H399,1)*100/60,2),SUMIFS(Registraties!$L$5:$L$3004,Registraties!$D$5:$D$3004,C399,Registraties!$A$5:$A$3004,B399)))</f>
        <v/>
      </c>
      <c r="J399" s="58">
        <f>IF(C399="","",IFERROR(IF(VLOOKUP(C399,Tarieven!$A$2:$F$200,2,0)="Beide","Per uur",VLOOKUP(C399,Tarieven!$A$2:$F$200,2,0)),"Nog bepalen"))</f>
        <v/>
      </c>
      <c r="K399" s="69">
        <f>IF(C399="","",IF(J399="Per uur",IFERROR(VLOOKUP(C399,Tarieven!$A$2:$F$200,3,0),""),IF(J399="Vaste prijs",IFERROR(VLOOKUP(C399,Tarieven!$A$2:$F$200,4,0),""),"")))</f>
        <v/>
      </c>
      <c r="L399" s="70">
        <f>IF(C399="","",IF(J399="Per uur",N(I399)*N(K399),IF(J399="Vaste prijs",N(K399),0)))</f>
        <v/>
      </c>
      <c r="M399" s="69">
        <f>IF(C399="","",IFERROR(IF(N(VLOOKUP(C399,Tarieven!$A$2:$F$200,5,0))=0,"",VLOOKUP(C399,Tarieven!$A$2:$F$200,5,0)),""))</f>
        <v/>
      </c>
      <c r="N399" s="69" t="n"/>
      <c r="O399" s="69" t="n"/>
      <c r="P399" s="70">
        <f>IF(C399="","",N(L399)+N(M399)+N(N399)+N(O399))</f>
        <v/>
      </c>
      <c r="Q399" s="58" t="n"/>
      <c r="R399" s="57" t="n"/>
      <c r="S399" s="57" t="n"/>
      <c r="T399" s="57" t="n"/>
      <c r="U399" s="62">
        <f>IF(C399="","",IF(COUNTIF(Tarieven!$A$2:$A$200,C399)=0,"Klant niet in Tarieven",IF(MOD(N(H399),1)*100&gt;59.4,"Tijd ongeldig: minuten boven 59",IF(J399="Nog bepalen","Prijstype nog bepalen",IF(AND(J399="Per uur",N(K399)=0),"Uurtarief ontbreekt",IF(AND(J399="Vaste prijs",N(K399)=0),"Vaste prijs ontbreekt",IF(AND(N(I399)=0,Q399&lt;&gt;"Niet doorgegaan / verplaatst",Q399&lt;&gt;"Geen factuur nodig"),"Geen uren",IF(AND(G399="NEE",Q399="Verstuurd"),"Verstuurd terwijl werk niet af",IF(IFERROR(VLOOKUP(C399,Tarieven!$A$2:$F$200,2,0),"")="Beide","Beide-klant: controleer prijstype","OK")))))))))</f>
        <v/>
      </c>
    </row>
    <row r="400" ht="15" customHeight="1" s="42">
      <c r="A400" s="56">
        <f>IF(B400="","",WEEKNUM(B400,21))</f>
        <v/>
      </c>
      <c r="B400" s="55" t="n"/>
      <c r="C400" s="57" t="n"/>
      <c r="D400" s="57" t="n"/>
      <c r="E400" s="57" t="n"/>
      <c r="F400" s="57" t="n"/>
      <c r="G400" s="67" t="n"/>
      <c r="H400" s="68" t="n"/>
      <c r="I400" s="61">
        <f>IF(C400="","",IF(H400&lt;&gt;"",INT(H400)+ROUND(MOD(H400,1)*100/60,2),SUMIFS(Registraties!$L$5:$L$3004,Registraties!$D$5:$D$3004,C400,Registraties!$A$5:$A$3004,B400)))</f>
        <v/>
      </c>
      <c r="J400" s="58">
        <f>IF(C400="","",IFERROR(IF(VLOOKUP(C400,Tarieven!$A$2:$F$200,2,0)="Beide","Per uur",VLOOKUP(C400,Tarieven!$A$2:$F$200,2,0)),"Nog bepalen"))</f>
        <v/>
      </c>
      <c r="K400" s="69">
        <f>IF(C400="","",IF(J400="Per uur",IFERROR(VLOOKUP(C400,Tarieven!$A$2:$F$200,3,0),""),IF(J400="Vaste prijs",IFERROR(VLOOKUP(C400,Tarieven!$A$2:$F$200,4,0),""),"")))</f>
        <v/>
      </c>
      <c r="L400" s="70">
        <f>IF(C400="","",IF(J400="Per uur",N(I400)*N(K400),IF(J400="Vaste prijs",N(K400),0)))</f>
        <v/>
      </c>
      <c r="M400" s="69">
        <f>IF(C400="","",IFERROR(IF(N(VLOOKUP(C400,Tarieven!$A$2:$F$200,5,0))=0,"",VLOOKUP(C400,Tarieven!$A$2:$F$200,5,0)),""))</f>
        <v/>
      </c>
      <c r="N400" s="69" t="n"/>
      <c r="O400" s="69" t="n"/>
      <c r="P400" s="70">
        <f>IF(C400="","",N(L400)+N(M400)+N(N400)+N(O400))</f>
        <v/>
      </c>
      <c r="Q400" s="58" t="n"/>
      <c r="R400" s="57" t="n"/>
      <c r="S400" s="57" t="n"/>
      <c r="T400" s="57" t="n"/>
      <c r="U400" s="62">
        <f>IF(C400="","",IF(COUNTIF(Tarieven!$A$2:$A$200,C400)=0,"Klant niet in Tarieven",IF(MOD(N(H400),1)*100&gt;59.4,"Tijd ongeldig: minuten boven 59",IF(J400="Nog bepalen","Prijstype nog bepalen",IF(AND(J400="Per uur",N(K400)=0),"Uurtarief ontbreekt",IF(AND(J400="Vaste prijs",N(K400)=0),"Vaste prijs ontbreekt",IF(AND(N(I400)=0,Q400&lt;&gt;"Niet doorgegaan / verplaatst",Q400&lt;&gt;"Geen factuur nodig"),"Geen uren",IF(AND(G400="NEE",Q400="Verstuurd"),"Verstuurd terwijl werk niet af",IF(IFERROR(VLOOKUP(C400,Tarieven!$A$2:$F$200,2,0),"")="Beide","Beide-klant: controleer prijstype","OK")))))))))</f>
        <v/>
      </c>
    </row>
    <row r="401" ht="15" customHeight="1" s="42">
      <c r="A401" s="56">
        <f>IF(B401="","",WEEKNUM(B401,21))</f>
        <v/>
      </c>
      <c r="B401" s="55" t="n"/>
      <c r="C401" s="57" t="n"/>
      <c r="D401" s="57" t="n"/>
      <c r="E401" s="57" t="n"/>
      <c r="F401" s="57" t="n"/>
      <c r="G401" s="67" t="n"/>
      <c r="H401" s="68" t="n"/>
      <c r="I401" s="61">
        <f>IF(C401="","",IF(H401&lt;&gt;"",INT(H401)+ROUND(MOD(H401,1)*100/60,2),SUMIFS(Registraties!$L$5:$L$3004,Registraties!$D$5:$D$3004,C401,Registraties!$A$5:$A$3004,B401)))</f>
        <v/>
      </c>
      <c r="J401" s="58">
        <f>IF(C401="","",IFERROR(IF(VLOOKUP(C401,Tarieven!$A$2:$F$200,2,0)="Beide","Per uur",VLOOKUP(C401,Tarieven!$A$2:$F$200,2,0)),"Nog bepalen"))</f>
        <v/>
      </c>
      <c r="K401" s="69">
        <f>IF(C401="","",IF(J401="Per uur",IFERROR(VLOOKUP(C401,Tarieven!$A$2:$F$200,3,0),""),IF(J401="Vaste prijs",IFERROR(VLOOKUP(C401,Tarieven!$A$2:$F$200,4,0),""),"")))</f>
        <v/>
      </c>
      <c r="L401" s="70">
        <f>IF(C401="","",IF(J401="Per uur",N(I401)*N(K401),IF(J401="Vaste prijs",N(K401),0)))</f>
        <v/>
      </c>
      <c r="M401" s="69">
        <f>IF(C401="","",IFERROR(IF(N(VLOOKUP(C401,Tarieven!$A$2:$F$200,5,0))=0,"",VLOOKUP(C401,Tarieven!$A$2:$F$200,5,0)),""))</f>
        <v/>
      </c>
      <c r="N401" s="69" t="n"/>
      <c r="O401" s="69" t="n"/>
      <c r="P401" s="70">
        <f>IF(C401="","",N(L401)+N(M401)+N(N401)+N(O401))</f>
        <v/>
      </c>
      <c r="Q401" s="58" t="n"/>
      <c r="R401" s="57" t="n"/>
      <c r="S401" s="57" t="n"/>
      <c r="T401" s="57" t="n"/>
      <c r="U401" s="62">
        <f>IF(C401="","",IF(COUNTIF(Tarieven!$A$2:$A$200,C401)=0,"Klant niet in Tarieven",IF(MOD(N(H401),1)*100&gt;59.4,"Tijd ongeldig: minuten boven 59",IF(J401="Nog bepalen","Prijstype nog bepalen",IF(AND(J401="Per uur",N(K401)=0),"Uurtarief ontbreekt",IF(AND(J401="Vaste prijs",N(K401)=0),"Vaste prijs ontbreekt",IF(AND(N(I401)=0,Q401&lt;&gt;"Niet doorgegaan / verplaatst",Q401&lt;&gt;"Geen factuur nodig"),"Geen uren",IF(AND(G401="NEE",Q401="Verstuurd"),"Verstuurd terwijl werk niet af",IF(IFERROR(VLOOKUP(C401,Tarieven!$A$2:$F$200,2,0),"")="Beide","Beide-klant: controleer prijstype","OK")))))))))</f>
        <v/>
      </c>
    </row>
    <row r="402" ht="15" customHeight="1" s="42">
      <c r="A402" s="56">
        <f>IF(B402="","",WEEKNUM(B402,21))</f>
        <v/>
      </c>
      <c r="B402" s="55" t="n"/>
      <c r="C402" s="57" t="n"/>
      <c r="D402" s="57" t="n"/>
      <c r="E402" s="57" t="n"/>
      <c r="F402" s="57" t="n"/>
      <c r="G402" s="67" t="n"/>
      <c r="H402" s="68" t="n"/>
      <c r="I402" s="61">
        <f>IF(C402="","",IF(H402&lt;&gt;"",INT(H402)+ROUND(MOD(H402,1)*100/60,2),SUMIFS(Registraties!$L$5:$L$3004,Registraties!$D$5:$D$3004,C402,Registraties!$A$5:$A$3004,B402)))</f>
        <v/>
      </c>
      <c r="J402" s="58">
        <f>IF(C402="","",IFERROR(IF(VLOOKUP(C402,Tarieven!$A$2:$F$200,2,0)="Beide","Per uur",VLOOKUP(C402,Tarieven!$A$2:$F$200,2,0)),"Nog bepalen"))</f>
        <v/>
      </c>
      <c r="K402" s="69">
        <f>IF(C402="","",IF(J402="Per uur",IFERROR(VLOOKUP(C402,Tarieven!$A$2:$F$200,3,0),""),IF(J402="Vaste prijs",IFERROR(VLOOKUP(C402,Tarieven!$A$2:$F$200,4,0),""),"")))</f>
        <v/>
      </c>
      <c r="L402" s="70">
        <f>IF(C402="","",IF(J402="Per uur",N(I402)*N(K402),IF(J402="Vaste prijs",N(K402),0)))</f>
        <v/>
      </c>
      <c r="M402" s="69">
        <f>IF(C402="","",IFERROR(IF(N(VLOOKUP(C402,Tarieven!$A$2:$F$200,5,0))=0,"",VLOOKUP(C402,Tarieven!$A$2:$F$200,5,0)),""))</f>
        <v/>
      </c>
      <c r="N402" s="69" t="n"/>
      <c r="O402" s="69" t="n"/>
      <c r="P402" s="70">
        <f>IF(C402="","",N(L402)+N(M402)+N(N402)+N(O402))</f>
        <v/>
      </c>
      <c r="Q402" s="58" t="n"/>
      <c r="R402" s="57" t="n"/>
      <c r="S402" s="57" t="n"/>
      <c r="T402" s="57" t="n"/>
      <c r="U402" s="62">
        <f>IF(C402="","",IF(COUNTIF(Tarieven!$A$2:$A$200,C402)=0,"Klant niet in Tarieven",IF(MOD(N(H402),1)*100&gt;59.4,"Tijd ongeldig: minuten boven 59",IF(J402="Nog bepalen","Prijstype nog bepalen",IF(AND(J402="Per uur",N(K402)=0),"Uurtarief ontbreekt",IF(AND(J402="Vaste prijs",N(K402)=0),"Vaste prijs ontbreekt",IF(AND(N(I402)=0,Q402&lt;&gt;"Niet doorgegaan / verplaatst",Q402&lt;&gt;"Geen factuur nodig"),"Geen uren",IF(AND(G402="NEE",Q402="Verstuurd"),"Verstuurd terwijl werk niet af",IF(IFERROR(VLOOKUP(C402,Tarieven!$A$2:$F$200,2,0),"")="Beide","Beide-klant: controleer prijstype","OK")))))))))</f>
        <v/>
      </c>
    </row>
    <row r="403" ht="15" customHeight="1" s="42">
      <c r="A403" s="56">
        <f>IF(B403="","",WEEKNUM(B403,21))</f>
        <v/>
      </c>
      <c r="B403" s="55" t="n"/>
      <c r="C403" s="57" t="n"/>
      <c r="D403" s="57" t="n"/>
      <c r="E403" s="57" t="n"/>
      <c r="F403" s="57" t="n"/>
      <c r="G403" s="67" t="n"/>
      <c r="H403" s="68" t="n"/>
      <c r="I403" s="61">
        <f>IF(C403="","",IF(H403&lt;&gt;"",INT(H403)+ROUND(MOD(H403,1)*100/60,2),SUMIFS(Registraties!$L$5:$L$3004,Registraties!$D$5:$D$3004,C403,Registraties!$A$5:$A$3004,B403)))</f>
        <v/>
      </c>
      <c r="J403" s="58">
        <f>IF(C403="","",IFERROR(IF(VLOOKUP(C403,Tarieven!$A$2:$F$200,2,0)="Beide","Per uur",VLOOKUP(C403,Tarieven!$A$2:$F$200,2,0)),"Nog bepalen"))</f>
        <v/>
      </c>
      <c r="K403" s="69">
        <f>IF(C403="","",IF(J403="Per uur",IFERROR(VLOOKUP(C403,Tarieven!$A$2:$F$200,3,0),""),IF(J403="Vaste prijs",IFERROR(VLOOKUP(C403,Tarieven!$A$2:$F$200,4,0),""),"")))</f>
        <v/>
      </c>
      <c r="L403" s="70">
        <f>IF(C403="","",IF(J403="Per uur",N(I403)*N(K403),IF(J403="Vaste prijs",N(K403),0)))</f>
        <v/>
      </c>
      <c r="M403" s="69">
        <f>IF(C403="","",IFERROR(IF(N(VLOOKUP(C403,Tarieven!$A$2:$F$200,5,0))=0,"",VLOOKUP(C403,Tarieven!$A$2:$F$200,5,0)),""))</f>
        <v/>
      </c>
      <c r="N403" s="69" t="n"/>
      <c r="O403" s="69" t="n"/>
      <c r="P403" s="70">
        <f>IF(C403="","",N(L403)+N(M403)+N(N403)+N(O403))</f>
        <v/>
      </c>
      <c r="Q403" s="58" t="n"/>
      <c r="R403" s="57" t="n"/>
      <c r="S403" s="57" t="n"/>
      <c r="T403" s="57" t="n"/>
      <c r="U403" s="62">
        <f>IF(C403="","",IF(COUNTIF(Tarieven!$A$2:$A$200,C403)=0,"Klant niet in Tarieven",IF(MOD(N(H403),1)*100&gt;59.4,"Tijd ongeldig: minuten boven 59",IF(J403="Nog bepalen","Prijstype nog bepalen",IF(AND(J403="Per uur",N(K403)=0),"Uurtarief ontbreekt",IF(AND(J403="Vaste prijs",N(K403)=0),"Vaste prijs ontbreekt",IF(AND(N(I403)=0,Q403&lt;&gt;"Niet doorgegaan / verplaatst",Q403&lt;&gt;"Geen factuur nodig"),"Geen uren",IF(AND(G403="NEE",Q403="Verstuurd"),"Verstuurd terwijl werk niet af",IF(IFERROR(VLOOKUP(C403,Tarieven!$A$2:$F$200,2,0),"")="Beide","Beide-klant: controleer prijstype","OK")))))))))</f>
        <v/>
      </c>
    </row>
    <row r="404" ht="15" customHeight="1" s="42">
      <c r="A404" s="56">
        <f>IF(B404="","",WEEKNUM(B404,21))</f>
        <v/>
      </c>
      <c r="B404" s="55" t="n"/>
      <c r="C404" s="57" t="n"/>
      <c r="D404" s="57" t="n"/>
      <c r="E404" s="57" t="n"/>
      <c r="F404" s="57" t="n"/>
      <c r="G404" s="67" t="n"/>
      <c r="H404" s="68" t="n"/>
      <c r="I404" s="61">
        <f>IF(C404="","",IF(H404&lt;&gt;"",INT(H404)+ROUND(MOD(H404,1)*100/60,2),SUMIFS(Registraties!$L$5:$L$3004,Registraties!$D$5:$D$3004,C404,Registraties!$A$5:$A$3004,B404)))</f>
        <v/>
      </c>
      <c r="J404" s="58">
        <f>IF(C404="","",IFERROR(IF(VLOOKUP(C404,Tarieven!$A$2:$F$200,2,0)="Beide","Per uur",VLOOKUP(C404,Tarieven!$A$2:$F$200,2,0)),"Nog bepalen"))</f>
        <v/>
      </c>
      <c r="K404" s="69">
        <f>IF(C404="","",IF(J404="Per uur",IFERROR(VLOOKUP(C404,Tarieven!$A$2:$F$200,3,0),""),IF(J404="Vaste prijs",IFERROR(VLOOKUP(C404,Tarieven!$A$2:$F$200,4,0),""),"")))</f>
        <v/>
      </c>
      <c r="L404" s="70">
        <f>IF(C404="","",IF(J404="Per uur",N(I404)*N(K404),IF(J404="Vaste prijs",N(K404),0)))</f>
        <v/>
      </c>
      <c r="M404" s="69">
        <f>IF(C404="","",IFERROR(IF(N(VLOOKUP(C404,Tarieven!$A$2:$F$200,5,0))=0,"",VLOOKUP(C404,Tarieven!$A$2:$F$200,5,0)),""))</f>
        <v/>
      </c>
      <c r="N404" s="69" t="n"/>
      <c r="O404" s="69" t="n"/>
      <c r="P404" s="70">
        <f>IF(C404="","",N(L404)+N(M404)+N(N404)+N(O404))</f>
        <v/>
      </c>
      <c r="Q404" s="58" t="n"/>
      <c r="R404" s="57" t="n"/>
      <c r="S404" s="57" t="n"/>
      <c r="T404" s="57" t="n"/>
      <c r="U404" s="62">
        <f>IF(C404="","",IF(COUNTIF(Tarieven!$A$2:$A$200,C404)=0,"Klant niet in Tarieven",IF(MOD(N(H404),1)*100&gt;59.4,"Tijd ongeldig: minuten boven 59",IF(J404="Nog bepalen","Prijstype nog bepalen",IF(AND(J404="Per uur",N(K404)=0),"Uurtarief ontbreekt",IF(AND(J404="Vaste prijs",N(K404)=0),"Vaste prijs ontbreekt",IF(AND(N(I404)=0,Q404&lt;&gt;"Niet doorgegaan / verplaatst",Q404&lt;&gt;"Geen factuur nodig"),"Geen uren",IF(AND(G404="NEE",Q404="Verstuurd"),"Verstuurd terwijl werk niet af",IF(IFERROR(VLOOKUP(C404,Tarieven!$A$2:$F$200,2,0),"")="Beide","Beide-klant: controleer prijstype","OK")))))))))</f>
        <v/>
      </c>
    </row>
    <row r="405" ht="15" customHeight="1" s="42">
      <c r="A405" s="56">
        <f>IF(B405="","",WEEKNUM(B405,21))</f>
        <v/>
      </c>
      <c r="B405" s="55" t="n"/>
      <c r="C405" s="57" t="n"/>
      <c r="D405" s="57" t="n"/>
      <c r="E405" s="57" t="n"/>
      <c r="F405" s="57" t="n"/>
      <c r="G405" s="67" t="n"/>
      <c r="H405" s="68" t="n"/>
      <c r="I405" s="61">
        <f>IF(C405="","",IF(H405&lt;&gt;"",INT(H405)+ROUND(MOD(H405,1)*100/60,2),SUMIFS(Registraties!$L$5:$L$3004,Registraties!$D$5:$D$3004,C405,Registraties!$A$5:$A$3004,B405)))</f>
        <v/>
      </c>
      <c r="J405" s="58">
        <f>IF(C405="","",IFERROR(IF(VLOOKUP(C405,Tarieven!$A$2:$F$200,2,0)="Beide","Per uur",VLOOKUP(C405,Tarieven!$A$2:$F$200,2,0)),"Nog bepalen"))</f>
        <v/>
      </c>
      <c r="K405" s="69">
        <f>IF(C405="","",IF(J405="Per uur",IFERROR(VLOOKUP(C405,Tarieven!$A$2:$F$200,3,0),""),IF(J405="Vaste prijs",IFERROR(VLOOKUP(C405,Tarieven!$A$2:$F$200,4,0),""),"")))</f>
        <v/>
      </c>
      <c r="L405" s="70">
        <f>IF(C405="","",IF(J405="Per uur",N(I405)*N(K405),IF(J405="Vaste prijs",N(K405),0)))</f>
        <v/>
      </c>
      <c r="M405" s="69">
        <f>IF(C405="","",IFERROR(IF(N(VLOOKUP(C405,Tarieven!$A$2:$F$200,5,0))=0,"",VLOOKUP(C405,Tarieven!$A$2:$F$200,5,0)),""))</f>
        <v/>
      </c>
      <c r="N405" s="69" t="n"/>
      <c r="O405" s="69" t="n"/>
      <c r="P405" s="70">
        <f>IF(C405="","",N(L405)+N(M405)+N(N405)+N(O405))</f>
        <v/>
      </c>
      <c r="Q405" s="58" t="n"/>
      <c r="R405" s="57" t="n"/>
      <c r="S405" s="57" t="n"/>
      <c r="T405" s="57" t="n"/>
      <c r="U405" s="62">
        <f>IF(C405="","",IF(COUNTIF(Tarieven!$A$2:$A$200,C405)=0,"Klant niet in Tarieven",IF(MOD(N(H405),1)*100&gt;59.4,"Tijd ongeldig: minuten boven 59",IF(J405="Nog bepalen","Prijstype nog bepalen",IF(AND(J405="Per uur",N(K405)=0),"Uurtarief ontbreekt",IF(AND(J405="Vaste prijs",N(K405)=0),"Vaste prijs ontbreekt",IF(AND(N(I405)=0,Q405&lt;&gt;"Niet doorgegaan / verplaatst",Q405&lt;&gt;"Geen factuur nodig"),"Geen uren",IF(AND(G405="NEE",Q405="Verstuurd"),"Verstuurd terwijl werk niet af",IF(IFERROR(VLOOKUP(C405,Tarieven!$A$2:$F$200,2,0),"")="Beide","Beide-klant: controleer prijstype","OK")))))))))</f>
        <v/>
      </c>
    </row>
    <row r="406" ht="15" customHeight="1" s="42">
      <c r="A406" s="56">
        <f>IF(B406="","",WEEKNUM(B406,21))</f>
        <v/>
      </c>
      <c r="B406" s="55" t="n"/>
      <c r="C406" s="57" t="n"/>
      <c r="D406" s="57" t="n"/>
      <c r="E406" s="57" t="n"/>
      <c r="F406" s="57" t="n"/>
      <c r="G406" s="67" t="n"/>
      <c r="H406" s="68" t="n"/>
      <c r="I406" s="61">
        <f>IF(C406="","",IF(H406&lt;&gt;"",INT(H406)+ROUND(MOD(H406,1)*100/60,2),SUMIFS(Registraties!$L$5:$L$3004,Registraties!$D$5:$D$3004,C406,Registraties!$A$5:$A$3004,B406)))</f>
        <v/>
      </c>
      <c r="J406" s="58">
        <f>IF(C406="","",IFERROR(IF(VLOOKUP(C406,Tarieven!$A$2:$F$200,2,0)="Beide","Per uur",VLOOKUP(C406,Tarieven!$A$2:$F$200,2,0)),"Nog bepalen"))</f>
        <v/>
      </c>
      <c r="K406" s="69">
        <f>IF(C406="","",IF(J406="Per uur",IFERROR(VLOOKUP(C406,Tarieven!$A$2:$F$200,3,0),""),IF(J406="Vaste prijs",IFERROR(VLOOKUP(C406,Tarieven!$A$2:$F$200,4,0),""),"")))</f>
        <v/>
      </c>
      <c r="L406" s="70">
        <f>IF(C406="","",IF(J406="Per uur",N(I406)*N(K406),IF(J406="Vaste prijs",N(K406),0)))</f>
        <v/>
      </c>
      <c r="M406" s="69">
        <f>IF(C406="","",IFERROR(IF(N(VLOOKUP(C406,Tarieven!$A$2:$F$200,5,0))=0,"",VLOOKUP(C406,Tarieven!$A$2:$F$200,5,0)),""))</f>
        <v/>
      </c>
      <c r="N406" s="69" t="n"/>
      <c r="O406" s="69" t="n"/>
      <c r="P406" s="70">
        <f>IF(C406="","",N(L406)+N(M406)+N(N406)+N(O406))</f>
        <v/>
      </c>
      <c r="Q406" s="58" t="n"/>
      <c r="R406" s="57" t="n"/>
      <c r="S406" s="57" t="n"/>
      <c r="T406" s="57" t="n"/>
      <c r="U406" s="62">
        <f>IF(C406="","",IF(COUNTIF(Tarieven!$A$2:$A$200,C406)=0,"Klant niet in Tarieven",IF(MOD(N(H406),1)*100&gt;59.4,"Tijd ongeldig: minuten boven 59",IF(J406="Nog bepalen","Prijstype nog bepalen",IF(AND(J406="Per uur",N(K406)=0),"Uurtarief ontbreekt",IF(AND(J406="Vaste prijs",N(K406)=0),"Vaste prijs ontbreekt",IF(AND(N(I406)=0,Q406&lt;&gt;"Niet doorgegaan / verplaatst",Q406&lt;&gt;"Geen factuur nodig"),"Geen uren",IF(AND(G406="NEE",Q406="Verstuurd"),"Verstuurd terwijl werk niet af",IF(IFERROR(VLOOKUP(C406,Tarieven!$A$2:$F$200,2,0),"")="Beide","Beide-klant: controleer prijstype","OK")))))))))</f>
        <v/>
      </c>
    </row>
    <row r="407" ht="15" customHeight="1" s="42">
      <c r="A407" s="56">
        <f>IF(B407="","",WEEKNUM(B407,21))</f>
        <v/>
      </c>
      <c r="B407" s="55" t="n"/>
      <c r="C407" s="57" t="n"/>
      <c r="D407" s="57" t="n"/>
      <c r="E407" s="57" t="n"/>
      <c r="F407" s="57" t="n"/>
      <c r="G407" s="67" t="n"/>
      <c r="H407" s="68" t="n"/>
      <c r="I407" s="61">
        <f>IF(C407="","",IF(H407&lt;&gt;"",INT(H407)+ROUND(MOD(H407,1)*100/60,2),SUMIFS(Registraties!$L$5:$L$3004,Registraties!$D$5:$D$3004,C407,Registraties!$A$5:$A$3004,B407)))</f>
        <v/>
      </c>
      <c r="J407" s="58">
        <f>IF(C407="","",IFERROR(IF(VLOOKUP(C407,Tarieven!$A$2:$F$200,2,0)="Beide","Per uur",VLOOKUP(C407,Tarieven!$A$2:$F$200,2,0)),"Nog bepalen"))</f>
        <v/>
      </c>
      <c r="K407" s="69">
        <f>IF(C407="","",IF(J407="Per uur",IFERROR(VLOOKUP(C407,Tarieven!$A$2:$F$200,3,0),""),IF(J407="Vaste prijs",IFERROR(VLOOKUP(C407,Tarieven!$A$2:$F$200,4,0),""),"")))</f>
        <v/>
      </c>
      <c r="L407" s="70">
        <f>IF(C407="","",IF(J407="Per uur",N(I407)*N(K407),IF(J407="Vaste prijs",N(K407),0)))</f>
        <v/>
      </c>
      <c r="M407" s="69">
        <f>IF(C407="","",IFERROR(IF(N(VLOOKUP(C407,Tarieven!$A$2:$F$200,5,0))=0,"",VLOOKUP(C407,Tarieven!$A$2:$F$200,5,0)),""))</f>
        <v/>
      </c>
      <c r="N407" s="69" t="n"/>
      <c r="O407" s="69" t="n"/>
      <c r="P407" s="70">
        <f>IF(C407="","",N(L407)+N(M407)+N(N407)+N(O407))</f>
        <v/>
      </c>
      <c r="Q407" s="58" t="n"/>
      <c r="R407" s="57" t="n"/>
      <c r="S407" s="57" t="n"/>
      <c r="T407" s="57" t="n"/>
      <c r="U407" s="62">
        <f>IF(C407="","",IF(COUNTIF(Tarieven!$A$2:$A$200,C407)=0,"Klant niet in Tarieven",IF(MOD(N(H407),1)*100&gt;59.4,"Tijd ongeldig: minuten boven 59",IF(J407="Nog bepalen","Prijstype nog bepalen",IF(AND(J407="Per uur",N(K407)=0),"Uurtarief ontbreekt",IF(AND(J407="Vaste prijs",N(K407)=0),"Vaste prijs ontbreekt",IF(AND(N(I407)=0,Q407&lt;&gt;"Niet doorgegaan / verplaatst",Q407&lt;&gt;"Geen factuur nodig"),"Geen uren",IF(AND(G407="NEE",Q407="Verstuurd"),"Verstuurd terwijl werk niet af",IF(IFERROR(VLOOKUP(C407,Tarieven!$A$2:$F$200,2,0),"")="Beide","Beide-klant: controleer prijstype","OK")))))))))</f>
        <v/>
      </c>
    </row>
    <row r="408" ht="15" customHeight="1" s="42">
      <c r="A408" s="56">
        <f>IF(B408="","",WEEKNUM(B408,21))</f>
        <v/>
      </c>
      <c r="B408" s="55" t="n"/>
      <c r="C408" s="57" t="n"/>
      <c r="D408" s="57" t="n"/>
      <c r="E408" s="57" t="n"/>
      <c r="F408" s="57" t="n"/>
      <c r="G408" s="67" t="n"/>
      <c r="H408" s="68" t="n"/>
      <c r="I408" s="61">
        <f>IF(C408="","",IF(H408&lt;&gt;"",INT(H408)+ROUND(MOD(H408,1)*100/60,2),SUMIFS(Registraties!$L$5:$L$3004,Registraties!$D$5:$D$3004,C408,Registraties!$A$5:$A$3004,B408)))</f>
        <v/>
      </c>
      <c r="J408" s="58">
        <f>IF(C408="","",IFERROR(IF(VLOOKUP(C408,Tarieven!$A$2:$F$200,2,0)="Beide","Per uur",VLOOKUP(C408,Tarieven!$A$2:$F$200,2,0)),"Nog bepalen"))</f>
        <v/>
      </c>
      <c r="K408" s="69">
        <f>IF(C408="","",IF(J408="Per uur",IFERROR(VLOOKUP(C408,Tarieven!$A$2:$F$200,3,0),""),IF(J408="Vaste prijs",IFERROR(VLOOKUP(C408,Tarieven!$A$2:$F$200,4,0),""),"")))</f>
        <v/>
      </c>
      <c r="L408" s="70">
        <f>IF(C408="","",IF(J408="Per uur",N(I408)*N(K408),IF(J408="Vaste prijs",N(K408),0)))</f>
        <v/>
      </c>
      <c r="M408" s="69">
        <f>IF(C408="","",IFERROR(IF(N(VLOOKUP(C408,Tarieven!$A$2:$F$200,5,0))=0,"",VLOOKUP(C408,Tarieven!$A$2:$F$200,5,0)),""))</f>
        <v/>
      </c>
      <c r="N408" s="69" t="n"/>
      <c r="O408" s="69" t="n"/>
      <c r="P408" s="70">
        <f>IF(C408="","",N(L408)+N(M408)+N(N408)+N(O408))</f>
        <v/>
      </c>
      <c r="Q408" s="58" t="n"/>
      <c r="R408" s="57" t="n"/>
      <c r="S408" s="57" t="n"/>
      <c r="T408" s="57" t="n"/>
      <c r="U408" s="62">
        <f>IF(C408="","",IF(COUNTIF(Tarieven!$A$2:$A$200,C408)=0,"Klant niet in Tarieven",IF(MOD(N(H408),1)*100&gt;59.4,"Tijd ongeldig: minuten boven 59",IF(J408="Nog bepalen","Prijstype nog bepalen",IF(AND(J408="Per uur",N(K408)=0),"Uurtarief ontbreekt",IF(AND(J408="Vaste prijs",N(K408)=0),"Vaste prijs ontbreekt",IF(AND(N(I408)=0,Q408&lt;&gt;"Niet doorgegaan / verplaatst",Q408&lt;&gt;"Geen factuur nodig"),"Geen uren",IF(AND(G408="NEE",Q408="Verstuurd"),"Verstuurd terwijl werk niet af",IF(IFERROR(VLOOKUP(C408,Tarieven!$A$2:$F$200,2,0),"")="Beide","Beide-klant: controleer prijstype","OK")))))))))</f>
        <v/>
      </c>
    </row>
    <row r="409" ht="15" customHeight="1" s="42">
      <c r="A409" s="56">
        <f>IF(B409="","",WEEKNUM(B409,21))</f>
        <v/>
      </c>
      <c r="B409" s="55" t="n"/>
      <c r="C409" s="57" t="n"/>
      <c r="D409" s="57" t="n"/>
      <c r="E409" s="57" t="n"/>
      <c r="F409" s="57" t="n"/>
      <c r="G409" s="67" t="n"/>
      <c r="H409" s="68" t="n"/>
      <c r="I409" s="61">
        <f>IF(C409="","",IF(H409&lt;&gt;"",INT(H409)+ROUND(MOD(H409,1)*100/60,2),SUMIFS(Registraties!$L$5:$L$3004,Registraties!$D$5:$D$3004,C409,Registraties!$A$5:$A$3004,B409)))</f>
        <v/>
      </c>
      <c r="J409" s="58">
        <f>IF(C409="","",IFERROR(IF(VLOOKUP(C409,Tarieven!$A$2:$F$200,2,0)="Beide","Per uur",VLOOKUP(C409,Tarieven!$A$2:$F$200,2,0)),"Nog bepalen"))</f>
        <v/>
      </c>
      <c r="K409" s="69">
        <f>IF(C409="","",IF(J409="Per uur",IFERROR(VLOOKUP(C409,Tarieven!$A$2:$F$200,3,0),""),IF(J409="Vaste prijs",IFERROR(VLOOKUP(C409,Tarieven!$A$2:$F$200,4,0),""),"")))</f>
        <v/>
      </c>
      <c r="L409" s="70">
        <f>IF(C409="","",IF(J409="Per uur",N(I409)*N(K409),IF(J409="Vaste prijs",N(K409),0)))</f>
        <v/>
      </c>
      <c r="M409" s="69">
        <f>IF(C409="","",IFERROR(IF(N(VLOOKUP(C409,Tarieven!$A$2:$F$200,5,0))=0,"",VLOOKUP(C409,Tarieven!$A$2:$F$200,5,0)),""))</f>
        <v/>
      </c>
      <c r="N409" s="69" t="n"/>
      <c r="O409" s="69" t="n"/>
      <c r="P409" s="70">
        <f>IF(C409="","",N(L409)+N(M409)+N(N409)+N(O409))</f>
        <v/>
      </c>
      <c r="Q409" s="58" t="n"/>
      <c r="R409" s="57" t="n"/>
      <c r="S409" s="57" t="n"/>
      <c r="T409" s="57" t="n"/>
      <c r="U409" s="62">
        <f>IF(C409="","",IF(COUNTIF(Tarieven!$A$2:$A$200,C409)=0,"Klant niet in Tarieven",IF(MOD(N(H409),1)*100&gt;59.4,"Tijd ongeldig: minuten boven 59",IF(J409="Nog bepalen","Prijstype nog bepalen",IF(AND(J409="Per uur",N(K409)=0),"Uurtarief ontbreekt",IF(AND(J409="Vaste prijs",N(K409)=0),"Vaste prijs ontbreekt",IF(AND(N(I409)=0,Q409&lt;&gt;"Niet doorgegaan / verplaatst",Q409&lt;&gt;"Geen factuur nodig"),"Geen uren",IF(AND(G409="NEE",Q409="Verstuurd"),"Verstuurd terwijl werk niet af",IF(IFERROR(VLOOKUP(C409,Tarieven!$A$2:$F$200,2,0),"")="Beide","Beide-klant: controleer prijstype","OK")))))))))</f>
        <v/>
      </c>
    </row>
    <row r="410" ht="15" customHeight="1" s="42">
      <c r="A410" s="56">
        <f>IF(B410="","",WEEKNUM(B410,21))</f>
        <v/>
      </c>
      <c r="B410" s="55" t="n"/>
      <c r="C410" s="57" t="n"/>
      <c r="D410" s="57" t="n"/>
      <c r="E410" s="57" t="n"/>
      <c r="F410" s="57" t="n"/>
      <c r="G410" s="67" t="n"/>
      <c r="H410" s="68" t="n"/>
      <c r="I410" s="61">
        <f>IF(C410="","",IF(H410&lt;&gt;"",INT(H410)+ROUND(MOD(H410,1)*100/60,2),SUMIFS(Registraties!$L$5:$L$3004,Registraties!$D$5:$D$3004,C410,Registraties!$A$5:$A$3004,B410)))</f>
        <v/>
      </c>
      <c r="J410" s="58">
        <f>IF(C410="","",IFERROR(IF(VLOOKUP(C410,Tarieven!$A$2:$F$200,2,0)="Beide","Per uur",VLOOKUP(C410,Tarieven!$A$2:$F$200,2,0)),"Nog bepalen"))</f>
        <v/>
      </c>
      <c r="K410" s="69">
        <f>IF(C410="","",IF(J410="Per uur",IFERROR(VLOOKUP(C410,Tarieven!$A$2:$F$200,3,0),""),IF(J410="Vaste prijs",IFERROR(VLOOKUP(C410,Tarieven!$A$2:$F$200,4,0),""),"")))</f>
        <v/>
      </c>
      <c r="L410" s="70">
        <f>IF(C410="","",IF(J410="Per uur",N(I410)*N(K410),IF(J410="Vaste prijs",N(K410),0)))</f>
        <v/>
      </c>
      <c r="M410" s="69">
        <f>IF(C410="","",IFERROR(IF(N(VLOOKUP(C410,Tarieven!$A$2:$F$200,5,0))=0,"",VLOOKUP(C410,Tarieven!$A$2:$F$200,5,0)),""))</f>
        <v/>
      </c>
      <c r="N410" s="69" t="n"/>
      <c r="O410" s="69" t="n"/>
      <c r="P410" s="70">
        <f>IF(C410="","",N(L410)+N(M410)+N(N410)+N(O410))</f>
        <v/>
      </c>
      <c r="Q410" s="58" t="n"/>
      <c r="R410" s="57" t="n"/>
      <c r="S410" s="57" t="n"/>
      <c r="T410" s="57" t="n"/>
      <c r="U410" s="62">
        <f>IF(C410="","",IF(COUNTIF(Tarieven!$A$2:$A$200,C410)=0,"Klant niet in Tarieven",IF(MOD(N(H410),1)*100&gt;59.4,"Tijd ongeldig: minuten boven 59",IF(J410="Nog bepalen","Prijstype nog bepalen",IF(AND(J410="Per uur",N(K410)=0),"Uurtarief ontbreekt",IF(AND(J410="Vaste prijs",N(K410)=0),"Vaste prijs ontbreekt",IF(AND(N(I410)=0,Q410&lt;&gt;"Niet doorgegaan / verplaatst",Q410&lt;&gt;"Geen factuur nodig"),"Geen uren",IF(AND(G410="NEE",Q410="Verstuurd"),"Verstuurd terwijl werk niet af",IF(IFERROR(VLOOKUP(C410,Tarieven!$A$2:$F$200,2,0),"")="Beide","Beide-klant: controleer prijstype","OK")))))))))</f>
        <v/>
      </c>
    </row>
    <row r="411" ht="15" customHeight="1" s="42">
      <c r="A411" s="56">
        <f>IF(B411="","",WEEKNUM(B411,21))</f>
        <v/>
      </c>
      <c r="B411" s="55" t="n"/>
      <c r="C411" s="57" t="n"/>
      <c r="D411" s="57" t="n"/>
      <c r="E411" s="57" t="n"/>
      <c r="F411" s="57" t="n"/>
      <c r="G411" s="67" t="n"/>
      <c r="H411" s="68" t="n"/>
      <c r="I411" s="61">
        <f>IF(C411="","",IF(H411&lt;&gt;"",INT(H411)+ROUND(MOD(H411,1)*100/60,2),SUMIFS(Registraties!$L$5:$L$3004,Registraties!$D$5:$D$3004,C411,Registraties!$A$5:$A$3004,B411)))</f>
        <v/>
      </c>
      <c r="J411" s="58">
        <f>IF(C411="","",IFERROR(IF(VLOOKUP(C411,Tarieven!$A$2:$F$200,2,0)="Beide","Per uur",VLOOKUP(C411,Tarieven!$A$2:$F$200,2,0)),"Nog bepalen"))</f>
        <v/>
      </c>
      <c r="K411" s="69">
        <f>IF(C411="","",IF(J411="Per uur",IFERROR(VLOOKUP(C411,Tarieven!$A$2:$F$200,3,0),""),IF(J411="Vaste prijs",IFERROR(VLOOKUP(C411,Tarieven!$A$2:$F$200,4,0),""),"")))</f>
        <v/>
      </c>
      <c r="L411" s="70">
        <f>IF(C411="","",IF(J411="Per uur",N(I411)*N(K411),IF(J411="Vaste prijs",N(K411),0)))</f>
        <v/>
      </c>
      <c r="M411" s="69">
        <f>IF(C411="","",IFERROR(IF(N(VLOOKUP(C411,Tarieven!$A$2:$F$200,5,0))=0,"",VLOOKUP(C411,Tarieven!$A$2:$F$200,5,0)),""))</f>
        <v/>
      </c>
      <c r="N411" s="69" t="n"/>
      <c r="O411" s="69" t="n"/>
      <c r="P411" s="70">
        <f>IF(C411="","",N(L411)+N(M411)+N(N411)+N(O411))</f>
        <v/>
      </c>
      <c r="Q411" s="58" t="n"/>
      <c r="R411" s="57" t="n"/>
      <c r="S411" s="57" t="n"/>
      <c r="T411" s="57" t="n"/>
      <c r="U411" s="62">
        <f>IF(C411="","",IF(COUNTIF(Tarieven!$A$2:$A$200,C411)=0,"Klant niet in Tarieven",IF(MOD(N(H411),1)*100&gt;59.4,"Tijd ongeldig: minuten boven 59",IF(J411="Nog bepalen","Prijstype nog bepalen",IF(AND(J411="Per uur",N(K411)=0),"Uurtarief ontbreekt",IF(AND(J411="Vaste prijs",N(K411)=0),"Vaste prijs ontbreekt",IF(AND(N(I411)=0,Q411&lt;&gt;"Niet doorgegaan / verplaatst",Q411&lt;&gt;"Geen factuur nodig"),"Geen uren",IF(AND(G411="NEE",Q411="Verstuurd"),"Verstuurd terwijl werk niet af",IF(IFERROR(VLOOKUP(C411,Tarieven!$A$2:$F$200,2,0),"")="Beide","Beide-klant: controleer prijstype","OK")))))))))</f>
        <v/>
      </c>
    </row>
    <row r="412" ht="15" customHeight="1" s="42">
      <c r="A412" s="56">
        <f>IF(B412="","",WEEKNUM(B412,21))</f>
        <v/>
      </c>
      <c r="B412" s="55" t="n"/>
      <c r="C412" s="57" t="n"/>
      <c r="D412" s="57" t="n"/>
      <c r="E412" s="57" t="n"/>
      <c r="F412" s="57" t="n"/>
      <c r="G412" s="67" t="n"/>
      <c r="H412" s="68" t="n"/>
      <c r="I412" s="61">
        <f>IF(C412="","",IF(H412&lt;&gt;"",INT(H412)+ROUND(MOD(H412,1)*100/60,2),SUMIFS(Registraties!$L$5:$L$3004,Registraties!$D$5:$D$3004,C412,Registraties!$A$5:$A$3004,B412)))</f>
        <v/>
      </c>
      <c r="J412" s="58">
        <f>IF(C412="","",IFERROR(IF(VLOOKUP(C412,Tarieven!$A$2:$F$200,2,0)="Beide","Per uur",VLOOKUP(C412,Tarieven!$A$2:$F$200,2,0)),"Nog bepalen"))</f>
        <v/>
      </c>
      <c r="K412" s="69">
        <f>IF(C412="","",IF(J412="Per uur",IFERROR(VLOOKUP(C412,Tarieven!$A$2:$F$200,3,0),""),IF(J412="Vaste prijs",IFERROR(VLOOKUP(C412,Tarieven!$A$2:$F$200,4,0),""),"")))</f>
        <v/>
      </c>
      <c r="L412" s="70">
        <f>IF(C412="","",IF(J412="Per uur",N(I412)*N(K412),IF(J412="Vaste prijs",N(K412),0)))</f>
        <v/>
      </c>
      <c r="M412" s="69">
        <f>IF(C412="","",IFERROR(IF(N(VLOOKUP(C412,Tarieven!$A$2:$F$200,5,0))=0,"",VLOOKUP(C412,Tarieven!$A$2:$F$200,5,0)),""))</f>
        <v/>
      </c>
      <c r="N412" s="69" t="n"/>
      <c r="O412" s="69" t="n"/>
      <c r="P412" s="70">
        <f>IF(C412="","",N(L412)+N(M412)+N(N412)+N(O412))</f>
        <v/>
      </c>
      <c r="Q412" s="58" t="n"/>
      <c r="R412" s="57" t="n"/>
      <c r="S412" s="57" t="n"/>
      <c r="T412" s="57" t="n"/>
      <c r="U412" s="62">
        <f>IF(C412="","",IF(COUNTIF(Tarieven!$A$2:$A$200,C412)=0,"Klant niet in Tarieven",IF(MOD(N(H412),1)*100&gt;59.4,"Tijd ongeldig: minuten boven 59",IF(J412="Nog bepalen","Prijstype nog bepalen",IF(AND(J412="Per uur",N(K412)=0),"Uurtarief ontbreekt",IF(AND(J412="Vaste prijs",N(K412)=0),"Vaste prijs ontbreekt",IF(AND(N(I412)=0,Q412&lt;&gt;"Niet doorgegaan / verplaatst",Q412&lt;&gt;"Geen factuur nodig"),"Geen uren",IF(AND(G412="NEE",Q412="Verstuurd"),"Verstuurd terwijl werk niet af",IF(IFERROR(VLOOKUP(C412,Tarieven!$A$2:$F$200,2,0),"")="Beide","Beide-klant: controleer prijstype","OK")))))))))</f>
        <v/>
      </c>
    </row>
    <row r="413" ht="15" customHeight="1" s="42">
      <c r="A413" s="56">
        <f>IF(B413="","",WEEKNUM(B413,21))</f>
        <v/>
      </c>
      <c r="B413" s="55" t="n"/>
      <c r="C413" s="57" t="n"/>
      <c r="D413" s="57" t="n"/>
      <c r="E413" s="57" t="n"/>
      <c r="F413" s="57" t="n"/>
      <c r="G413" s="67" t="n"/>
      <c r="H413" s="68" t="n"/>
      <c r="I413" s="61">
        <f>IF(C413="","",IF(H413&lt;&gt;"",INT(H413)+ROUND(MOD(H413,1)*100/60,2),SUMIFS(Registraties!$L$5:$L$3004,Registraties!$D$5:$D$3004,C413,Registraties!$A$5:$A$3004,B413)))</f>
        <v/>
      </c>
      <c r="J413" s="58">
        <f>IF(C413="","",IFERROR(IF(VLOOKUP(C413,Tarieven!$A$2:$F$200,2,0)="Beide","Per uur",VLOOKUP(C413,Tarieven!$A$2:$F$200,2,0)),"Nog bepalen"))</f>
        <v/>
      </c>
      <c r="K413" s="69">
        <f>IF(C413="","",IF(J413="Per uur",IFERROR(VLOOKUP(C413,Tarieven!$A$2:$F$200,3,0),""),IF(J413="Vaste prijs",IFERROR(VLOOKUP(C413,Tarieven!$A$2:$F$200,4,0),""),"")))</f>
        <v/>
      </c>
      <c r="L413" s="70">
        <f>IF(C413="","",IF(J413="Per uur",N(I413)*N(K413),IF(J413="Vaste prijs",N(K413),0)))</f>
        <v/>
      </c>
      <c r="M413" s="69">
        <f>IF(C413="","",IFERROR(IF(N(VLOOKUP(C413,Tarieven!$A$2:$F$200,5,0))=0,"",VLOOKUP(C413,Tarieven!$A$2:$F$200,5,0)),""))</f>
        <v/>
      </c>
      <c r="N413" s="69" t="n"/>
      <c r="O413" s="69" t="n"/>
      <c r="P413" s="70">
        <f>IF(C413="","",N(L413)+N(M413)+N(N413)+N(O413))</f>
        <v/>
      </c>
      <c r="Q413" s="58" t="n"/>
      <c r="R413" s="57" t="n"/>
      <c r="S413" s="57" t="n"/>
      <c r="T413" s="57" t="n"/>
      <c r="U413" s="62">
        <f>IF(C413="","",IF(COUNTIF(Tarieven!$A$2:$A$200,C413)=0,"Klant niet in Tarieven",IF(MOD(N(H413),1)*100&gt;59.4,"Tijd ongeldig: minuten boven 59",IF(J413="Nog bepalen","Prijstype nog bepalen",IF(AND(J413="Per uur",N(K413)=0),"Uurtarief ontbreekt",IF(AND(J413="Vaste prijs",N(K413)=0),"Vaste prijs ontbreekt",IF(AND(N(I413)=0,Q413&lt;&gt;"Niet doorgegaan / verplaatst",Q413&lt;&gt;"Geen factuur nodig"),"Geen uren",IF(AND(G413="NEE",Q413="Verstuurd"),"Verstuurd terwijl werk niet af",IF(IFERROR(VLOOKUP(C413,Tarieven!$A$2:$F$200,2,0),"")="Beide","Beide-klant: controleer prijstype","OK")))))))))</f>
        <v/>
      </c>
    </row>
    <row r="414" ht="15" customHeight="1" s="42">
      <c r="A414" s="56">
        <f>IF(B414="","",WEEKNUM(B414,21))</f>
        <v/>
      </c>
      <c r="B414" s="55" t="n"/>
      <c r="C414" s="57" t="n"/>
      <c r="D414" s="57" t="n"/>
      <c r="E414" s="57" t="n"/>
      <c r="F414" s="57" t="n"/>
      <c r="G414" s="67" t="n"/>
      <c r="H414" s="68" t="n"/>
      <c r="I414" s="61">
        <f>IF(C414="","",IF(H414&lt;&gt;"",INT(H414)+ROUND(MOD(H414,1)*100/60,2),SUMIFS(Registraties!$L$5:$L$3004,Registraties!$D$5:$D$3004,C414,Registraties!$A$5:$A$3004,B414)))</f>
        <v/>
      </c>
      <c r="J414" s="58">
        <f>IF(C414="","",IFERROR(IF(VLOOKUP(C414,Tarieven!$A$2:$F$200,2,0)="Beide","Per uur",VLOOKUP(C414,Tarieven!$A$2:$F$200,2,0)),"Nog bepalen"))</f>
        <v/>
      </c>
      <c r="K414" s="69">
        <f>IF(C414="","",IF(J414="Per uur",IFERROR(VLOOKUP(C414,Tarieven!$A$2:$F$200,3,0),""),IF(J414="Vaste prijs",IFERROR(VLOOKUP(C414,Tarieven!$A$2:$F$200,4,0),""),"")))</f>
        <v/>
      </c>
      <c r="L414" s="70">
        <f>IF(C414="","",IF(J414="Per uur",N(I414)*N(K414),IF(J414="Vaste prijs",N(K414),0)))</f>
        <v/>
      </c>
      <c r="M414" s="69">
        <f>IF(C414="","",IFERROR(IF(N(VLOOKUP(C414,Tarieven!$A$2:$F$200,5,0))=0,"",VLOOKUP(C414,Tarieven!$A$2:$F$200,5,0)),""))</f>
        <v/>
      </c>
      <c r="N414" s="69" t="n"/>
      <c r="O414" s="69" t="n"/>
      <c r="P414" s="70">
        <f>IF(C414="","",N(L414)+N(M414)+N(N414)+N(O414))</f>
        <v/>
      </c>
      <c r="Q414" s="58" t="n"/>
      <c r="R414" s="57" t="n"/>
      <c r="S414" s="57" t="n"/>
      <c r="T414" s="57" t="n"/>
      <c r="U414" s="62">
        <f>IF(C414="","",IF(COUNTIF(Tarieven!$A$2:$A$200,C414)=0,"Klant niet in Tarieven",IF(MOD(N(H414),1)*100&gt;59.4,"Tijd ongeldig: minuten boven 59",IF(J414="Nog bepalen","Prijstype nog bepalen",IF(AND(J414="Per uur",N(K414)=0),"Uurtarief ontbreekt",IF(AND(J414="Vaste prijs",N(K414)=0),"Vaste prijs ontbreekt",IF(AND(N(I414)=0,Q414&lt;&gt;"Niet doorgegaan / verplaatst",Q414&lt;&gt;"Geen factuur nodig"),"Geen uren",IF(AND(G414="NEE",Q414="Verstuurd"),"Verstuurd terwijl werk niet af",IF(IFERROR(VLOOKUP(C414,Tarieven!$A$2:$F$200,2,0),"")="Beide","Beide-klant: controleer prijstype","OK")))))))))</f>
        <v/>
      </c>
    </row>
    <row r="415" ht="15" customHeight="1" s="42">
      <c r="A415" s="56">
        <f>IF(B415="","",WEEKNUM(B415,21))</f>
        <v/>
      </c>
      <c r="B415" s="55" t="n"/>
      <c r="C415" s="57" t="n"/>
      <c r="D415" s="57" t="n"/>
      <c r="E415" s="57" t="n"/>
      <c r="F415" s="57" t="n"/>
      <c r="G415" s="67" t="n"/>
      <c r="H415" s="68" t="n"/>
      <c r="I415" s="61">
        <f>IF(C415="","",IF(H415&lt;&gt;"",INT(H415)+ROUND(MOD(H415,1)*100/60,2),SUMIFS(Registraties!$L$5:$L$3004,Registraties!$D$5:$D$3004,C415,Registraties!$A$5:$A$3004,B415)))</f>
        <v/>
      </c>
      <c r="J415" s="58">
        <f>IF(C415="","",IFERROR(IF(VLOOKUP(C415,Tarieven!$A$2:$F$200,2,0)="Beide","Per uur",VLOOKUP(C415,Tarieven!$A$2:$F$200,2,0)),"Nog bepalen"))</f>
        <v/>
      </c>
      <c r="K415" s="69">
        <f>IF(C415="","",IF(J415="Per uur",IFERROR(VLOOKUP(C415,Tarieven!$A$2:$F$200,3,0),""),IF(J415="Vaste prijs",IFERROR(VLOOKUP(C415,Tarieven!$A$2:$F$200,4,0),""),"")))</f>
        <v/>
      </c>
      <c r="L415" s="70">
        <f>IF(C415="","",IF(J415="Per uur",N(I415)*N(K415),IF(J415="Vaste prijs",N(K415),0)))</f>
        <v/>
      </c>
      <c r="M415" s="69">
        <f>IF(C415="","",IFERROR(IF(N(VLOOKUP(C415,Tarieven!$A$2:$F$200,5,0))=0,"",VLOOKUP(C415,Tarieven!$A$2:$F$200,5,0)),""))</f>
        <v/>
      </c>
      <c r="N415" s="69" t="n"/>
      <c r="O415" s="69" t="n"/>
      <c r="P415" s="70">
        <f>IF(C415="","",N(L415)+N(M415)+N(N415)+N(O415))</f>
        <v/>
      </c>
      <c r="Q415" s="58" t="n"/>
      <c r="R415" s="57" t="n"/>
      <c r="S415" s="57" t="n"/>
      <c r="T415" s="57" t="n"/>
      <c r="U415" s="62">
        <f>IF(C415="","",IF(COUNTIF(Tarieven!$A$2:$A$200,C415)=0,"Klant niet in Tarieven",IF(MOD(N(H415),1)*100&gt;59.4,"Tijd ongeldig: minuten boven 59",IF(J415="Nog bepalen","Prijstype nog bepalen",IF(AND(J415="Per uur",N(K415)=0),"Uurtarief ontbreekt",IF(AND(J415="Vaste prijs",N(K415)=0),"Vaste prijs ontbreekt",IF(AND(N(I415)=0,Q415&lt;&gt;"Niet doorgegaan / verplaatst",Q415&lt;&gt;"Geen factuur nodig"),"Geen uren",IF(AND(G415="NEE",Q415="Verstuurd"),"Verstuurd terwijl werk niet af",IF(IFERROR(VLOOKUP(C415,Tarieven!$A$2:$F$200,2,0),"")="Beide","Beide-klant: controleer prijstype","OK")))))))))</f>
        <v/>
      </c>
    </row>
    <row r="416" ht="15" customHeight="1" s="42">
      <c r="A416" s="56">
        <f>IF(B416="","",WEEKNUM(B416,21))</f>
        <v/>
      </c>
      <c r="B416" s="55" t="n"/>
      <c r="C416" s="57" t="n"/>
      <c r="D416" s="57" t="n"/>
      <c r="E416" s="57" t="n"/>
      <c r="F416" s="57" t="n"/>
      <c r="G416" s="67" t="n"/>
      <c r="H416" s="68" t="n"/>
      <c r="I416" s="61">
        <f>IF(C416="","",IF(H416&lt;&gt;"",INT(H416)+ROUND(MOD(H416,1)*100/60,2),SUMIFS(Registraties!$L$5:$L$3004,Registraties!$D$5:$D$3004,C416,Registraties!$A$5:$A$3004,B416)))</f>
        <v/>
      </c>
      <c r="J416" s="58">
        <f>IF(C416="","",IFERROR(IF(VLOOKUP(C416,Tarieven!$A$2:$F$200,2,0)="Beide","Per uur",VLOOKUP(C416,Tarieven!$A$2:$F$200,2,0)),"Nog bepalen"))</f>
        <v/>
      </c>
      <c r="K416" s="69">
        <f>IF(C416="","",IF(J416="Per uur",IFERROR(VLOOKUP(C416,Tarieven!$A$2:$F$200,3,0),""),IF(J416="Vaste prijs",IFERROR(VLOOKUP(C416,Tarieven!$A$2:$F$200,4,0),""),"")))</f>
        <v/>
      </c>
      <c r="L416" s="70">
        <f>IF(C416="","",IF(J416="Per uur",N(I416)*N(K416),IF(J416="Vaste prijs",N(K416),0)))</f>
        <v/>
      </c>
      <c r="M416" s="69">
        <f>IF(C416="","",IFERROR(IF(N(VLOOKUP(C416,Tarieven!$A$2:$F$200,5,0))=0,"",VLOOKUP(C416,Tarieven!$A$2:$F$200,5,0)),""))</f>
        <v/>
      </c>
      <c r="N416" s="69" t="n"/>
      <c r="O416" s="69" t="n"/>
      <c r="P416" s="70">
        <f>IF(C416="","",N(L416)+N(M416)+N(N416)+N(O416))</f>
        <v/>
      </c>
      <c r="Q416" s="58" t="n"/>
      <c r="R416" s="57" t="n"/>
      <c r="S416" s="57" t="n"/>
      <c r="T416" s="57" t="n"/>
      <c r="U416" s="62">
        <f>IF(C416="","",IF(COUNTIF(Tarieven!$A$2:$A$200,C416)=0,"Klant niet in Tarieven",IF(MOD(N(H416),1)*100&gt;59.4,"Tijd ongeldig: minuten boven 59",IF(J416="Nog bepalen","Prijstype nog bepalen",IF(AND(J416="Per uur",N(K416)=0),"Uurtarief ontbreekt",IF(AND(J416="Vaste prijs",N(K416)=0),"Vaste prijs ontbreekt",IF(AND(N(I416)=0,Q416&lt;&gt;"Niet doorgegaan / verplaatst",Q416&lt;&gt;"Geen factuur nodig"),"Geen uren",IF(AND(G416="NEE",Q416="Verstuurd"),"Verstuurd terwijl werk niet af",IF(IFERROR(VLOOKUP(C416,Tarieven!$A$2:$F$200,2,0),"")="Beide","Beide-klant: controleer prijstype","OK")))))))))</f>
        <v/>
      </c>
    </row>
    <row r="417" ht="15" customHeight="1" s="42">
      <c r="A417" s="56">
        <f>IF(B417="","",WEEKNUM(B417,21))</f>
        <v/>
      </c>
      <c r="B417" s="55" t="n"/>
      <c r="C417" s="57" t="n"/>
      <c r="D417" s="57" t="n"/>
      <c r="E417" s="57" t="n"/>
      <c r="F417" s="57" t="n"/>
      <c r="G417" s="67" t="n"/>
      <c r="H417" s="68" t="n"/>
      <c r="I417" s="61">
        <f>IF(C417="","",IF(H417&lt;&gt;"",INT(H417)+ROUND(MOD(H417,1)*100/60,2),SUMIFS(Registraties!$L$5:$L$3004,Registraties!$D$5:$D$3004,C417,Registraties!$A$5:$A$3004,B417)))</f>
        <v/>
      </c>
      <c r="J417" s="58">
        <f>IF(C417="","",IFERROR(IF(VLOOKUP(C417,Tarieven!$A$2:$F$200,2,0)="Beide","Per uur",VLOOKUP(C417,Tarieven!$A$2:$F$200,2,0)),"Nog bepalen"))</f>
        <v/>
      </c>
      <c r="K417" s="69">
        <f>IF(C417="","",IF(J417="Per uur",IFERROR(VLOOKUP(C417,Tarieven!$A$2:$F$200,3,0),""),IF(J417="Vaste prijs",IFERROR(VLOOKUP(C417,Tarieven!$A$2:$F$200,4,0),""),"")))</f>
        <v/>
      </c>
      <c r="L417" s="70">
        <f>IF(C417="","",IF(J417="Per uur",N(I417)*N(K417),IF(J417="Vaste prijs",N(K417),0)))</f>
        <v/>
      </c>
      <c r="M417" s="69">
        <f>IF(C417="","",IFERROR(IF(N(VLOOKUP(C417,Tarieven!$A$2:$F$200,5,0))=0,"",VLOOKUP(C417,Tarieven!$A$2:$F$200,5,0)),""))</f>
        <v/>
      </c>
      <c r="N417" s="69" t="n"/>
      <c r="O417" s="69" t="n"/>
      <c r="P417" s="70">
        <f>IF(C417="","",N(L417)+N(M417)+N(N417)+N(O417))</f>
        <v/>
      </c>
      <c r="Q417" s="58" t="n"/>
      <c r="R417" s="57" t="n"/>
      <c r="S417" s="57" t="n"/>
      <c r="T417" s="57" t="n"/>
      <c r="U417" s="62">
        <f>IF(C417="","",IF(COUNTIF(Tarieven!$A$2:$A$200,C417)=0,"Klant niet in Tarieven",IF(MOD(N(H417),1)*100&gt;59.4,"Tijd ongeldig: minuten boven 59",IF(J417="Nog bepalen","Prijstype nog bepalen",IF(AND(J417="Per uur",N(K417)=0),"Uurtarief ontbreekt",IF(AND(J417="Vaste prijs",N(K417)=0),"Vaste prijs ontbreekt",IF(AND(N(I417)=0,Q417&lt;&gt;"Niet doorgegaan / verplaatst",Q417&lt;&gt;"Geen factuur nodig"),"Geen uren",IF(AND(G417="NEE",Q417="Verstuurd"),"Verstuurd terwijl werk niet af",IF(IFERROR(VLOOKUP(C417,Tarieven!$A$2:$F$200,2,0),"")="Beide","Beide-klant: controleer prijstype","OK")))))))))</f>
        <v/>
      </c>
    </row>
    <row r="418" ht="15" customHeight="1" s="42">
      <c r="A418" s="56">
        <f>IF(B418="","",WEEKNUM(B418,21))</f>
        <v/>
      </c>
      <c r="B418" s="55" t="n"/>
      <c r="C418" s="57" t="n"/>
      <c r="D418" s="57" t="n"/>
      <c r="E418" s="57" t="n"/>
      <c r="F418" s="57" t="n"/>
      <c r="G418" s="67" t="n"/>
      <c r="H418" s="68" t="n"/>
      <c r="I418" s="61">
        <f>IF(C418="","",IF(H418&lt;&gt;"",INT(H418)+ROUND(MOD(H418,1)*100/60,2),SUMIFS(Registraties!$L$5:$L$3004,Registraties!$D$5:$D$3004,C418,Registraties!$A$5:$A$3004,B418)))</f>
        <v/>
      </c>
      <c r="J418" s="58">
        <f>IF(C418="","",IFERROR(IF(VLOOKUP(C418,Tarieven!$A$2:$F$200,2,0)="Beide","Per uur",VLOOKUP(C418,Tarieven!$A$2:$F$200,2,0)),"Nog bepalen"))</f>
        <v/>
      </c>
      <c r="K418" s="69">
        <f>IF(C418="","",IF(J418="Per uur",IFERROR(VLOOKUP(C418,Tarieven!$A$2:$F$200,3,0),""),IF(J418="Vaste prijs",IFERROR(VLOOKUP(C418,Tarieven!$A$2:$F$200,4,0),""),"")))</f>
        <v/>
      </c>
      <c r="L418" s="70">
        <f>IF(C418="","",IF(J418="Per uur",N(I418)*N(K418),IF(J418="Vaste prijs",N(K418),0)))</f>
        <v/>
      </c>
      <c r="M418" s="69">
        <f>IF(C418="","",IFERROR(IF(N(VLOOKUP(C418,Tarieven!$A$2:$F$200,5,0))=0,"",VLOOKUP(C418,Tarieven!$A$2:$F$200,5,0)),""))</f>
        <v/>
      </c>
      <c r="N418" s="69" t="n"/>
      <c r="O418" s="69" t="n"/>
      <c r="P418" s="70">
        <f>IF(C418="","",N(L418)+N(M418)+N(N418)+N(O418))</f>
        <v/>
      </c>
      <c r="Q418" s="58" t="n"/>
      <c r="R418" s="57" t="n"/>
      <c r="S418" s="57" t="n"/>
      <c r="T418" s="57" t="n"/>
      <c r="U418" s="62">
        <f>IF(C418="","",IF(COUNTIF(Tarieven!$A$2:$A$200,C418)=0,"Klant niet in Tarieven",IF(MOD(N(H418),1)*100&gt;59.4,"Tijd ongeldig: minuten boven 59",IF(J418="Nog bepalen","Prijstype nog bepalen",IF(AND(J418="Per uur",N(K418)=0),"Uurtarief ontbreekt",IF(AND(J418="Vaste prijs",N(K418)=0),"Vaste prijs ontbreekt",IF(AND(N(I418)=0,Q418&lt;&gt;"Niet doorgegaan / verplaatst",Q418&lt;&gt;"Geen factuur nodig"),"Geen uren",IF(AND(G418="NEE",Q418="Verstuurd"),"Verstuurd terwijl werk niet af",IF(IFERROR(VLOOKUP(C418,Tarieven!$A$2:$F$200,2,0),"")="Beide","Beide-klant: controleer prijstype","OK")))))))))</f>
        <v/>
      </c>
    </row>
    <row r="419" ht="15" customHeight="1" s="42">
      <c r="A419" s="56">
        <f>IF(B419="","",WEEKNUM(B419,21))</f>
        <v/>
      </c>
      <c r="B419" s="55" t="n"/>
      <c r="C419" s="57" t="n"/>
      <c r="D419" s="57" t="n"/>
      <c r="E419" s="57" t="n"/>
      <c r="F419" s="57" t="n"/>
      <c r="G419" s="67" t="n"/>
      <c r="H419" s="68" t="n"/>
      <c r="I419" s="61">
        <f>IF(C419="","",IF(H419&lt;&gt;"",INT(H419)+ROUND(MOD(H419,1)*100/60,2),SUMIFS(Registraties!$L$5:$L$3004,Registraties!$D$5:$D$3004,C419,Registraties!$A$5:$A$3004,B419)))</f>
        <v/>
      </c>
      <c r="J419" s="58">
        <f>IF(C419="","",IFERROR(IF(VLOOKUP(C419,Tarieven!$A$2:$F$200,2,0)="Beide","Per uur",VLOOKUP(C419,Tarieven!$A$2:$F$200,2,0)),"Nog bepalen"))</f>
        <v/>
      </c>
      <c r="K419" s="69">
        <f>IF(C419="","",IF(J419="Per uur",IFERROR(VLOOKUP(C419,Tarieven!$A$2:$F$200,3,0),""),IF(J419="Vaste prijs",IFERROR(VLOOKUP(C419,Tarieven!$A$2:$F$200,4,0),""),"")))</f>
        <v/>
      </c>
      <c r="L419" s="70">
        <f>IF(C419="","",IF(J419="Per uur",N(I419)*N(K419),IF(J419="Vaste prijs",N(K419),0)))</f>
        <v/>
      </c>
      <c r="M419" s="69">
        <f>IF(C419="","",IFERROR(IF(N(VLOOKUP(C419,Tarieven!$A$2:$F$200,5,0))=0,"",VLOOKUP(C419,Tarieven!$A$2:$F$200,5,0)),""))</f>
        <v/>
      </c>
      <c r="N419" s="69" t="n"/>
      <c r="O419" s="69" t="n"/>
      <c r="P419" s="70">
        <f>IF(C419="","",N(L419)+N(M419)+N(N419)+N(O419))</f>
        <v/>
      </c>
      <c r="Q419" s="58" t="n"/>
      <c r="R419" s="57" t="n"/>
      <c r="S419" s="57" t="n"/>
      <c r="T419" s="57" t="n"/>
      <c r="U419" s="62">
        <f>IF(C419="","",IF(COUNTIF(Tarieven!$A$2:$A$200,C419)=0,"Klant niet in Tarieven",IF(MOD(N(H419),1)*100&gt;59.4,"Tijd ongeldig: minuten boven 59",IF(J419="Nog bepalen","Prijstype nog bepalen",IF(AND(J419="Per uur",N(K419)=0),"Uurtarief ontbreekt",IF(AND(J419="Vaste prijs",N(K419)=0),"Vaste prijs ontbreekt",IF(AND(N(I419)=0,Q419&lt;&gt;"Niet doorgegaan / verplaatst",Q419&lt;&gt;"Geen factuur nodig"),"Geen uren",IF(AND(G419="NEE",Q419="Verstuurd"),"Verstuurd terwijl werk niet af",IF(IFERROR(VLOOKUP(C419,Tarieven!$A$2:$F$200,2,0),"")="Beide","Beide-klant: controleer prijstype","OK")))))))))</f>
        <v/>
      </c>
    </row>
    <row r="420" ht="15" customHeight="1" s="42">
      <c r="A420" s="56">
        <f>IF(B420="","",WEEKNUM(B420,21))</f>
        <v/>
      </c>
      <c r="B420" s="55" t="n"/>
      <c r="C420" s="57" t="n"/>
      <c r="D420" s="57" t="n"/>
      <c r="E420" s="57" t="n"/>
      <c r="F420" s="57" t="n"/>
      <c r="G420" s="67" t="n"/>
      <c r="H420" s="68" t="n"/>
      <c r="I420" s="61">
        <f>IF(C420="","",IF(H420&lt;&gt;"",INT(H420)+ROUND(MOD(H420,1)*100/60,2),SUMIFS(Registraties!$L$5:$L$3004,Registraties!$D$5:$D$3004,C420,Registraties!$A$5:$A$3004,B420)))</f>
        <v/>
      </c>
      <c r="J420" s="58">
        <f>IF(C420="","",IFERROR(IF(VLOOKUP(C420,Tarieven!$A$2:$F$200,2,0)="Beide","Per uur",VLOOKUP(C420,Tarieven!$A$2:$F$200,2,0)),"Nog bepalen"))</f>
        <v/>
      </c>
      <c r="K420" s="69">
        <f>IF(C420="","",IF(J420="Per uur",IFERROR(VLOOKUP(C420,Tarieven!$A$2:$F$200,3,0),""),IF(J420="Vaste prijs",IFERROR(VLOOKUP(C420,Tarieven!$A$2:$F$200,4,0),""),"")))</f>
        <v/>
      </c>
      <c r="L420" s="70">
        <f>IF(C420="","",IF(J420="Per uur",N(I420)*N(K420),IF(J420="Vaste prijs",N(K420),0)))</f>
        <v/>
      </c>
      <c r="M420" s="69">
        <f>IF(C420="","",IFERROR(IF(N(VLOOKUP(C420,Tarieven!$A$2:$F$200,5,0))=0,"",VLOOKUP(C420,Tarieven!$A$2:$F$200,5,0)),""))</f>
        <v/>
      </c>
      <c r="N420" s="69" t="n"/>
      <c r="O420" s="69" t="n"/>
      <c r="P420" s="70">
        <f>IF(C420="","",N(L420)+N(M420)+N(N420)+N(O420))</f>
        <v/>
      </c>
      <c r="Q420" s="58" t="n"/>
      <c r="R420" s="57" t="n"/>
      <c r="S420" s="57" t="n"/>
      <c r="T420" s="57" t="n"/>
      <c r="U420" s="62">
        <f>IF(C420="","",IF(COUNTIF(Tarieven!$A$2:$A$200,C420)=0,"Klant niet in Tarieven",IF(MOD(N(H420),1)*100&gt;59.4,"Tijd ongeldig: minuten boven 59",IF(J420="Nog bepalen","Prijstype nog bepalen",IF(AND(J420="Per uur",N(K420)=0),"Uurtarief ontbreekt",IF(AND(J420="Vaste prijs",N(K420)=0),"Vaste prijs ontbreekt",IF(AND(N(I420)=0,Q420&lt;&gt;"Niet doorgegaan / verplaatst",Q420&lt;&gt;"Geen factuur nodig"),"Geen uren",IF(AND(G420="NEE",Q420="Verstuurd"),"Verstuurd terwijl werk niet af",IF(IFERROR(VLOOKUP(C420,Tarieven!$A$2:$F$200,2,0),"")="Beide","Beide-klant: controleer prijstype","OK")))))))))</f>
        <v/>
      </c>
    </row>
    <row r="421" ht="15" customHeight="1" s="42">
      <c r="A421" s="56">
        <f>IF(B421="","",WEEKNUM(B421,21))</f>
        <v/>
      </c>
      <c r="B421" s="55" t="n"/>
      <c r="C421" s="57" t="n"/>
      <c r="D421" s="57" t="n"/>
      <c r="E421" s="57" t="n"/>
      <c r="F421" s="57" t="n"/>
      <c r="G421" s="67" t="n"/>
      <c r="H421" s="68" t="n"/>
      <c r="I421" s="61">
        <f>IF(C421="","",IF(H421&lt;&gt;"",INT(H421)+ROUND(MOD(H421,1)*100/60,2),SUMIFS(Registraties!$L$5:$L$3004,Registraties!$D$5:$D$3004,C421,Registraties!$A$5:$A$3004,B421)))</f>
        <v/>
      </c>
      <c r="J421" s="58">
        <f>IF(C421="","",IFERROR(IF(VLOOKUP(C421,Tarieven!$A$2:$F$200,2,0)="Beide","Per uur",VLOOKUP(C421,Tarieven!$A$2:$F$200,2,0)),"Nog bepalen"))</f>
        <v/>
      </c>
      <c r="K421" s="69">
        <f>IF(C421="","",IF(J421="Per uur",IFERROR(VLOOKUP(C421,Tarieven!$A$2:$F$200,3,0),""),IF(J421="Vaste prijs",IFERROR(VLOOKUP(C421,Tarieven!$A$2:$F$200,4,0),""),"")))</f>
        <v/>
      </c>
      <c r="L421" s="70">
        <f>IF(C421="","",IF(J421="Per uur",N(I421)*N(K421),IF(J421="Vaste prijs",N(K421),0)))</f>
        <v/>
      </c>
      <c r="M421" s="69">
        <f>IF(C421="","",IFERROR(IF(N(VLOOKUP(C421,Tarieven!$A$2:$F$200,5,0))=0,"",VLOOKUP(C421,Tarieven!$A$2:$F$200,5,0)),""))</f>
        <v/>
      </c>
      <c r="N421" s="69" t="n"/>
      <c r="O421" s="69" t="n"/>
      <c r="P421" s="70">
        <f>IF(C421="","",N(L421)+N(M421)+N(N421)+N(O421))</f>
        <v/>
      </c>
      <c r="Q421" s="58" t="n"/>
      <c r="R421" s="57" t="n"/>
      <c r="S421" s="57" t="n"/>
      <c r="T421" s="57" t="n"/>
      <c r="U421" s="62">
        <f>IF(C421="","",IF(COUNTIF(Tarieven!$A$2:$A$200,C421)=0,"Klant niet in Tarieven",IF(MOD(N(H421),1)*100&gt;59.4,"Tijd ongeldig: minuten boven 59",IF(J421="Nog bepalen","Prijstype nog bepalen",IF(AND(J421="Per uur",N(K421)=0),"Uurtarief ontbreekt",IF(AND(J421="Vaste prijs",N(K421)=0),"Vaste prijs ontbreekt",IF(AND(N(I421)=0,Q421&lt;&gt;"Niet doorgegaan / verplaatst",Q421&lt;&gt;"Geen factuur nodig"),"Geen uren",IF(AND(G421="NEE",Q421="Verstuurd"),"Verstuurd terwijl werk niet af",IF(IFERROR(VLOOKUP(C421,Tarieven!$A$2:$F$200,2,0),"")="Beide","Beide-klant: controleer prijstype","OK")))))))))</f>
        <v/>
      </c>
    </row>
    <row r="422" ht="15" customHeight="1" s="42">
      <c r="A422" s="56">
        <f>IF(B422="","",WEEKNUM(B422,21))</f>
        <v/>
      </c>
      <c r="B422" s="55" t="n"/>
      <c r="C422" s="57" t="n"/>
      <c r="D422" s="57" t="n"/>
      <c r="E422" s="57" t="n"/>
      <c r="F422" s="57" t="n"/>
      <c r="G422" s="67" t="n"/>
      <c r="H422" s="68" t="n"/>
      <c r="I422" s="61">
        <f>IF(C422="","",IF(H422&lt;&gt;"",INT(H422)+ROUND(MOD(H422,1)*100/60,2),SUMIFS(Registraties!$L$5:$L$3004,Registraties!$D$5:$D$3004,C422,Registraties!$A$5:$A$3004,B422)))</f>
        <v/>
      </c>
      <c r="J422" s="58">
        <f>IF(C422="","",IFERROR(IF(VLOOKUP(C422,Tarieven!$A$2:$F$200,2,0)="Beide","Per uur",VLOOKUP(C422,Tarieven!$A$2:$F$200,2,0)),"Nog bepalen"))</f>
        <v/>
      </c>
      <c r="K422" s="69">
        <f>IF(C422="","",IF(J422="Per uur",IFERROR(VLOOKUP(C422,Tarieven!$A$2:$F$200,3,0),""),IF(J422="Vaste prijs",IFERROR(VLOOKUP(C422,Tarieven!$A$2:$F$200,4,0),""),"")))</f>
        <v/>
      </c>
      <c r="L422" s="70">
        <f>IF(C422="","",IF(J422="Per uur",N(I422)*N(K422),IF(J422="Vaste prijs",N(K422),0)))</f>
        <v/>
      </c>
      <c r="M422" s="69">
        <f>IF(C422="","",IFERROR(IF(N(VLOOKUP(C422,Tarieven!$A$2:$F$200,5,0))=0,"",VLOOKUP(C422,Tarieven!$A$2:$F$200,5,0)),""))</f>
        <v/>
      </c>
      <c r="N422" s="69" t="n"/>
      <c r="O422" s="69" t="n"/>
      <c r="P422" s="70">
        <f>IF(C422="","",N(L422)+N(M422)+N(N422)+N(O422))</f>
        <v/>
      </c>
      <c r="Q422" s="58" t="n"/>
      <c r="R422" s="57" t="n"/>
      <c r="S422" s="57" t="n"/>
      <c r="T422" s="57" t="n"/>
      <c r="U422" s="62">
        <f>IF(C422="","",IF(COUNTIF(Tarieven!$A$2:$A$200,C422)=0,"Klant niet in Tarieven",IF(MOD(N(H422),1)*100&gt;59.4,"Tijd ongeldig: minuten boven 59",IF(J422="Nog bepalen","Prijstype nog bepalen",IF(AND(J422="Per uur",N(K422)=0),"Uurtarief ontbreekt",IF(AND(J422="Vaste prijs",N(K422)=0),"Vaste prijs ontbreekt",IF(AND(N(I422)=0,Q422&lt;&gt;"Niet doorgegaan / verplaatst",Q422&lt;&gt;"Geen factuur nodig"),"Geen uren",IF(AND(G422="NEE",Q422="Verstuurd"),"Verstuurd terwijl werk niet af",IF(IFERROR(VLOOKUP(C422,Tarieven!$A$2:$F$200,2,0),"")="Beide","Beide-klant: controleer prijstype","OK")))))))))</f>
        <v/>
      </c>
    </row>
    <row r="423" ht="15" customHeight="1" s="42">
      <c r="A423" s="56">
        <f>IF(B423="","",WEEKNUM(B423,21))</f>
        <v/>
      </c>
      <c r="B423" s="55" t="n"/>
      <c r="C423" s="57" t="n"/>
      <c r="D423" s="57" t="n"/>
      <c r="E423" s="57" t="n"/>
      <c r="F423" s="57" t="n"/>
      <c r="G423" s="67" t="n"/>
      <c r="H423" s="68" t="n"/>
      <c r="I423" s="61">
        <f>IF(C423="","",IF(H423&lt;&gt;"",INT(H423)+ROUND(MOD(H423,1)*100/60,2),SUMIFS(Registraties!$L$5:$L$3004,Registraties!$D$5:$D$3004,C423,Registraties!$A$5:$A$3004,B423)))</f>
        <v/>
      </c>
      <c r="J423" s="58">
        <f>IF(C423="","",IFERROR(IF(VLOOKUP(C423,Tarieven!$A$2:$F$200,2,0)="Beide","Per uur",VLOOKUP(C423,Tarieven!$A$2:$F$200,2,0)),"Nog bepalen"))</f>
        <v/>
      </c>
      <c r="K423" s="69">
        <f>IF(C423="","",IF(J423="Per uur",IFERROR(VLOOKUP(C423,Tarieven!$A$2:$F$200,3,0),""),IF(J423="Vaste prijs",IFERROR(VLOOKUP(C423,Tarieven!$A$2:$F$200,4,0),""),"")))</f>
        <v/>
      </c>
      <c r="L423" s="70">
        <f>IF(C423="","",IF(J423="Per uur",N(I423)*N(K423),IF(J423="Vaste prijs",N(K423),0)))</f>
        <v/>
      </c>
      <c r="M423" s="69">
        <f>IF(C423="","",IFERROR(IF(N(VLOOKUP(C423,Tarieven!$A$2:$F$200,5,0))=0,"",VLOOKUP(C423,Tarieven!$A$2:$F$200,5,0)),""))</f>
        <v/>
      </c>
      <c r="N423" s="69" t="n"/>
      <c r="O423" s="69" t="n"/>
      <c r="P423" s="70">
        <f>IF(C423="","",N(L423)+N(M423)+N(N423)+N(O423))</f>
        <v/>
      </c>
      <c r="Q423" s="58" t="n"/>
      <c r="R423" s="57" t="n"/>
      <c r="S423" s="57" t="n"/>
      <c r="T423" s="57" t="n"/>
      <c r="U423" s="62">
        <f>IF(C423="","",IF(COUNTIF(Tarieven!$A$2:$A$200,C423)=0,"Klant niet in Tarieven",IF(MOD(N(H423),1)*100&gt;59.4,"Tijd ongeldig: minuten boven 59",IF(J423="Nog bepalen","Prijstype nog bepalen",IF(AND(J423="Per uur",N(K423)=0),"Uurtarief ontbreekt",IF(AND(J423="Vaste prijs",N(K423)=0),"Vaste prijs ontbreekt",IF(AND(N(I423)=0,Q423&lt;&gt;"Niet doorgegaan / verplaatst",Q423&lt;&gt;"Geen factuur nodig"),"Geen uren",IF(AND(G423="NEE",Q423="Verstuurd"),"Verstuurd terwijl werk niet af",IF(IFERROR(VLOOKUP(C423,Tarieven!$A$2:$F$200,2,0),"")="Beide","Beide-klant: controleer prijstype","OK")))))))))</f>
        <v/>
      </c>
    </row>
    <row r="424" ht="15" customHeight="1" s="42">
      <c r="A424" s="56">
        <f>IF(B424="","",WEEKNUM(B424,21))</f>
        <v/>
      </c>
      <c r="B424" s="55" t="n"/>
      <c r="C424" s="57" t="n"/>
      <c r="D424" s="57" t="n"/>
      <c r="E424" s="57" t="n"/>
      <c r="F424" s="57" t="n"/>
      <c r="G424" s="67" t="n"/>
      <c r="H424" s="68" t="n"/>
      <c r="I424" s="61">
        <f>IF(C424="","",IF(H424&lt;&gt;"",INT(H424)+ROUND(MOD(H424,1)*100/60,2),SUMIFS(Registraties!$L$5:$L$3004,Registraties!$D$5:$D$3004,C424,Registraties!$A$5:$A$3004,B424)))</f>
        <v/>
      </c>
      <c r="J424" s="58">
        <f>IF(C424="","",IFERROR(IF(VLOOKUP(C424,Tarieven!$A$2:$F$200,2,0)="Beide","Per uur",VLOOKUP(C424,Tarieven!$A$2:$F$200,2,0)),"Nog bepalen"))</f>
        <v/>
      </c>
      <c r="K424" s="69">
        <f>IF(C424="","",IF(J424="Per uur",IFERROR(VLOOKUP(C424,Tarieven!$A$2:$F$200,3,0),""),IF(J424="Vaste prijs",IFERROR(VLOOKUP(C424,Tarieven!$A$2:$F$200,4,0),""),"")))</f>
        <v/>
      </c>
      <c r="L424" s="70">
        <f>IF(C424="","",IF(J424="Per uur",N(I424)*N(K424),IF(J424="Vaste prijs",N(K424),0)))</f>
        <v/>
      </c>
      <c r="M424" s="69">
        <f>IF(C424="","",IFERROR(IF(N(VLOOKUP(C424,Tarieven!$A$2:$F$200,5,0))=0,"",VLOOKUP(C424,Tarieven!$A$2:$F$200,5,0)),""))</f>
        <v/>
      </c>
      <c r="N424" s="69" t="n"/>
      <c r="O424" s="69" t="n"/>
      <c r="P424" s="70">
        <f>IF(C424="","",N(L424)+N(M424)+N(N424)+N(O424))</f>
        <v/>
      </c>
      <c r="Q424" s="58" t="n"/>
      <c r="R424" s="57" t="n"/>
      <c r="S424" s="57" t="n"/>
      <c r="T424" s="57" t="n"/>
      <c r="U424" s="62">
        <f>IF(C424="","",IF(COUNTIF(Tarieven!$A$2:$A$200,C424)=0,"Klant niet in Tarieven",IF(MOD(N(H424),1)*100&gt;59.4,"Tijd ongeldig: minuten boven 59",IF(J424="Nog bepalen","Prijstype nog bepalen",IF(AND(J424="Per uur",N(K424)=0),"Uurtarief ontbreekt",IF(AND(J424="Vaste prijs",N(K424)=0),"Vaste prijs ontbreekt",IF(AND(N(I424)=0,Q424&lt;&gt;"Niet doorgegaan / verplaatst",Q424&lt;&gt;"Geen factuur nodig"),"Geen uren",IF(AND(G424="NEE",Q424="Verstuurd"),"Verstuurd terwijl werk niet af",IF(IFERROR(VLOOKUP(C424,Tarieven!$A$2:$F$200,2,0),"")="Beide","Beide-klant: controleer prijstype","OK")))))))))</f>
        <v/>
      </c>
    </row>
    <row r="425" ht="15" customHeight="1" s="42">
      <c r="A425" s="56">
        <f>IF(B425="","",WEEKNUM(B425,21))</f>
        <v/>
      </c>
      <c r="B425" s="55" t="n"/>
      <c r="C425" s="57" t="n"/>
      <c r="D425" s="57" t="n"/>
      <c r="E425" s="57" t="n"/>
      <c r="F425" s="57" t="n"/>
      <c r="G425" s="67" t="n"/>
      <c r="H425" s="68" t="n"/>
      <c r="I425" s="61">
        <f>IF(C425="","",IF(H425&lt;&gt;"",INT(H425)+ROUND(MOD(H425,1)*100/60,2),SUMIFS(Registraties!$L$5:$L$3004,Registraties!$D$5:$D$3004,C425,Registraties!$A$5:$A$3004,B425)))</f>
        <v/>
      </c>
      <c r="J425" s="58">
        <f>IF(C425="","",IFERROR(IF(VLOOKUP(C425,Tarieven!$A$2:$F$200,2,0)="Beide","Per uur",VLOOKUP(C425,Tarieven!$A$2:$F$200,2,0)),"Nog bepalen"))</f>
        <v/>
      </c>
      <c r="K425" s="69">
        <f>IF(C425="","",IF(J425="Per uur",IFERROR(VLOOKUP(C425,Tarieven!$A$2:$F$200,3,0),""),IF(J425="Vaste prijs",IFERROR(VLOOKUP(C425,Tarieven!$A$2:$F$200,4,0),""),"")))</f>
        <v/>
      </c>
      <c r="L425" s="70">
        <f>IF(C425="","",IF(J425="Per uur",N(I425)*N(K425),IF(J425="Vaste prijs",N(K425),0)))</f>
        <v/>
      </c>
      <c r="M425" s="69">
        <f>IF(C425="","",IFERROR(IF(N(VLOOKUP(C425,Tarieven!$A$2:$F$200,5,0))=0,"",VLOOKUP(C425,Tarieven!$A$2:$F$200,5,0)),""))</f>
        <v/>
      </c>
      <c r="N425" s="69" t="n"/>
      <c r="O425" s="69" t="n"/>
      <c r="P425" s="70">
        <f>IF(C425="","",N(L425)+N(M425)+N(N425)+N(O425))</f>
        <v/>
      </c>
      <c r="Q425" s="58" t="n"/>
      <c r="R425" s="57" t="n"/>
      <c r="S425" s="57" t="n"/>
      <c r="T425" s="57" t="n"/>
      <c r="U425" s="62">
        <f>IF(C425="","",IF(COUNTIF(Tarieven!$A$2:$A$200,C425)=0,"Klant niet in Tarieven",IF(MOD(N(H425),1)*100&gt;59.4,"Tijd ongeldig: minuten boven 59",IF(J425="Nog bepalen","Prijstype nog bepalen",IF(AND(J425="Per uur",N(K425)=0),"Uurtarief ontbreekt",IF(AND(J425="Vaste prijs",N(K425)=0),"Vaste prijs ontbreekt",IF(AND(N(I425)=0,Q425&lt;&gt;"Niet doorgegaan / verplaatst",Q425&lt;&gt;"Geen factuur nodig"),"Geen uren",IF(AND(G425="NEE",Q425="Verstuurd"),"Verstuurd terwijl werk niet af",IF(IFERROR(VLOOKUP(C425,Tarieven!$A$2:$F$200,2,0),"")="Beide","Beide-klant: controleer prijstype","OK")))))))))</f>
        <v/>
      </c>
    </row>
    <row r="426" ht="15" customHeight="1" s="42">
      <c r="A426" s="56">
        <f>IF(B426="","",WEEKNUM(B426,21))</f>
        <v/>
      </c>
      <c r="B426" s="55" t="n"/>
      <c r="C426" s="57" t="n"/>
      <c r="D426" s="57" t="n"/>
      <c r="E426" s="57" t="n"/>
      <c r="F426" s="57" t="n"/>
      <c r="G426" s="67" t="n"/>
      <c r="H426" s="68" t="n"/>
      <c r="I426" s="61">
        <f>IF(C426="","",IF(H426&lt;&gt;"",INT(H426)+ROUND(MOD(H426,1)*100/60,2),SUMIFS(Registraties!$L$5:$L$3004,Registraties!$D$5:$D$3004,C426,Registraties!$A$5:$A$3004,B426)))</f>
        <v/>
      </c>
      <c r="J426" s="58">
        <f>IF(C426="","",IFERROR(IF(VLOOKUP(C426,Tarieven!$A$2:$F$200,2,0)="Beide","Per uur",VLOOKUP(C426,Tarieven!$A$2:$F$200,2,0)),"Nog bepalen"))</f>
        <v/>
      </c>
      <c r="K426" s="69">
        <f>IF(C426="","",IF(J426="Per uur",IFERROR(VLOOKUP(C426,Tarieven!$A$2:$F$200,3,0),""),IF(J426="Vaste prijs",IFERROR(VLOOKUP(C426,Tarieven!$A$2:$F$200,4,0),""),"")))</f>
        <v/>
      </c>
      <c r="L426" s="70">
        <f>IF(C426="","",IF(J426="Per uur",N(I426)*N(K426),IF(J426="Vaste prijs",N(K426),0)))</f>
        <v/>
      </c>
      <c r="M426" s="69">
        <f>IF(C426="","",IFERROR(IF(N(VLOOKUP(C426,Tarieven!$A$2:$F$200,5,0))=0,"",VLOOKUP(C426,Tarieven!$A$2:$F$200,5,0)),""))</f>
        <v/>
      </c>
      <c r="N426" s="69" t="n"/>
      <c r="O426" s="69" t="n"/>
      <c r="P426" s="70">
        <f>IF(C426="","",N(L426)+N(M426)+N(N426)+N(O426))</f>
        <v/>
      </c>
      <c r="Q426" s="58" t="n"/>
      <c r="R426" s="57" t="n"/>
      <c r="S426" s="57" t="n"/>
      <c r="T426" s="57" t="n"/>
      <c r="U426" s="62">
        <f>IF(C426="","",IF(COUNTIF(Tarieven!$A$2:$A$200,C426)=0,"Klant niet in Tarieven",IF(MOD(N(H426),1)*100&gt;59.4,"Tijd ongeldig: minuten boven 59",IF(J426="Nog bepalen","Prijstype nog bepalen",IF(AND(J426="Per uur",N(K426)=0),"Uurtarief ontbreekt",IF(AND(J426="Vaste prijs",N(K426)=0),"Vaste prijs ontbreekt",IF(AND(N(I426)=0,Q426&lt;&gt;"Niet doorgegaan / verplaatst",Q426&lt;&gt;"Geen factuur nodig"),"Geen uren",IF(AND(G426="NEE",Q426="Verstuurd"),"Verstuurd terwijl werk niet af",IF(IFERROR(VLOOKUP(C426,Tarieven!$A$2:$F$200,2,0),"")="Beide","Beide-klant: controleer prijstype","OK")))))))))</f>
        <v/>
      </c>
    </row>
    <row r="427" ht="15" customHeight="1" s="42">
      <c r="A427" s="56">
        <f>IF(B427="","",WEEKNUM(B427,21))</f>
        <v/>
      </c>
      <c r="B427" s="55" t="n"/>
      <c r="C427" s="57" t="n"/>
      <c r="D427" s="57" t="n"/>
      <c r="E427" s="57" t="n"/>
      <c r="F427" s="57" t="n"/>
      <c r="G427" s="67" t="n"/>
      <c r="H427" s="68" t="n"/>
      <c r="I427" s="61">
        <f>IF(C427="","",IF(H427&lt;&gt;"",INT(H427)+ROUND(MOD(H427,1)*100/60,2),SUMIFS(Registraties!$L$5:$L$3004,Registraties!$D$5:$D$3004,C427,Registraties!$A$5:$A$3004,B427)))</f>
        <v/>
      </c>
      <c r="J427" s="58">
        <f>IF(C427="","",IFERROR(IF(VLOOKUP(C427,Tarieven!$A$2:$F$200,2,0)="Beide","Per uur",VLOOKUP(C427,Tarieven!$A$2:$F$200,2,0)),"Nog bepalen"))</f>
        <v/>
      </c>
      <c r="K427" s="69">
        <f>IF(C427="","",IF(J427="Per uur",IFERROR(VLOOKUP(C427,Tarieven!$A$2:$F$200,3,0),""),IF(J427="Vaste prijs",IFERROR(VLOOKUP(C427,Tarieven!$A$2:$F$200,4,0),""),"")))</f>
        <v/>
      </c>
      <c r="L427" s="70">
        <f>IF(C427="","",IF(J427="Per uur",N(I427)*N(K427),IF(J427="Vaste prijs",N(K427),0)))</f>
        <v/>
      </c>
      <c r="M427" s="69">
        <f>IF(C427="","",IFERROR(IF(N(VLOOKUP(C427,Tarieven!$A$2:$F$200,5,0))=0,"",VLOOKUP(C427,Tarieven!$A$2:$F$200,5,0)),""))</f>
        <v/>
      </c>
      <c r="N427" s="69" t="n"/>
      <c r="O427" s="69" t="n"/>
      <c r="P427" s="70">
        <f>IF(C427="","",N(L427)+N(M427)+N(N427)+N(O427))</f>
        <v/>
      </c>
      <c r="Q427" s="58" t="n"/>
      <c r="R427" s="57" t="n"/>
      <c r="S427" s="57" t="n"/>
      <c r="T427" s="57" t="n"/>
      <c r="U427" s="62">
        <f>IF(C427="","",IF(COUNTIF(Tarieven!$A$2:$A$200,C427)=0,"Klant niet in Tarieven",IF(MOD(N(H427),1)*100&gt;59.4,"Tijd ongeldig: minuten boven 59",IF(J427="Nog bepalen","Prijstype nog bepalen",IF(AND(J427="Per uur",N(K427)=0),"Uurtarief ontbreekt",IF(AND(J427="Vaste prijs",N(K427)=0),"Vaste prijs ontbreekt",IF(AND(N(I427)=0,Q427&lt;&gt;"Niet doorgegaan / verplaatst",Q427&lt;&gt;"Geen factuur nodig"),"Geen uren",IF(AND(G427="NEE",Q427="Verstuurd"),"Verstuurd terwijl werk niet af",IF(IFERROR(VLOOKUP(C427,Tarieven!$A$2:$F$200,2,0),"")="Beide","Beide-klant: controleer prijstype","OK")))))))))</f>
        <v/>
      </c>
    </row>
    <row r="428" ht="15" customHeight="1" s="42">
      <c r="A428" s="56">
        <f>IF(B428="","",WEEKNUM(B428,21))</f>
        <v/>
      </c>
      <c r="B428" s="55" t="n"/>
      <c r="C428" s="57" t="n"/>
      <c r="D428" s="57" t="n"/>
      <c r="E428" s="57" t="n"/>
      <c r="F428" s="57" t="n"/>
      <c r="G428" s="67" t="n"/>
      <c r="H428" s="68" t="n"/>
      <c r="I428" s="61">
        <f>IF(C428="","",IF(H428&lt;&gt;"",INT(H428)+ROUND(MOD(H428,1)*100/60,2),SUMIFS(Registraties!$L$5:$L$3004,Registraties!$D$5:$D$3004,C428,Registraties!$A$5:$A$3004,B428)))</f>
        <v/>
      </c>
      <c r="J428" s="58">
        <f>IF(C428="","",IFERROR(IF(VLOOKUP(C428,Tarieven!$A$2:$F$200,2,0)="Beide","Per uur",VLOOKUP(C428,Tarieven!$A$2:$F$200,2,0)),"Nog bepalen"))</f>
        <v/>
      </c>
      <c r="K428" s="69">
        <f>IF(C428="","",IF(J428="Per uur",IFERROR(VLOOKUP(C428,Tarieven!$A$2:$F$200,3,0),""),IF(J428="Vaste prijs",IFERROR(VLOOKUP(C428,Tarieven!$A$2:$F$200,4,0),""),"")))</f>
        <v/>
      </c>
      <c r="L428" s="70">
        <f>IF(C428="","",IF(J428="Per uur",N(I428)*N(K428),IF(J428="Vaste prijs",N(K428),0)))</f>
        <v/>
      </c>
      <c r="M428" s="69">
        <f>IF(C428="","",IFERROR(IF(N(VLOOKUP(C428,Tarieven!$A$2:$F$200,5,0))=0,"",VLOOKUP(C428,Tarieven!$A$2:$F$200,5,0)),""))</f>
        <v/>
      </c>
      <c r="N428" s="69" t="n"/>
      <c r="O428" s="69" t="n"/>
      <c r="P428" s="70">
        <f>IF(C428="","",N(L428)+N(M428)+N(N428)+N(O428))</f>
        <v/>
      </c>
      <c r="Q428" s="58" t="n"/>
      <c r="R428" s="57" t="n"/>
      <c r="S428" s="57" t="n"/>
      <c r="T428" s="57" t="n"/>
      <c r="U428" s="62">
        <f>IF(C428="","",IF(COUNTIF(Tarieven!$A$2:$A$200,C428)=0,"Klant niet in Tarieven",IF(MOD(N(H428),1)*100&gt;59.4,"Tijd ongeldig: minuten boven 59",IF(J428="Nog bepalen","Prijstype nog bepalen",IF(AND(J428="Per uur",N(K428)=0),"Uurtarief ontbreekt",IF(AND(J428="Vaste prijs",N(K428)=0),"Vaste prijs ontbreekt",IF(AND(N(I428)=0,Q428&lt;&gt;"Niet doorgegaan / verplaatst",Q428&lt;&gt;"Geen factuur nodig"),"Geen uren",IF(AND(G428="NEE",Q428="Verstuurd"),"Verstuurd terwijl werk niet af",IF(IFERROR(VLOOKUP(C428,Tarieven!$A$2:$F$200,2,0),"")="Beide","Beide-klant: controleer prijstype","OK")))))))))</f>
        <v/>
      </c>
    </row>
    <row r="429" ht="15" customHeight="1" s="42">
      <c r="A429" s="56">
        <f>IF(B429="","",WEEKNUM(B429,21))</f>
        <v/>
      </c>
      <c r="B429" s="55" t="n"/>
      <c r="C429" s="57" t="n"/>
      <c r="D429" s="57" t="n"/>
      <c r="E429" s="57" t="n"/>
      <c r="F429" s="57" t="n"/>
      <c r="G429" s="67" t="n"/>
      <c r="H429" s="68" t="n"/>
      <c r="I429" s="61">
        <f>IF(C429="","",IF(H429&lt;&gt;"",INT(H429)+ROUND(MOD(H429,1)*100/60,2),SUMIFS(Registraties!$L$5:$L$3004,Registraties!$D$5:$D$3004,C429,Registraties!$A$5:$A$3004,B429)))</f>
        <v/>
      </c>
      <c r="J429" s="58">
        <f>IF(C429="","",IFERROR(IF(VLOOKUP(C429,Tarieven!$A$2:$F$200,2,0)="Beide","Per uur",VLOOKUP(C429,Tarieven!$A$2:$F$200,2,0)),"Nog bepalen"))</f>
        <v/>
      </c>
      <c r="K429" s="69">
        <f>IF(C429="","",IF(J429="Per uur",IFERROR(VLOOKUP(C429,Tarieven!$A$2:$F$200,3,0),""),IF(J429="Vaste prijs",IFERROR(VLOOKUP(C429,Tarieven!$A$2:$F$200,4,0),""),"")))</f>
        <v/>
      </c>
      <c r="L429" s="70">
        <f>IF(C429="","",IF(J429="Per uur",N(I429)*N(K429),IF(J429="Vaste prijs",N(K429),0)))</f>
        <v/>
      </c>
      <c r="M429" s="69">
        <f>IF(C429="","",IFERROR(IF(N(VLOOKUP(C429,Tarieven!$A$2:$F$200,5,0))=0,"",VLOOKUP(C429,Tarieven!$A$2:$F$200,5,0)),""))</f>
        <v/>
      </c>
      <c r="N429" s="69" t="n"/>
      <c r="O429" s="69" t="n"/>
      <c r="P429" s="70">
        <f>IF(C429="","",N(L429)+N(M429)+N(N429)+N(O429))</f>
        <v/>
      </c>
      <c r="Q429" s="58" t="n"/>
      <c r="R429" s="57" t="n"/>
      <c r="S429" s="57" t="n"/>
      <c r="T429" s="57" t="n"/>
      <c r="U429" s="62">
        <f>IF(C429="","",IF(COUNTIF(Tarieven!$A$2:$A$200,C429)=0,"Klant niet in Tarieven",IF(MOD(N(H429),1)*100&gt;59.4,"Tijd ongeldig: minuten boven 59",IF(J429="Nog bepalen","Prijstype nog bepalen",IF(AND(J429="Per uur",N(K429)=0),"Uurtarief ontbreekt",IF(AND(J429="Vaste prijs",N(K429)=0),"Vaste prijs ontbreekt",IF(AND(N(I429)=0,Q429&lt;&gt;"Niet doorgegaan / verplaatst",Q429&lt;&gt;"Geen factuur nodig"),"Geen uren",IF(AND(G429="NEE",Q429="Verstuurd"),"Verstuurd terwijl werk niet af",IF(IFERROR(VLOOKUP(C429,Tarieven!$A$2:$F$200,2,0),"")="Beide","Beide-klant: controleer prijstype","OK")))))))))</f>
        <v/>
      </c>
    </row>
    <row r="430" ht="15" customHeight="1" s="42">
      <c r="A430" s="56">
        <f>IF(B430="","",WEEKNUM(B430,21))</f>
        <v/>
      </c>
      <c r="B430" s="55" t="n"/>
      <c r="C430" s="57" t="n"/>
      <c r="D430" s="57" t="n"/>
      <c r="E430" s="57" t="n"/>
      <c r="F430" s="57" t="n"/>
      <c r="G430" s="67" t="n"/>
      <c r="H430" s="68" t="n"/>
      <c r="I430" s="61">
        <f>IF(C430="","",IF(H430&lt;&gt;"",INT(H430)+ROUND(MOD(H430,1)*100/60,2),SUMIFS(Registraties!$L$5:$L$3004,Registraties!$D$5:$D$3004,C430,Registraties!$A$5:$A$3004,B430)))</f>
        <v/>
      </c>
      <c r="J430" s="58">
        <f>IF(C430="","",IFERROR(IF(VLOOKUP(C430,Tarieven!$A$2:$F$200,2,0)="Beide","Per uur",VLOOKUP(C430,Tarieven!$A$2:$F$200,2,0)),"Nog bepalen"))</f>
        <v/>
      </c>
      <c r="K430" s="69">
        <f>IF(C430="","",IF(J430="Per uur",IFERROR(VLOOKUP(C430,Tarieven!$A$2:$F$200,3,0),""),IF(J430="Vaste prijs",IFERROR(VLOOKUP(C430,Tarieven!$A$2:$F$200,4,0),""),"")))</f>
        <v/>
      </c>
      <c r="L430" s="70">
        <f>IF(C430="","",IF(J430="Per uur",N(I430)*N(K430),IF(J430="Vaste prijs",N(K430),0)))</f>
        <v/>
      </c>
      <c r="M430" s="69">
        <f>IF(C430="","",IFERROR(IF(N(VLOOKUP(C430,Tarieven!$A$2:$F$200,5,0))=0,"",VLOOKUP(C430,Tarieven!$A$2:$F$200,5,0)),""))</f>
        <v/>
      </c>
      <c r="N430" s="69" t="n"/>
      <c r="O430" s="69" t="n"/>
      <c r="P430" s="70">
        <f>IF(C430="","",N(L430)+N(M430)+N(N430)+N(O430))</f>
        <v/>
      </c>
      <c r="Q430" s="58" t="n"/>
      <c r="R430" s="57" t="n"/>
      <c r="S430" s="57" t="n"/>
      <c r="T430" s="57" t="n"/>
      <c r="U430" s="62">
        <f>IF(C430="","",IF(COUNTIF(Tarieven!$A$2:$A$200,C430)=0,"Klant niet in Tarieven",IF(MOD(N(H430),1)*100&gt;59.4,"Tijd ongeldig: minuten boven 59",IF(J430="Nog bepalen","Prijstype nog bepalen",IF(AND(J430="Per uur",N(K430)=0),"Uurtarief ontbreekt",IF(AND(J430="Vaste prijs",N(K430)=0),"Vaste prijs ontbreekt",IF(AND(N(I430)=0,Q430&lt;&gt;"Niet doorgegaan / verplaatst",Q430&lt;&gt;"Geen factuur nodig"),"Geen uren",IF(AND(G430="NEE",Q430="Verstuurd"),"Verstuurd terwijl werk niet af",IF(IFERROR(VLOOKUP(C430,Tarieven!$A$2:$F$200,2,0),"")="Beide","Beide-klant: controleer prijstype","OK")))))))))</f>
        <v/>
      </c>
    </row>
    <row r="431" ht="15" customHeight="1" s="42">
      <c r="A431" s="56">
        <f>IF(B431="","",WEEKNUM(B431,21))</f>
        <v/>
      </c>
      <c r="B431" s="55" t="n"/>
      <c r="C431" s="57" t="n"/>
      <c r="D431" s="57" t="n"/>
      <c r="E431" s="57" t="n"/>
      <c r="F431" s="57" t="n"/>
      <c r="G431" s="67" t="n"/>
      <c r="H431" s="68" t="n"/>
      <c r="I431" s="61">
        <f>IF(C431="","",IF(H431&lt;&gt;"",INT(H431)+ROUND(MOD(H431,1)*100/60,2),SUMIFS(Registraties!$L$5:$L$3004,Registraties!$D$5:$D$3004,C431,Registraties!$A$5:$A$3004,B431)))</f>
        <v/>
      </c>
      <c r="J431" s="58">
        <f>IF(C431="","",IFERROR(IF(VLOOKUP(C431,Tarieven!$A$2:$F$200,2,0)="Beide","Per uur",VLOOKUP(C431,Tarieven!$A$2:$F$200,2,0)),"Nog bepalen"))</f>
        <v/>
      </c>
      <c r="K431" s="69">
        <f>IF(C431="","",IF(J431="Per uur",IFERROR(VLOOKUP(C431,Tarieven!$A$2:$F$200,3,0),""),IF(J431="Vaste prijs",IFERROR(VLOOKUP(C431,Tarieven!$A$2:$F$200,4,0),""),"")))</f>
        <v/>
      </c>
      <c r="L431" s="70">
        <f>IF(C431="","",IF(J431="Per uur",N(I431)*N(K431),IF(J431="Vaste prijs",N(K431),0)))</f>
        <v/>
      </c>
      <c r="M431" s="69">
        <f>IF(C431="","",IFERROR(IF(N(VLOOKUP(C431,Tarieven!$A$2:$F$200,5,0))=0,"",VLOOKUP(C431,Tarieven!$A$2:$F$200,5,0)),""))</f>
        <v/>
      </c>
      <c r="N431" s="69" t="n"/>
      <c r="O431" s="69" t="n"/>
      <c r="P431" s="70">
        <f>IF(C431="","",N(L431)+N(M431)+N(N431)+N(O431))</f>
        <v/>
      </c>
      <c r="Q431" s="58" t="n"/>
      <c r="R431" s="57" t="n"/>
      <c r="S431" s="57" t="n"/>
      <c r="T431" s="57" t="n"/>
      <c r="U431" s="62">
        <f>IF(C431="","",IF(COUNTIF(Tarieven!$A$2:$A$200,C431)=0,"Klant niet in Tarieven",IF(MOD(N(H431),1)*100&gt;59.4,"Tijd ongeldig: minuten boven 59",IF(J431="Nog bepalen","Prijstype nog bepalen",IF(AND(J431="Per uur",N(K431)=0),"Uurtarief ontbreekt",IF(AND(J431="Vaste prijs",N(K431)=0),"Vaste prijs ontbreekt",IF(AND(N(I431)=0,Q431&lt;&gt;"Niet doorgegaan / verplaatst",Q431&lt;&gt;"Geen factuur nodig"),"Geen uren",IF(AND(G431="NEE",Q431="Verstuurd"),"Verstuurd terwijl werk niet af",IF(IFERROR(VLOOKUP(C431,Tarieven!$A$2:$F$200,2,0),"")="Beide","Beide-klant: controleer prijstype","OK")))))))))</f>
        <v/>
      </c>
    </row>
    <row r="432" ht="15" customHeight="1" s="42">
      <c r="A432" s="56">
        <f>IF(B432="","",WEEKNUM(B432,21))</f>
        <v/>
      </c>
      <c r="B432" s="55" t="n"/>
      <c r="C432" s="57" t="n"/>
      <c r="D432" s="57" t="n"/>
      <c r="E432" s="57" t="n"/>
      <c r="F432" s="57" t="n"/>
      <c r="G432" s="67" t="n"/>
      <c r="H432" s="68" t="n"/>
      <c r="I432" s="61">
        <f>IF(C432="","",IF(H432&lt;&gt;"",INT(H432)+ROUND(MOD(H432,1)*100/60,2),SUMIFS(Registraties!$L$5:$L$3004,Registraties!$D$5:$D$3004,C432,Registraties!$A$5:$A$3004,B432)))</f>
        <v/>
      </c>
      <c r="J432" s="58">
        <f>IF(C432="","",IFERROR(IF(VLOOKUP(C432,Tarieven!$A$2:$F$200,2,0)="Beide","Per uur",VLOOKUP(C432,Tarieven!$A$2:$F$200,2,0)),"Nog bepalen"))</f>
        <v/>
      </c>
      <c r="K432" s="69">
        <f>IF(C432="","",IF(J432="Per uur",IFERROR(VLOOKUP(C432,Tarieven!$A$2:$F$200,3,0),""),IF(J432="Vaste prijs",IFERROR(VLOOKUP(C432,Tarieven!$A$2:$F$200,4,0),""),"")))</f>
        <v/>
      </c>
      <c r="L432" s="70">
        <f>IF(C432="","",IF(J432="Per uur",N(I432)*N(K432),IF(J432="Vaste prijs",N(K432),0)))</f>
        <v/>
      </c>
      <c r="M432" s="69">
        <f>IF(C432="","",IFERROR(IF(N(VLOOKUP(C432,Tarieven!$A$2:$F$200,5,0))=0,"",VLOOKUP(C432,Tarieven!$A$2:$F$200,5,0)),""))</f>
        <v/>
      </c>
      <c r="N432" s="69" t="n"/>
      <c r="O432" s="69" t="n"/>
      <c r="P432" s="70">
        <f>IF(C432="","",N(L432)+N(M432)+N(N432)+N(O432))</f>
        <v/>
      </c>
      <c r="Q432" s="58" t="n"/>
      <c r="R432" s="57" t="n"/>
      <c r="S432" s="57" t="n"/>
      <c r="T432" s="57" t="n"/>
      <c r="U432" s="62">
        <f>IF(C432="","",IF(COUNTIF(Tarieven!$A$2:$A$200,C432)=0,"Klant niet in Tarieven",IF(MOD(N(H432),1)*100&gt;59.4,"Tijd ongeldig: minuten boven 59",IF(J432="Nog bepalen","Prijstype nog bepalen",IF(AND(J432="Per uur",N(K432)=0),"Uurtarief ontbreekt",IF(AND(J432="Vaste prijs",N(K432)=0),"Vaste prijs ontbreekt",IF(AND(N(I432)=0,Q432&lt;&gt;"Niet doorgegaan / verplaatst",Q432&lt;&gt;"Geen factuur nodig"),"Geen uren",IF(AND(G432="NEE",Q432="Verstuurd"),"Verstuurd terwijl werk niet af",IF(IFERROR(VLOOKUP(C432,Tarieven!$A$2:$F$200,2,0),"")="Beide","Beide-klant: controleer prijstype","OK")))))))))</f>
        <v/>
      </c>
    </row>
    <row r="433" ht="15" customHeight="1" s="42">
      <c r="A433" s="56">
        <f>IF(B433="","",WEEKNUM(B433,21))</f>
        <v/>
      </c>
      <c r="B433" s="55" t="n"/>
      <c r="C433" s="57" t="n"/>
      <c r="D433" s="57" t="n"/>
      <c r="E433" s="57" t="n"/>
      <c r="F433" s="57" t="n"/>
      <c r="G433" s="67" t="n"/>
      <c r="H433" s="68" t="n"/>
      <c r="I433" s="61">
        <f>IF(C433="","",IF(H433&lt;&gt;"",INT(H433)+ROUND(MOD(H433,1)*100/60,2),SUMIFS(Registraties!$L$5:$L$3004,Registraties!$D$5:$D$3004,C433,Registraties!$A$5:$A$3004,B433)))</f>
        <v/>
      </c>
      <c r="J433" s="58">
        <f>IF(C433="","",IFERROR(IF(VLOOKUP(C433,Tarieven!$A$2:$F$200,2,0)="Beide","Per uur",VLOOKUP(C433,Tarieven!$A$2:$F$200,2,0)),"Nog bepalen"))</f>
        <v/>
      </c>
      <c r="K433" s="69">
        <f>IF(C433="","",IF(J433="Per uur",IFERROR(VLOOKUP(C433,Tarieven!$A$2:$F$200,3,0),""),IF(J433="Vaste prijs",IFERROR(VLOOKUP(C433,Tarieven!$A$2:$F$200,4,0),""),"")))</f>
        <v/>
      </c>
      <c r="L433" s="70">
        <f>IF(C433="","",IF(J433="Per uur",N(I433)*N(K433),IF(J433="Vaste prijs",N(K433),0)))</f>
        <v/>
      </c>
      <c r="M433" s="69">
        <f>IF(C433="","",IFERROR(IF(N(VLOOKUP(C433,Tarieven!$A$2:$F$200,5,0))=0,"",VLOOKUP(C433,Tarieven!$A$2:$F$200,5,0)),""))</f>
        <v/>
      </c>
      <c r="N433" s="69" t="n"/>
      <c r="O433" s="69" t="n"/>
      <c r="P433" s="70">
        <f>IF(C433="","",N(L433)+N(M433)+N(N433)+N(O433))</f>
        <v/>
      </c>
      <c r="Q433" s="58" t="n"/>
      <c r="R433" s="57" t="n"/>
      <c r="S433" s="57" t="n"/>
      <c r="T433" s="57" t="n"/>
      <c r="U433" s="62">
        <f>IF(C433="","",IF(COUNTIF(Tarieven!$A$2:$A$200,C433)=0,"Klant niet in Tarieven",IF(MOD(N(H433),1)*100&gt;59.4,"Tijd ongeldig: minuten boven 59",IF(J433="Nog bepalen","Prijstype nog bepalen",IF(AND(J433="Per uur",N(K433)=0),"Uurtarief ontbreekt",IF(AND(J433="Vaste prijs",N(K433)=0),"Vaste prijs ontbreekt",IF(AND(N(I433)=0,Q433&lt;&gt;"Niet doorgegaan / verplaatst",Q433&lt;&gt;"Geen factuur nodig"),"Geen uren",IF(AND(G433="NEE",Q433="Verstuurd"),"Verstuurd terwijl werk niet af",IF(IFERROR(VLOOKUP(C433,Tarieven!$A$2:$F$200,2,0),"")="Beide","Beide-klant: controleer prijstype","OK")))))))))</f>
        <v/>
      </c>
    </row>
    <row r="434" ht="15" customHeight="1" s="42">
      <c r="A434" s="56">
        <f>IF(B434="","",WEEKNUM(B434,21))</f>
        <v/>
      </c>
      <c r="B434" s="55" t="n"/>
      <c r="C434" s="57" t="n"/>
      <c r="D434" s="57" t="n"/>
      <c r="E434" s="57" t="n"/>
      <c r="F434" s="57" t="n"/>
      <c r="G434" s="67" t="n"/>
      <c r="H434" s="68" t="n"/>
      <c r="I434" s="61">
        <f>IF(C434="","",IF(H434&lt;&gt;"",INT(H434)+ROUND(MOD(H434,1)*100/60,2),SUMIFS(Registraties!$L$5:$L$3004,Registraties!$D$5:$D$3004,C434,Registraties!$A$5:$A$3004,B434)))</f>
        <v/>
      </c>
      <c r="J434" s="58">
        <f>IF(C434="","",IFERROR(IF(VLOOKUP(C434,Tarieven!$A$2:$F$200,2,0)="Beide","Per uur",VLOOKUP(C434,Tarieven!$A$2:$F$200,2,0)),"Nog bepalen"))</f>
        <v/>
      </c>
      <c r="K434" s="69">
        <f>IF(C434="","",IF(J434="Per uur",IFERROR(VLOOKUP(C434,Tarieven!$A$2:$F$200,3,0),""),IF(J434="Vaste prijs",IFERROR(VLOOKUP(C434,Tarieven!$A$2:$F$200,4,0),""),"")))</f>
        <v/>
      </c>
      <c r="L434" s="70">
        <f>IF(C434="","",IF(J434="Per uur",N(I434)*N(K434),IF(J434="Vaste prijs",N(K434),0)))</f>
        <v/>
      </c>
      <c r="M434" s="69">
        <f>IF(C434="","",IFERROR(IF(N(VLOOKUP(C434,Tarieven!$A$2:$F$200,5,0))=0,"",VLOOKUP(C434,Tarieven!$A$2:$F$200,5,0)),""))</f>
        <v/>
      </c>
      <c r="N434" s="69" t="n"/>
      <c r="O434" s="69" t="n"/>
      <c r="P434" s="70">
        <f>IF(C434="","",N(L434)+N(M434)+N(N434)+N(O434))</f>
        <v/>
      </c>
      <c r="Q434" s="58" t="n"/>
      <c r="R434" s="57" t="n"/>
      <c r="S434" s="57" t="n"/>
      <c r="T434" s="57" t="n"/>
      <c r="U434" s="62">
        <f>IF(C434="","",IF(COUNTIF(Tarieven!$A$2:$A$200,C434)=0,"Klant niet in Tarieven",IF(MOD(N(H434),1)*100&gt;59.4,"Tijd ongeldig: minuten boven 59",IF(J434="Nog bepalen","Prijstype nog bepalen",IF(AND(J434="Per uur",N(K434)=0),"Uurtarief ontbreekt",IF(AND(J434="Vaste prijs",N(K434)=0),"Vaste prijs ontbreekt",IF(AND(N(I434)=0,Q434&lt;&gt;"Niet doorgegaan / verplaatst",Q434&lt;&gt;"Geen factuur nodig"),"Geen uren",IF(AND(G434="NEE",Q434="Verstuurd"),"Verstuurd terwijl werk niet af",IF(IFERROR(VLOOKUP(C434,Tarieven!$A$2:$F$200,2,0),"")="Beide","Beide-klant: controleer prijstype","OK")))))))))</f>
        <v/>
      </c>
    </row>
    <row r="435" ht="15" customHeight="1" s="42">
      <c r="A435" s="56">
        <f>IF(B435="","",WEEKNUM(B435,21))</f>
        <v/>
      </c>
      <c r="B435" s="55" t="n"/>
      <c r="C435" s="57" t="n"/>
      <c r="D435" s="57" t="n"/>
      <c r="E435" s="57" t="n"/>
      <c r="F435" s="57" t="n"/>
      <c r="G435" s="67" t="n"/>
      <c r="H435" s="68" t="n"/>
      <c r="I435" s="61">
        <f>IF(C435="","",IF(H435&lt;&gt;"",INT(H435)+ROUND(MOD(H435,1)*100/60,2),SUMIFS(Registraties!$L$5:$L$3004,Registraties!$D$5:$D$3004,C435,Registraties!$A$5:$A$3004,B435)))</f>
        <v/>
      </c>
      <c r="J435" s="58">
        <f>IF(C435="","",IFERROR(IF(VLOOKUP(C435,Tarieven!$A$2:$F$200,2,0)="Beide","Per uur",VLOOKUP(C435,Tarieven!$A$2:$F$200,2,0)),"Nog bepalen"))</f>
        <v/>
      </c>
      <c r="K435" s="69">
        <f>IF(C435="","",IF(J435="Per uur",IFERROR(VLOOKUP(C435,Tarieven!$A$2:$F$200,3,0),""),IF(J435="Vaste prijs",IFERROR(VLOOKUP(C435,Tarieven!$A$2:$F$200,4,0),""),"")))</f>
        <v/>
      </c>
      <c r="L435" s="70">
        <f>IF(C435="","",IF(J435="Per uur",N(I435)*N(K435),IF(J435="Vaste prijs",N(K435),0)))</f>
        <v/>
      </c>
      <c r="M435" s="69">
        <f>IF(C435="","",IFERROR(IF(N(VLOOKUP(C435,Tarieven!$A$2:$F$200,5,0))=0,"",VLOOKUP(C435,Tarieven!$A$2:$F$200,5,0)),""))</f>
        <v/>
      </c>
      <c r="N435" s="69" t="n"/>
      <c r="O435" s="69" t="n"/>
      <c r="P435" s="70">
        <f>IF(C435="","",N(L435)+N(M435)+N(N435)+N(O435))</f>
        <v/>
      </c>
      <c r="Q435" s="58" t="n"/>
      <c r="R435" s="57" t="n"/>
      <c r="S435" s="57" t="n"/>
      <c r="T435" s="57" t="n"/>
      <c r="U435" s="62">
        <f>IF(C435="","",IF(COUNTIF(Tarieven!$A$2:$A$200,C435)=0,"Klant niet in Tarieven",IF(MOD(N(H435),1)*100&gt;59.4,"Tijd ongeldig: minuten boven 59",IF(J435="Nog bepalen","Prijstype nog bepalen",IF(AND(J435="Per uur",N(K435)=0),"Uurtarief ontbreekt",IF(AND(J435="Vaste prijs",N(K435)=0),"Vaste prijs ontbreekt",IF(AND(N(I435)=0,Q435&lt;&gt;"Niet doorgegaan / verplaatst",Q435&lt;&gt;"Geen factuur nodig"),"Geen uren",IF(AND(G435="NEE",Q435="Verstuurd"),"Verstuurd terwijl werk niet af",IF(IFERROR(VLOOKUP(C435,Tarieven!$A$2:$F$200,2,0),"")="Beide","Beide-klant: controleer prijstype","OK")))))))))</f>
        <v/>
      </c>
    </row>
    <row r="436" ht="15" customHeight="1" s="42">
      <c r="A436" s="56">
        <f>IF(B436="","",WEEKNUM(B436,21))</f>
        <v/>
      </c>
      <c r="B436" s="55" t="n"/>
      <c r="C436" s="57" t="n"/>
      <c r="D436" s="57" t="n"/>
      <c r="E436" s="57" t="n"/>
      <c r="F436" s="57" t="n"/>
      <c r="G436" s="67" t="n"/>
      <c r="H436" s="68" t="n"/>
      <c r="I436" s="61">
        <f>IF(C436="","",IF(H436&lt;&gt;"",INT(H436)+ROUND(MOD(H436,1)*100/60,2),SUMIFS(Registraties!$L$5:$L$3004,Registraties!$D$5:$D$3004,C436,Registraties!$A$5:$A$3004,B436)))</f>
        <v/>
      </c>
      <c r="J436" s="58">
        <f>IF(C436="","",IFERROR(IF(VLOOKUP(C436,Tarieven!$A$2:$F$200,2,0)="Beide","Per uur",VLOOKUP(C436,Tarieven!$A$2:$F$200,2,0)),"Nog bepalen"))</f>
        <v/>
      </c>
      <c r="K436" s="69">
        <f>IF(C436="","",IF(J436="Per uur",IFERROR(VLOOKUP(C436,Tarieven!$A$2:$F$200,3,0),""),IF(J436="Vaste prijs",IFERROR(VLOOKUP(C436,Tarieven!$A$2:$F$200,4,0),""),"")))</f>
        <v/>
      </c>
      <c r="L436" s="70">
        <f>IF(C436="","",IF(J436="Per uur",N(I436)*N(K436),IF(J436="Vaste prijs",N(K436),0)))</f>
        <v/>
      </c>
      <c r="M436" s="69">
        <f>IF(C436="","",IFERROR(IF(N(VLOOKUP(C436,Tarieven!$A$2:$F$200,5,0))=0,"",VLOOKUP(C436,Tarieven!$A$2:$F$200,5,0)),""))</f>
        <v/>
      </c>
      <c r="N436" s="69" t="n"/>
      <c r="O436" s="69" t="n"/>
      <c r="P436" s="70">
        <f>IF(C436="","",N(L436)+N(M436)+N(N436)+N(O436))</f>
        <v/>
      </c>
      <c r="Q436" s="58" t="n"/>
      <c r="R436" s="57" t="n"/>
      <c r="S436" s="57" t="n"/>
      <c r="T436" s="57" t="n"/>
      <c r="U436" s="62">
        <f>IF(C436="","",IF(COUNTIF(Tarieven!$A$2:$A$200,C436)=0,"Klant niet in Tarieven",IF(MOD(N(H436),1)*100&gt;59.4,"Tijd ongeldig: minuten boven 59",IF(J436="Nog bepalen","Prijstype nog bepalen",IF(AND(J436="Per uur",N(K436)=0),"Uurtarief ontbreekt",IF(AND(J436="Vaste prijs",N(K436)=0),"Vaste prijs ontbreekt",IF(AND(N(I436)=0,Q436&lt;&gt;"Niet doorgegaan / verplaatst",Q436&lt;&gt;"Geen factuur nodig"),"Geen uren",IF(AND(G436="NEE",Q436="Verstuurd"),"Verstuurd terwijl werk niet af",IF(IFERROR(VLOOKUP(C436,Tarieven!$A$2:$F$200,2,0),"")="Beide","Beide-klant: controleer prijstype","OK")))))))))</f>
        <v/>
      </c>
    </row>
    <row r="437" ht="15" customHeight="1" s="42">
      <c r="A437" s="56">
        <f>IF(B437="","",WEEKNUM(B437,21))</f>
        <v/>
      </c>
      <c r="B437" s="55" t="n"/>
      <c r="C437" s="57" t="n"/>
      <c r="D437" s="57" t="n"/>
      <c r="E437" s="57" t="n"/>
      <c r="F437" s="57" t="n"/>
      <c r="G437" s="67" t="n"/>
      <c r="H437" s="68" t="n"/>
      <c r="I437" s="61">
        <f>IF(C437="","",IF(H437&lt;&gt;"",INT(H437)+ROUND(MOD(H437,1)*100/60,2),SUMIFS(Registraties!$L$5:$L$3004,Registraties!$D$5:$D$3004,C437,Registraties!$A$5:$A$3004,B437)))</f>
        <v/>
      </c>
      <c r="J437" s="58">
        <f>IF(C437="","",IFERROR(IF(VLOOKUP(C437,Tarieven!$A$2:$F$200,2,0)="Beide","Per uur",VLOOKUP(C437,Tarieven!$A$2:$F$200,2,0)),"Nog bepalen"))</f>
        <v/>
      </c>
      <c r="K437" s="69">
        <f>IF(C437="","",IF(J437="Per uur",IFERROR(VLOOKUP(C437,Tarieven!$A$2:$F$200,3,0),""),IF(J437="Vaste prijs",IFERROR(VLOOKUP(C437,Tarieven!$A$2:$F$200,4,0),""),"")))</f>
        <v/>
      </c>
      <c r="L437" s="70">
        <f>IF(C437="","",IF(J437="Per uur",N(I437)*N(K437),IF(J437="Vaste prijs",N(K437),0)))</f>
        <v/>
      </c>
      <c r="M437" s="69">
        <f>IF(C437="","",IFERROR(IF(N(VLOOKUP(C437,Tarieven!$A$2:$F$200,5,0))=0,"",VLOOKUP(C437,Tarieven!$A$2:$F$200,5,0)),""))</f>
        <v/>
      </c>
      <c r="N437" s="69" t="n"/>
      <c r="O437" s="69" t="n"/>
      <c r="P437" s="70">
        <f>IF(C437="","",N(L437)+N(M437)+N(N437)+N(O437))</f>
        <v/>
      </c>
      <c r="Q437" s="58" t="n"/>
      <c r="R437" s="57" t="n"/>
      <c r="S437" s="57" t="n"/>
      <c r="T437" s="57" t="n"/>
      <c r="U437" s="62">
        <f>IF(C437="","",IF(COUNTIF(Tarieven!$A$2:$A$200,C437)=0,"Klant niet in Tarieven",IF(MOD(N(H437),1)*100&gt;59.4,"Tijd ongeldig: minuten boven 59",IF(J437="Nog bepalen","Prijstype nog bepalen",IF(AND(J437="Per uur",N(K437)=0),"Uurtarief ontbreekt",IF(AND(J437="Vaste prijs",N(K437)=0),"Vaste prijs ontbreekt",IF(AND(N(I437)=0,Q437&lt;&gt;"Niet doorgegaan / verplaatst",Q437&lt;&gt;"Geen factuur nodig"),"Geen uren",IF(AND(G437="NEE",Q437="Verstuurd"),"Verstuurd terwijl werk niet af",IF(IFERROR(VLOOKUP(C437,Tarieven!$A$2:$F$200,2,0),"")="Beide","Beide-klant: controleer prijstype","OK")))))))))</f>
        <v/>
      </c>
    </row>
    <row r="438" ht="15" customHeight="1" s="42">
      <c r="A438" s="56">
        <f>IF(B438="","",WEEKNUM(B438,21))</f>
        <v/>
      </c>
      <c r="B438" s="55" t="n"/>
      <c r="C438" s="57" t="n"/>
      <c r="D438" s="57" t="n"/>
      <c r="E438" s="57" t="n"/>
      <c r="F438" s="57" t="n"/>
      <c r="G438" s="67" t="n"/>
      <c r="H438" s="68" t="n"/>
      <c r="I438" s="61">
        <f>IF(C438="","",IF(H438&lt;&gt;"",INT(H438)+ROUND(MOD(H438,1)*100/60,2),SUMIFS(Registraties!$L$5:$L$3004,Registraties!$D$5:$D$3004,C438,Registraties!$A$5:$A$3004,B438)))</f>
        <v/>
      </c>
      <c r="J438" s="58">
        <f>IF(C438="","",IFERROR(IF(VLOOKUP(C438,Tarieven!$A$2:$F$200,2,0)="Beide","Per uur",VLOOKUP(C438,Tarieven!$A$2:$F$200,2,0)),"Nog bepalen"))</f>
        <v/>
      </c>
      <c r="K438" s="69">
        <f>IF(C438="","",IF(J438="Per uur",IFERROR(VLOOKUP(C438,Tarieven!$A$2:$F$200,3,0),""),IF(J438="Vaste prijs",IFERROR(VLOOKUP(C438,Tarieven!$A$2:$F$200,4,0),""),"")))</f>
        <v/>
      </c>
      <c r="L438" s="70">
        <f>IF(C438="","",IF(J438="Per uur",N(I438)*N(K438),IF(J438="Vaste prijs",N(K438),0)))</f>
        <v/>
      </c>
      <c r="M438" s="69">
        <f>IF(C438="","",IFERROR(IF(N(VLOOKUP(C438,Tarieven!$A$2:$F$200,5,0))=0,"",VLOOKUP(C438,Tarieven!$A$2:$F$200,5,0)),""))</f>
        <v/>
      </c>
      <c r="N438" s="69" t="n"/>
      <c r="O438" s="69" t="n"/>
      <c r="P438" s="70">
        <f>IF(C438="","",N(L438)+N(M438)+N(N438)+N(O438))</f>
        <v/>
      </c>
      <c r="Q438" s="58" t="n"/>
      <c r="R438" s="57" t="n"/>
      <c r="S438" s="57" t="n"/>
      <c r="T438" s="57" t="n"/>
      <c r="U438" s="62">
        <f>IF(C438="","",IF(COUNTIF(Tarieven!$A$2:$A$200,C438)=0,"Klant niet in Tarieven",IF(MOD(N(H438),1)*100&gt;59.4,"Tijd ongeldig: minuten boven 59",IF(J438="Nog bepalen","Prijstype nog bepalen",IF(AND(J438="Per uur",N(K438)=0),"Uurtarief ontbreekt",IF(AND(J438="Vaste prijs",N(K438)=0),"Vaste prijs ontbreekt",IF(AND(N(I438)=0,Q438&lt;&gt;"Niet doorgegaan / verplaatst",Q438&lt;&gt;"Geen factuur nodig"),"Geen uren",IF(AND(G438="NEE",Q438="Verstuurd"),"Verstuurd terwijl werk niet af",IF(IFERROR(VLOOKUP(C438,Tarieven!$A$2:$F$200,2,0),"")="Beide","Beide-klant: controleer prijstype","OK")))))))))</f>
        <v/>
      </c>
    </row>
    <row r="439" ht="15" customHeight="1" s="42">
      <c r="A439" s="56">
        <f>IF(B439="","",WEEKNUM(B439,21))</f>
        <v/>
      </c>
      <c r="B439" s="55" t="n"/>
      <c r="C439" s="57" t="n"/>
      <c r="D439" s="57" t="n"/>
      <c r="E439" s="57" t="n"/>
      <c r="F439" s="57" t="n"/>
      <c r="G439" s="67" t="n"/>
      <c r="H439" s="68" t="n"/>
      <c r="I439" s="61">
        <f>IF(C439="","",IF(H439&lt;&gt;"",INT(H439)+ROUND(MOD(H439,1)*100/60,2),SUMIFS(Registraties!$L$5:$L$3004,Registraties!$D$5:$D$3004,C439,Registraties!$A$5:$A$3004,B439)))</f>
        <v/>
      </c>
      <c r="J439" s="58">
        <f>IF(C439="","",IFERROR(IF(VLOOKUP(C439,Tarieven!$A$2:$F$200,2,0)="Beide","Per uur",VLOOKUP(C439,Tarieven!$A$2:$F$200,2,0)),"Nog bepalen"))</f>
        <v/>
      </c>
      <c r="K439" s="69">
        <f>IF(C439="","",IF(J439="Per uur",IFERROR(VLOOKUP(C439,Tarieven!$A$2:$F$200,3,0),""),IF(J439="Vaste prijs",IFERROR(VLOOKUP(C439,Tarieven!$A$2:$F$200,4,0),""),"")))</f>
        <v/>
      </c>
      <c r="L439" s="70">
        <f>IF(C439="","",IF(J439="Per uur",N(I439)*N(K439),IF(J439="Vaste prijs",N(K439),0)))</f>
        <v/>
      </c>
      <c r="M439" s="69">
        <f>IF(C439="","",IFERROR(IF(N(VLOOKUP(C439,Tarieven!$A$2:$F$200,5,0))=0,"",VLOOKUP(C439,Tarieven!$A$2:$F$200,5,0)),""))</f>
        <v/>
      </c>
      <c r="N439" s="69" t="n"/>
      <c r="O439" s="69" t="n"/>
      <c r="P439" s="70">
        <f>IF(C439="","",N(L439)+N(M439)+N(N439)+N(O439))</f>
        <v/>
      </c>
      <c r="Q439" s="58" t="n"/>
      <c r="R439" s="57" t="n"/>
      <c r="S439" s="57" t="n"/>
      <c r="T439" s="57" t="n"/>
      <c r="U439" s="62">
        <f>IF(C439="","",IF(COUNTIF(Tarieven!$A$2:$A$200,C439)=0,"Klant niet in Tarieven",IF(MOD(N(H439),1)*100&gt;59.4,"Tijd ongeldig: minuten boven 59",IF(J439="Nog bepalen","Prijstype nog bepalen",IF(AND(J439="Per uur",N(K439)=0),"Uurtarief ontbreekt",IF(AND(J439="Vaste prijs",N(K439)=0),"Vaste prijs ontbreekt",IF(AND(N(I439)=0,Q439&lt;&gt;"Niet doorgegaan / verplaatst",Q439&lt;&gt;"Geen factuur nodig"),"Geen uren",IF(AND(G439="NEE",Q439="Verstuurd"),"Verstuurd terwijl werk niet af",IF(IFERROR(VLOOKUP(C439,Tarieven!$A$2:$F$200,2,0),"")="Beide","Beide-klant: controleer prijstype","OK")))))))))</f>
        <v/>
      </c>
    </row>
    <row r="440" ht="15" customHeight="1" s="42">
      <c r="A440" s="56">
        <f>IF(B440="","",WEEKNUM(B440,21))</f>
        <v/>
      </c>
      <c r="B440" s="55" t="n"/>
      <c r="C440" s="57" t="n"/>
      <c r="D440" s="57" t="n"/>
      <c r="E440" s="57" t="n"/>
      <c r="F440" s="57" t="n"/>
      <c r="G440" s="67" t="n"/>
      <c r="H440" s="68" t="n"/>
      <c r="I440" s="61">
        <f>IF(C440="","",IF(H440&lt;&gt;"",INT(H440)+ROUND(MOD(H440,1)*100/60,2),SUMIFS(Registraties!$L$5:$L$3004,Registraties!$D$5:$D$3004,C440,Registraties!$A$5:$A$3004,B440)))</f>
        <v/>
      </c>
      <c r="J440" s="58">
        <f>IF(C440="","",IFERROR(IF(VLOOKUP(C440,Tarieven!$A$2:$F$200,2,0)="Beide","Per uur",VLOOKUP(C440,Tarieven!$A$2:$F$200,2,0)),"Nog bepalen"))</f>
        <v/>
      </c>
      <c r="K440" s="69">
        <f>IF(C440="","",IF(J440="Per uur",IFERROR(VLOOKUP(C440,Tarieven!$A$2:$F$200,3,0),""),IF(J440="Vaste prijs",IFERROR(VLOOKUP(C440,Tarieven!$A$2:$F$200,4,0),""),"")))</f>
        <v/>
      </c>
      <c r="L440" s="70">
        <f>IF(C440="","",IF(J440="Per uur",N(I440)*N(K440),IF(J440="Vaste prijs",N(K440),0)))</f>
        <v/>
      </c>
      <c r="M440" s="69">
        <f>IF(C440="","",IFERROR(IF(N(VLOOKUP(C440,Tarieven!$A$2:$F$200,5,0))=0,"",VLOOKUP(C440,Tarieven!$A$2:$F$200,5,0)),""))</f>
        <v/>
      </c>
      <c r="N440" s="69" t="n"/>
      <c r="O440" s="69" t="n"/>
      <c r="P440" s="70">
        <f>IF(C440="","",N(L440)+N(M440)+N(N440)+N(O440))</f>
        <v/>
      </c>
      <c r="Q440" s="58" t="n"/>
      <c r="R440" s="57" t="n"/>
      <c r="S440" s="57" t="n"/>
      <c r="T440" s="57" t="n"/>
      <c r="U440" s="62">
        <f>IF(C440="","",IF(COUNTIF(Tarieven!$A$2:$A$200,C440)=0,"Klant niet in Tarieven",IF(MOD(N(H440),1)*100&gt;59.4,"Tijd ongeldig: minuten boven 59",IF(J440="Nog bepalen","Prijstype nog bepalen",IF(AND(J440="Per uur",N(K440)=0),"Uurtarief ontbreekt",IF(AND(J440="Vaste prijs",N(K440)=0),"Vaste prijs ontbreekt",IF(AND(N(I440)=0,Q440&lt;&gt;"Niet doorgegaan / verplaatst",Q440&lt;&gt;"Geen factuur nodig"),"Geen uren",IF(AND(G440="NEE",Q440="Verstuurd"),"Verstuurd terwijl werk niet af",IF(IFERROR(VLOOKUP(C440,Tarieven!$A$2:$F$200,2,0),"")="Beide","Beide-klant: controleer prijstype","OK")))))))))</f>
        <v/>
      </c>
    </row>
    <row r="441" ht="15" customHeight="1" s="42">
      <c r="A441" s="56">
        <f>IF(B441="","",WEEKNUM(B441,21))</f>
        <v/>
      </c>
      <c r="B441" s="55" t="n"/>
      <c r="C441" s="57" t="n"/>
      <c r="D441" s="57" t="n"/>
      <c r="E441" s="57" t="n"/>
      <c r="F441" s="57" t="n"/>
      <c r="G441" s="67" t="n"/>
      <c r="H441" s="68" t="n"/>
      <c r="I441" s="61">
        <f>IF(C441="","",IF(H441&lt;&gt;"",INT(H441)+ROUND(MOD(H441,1)*100/60,2),SUMIFS(Registraties!$L$5:$L$3004,Registraties!$D$5:$D$3004,C441,Registraties!$A$5:$A$3004,B441)))</f>
        <v/>
      </c>
      <c r="J441" s="58">
        <f>IF(C441="","",IFERROR(IF(VLOOKUP(C441,Tarieven!$A$2:$F$200,2,0)="Beide","Per uur",VLOOKUP(C441,Tarieven!$A$2:$F$200,2,0)),"Nog bepalen"))</f>
        <v/>
      </c>
      <c r="K441" s="69">
        <f>IF(C441="","",IF(J441="Per uur",IFERROR(VLOOKUP(C441,Tarieven!$A$2:$F$200,3,0),""),IF(J441="Vaste prijs",IFERROR(VLOOKUP(C441,Tarieven!$A$2:$F$200,4,0),""),"")))</f>
        <v/>
      </c>
      <c r="L441" s="70">
        <f>IF(C441="","",IF(J441="Per uur",N(I441)*N(K441),IF(J441="Vaste prijs",N(K441),0)))</f>
        <v/>
      </c>
      <c r="M441" s="69">
        <f>IF(C441="","",IFERROR(IF(N(VLOOKUP(C441,Tarieven!$A$2:$F$200,5,0))=0,"",VLOOKUP(C441,Tarieven!$A$2:$F$200,5,0)),""))</f>
        <v/>
      </c>
      <c r="N441" s="69" t="n"/>
      <c r="O441" s="69" t="n"/>
      <c r="P441" s="70">
        <f>IF(C441="","",N(L441)+N(M441)+N(N441)+N(O441))</f>
        <v/>
      </c>
      <c r="Q441" s="58" t="n"/>
      <c r="R441" s="57" t="n"/>
      <c r="S441" s="57" t="n"/>
      <c r="T441" s="57" t="n"/>
      <c r="U441" s="62">
        <f>IF(C441="","",IF(COUNTIF(Tarieven!$A$2:$A$200,C441)=0,"Klant niet in Tarieven",IF(MOD(N(H441),1)*100&gt;59.4,"Tijd ongeldig: minuten boven 59",IF(J441="Nog bepalen","Prijstype nog bepalen",IF(AND(J441="Per uur",N(K441)=0),"Uurtarief ontbreekt",IF(AND(J441="Vaste prijs",N(K441)=0),"Vaste prijs ontbreekt",IF(AND(N(I441)=0,Q441&lt;&gt;"Niet doorgegaan / verplaatst",Q441&lt;&gt;"Geen factuur nodig"),"Geen uren",IF(AND(G441="NEE",Q441="Verstuurd"),"Verstuurd terwijl werk niet af",IF(IFERROR(VLOOKUP(C441,Tarieven!$A$2:$F$200,2,0),"")="Beide","Beide-klant: controleer prijstype","OK")))))))))</f>
        <v/>
      </c>
    </row>
    <row r="442" ht="15" customHeight="1" s="42">
      <c r="A442" s="56">
        <f>IF(B442="","",WEEKNUM(B442,21))</f>
        <v/>
      </c>
      <c r="B442" s="55" t="n"/>
      <c r="C442" s="57" t="n"/>
      <c r="D442" s="57" t="n"/>
      <c r="E442" s="57" t="n"/>
      <c r="F442" s="57" t="n"/>
      <c r="G442" s="67" t="n"/>
      <c r="H442" s="68" t="n"/>
      <c r="I442" s="61">
        <f>IF(C442="","",IF(H442&lt;&gt;"",INT(H442)+ROUND(MOD(H442,1)*100/60,2),SUMIFS(Registraties!$L$5:$L$3004,Registraties!$D$5:$D$3004,C442,Registraties!$A$5:$A$3004,B442)))</f>
        <v/>
      </c>
      <c r="J442" s="58">
        <f>IF(C442="","",IFERROR(IF(VLOOKUP(C442,Tarieven!$A$2:$F$200,2,0)="Beide","Per uur",VLOOKUP(C442,Tarieven!$A$2:$F$200,2,0)),"Nog bepalen"))</f>
        <v/>
      </c>
      <c r="K442" s="69">
        <f>IF(C442="","",IF(J442="Per uur",IFERROR(VLOOKUP(C442,Tarieven!$A$2:$F$200,3,0),""),IF(J442="Vaste prijs",IFERROR(VLOOKUP(C442,Tarieven!$A$2:$F$200,4,0),""),"")))</f>
        <v/>
      </c>
      <c r="L442" s="70">
        <f>IF(C442="","",IF(J442="Per uur",N(I442)*N(K442),IF(J442="Vaste prijs",N(K442),0)))</f>
        <v/>
      </c>
      <c r="M442" s="69">
        <f>IF(C442="","",IFERROR(IF(N(VLOOKUP(C442,Tarieven!$A$2:$F$200,5,0))=0,"",VLOOKUP(C442,Tarieven!$A$2:$F$200,5,0)),""))</f>
        <v/>
      </c>
      <c r="N442" s="69" t="n"/>
      <c r="O442" s="69" t="n"/>
      <c r="P442" s="70">
        <f>IF(C442="","",N(L442)+N(M442)+N(N442)+N(O442))</f>
        <v/>
      </c>
      <c r="Q442" s="58" t="n"/>
      <c r="R442" s="57" t="n"/>
      <c r="S442" s="57" t="n"/>
      <c r="T442" s="57" t="n"/>
      <c r="U442" s="62">
        <f>IF(C442="","",IF(COUNTIF(Tarieven!$A$2:$A$200,C442)=0,"Klant niet in Tarieven",IF(MOD(N(H442),1)*100&gt;59.4,"Tijd ongeldig: minuten boven 59",IF(J442="Nog bepalen","Prijstype nog bepalen",IF(AND(J442="Per uur",N(K442)=0),"Uurtarief ontbreekt",IF(AND(J442="Vaste prijs",N(K442)=0),"Vaste prijs ontbreekt",IF(AND(N(I442)=0,Q442&lt;&gt;"Niet doorgegaan / verplaatst",Q442&lt;&gt;"Geen factuur nodig"),"Geen uren",IF(AND(G442="NEE",Q442="Verstuurd"),"Verstuurd terwijl werk niet af",IF(IFERROR(VLOOKUP(C442,Tarieven!$A$2:$F$200,2,0),"")="Beide","Beide-klant: controleer prijstype","OK")))))))))</f>
        <v/>
      </c>
    </row>
    <row r="443" ht="15" customHeight="1" s="42">
      <c r="A443" s="56">
        <f>IF(B443="","",WEEKNUM(B443,21))</f>
        <v/>
      </c>
      <c r="B443" s="55" t="n"/>
      <c r="C443" s="57" t="n"/>
      <c r="D443" s="57" t="n"/>
      <c r="E443" s="57" t="n"/>
      <c r="F443" s="57" t="n"/>
      <c r="G443" s="67" t="n"/>
      <c r="H443" s="68" t="n"/>
      <c r="I443" s="61">
        <f>IF(C443="","",IF(H443&lt;&gt;"",INT(H443)+ROUND(MOD(H443,1)*100/60,2),SUMIFS(Registraties!$L$5:$L$3004,Registraties!$D$5:$D$3004,C443,Registraties!$A$5:$A$3004,B443)))</f>
        <v/>
      </c>
      <c r="J443" s="58">
        <f>IF(C443="","",IFERROR(IF(VLOOKUP(C443,Tarieven!$A$2:$F$200,2,0)="Beide","Per uur",VLOOKUP(C443,Tarieven!$A$2:$F$200,2,0)),"Nog bepalen"))</f>
        <v/>
      </c>
      <c r="K443" s="69">
        <f>IF(C443="","",IF(J443="Per uur",IFERROR(VLOOKUP(C443,Tarieven!$A$2:$F$200,3,0),""),IF(J443="Vaste prijs",IFERROR(VLOOKUP(C443,Tarieven!$A$2:$F$200,4,0),""),"")))</f>
        <v/>
      </c>
      <c r="L443" s="70">
        <f>IF(C443="","",IF(J443="Per uur",N(I443)*N(K443),IF(J443="Vaste prijs",N(K443),0)))</f>
        <v/>
      </c>
      <c r="M443" s="69">
        <f>IF(C443="","",IFERROR(IF(N(VLOOKUP(C443,Tarieven!$A$2:$F$200,5,0))=0,"",VLOOKUP(C443,Tarieven!$A$2:$F$200,5,0)),""))</f>
        <v/>
      </c>
      <c r="N443" s="69" t="n"/>
      <c r="O443" s="69" t="n"/>
      <c r="P443" s="70">
        <f>IF(C443="","",N(L443)+N(M443)+N(N443)+N(O443))</f>
        <v/>
      </c>
      <c r="Q443" s="58" t="n"/>
      <c r="R443" s="57" t="n"/>
      <c r="S443" s="57" t="n"/>
      <c r="T443" s="57" t="n"/>
      <c r="U443" s="62">
        <f>IF(C443="","",IF(COUNTIF(Tarieven!$A$2:$A$200,C443)=0,"Klant niet in Tarieven",IF(MOD(N(H443),1)*100&gt;59.4,"Tijd ongeldig: minuten boven 59",IF(J443="Nog bepalen","Prijstype nog bepalen",IF(AND(J443="Per uur",N(K443)=0),"Uurtarief ontbreekt",IF(AND(J443="Vaste prijs",N(K443)=0),"Vaste prijs ontbreekt",IF(AND(N(I443)=0,Q443&lt;&gt;"Niet doorgegaan / verplaatst",Q443&lt;&gt;"Geen factuur nodig"),"Geen uren",IF(AND(G443="NEE",Q443="Verstuurd"),"Verstuurd terwijl werk niet af",IF(IFERROR(VLOOKUP(C443,Tarieven!$A$2:$F$200,2,0),"")="Beide","Beide-klant: controleer prijstype","OK")))))))))</f>
        <v/>
      </c>
    </row>
    <row r="444" ht="15" customHeight="1" s="42">
      <c r="A444" s="56">
        <f>IF(B444="","",WEEKNUM(B444,21))</f>
        <v/>
      </c>
      <c r="B444" s="55" t="n"/>
      <c r="C444" s="57" t="n"/>
      <c r="D444" s="57" t="n"/>
      <c r="E444" s="57" t="n"/>
      <c r="F444" s="57" t="n"/>
      <c r="G444" s="67" t="n"/>
      <c r="H444" s="68" t="n"/>
      <c r="I444" s="61">
        <f>IF(C444="","",IF(H444&lt;&gt;"",INT(H444)+ROUND(MOD(H444,1)*100/60,2),SUMIFS(Registraties!$L$5:$L$3004,Registraties!$D$5:$D$3004,C444,Registraties!$A$5:$A$3004,B444)))</f>
        <v/>
      </c>
      <c r="J444" s="58">
        <f>IF(C444="","",IFERROR(IF(VLOOKUP(C444,Tarieven!$A$2:$F$200,2,0)="Beide","Per uur",VLOOKUP(C444,Tarieven!$A$2:$F$200,2,0)),"Nog bepalen"))</f>
        <v/>
      </c>
      <c r="K444" s="69">
        <f>IF(C444="","",IF(J444="Per uur",IFERROR(VLOOKUP(C444,Tarieven!$A$2:$F$200,3,0),""),IF(J444="Vaste prijs",IFERROR(VLOOKUP(C444,Tarieven!$A$2:$F$200,4,0),""),"")))</f>
        <v/>
      </c>
      <c r="L444" s="70">
        <f>IF(C444="","",IF(J444="Per uur",N(I444)*N(K444),IF(J444="Vaste prijs",N(K444),0)))</f>
        <v/>
      </c>
      <c r="M444" s="69">
        <f>IF(C444="","",IFERROR(IF(N(VLOOKUP(C444,Tarieven!$A$2:$F$200,5,0))=0,"",VLOOKUP(C444,Tarieven!$A$2:$F$200,5,0)),""))</f>
        <v/>
      </c>
      <c r="N444" s="69" t="n"/>
      <c r="O444" s="69" t="n"/>
      <c r="P444" s="70">
        <f>IF(C444="","",N(L444)+N(M444)+N(N444)+N(O444))</f>
        <v/>
      </c>
      <c r="Q444" s="58" t="n"/>
      <c r="R444" s="57" t="n"/>
      <c r="S444" s="57" t="n"/>
      <c r="T444" s="57" t="n"/>
      <c r="U444" s="62">
        <f>IF(C444="","",IF(COUNTIF(Tarieven!$A$2:$A$200,C444)=0,"Klant niet in Tarieven",IF(MOD(N(H444),1)*100&gt;59.4,"Tijd ongeldig: minuten boven 59",IF(J444="Nog bepalen","Prijstype nog bepalen",IF(AND(J444="Per uur",N(K444)=0),"Uurtarief ontbreekt",IF(AND(J444="Vaste prijs",N(K444)=0),"Vaste prijs ontbreekt",IF(AND(N(I444)=0,Q444&lt;&gt;"Niet doorgegaan / verplaatst",Q444&lt;&gt;"Geen factuur nodig"),"Geen uren",IF(AND(G444="NEE",Q444="Verstuurd"),"Verstuurd terwijl werk niet af",IF(IFERROR(VLOOKUP(C444,Tarieven!$A$2:$F$200,2,0),"")="Beide","Beide-klant: controleer prijstype","OK")))))))))</f>
        <v/>
      </c>
    </row>
    <row r="445" ht="15" customHeight="1" s="42">
      <c r="A445" s="56">
        <f>IF(B445="","",WEEKNUM(B445,21))</f>
        <v/>
      </c>
      <c r="B445" s="55" t="n"/>
      <c r="C445" s="57" t="n"/>
      <c r="D445" s="57" t="n"/>
      <c r="E445" s="57" t="n"/>
      <c r="F445" s="57" t="n"/>
      <c r="G445" s="67" t="n"/>
      <c r="H445" s="68" t="n"/>
      <c r="I445" s="61">
        <f>IF(C445="","",IF(H445&lt;&gt;"",INT(H445)+ROUND(MOD(H445,1)*100/60,2),SUMIFS(Registraties!$L$5:$L$3004,Registraties!$D$5:$D$3004,C445,Registraties!$A$5:$A$3004,B445)))</f>
        <v/>
      </c>
      <c r="J445" s="58">
        <f>IF(C445="","",IFERROR(IF(VLOOKUP(C445,Tarieven!$A$2:$F$200,2,0)="Beide","Per uur",VLOOKUP(C445,Tarieven!$A$2:$F$200,2,0)),"Nog bepalen"))</f>
        <v/>
      </c>
      <c r="K445" s="69">
        <f>IF(C445="","",IF(J445="Per uur",IFERROR(VLOOKUP(C445,Tarieven!$A$2:$F$200,3,0),""),IF(J445="Vaste prijs",IFERROR(VLOOKUP(C445,Tarieven!$A$2:$F$200,4,0),""),"")))</f>
        <v/>
      </c>
      <c r="L445" s="70">
        <f>IF(C445="","",IF(J445="Per uur",N(I445)*N(K445),IF(J445="Vaste prijs",N(K445),0)))</f>
        <v/>
      </c>
      <c r="M445" s="69">
        <f>IF(C445="","",IFERROR(IF(N(VLOOKUP(C445,Tarieven!$A$2:$F$200,5,0))=0,"",VLOOKUP(C445,Tarieven!$A$2:$F$200,5,0)),""))</f>
        <v/>
      </c>
      <c r="N445" s="69" t="n"/>
      <c r="O445" s="69" t="n"/>
      <c r="P445" s="70">
        <f>IF(C445="","",N(L445)+N(M445)+N(N445)+N(O445))</f>
        <v/>
      </c>
      <c r="Q445" s="58" t="n"/>
      <c r="R445" s="57" t="n"/>
      <c r="S445" s="57" t="n"/>
      <c r="T445" s="57" t="n"/>
      <c r="U445" s="62">
        <f>IF(C445="","",IF(COUNTIF(Tarieven!$A$2:$A$200,C445)=0,"Klant niet in Tarieven",IF(MOD(N(H445),1)*100&gt;59.4,"Tijd ongeldig: minuten boven 59",IF(J445="Nog bepalen","Prijstype nog bepalen",IF(AND(J445="Per uur",N(K445)=0),"Uurtarief ontbreekt",IF(AND(J445="Vaste prijs",N(K445)=0),"Vaste prijs ontbreekt",IF(AND(N(I445)=0,Q445&lt;&gt;"Niet doorgegaan / verplaatst",Q445&lt;&gt;"Geen factuur nodig"),"Geen uren",IF(AND(G445="NEE",Q445="Verstuurd"),"Verstuurd terwijl werk niet af",IF(IFERROR(VLOOKUP(C445,Tarieven!$A$2:$F$200,2,0),"")="Beide","Beide-klant: controleer prijstype","OK")))))))))</f>
        <v/>
      </c>
    </row>
    <row r="446" ht="15" customHeight="1" s="42">
      <c r="A446" s="56">
        <f>IF(B446="","",WEEKNUM(B446,21))</f>
        <v/>
      </c>
      <c r="B446" s="55" t="n"/>
      <c r="C446" s="57" t="n"/>
      <c r="D446" s="57" t="n"/>
      <c r="E446" s="57" t="n"/>
      <c r="F446" s="57" t="n"/>
      <c r="G446" s="67" t="n"/>
      <c r="H446" s="68" t="n"/>
      <c r="I446" s="61">
        <f>IF(C446="","",IF(H446&lt;&gt;"",INT(H446)+ROUND(MOD(H446,1)*100/60,2),SUMIFS(Registraties!$L$5:$L$3004,Registraties!$D$5:$D$3004,C446,Registraties!$A$5:$A$3004,B446)))</f>
        <v/>
      </c>
      <c r="J446" s="58">
        <f>IF(C446="","",IFERROR(IF(VLOOKUP(C446,Tarieven!$A$2:$F$200,2,0)="Beide","Per uur",VLOOKUP(C446,Tarieven!$A$2:$F$200,2,0)),"Nog bepalen"))</f>
        <v/>
      </c>
      <c r="K446" s="69">
        <f>IF(C446="","",IF(J446="Per uur",IFERROR(VLOOKUP(C446,Tarieven!$A$2:$F$200,3,0),""),IF(J446="Vaste prijs",IFERROR(VLOOKUP(C446,Tarieven!$A$2:$F$200,4,0),""),"")))</f>
        <v/>
      </c>
      <c r="L446" s="70">
        <f>IF(C446="","",IF(J446="Per uur",N(I446)*N(K446),IF(J446="Vaste prijs",N(K446),0)))</f>
        <v/>
      </c>
      <c r="M446" s="69">
        <f>IF(C446="","",IFERROR(IF(N(VLOOKUP(C446,Tarieven!$A$2:$F$200,5,0))=0,"",VLOOKUP(C446,Tarieven!$A$2:$F$200,5,0)),""))</f>
        <v/>
      </c>
      <c r="N446" s="69" t="n"/>
      <c r="O446" s="69" t="n"/>
      <c r="P446" s="70">
        <f>IF(C446="","",N(L446)+N(M446)+N(N446)+N(O446))</f>
        <v/>
      </c>
      <c r="Q446" s="58" t="n"/>
      <c r="R446" s="57" t="n"/>
      <c r="S446" s="57" t="n"/>
      <c r="T446" s="57" t="n"/>
      <c r="U446" s="62">
        <f>IF(C446="","",IF(COUNTIF(Tarieven!$A$2:$A$200,C446)=0,"Klant niet in Tarieven",IF(MOD(N(H446),1)*100&gt;59.4,"Tijd ongeldig: minuten boven 59",IF(J446="Nog bepalen","Prijstype nog bepalen",IF(AND(J446="Per uur",N(K446)=0),"Uurtarief ontbreekt",IF(AND(J446="Vaste prijs",N(K446)=0),"Vaste prijs ontbreekt",IF(AND(N(I446)=0,Q446&lt;&gt;"Niet doorgegaan / verplaatst",Q446&lt;&gt;"Geen factuur nodig"),"Geen uren",IF(AND(G446="NEE",Q446="Verstuurd"),"Verstuurd terwijl werk niet af",IF(IFERROR(VLOOKUP(C446,Tarieven!$A$2:$F$200,2,0),"")="Beide","Beide-klant: controleer prijstype","OK")))))))))</f>
        <v/>
      </c>
    </row>
    <row r="447" ht="15" customHeight="1" s="42">
      <c r="A447" s="56">
        <f>IF(B447="","",WEEKNUM(B447,21))</f>
        <v/>
      </c>
      <c r="B447" s="55" t="n"/>
      <c r="C447" s="57" t="n"/>
      <c r="D447" s="57" t="n"/>
      <c r="E447" s="57" t="n"/>
      <c r="F447" s="57" t="n"/>
      <c r="G447" s="67" t="n"/>
      <c r="H447" s="68" t="n"/>
      <c r="I447" s="61">
        <f>IF(C447="","",IF(H447&lt;&gt;"",INT(H447)+ROUND(MOD(H447,1)*100/60,2),SUMIFS(Registraties!$L$5:$L$3004,Registraties!$D$5:$D$3004,C447,Registraties!$A$5:$A$3004,B447)))</f>
        <v/>
      </c>
      <c r="J447" s="58">
        <f>IF(C447="","",IFERROR(IF(VLOOKUP(C447,Tarieven!$A$2:$F$200,2,0)="Beide","Per uur",VLOOKUP(C447,Tarieven!$A$2:$F$200,2,0)),"Nog bepalen"))</f>
        <v/>
      </c>
      <c r="K447" s="69">
        <f>IF(C447="","",IF(J447="Per uur",IFERROR(VLOOKUP(C447,Tarieven!$A$2:$F$200,3,0),""),IF(J447="Vaste prijs",IFERROR(VLOOKUP(C447,Tarieven!$A$2:$F$200,4,0),""),"")))</f>
        <v/>
      </c>
      <c r="L447" s="70">
        <f>IF(C447="","",IF(J447="Per uur",N(I447)*N(K447),IF(J447="Vaste prijs",N(K447),0)))</f>
        <v/>
      </c>
      <c r="M447" s="69">
        <f>IF(C447="","",IFERROR(IF(N(VLOOKUP(C447,Tarieven!$A$2:$F$200,5,0))=0,"",VLOOKUP(C447,Tarieven!$A$2:$F$200,5,0)),""))</f>
        <v/>
      </c>
      <c r="N447" s="69" t="n"/>
      <c r="O447" s="69" t="n"/>
      <c r="P447" s="70">
        <f>IF(C447="","",N(L447)+N(M447)+N(N447)+N(O447))</f>
        <v/>
      </c>
      <c r="Q447" s="58" t="n"/>
      <c r="R447" s="57" t="n"/>
      <c r="S447" s="57" t="n"/>
      <c r="T447" s="57" t="n"/>
      <c r="U447" s="62">
        <f>IF(C447="","",IF(COUNTIF(Tarieven!$A$2:$A$200,C447)=0,"Klant niet in Tarieven",IF(MOD(N(H447),1)*100&gt;59.4,"Tijd ongeldig: minuten boven 59",IF(J447="Nog bepalen","Prijstype nog bepalen",IF(AND(J447="Per uur",N(K447)=0),"Uurtarief ontbreekt",IF(AND(J447="Vaste prijs",N(K447)=0),"Vaste prijs ontbreekt",IF(AND(N(I447)=0,Q447&lt;&gt;"Niet doorgegaan / verplaatst",Q447&lt;&gt;"Geen factuur nodig"),"Geen uren",IF(AND(G447="NEE",Q447="Verstuurd"),"Verstuurd terwijl werk niet af",IF(IFERROR(VLOOKUP(C447,Tarieven!$A$2:$F$200,2,0),"")="Beide","Beide-klant: controleer prijstype","OK")))))))))</f>
        <v/>
      </c>
    </row>
    <row r="448" ht="15" customHeight="1" s="42">
      <c r="A448" s="56">
        <f>IF(B448="","",WEEKNUM(B448,21))</f>
        <v/>
      </c>
      <c r="B448" s="55" t="n"/>
      <c r="C448" s="57" t="n"/>
      <c r="D448" s="57" t="n"/>
      <c r="E448" s="57" t="n"/>
      <c r="F448" s="57" t="n"/>
      <c r="G448" s="67" t="n"/>
      <c r="H448" s="68" t="n"/>
      <c r="I448" s="61">
        <f>IF(C448="","",IF(H448&lt;&gt;"",INT(H448)+ROUND(MOD(H448,1)*100/60,2),SUMIFS(Registraties!$L$5:$L$3004,Registraties!$D$5:$D$3004,C448,Registraties!$A$5:$A$3004,B448)))</f>
        <v/>
      </c>
      <c r="J448" s="58">
        <f>IF(C448="","",IFERROR(IF(VLOOKUP(C448,Tarieven!$A$2:$F$200,2,0)="Beide","Per uur",VLOOKUP(C448,Tarieven!$A$2:$F$200,2,0)),"Nog bepalen"))</f>
        <v/>
      </c>
      <c r="K448" s="69">
        <f>IF(C448="","",IF(J448="Per uur",IFERROR(VLOOKUP(C448,Tarieven!$A$2:$F$200,3,0),""),IF(J448="Vaste prijs",IFERROR(VLOOKUP(C448,Tarieven!$A$2:$F$200,4,0),""),"")))</f>
        <v/>
      </c>
      <c r="L448" s="70">
        <f>IF(C448="","",IF(J448="Per uur",N(I448)*N(K448),IF(J448="Vaste prijs",N(K448),0)))</f>
        <v/>
      </c>
      <c r="M448" s="69">
        <f>IF(C448="","",IFERROR(IF(N(VLOOKUP(C448,Tarieven!$A$2:$F$200,5,0))=0,"",VLOOKUP(C448,Tarieven!$A$2:$F$200,5,0)),""))</f>
        <v/>
      </c>
      <c r="N448" s="69" t="n"/>
      <c r="O448" s="69" t="n"/>
      <c r="P448" s="70">
        <f>IF(C448="","",N(L448)+N(M448)+N(N448)+N(O448))</f>
        <v/>
      </c>
      <c r="Q448" s="58" t="n"/>
      <c r="R448" s="57" t="n"/>
      <c r="S448" s="57" t="n"/>
      <c r="T448" s="57" t="n"/>
      <c r="U448" s="62">
        <f>IF(C448="","",IF(COUNTIF(Tarieven!$A$2:$A$200,C448)=0,"Klant niet in Tarieven",IF(MOD(N(H448),1)*100&gt;59.4,"Tijd ongeldig: minuten boven 59",IF(J448="Nog bepalen","Prijstype nog bepalen",IF(AND(J448="Per uur",N(K448)=0),"Uurtarief ontbreekt",IF(AND(J448="Vaste prijs",N(K448)=0),"Vaste prijs ontbreekt",IF(AND(N(I448)=0,Q448&lt;&gt;"Niet doorgegaan / verplaatst",Q448&lt;&gt;"Geen factuur nodig"),"Geen uren",IF(AND(G448="NEE",Q448="Verstuurd"),"Verstuurd terwijl werk niet af",IF(IFERROR(VLOOKUP(C448,Tarieven!$A$2:$F$200,2,0),"")="Beide","Beide-klant: controleer prijstype","OK")))))))))</f>
        <v/>
      </c>
    </row>
    <row r="449" ht="15" customHeight="1" s="42">
      <c r="A449" s="56">
        <f>IF(B449="","",WEEKNUM(B449,21))</f>
        <v/>
      </c>
      <c r="B449" s="55" t="n"/>
      <c r="C449" s="57" t="n"/>
      <c r="D449" s="57" t="n"/>
      <c r="E449" s="57" t="n"/>
      <c r="F449" s="57" t="n"/>
      <c r="G449" s="67" t="n"/>
      <c r="H449" s="68" t="n"/>
      <c r="I449" s="61">
        <f>IF(C449="","",IF(H449&lt;&gt;"",INT(H449)+ROUND(MOD(H449,1)*100/60,2),SUMIFS(Registraties!$L$5:$L$3004,Registraties!$D$5:$D$3004,C449,Registraties!$A$5:$A$3004,B449)))</f>
        <v/>
      </c>
      <c r="J449" s="58">
        <f>IF(C449="","",IFERROR(IF(VLOOKUP(C449,Tarieven!$A$2:$F$200,2,0)="Beide","Per uur",VLOOKUP(C449,Tarieven!$A$2:$F$200,2,0)),"Nog bepalen"))</f>
        <v/>
      </c>
      <c r="K449" s="69">
        <f>IF(C449="","",IF(J449="Per uur",IFERROR(VLOOKUP(C449,Tarieven!$A$2:$F$200,3,0),""),IF(J449="Vaste prijs",IFERROR(VLOOKUP(C449,Tarieven!$A$2:$F$200,4,0),""),"")))</f>
        <v/>
      </c>
      <c r="L449" s="70">
        <f>IF(C449="","",IF(J449="Per uur",N(I449)*N(K449),IF(J449="Vaste prijs",N(K449),0)))</f>
        <v/>
      </c>
      <c r="M449" s="69">
        <f>IF(C449="","",IFERROR(IF(N(VLOOKUP(C449,Tarieven!$A$2:$F$200,5,0))=0,"",VLOOKUP(C449,Tarieven!$A$2:$F$200,5,0)),""))</f>
        <v/>
      </c>
      <c r="N449" s="69" t="n"/>
      <c r="O449" s="69" t="n"/>
      <c r="P449" s="70">
        <f>IF(C449="","",N(L449)+N(M449)+N(N449)+N(O449))</f>
        <v/>
      </c>
      <c r="Q449" s="58" t="n"/>
      <c r="R449" s="57" t="n"/>
      <c r="S449" s="57" t="n"/>
      <c r="T449" s="57" t="n"/>
      <c r="U449" s="62">
        <f>IF(C449="","",IF(COUNTIF(Tarieven!$A$2:$A$200,C449)=0,"Klant niet in Tarieven",IF(MOD(N(H449),1)*100&gt;59.4,"Tijd ongeldig: minuten boven 59",IF(J449="Nog bepalen","Prijstype nog bepalen",IF(AND(J449="Per uur",N(K449)=0),"Uurtarief ontbreekt",IF(AND(J449="Vaste prijs",N(K449)=0),"Vaste prijs ontbreekt",IF(AND(N(I449)=0,Q449&lt;&gt;"Niet doorgegaan / verplaatst",Q449&lt;&gt;"Geen factuur nodig"),"Geen uren",IF(AND(G449="NEE",Q449="Verstuurd"),"Verstuurd terwijl werk niet af",IF(IFERROR(VLOOKUP(C449,Tarieven!$A$2:$F$200,2,0),"")="Beide","Beide-klant: controleer prijstype","OK")))))))))</f>
        <v/>
      </c>
    </row>
    <row r="450" ht="15" customHeight="1" s="42">
      <c r="A450" s="56">
        <f>IF(B450="","",WEEKNUM(B450,21))</f>
        <v/>
      </c>
      <c r="B450" s="55" t="n"/>
      <c r="C450" s="57" t="n"/>
      <c r="D450" s="57" t="n"/>
      <c r="E450" s="57" t="n"/>
      <c r="F450" s="57" t="n"/>
      <c r="G450" s="67" t="n"/>
      <c r="H450" s="68" t="n"/>
      <c r="I450" s="61">
        <f>IF(C450="","",IF(H450&lt;&gt;"",INT(H450)+ROUND(MOD(H450,1)*100/60,2),SUMIFS(Registraties!$L$5:$L$3004,Registraties!$D$5:$D$3004,C450,Registraties!$A$5:$A$3004,B450)))</f>
        <v/>
      </c>
      <c r="J450" s="58">
        <f>IF(C450="","",IFERROR(IF(VLOOKUP(C450,Tarieven!$A$2:$F$200,2,0)="Beide","Per uur",VLOOKUP(C450,Tarieven!$A$2:$F$200,2,0)),"Nog bepalen"))</f>
        <v/>
      </c>
      <c r="K450" s="69">
        <f>IF(C450="","",IF(J450="Per uur",IFERROR(VLOOKUP(C450,Tarieven!$A$2:$F$200,3,0),""),IF(J450="Vaste prijs",IFERROR(VLOOKUP(C450,Tarieven!$A$2:$F$200,4,0),""),"")))</f>
        <v/>
      </c>
      <c r="L450" s="70">
        <f>IF(C450="","",IF(J450="Per uur",N(I450)*N(K450),IF(J450="Vaste prijs",N(K450),0)))</f>
        <v/>
      </c>
      <c r="M450" s="69">
        <f>IF(C450="","",IFERROR(IF(N(VLOOKUP(C450,Tarieven!$A$2:$F$200,5,0))=0,"",VLOOKUP(C450,Tarieven!$A$2:$F$200,5,0)),""))</f>
        <v/>
      </c>
      <c r="N450" s="69" t="n"/>
      <c r="O450" s="69" t="n"/>
      <c r="P450" s="70">
        <f>IF(C450="","",N(L450)+N(M450)+N(N450)+N(O450))</f>
        <v/>
      </c>
      <c r="Q450" s="58" t="n"/>
      <c r="R450" s="57" t="n"/>
      <c r="S450" s="57" t="n"/>
      <c r="T450" s="57" t="n"/>
      <c r="U450" s="62">
        <f>IF(C450="","",IF(COUNTIF(Tarieven!$A$2:$A$200,C450)=0,"Klant niet in Tarieven",IF(MOD(N(H450),1)*100&gt;59.4,"Tijd ongeldig: minuten boven 59",IF(J450="Nog bepalen","Prijstype nog bepalen",IF(AND(J450="Per uur",N(K450)=0),"Uurtarief ontbreekt",IF(AND(J450="Vaste prijs",N(K450)=0),"Vaste prijs ontbreekt",IF(AND(N(I450)=0,Q450&lt;&gt;"Niet doorgegaan / verplaatst",Q450&lt;&gt;"Geen factuur nodig"),"Geen uren",IF(AND(G450="NEE",Q450="Verstuurd"),"Verstuurd terwijl werk niet af",IF(IFERROR(VLOOKUP(C450,Tarieven!$A$2:$F$200,2,0),"")="Beide","Beide-klant: controleer prijstype","OK")))))))))</f>
        <v/>
      </c>
    </row>
    <row r="451" ht="15" customHeight="1" s="42">
      <c r="A451" s="56">
        <f>IF(B451="","",WEEKNUM(B451,21))</f>
        <v/>
      </c>
      <c r="B451" s="55" t="n"/>
      <c r="C451" s="57" t="n"/>
      <c r="D451" s="57" t="n"/>
      <c r="E451" s="57" t="n"/>
      <c r="F451" s="57" t="n"/>
      <c r="G451" s="67" t="n"/>
      <c r="H451" s="68" t="n"/>
      <c r="I451" s="61">
        <f>IF(C451="","",IF(H451&lt;&gt;"",INT(H451)+ROUND(MOD(H451,1)*100/60,2),SUMIFS(Registraties!$L$5:$L$3004,Registraties!$D$5:$D$3004,C451,Registraties!$A$5:$A$3004,B451)))</f>
        <v/>
      </c>
      <c r="J451" s="58">
        <f>IF(C451="","",IFERROR(IF(VLOOKUP(C451,Tarieven!$A$2:$F$200,2,0)="Beide","Per uur",VLOOKUP(C451,Tarieven!$A$2:$F$200,2,0)),"Nog bepalen"))</f>
        <v/>
      </c>
      <c r="K451" s="69">
        <f>IF(C451="","",IF(J451="Per uur",IFERROR(VLOOKUP(C451,Tarieven!$A$2:$F$200,3,0),""),IF(J451="Vaste prijs",IFERROR(VLOOKUP(C451,Tarieven!$A$2:$F$200,4,0),""),"")))</f>
        <v/>
      </c>
      <c r="L451" s="70">
        <f>IF(C451="","",IF(J451="Per uur",N(I451)*N(K451),IF(J451="Vaste prijs",N(K451),0)))</f>
        <v/>
      </c>
      <c r="M451" s="69">
        <f>IF(C451="","",IFERROR(IF(N(VLOOKUP(C451,Tarieven!$A$2:$F$200,5,0))=0,"",VLOOKUP(C451,Tarieven!$A$2:$F$200,5,0)),""))</f>
        <v/>
      </c>
      <c r="N451" s="69" t="n"/>
      <c r="O451" s="69" t="n"/>
      <c r="P451" s="70">
        <f>IF(C451="","",N(L451)+N(M451)+N(N451)+N(O451))</f>
        <v/>
      </c>
      <c r="Q451" s="58" t="n"/>
      <c r="R451" s="57" t="n"/>
      <c r="S451" s="57" t="n"/>
      <c r="T451" s="57" t="n"/>
      <c r="U451" s="62">
        <f>IF(C451="","",IF(COUNTIF(Tarieven!$A$2:$A$200,C451)=0,"Klant niet in Tarieven",IF(MOD(N(H451),1)*100&gt;59.4,"Tijd ongeldig: minuten boven 59",IF(J451="Nog bepalen","Prijstype nog bepalen",IF(AND(J451="Per uur",N(K451)=0),"Uurtarief ontbreekt",IF(AND(J451="Vaste prijs",N(K451)=0),"Vaste prijs ontbreekt",IF(AND(N(I451)=0,Q451&lt;&gt;"Niet doorgegaan / verplaatst",Q451&lt;&gt;"Geen factuur nodig"),"Geen uren",IF(AND(G451="NEE",Q451="Verstuurd"),"Verstuurd terwijl werk niet af",IF(IFERROR(VLOOKUP(C451,Tarieven!$A$2:$F$200,2,0),"")="Beide","Beide-klant: controleer prijstype","OK")))))))))</f>
        <v/>
      </c>
    </row>
    <row r="452" ht="15" customHeight="1" s="42">
      <c r="A452" s="56">
        <f>IF(B452="","",WEEKNUM(B452,21))</f>
        <v/>
      </c>
      <c r="B452" s="55" t="n"/>
      <c r="C452" s="57" t="n"/>
      <c r="D452" s="57" t="n"/>
      <c r="E452" s="57" t="n"/>
      <c r="F452" s="57" t="n"/>
      <c r="G452" s="67" t="n"/>
      <c r="H452" s="68" t="n"/>
      <c r="I452" s="61">
        <f>IF(C452="","",IF(H452&lt;&gt;"",INT(H452)+ROUND(MOD(H452,1)*100/60,2),SUMIFS(Registraties!$L$5:$L$3004,Registraties!$D$5:$D$3004,C452,Registraties!$A$5:$A$3004,B452)))</f>
        <v/>
      </c>
      <c r="J452" s="58">
        <f>IF(C452="","",IFERROR(IF(VLOOKUP(C452,Tarieven!$A$2:$F$200,2,0)="Beide","Per uur",VLOOKUP(C452,Tarieven!$A$2:$F$200,2,0)),"Nog bepalen"))</f>
        <v/>
      </c>
      <c r="K452" s="69">
        <f>IF(C452="","",IF(J452="Per uur",IFERROR(VLOOKUP(C452,Tarieven!$A$2:$F$200,3,0),""),IF(J452="Vaste prijs",IFERROR(VLOOKUP(C452,Tarieven!$A$2:$F$200,4,0),""),"")))</f>
        <v/>
      </c>
      <c r="L452" s="70">
        <f>IF(C452="","",IF(J452="Per uur",N(I452)*N(K452),IF(J452="Vaste prijs",N(K452),0)))</f>
        <v/>
      </c>
      <c r="M452" s="69">
        <f>IF(C452="","",IFERROR(IF(N(VLOOKUP(C452,Tarieven!$A$2:$F$200,5,0))=0,"",VLOOKUP(C452,Tarieven!$A$2:$F$200,5,0)),""))</f>
        <v/>
      </c>
      <c r="N452" s="69" t="n"/>
      <c r="O452" s="69" t="n"/>
      <c r="P452" s="70">
        <f>IF(C452="","",N(L452)+N(M452)+N(N452)+N(O452))</f>
        <v/>
      </c>
      <c r="Q452" s="58" t="n"/>
      <c r="R452" s="57" t="n"/>
      <c r="S452" s="57" t="n"/>
      <c r="T452" s="57" t="n"/>
      <c r="U452" s="62">
        <f>IF(C452="","",IF(COUNTIF(Tarieven!$A$2:$A$200,C452)=0,"Klant niet in Tarieven",IF(MOD(N(H452),1)*100&gt;59.4,"Tijd ongeldig: minuten boven 59",IF(J452="Nog bepalen","Prijstype nog bepalen",IF(AND(J452="Per uur",N(K452)=0),"Uurtarief ontbreekt",IF(AND(J452="Vaste prijs",N(K452)=0),"Vaste prijs ontbreekt",IF(AND(N(I452)=0,Q452&lt;&gt;"Niet doorgegaan / verplaatst",Q452&lt;&gt;"Geen factuur nodig"),"Geen uren",IF(AND(G452="NEE",Q452="Verstuurd"),"Verstuurd terwijl werk niet af",IF(IFERROR(VLOOKUP(C452,Tarieven!$A$2:$F$200,2,0),"")="Beide","Beide-klant: controleer prijstype","OK")))))))))</f>
        <v/>
      </c>
    </row>
    <row r="453" ht="15" customHeight="1" s="42">
      <c r="A453" s="56">
        <f>IF(B453="","",WEEKNUM(B453,21))</f>
        <v/>
      </c>
      <c r="B453" s="55" t="n"/>
      <c r="C453" s="57" t="n"/>
      <c r="D453" s="57" t="n"/>
      <c r="E453" s="57" t="n"/>
      <c r="F453" s="57" t="n"/>
      <c r="G453" s="67" t="n"/>
      <c r="H453" s="68" t="n"/>
      <c r="I453" s="61">
        <f>IF(C453="","",IF(H453&lt;&gt;"",INT(H453)+ROUND(MOD(H453,1)*100/60,2),SUMIFS(Registraties!$L$5:$L$3004,Registraties!$D$5:$D$3004,C453,Registraties!$A$5:$A$3004,B453)))</f>
        <v/>
      </c>
      <c r="J453" s="58">
        <f>IF(C453="","",IFERROR(IF(VLOOKUP(C453,Tarieven!$A$2:$F$200,2,0)="Beide","Per uur",VLOOKUP(C453,Tarieven!$A$2:$F$200,2,0)),"Nog bepalen"))</f>
        <v/>
      </c>
      <c r="K453" s="69">
        <f>IF(C453="","",IF(J453="Per uur",IFERROR(VLOOKUP(C453,Tarieven!$A$2:$F$200,3,0),""),IF(J453="Vaste prijs",IFERROR(VLOOKUP(C453,Tarieven!$A$2:$F$200,4,0),""),"")))</f>
        <v/>
      </c>
      <c r="L453" s="70">
        <f>IF(C453="","",IF(J453="Per uur",N(I453)*N(K453),IF(J453="Vaste prijs",N(K453),0)))</f>
        <v/>
      </c>
      <c r="M453" s="69">
        <f>IF(C453="","",IFERROR(IF(N(VLOOKUP(C453,Tarieven!$A$2:$F$200,5,0))=0,"",VLOOKUP(C453,Tarieven!$A$2:$F$200,5,0)),""))</f>
        <v/>
      </c>
      <c r="N453" s="69" t="n"/>
      <c r="O453" s="69" t="n"/>
      <c r="P453" s="70">
        <f>IF(C453="","",N(L453)+N(M453)+N(N453)+N(O453))</f>
        <v/>
      </c>
      <c r="Q453" s="58" t="n"/>
      <c r="R453" s="57" t="n"/>
      <c r="S453" s="57" t="n"/>
      <c r="T453" s="57" t="n"/>
      <c r="U453" s="62">
        <f>IF(C453="","",IF(COUNTIF(Tarieven!$A$2:$A$200,C453)=0,"Klant niet in Tarieven",IF(MOD(N(H453),1)*100&gt;59.4,"Tijd ongeldig: minuten boven 59",IF(J453="Nog bepalen","Prijstype nog bepalen",IF(AND(J453="Per uur",N(K453)=0),"Uurtarief ontbreekt",IF(AND(J453="Vaste prijs",N(K453)=0),"Vaste prijs ontbreekt",IF(AND(N(I453)=0,Q453&lt;&gt;"Niet doorgegaan / verplaatst",Q453&lt;&gt;"Geen factuur nodig"),"Geen uren",IF(AND(G453="NEE",Q453="Verstuurd"),"Verstuurd terwijl werk niet af",IF(IFERROR(VLOOKUP(C453,Tarieven!$A$2:$F$200,2,0),"")="Beide","Beide-klant: controleer prijstype","OK")))))))))</f>
        <v/>
      </c>
    </row>
    <row r="454" ht="15" customHeight="1" s="42">
      <c r="A454" s="56">
        <f>IF(B454="","",WEEKNUM(B454,21))</f>
        <v/>
      </c>
      <c r="B454" s="55" t="n"/>
      <c r="C454" s="57" t="n"/>
      <c r="D454" s="57" t="n"/>
      <c r="E454" s="57" t="n"/>
      <c r="F454" s="57" t="n"/>
      <c r="G454" s="67" t="n"/>
      <c r="H454" s="68" t="n"/>
      <c r="I454" s="61">
        <f>IF(C454="","",IF(H454&lt;&gt;"",INT(H454)+ROUND(MOD(H454,1)*100/60,2),SUMIFS(Registraties!$L$5:$L$3004,Registraties!$D$5:$D$3004,C454,Registraties!$A$5:$A$3004,B454)))</f>
        <v/>
      </c>
      <c r="J454" s="58">
        <f>IF(C454="","",IFERROR(IF(VLOOKUP(C454,Tarieven!$A$2:$F$200,2,0)="Beide","Per uur",VLOOKUP(C454,Tarieven!$A$2:$F$200,2,0)),"Nog bepalen"))</f>
        <v/>
      </c>
      <c r="K454" s="69">
        <f>IF(C454="","",IF(J454="Per uur",IFERROR(VLOOKUP(C454,Tarieven!$A$2:$F$200,3,0),""),IF(J454="Vaste prijs",IFERROR(VLOOKUP(C454,Tarieven!$A$2:$F$200,4,0),""),"")))</f>
        <v/>
      </c>
      <c r="L454" s="70">
        <f>IF(C454="","",IF(J454="Per uur",N(I454)*N(K454),IF(J454="Vaste prijs",N(K454),0)))</f>
        <v/>
      </c>
      <c r="M454" s="69">
        <f>IF(C454="","",IFERROR(IF(N(VLOOKUP(C454,Tarieven!$A$2:$F$200,5,0))=0,"",VLOOKUP(C454,Tarieven!$A$2:$F$200,5,0)),""))</f>
        <v/>
      </c>
      <c r="N454" s="69" t="n"/>
      <c r="O454" s="69" t="n"/>
      <c r="P454" s="70">
        <f>IF(C454="","",N(L454)+N(M454)+N(N454)+N(O454))</f>
        <v/>
      </c>
      <c r="Q454" s="58" t="n"/>
      <c r="R454" s="57" t="n"/>
      <c r="S454" s="57" t="n"/>
      <c r="T454" s="57" t="n"/>
      <c r="U454" s="62">
        <f>IF(C454="","",IF(COUNTIF(Tarieven!$A$2:$A$200,C454)=0,"Klant niet in Tarieven",IF(MOD(N(H454),1)*100&gt;59.4,"Tijd ongeldig: minuten boven 59",IF(J454="Nog bepalen","Prijstype nog bepalen",IF(AND(J454="Per uur",N(K454)=0),"Uurtarief ontbreekt",IF(AND(J454="Vaste prijs",N(K454)=0),"Vaste prijs ontbreekt",IF(AND(N(I454)=0,Q454&lt;&gt;"Niet doorgegaan / verplaatst",Q454&lt;&gt;"Geen factuur nodig"),"Geen uren",IF(AND(G454="NEE",Q454="Verstuurd"),"Verstuurd terwijl werk niet af",IF(IFERROR(VLOOKUP(C454,Tarieven!$A$2:$F$200,2,0),"")="Beide","Beide-klant: controleer prijstype","OK")))))))))</f>
        <v/>
      </c>
    </row>
    <row r="455" ht="15" customHeight="1" s="42">
      <c r="A455" s="56">
        <f>IF(B455="","",WEEKNUM(B455,21))</f>
        <v/>
      </c>
      <c r="B455" s="55" t="n"/>
      <c r="C455" s="57" t="n"/>
      <c r="D455" s="57" t="n"/>
      <c r="E455" s="57" t="n"/>
      <c r="F455" s="57" t="n"/>
      <c r="G455" s="67" t="n"/>
      <c r="H455" s="68" t="n"/>
      <c r="I455" s="61">
        <f>IF(C455="","",IF(H455&lt;&gt;"",INT(H455)+ROUND(MOD(H455,1)*100/60,2),SUMIFS(Registraties!$L$5:$L$3004,Registraties!$D$5:$D$3004,C455,Registraties!$A$5:$A$3004,B455)))</f>
        <v/>
      </c>
      <c r="J455" s="58">
        <f>IF(C455="","",IFERROR(IF(VLOOKUP(C455,Tarieven!$A$2:$F$200,2,0)="Beide","Per uur",VLOOKUP(C455,Tarieven!$A$2:$F$200,2,0)),"Nog bepalen"))</f>
        <v/>
      </c>
      <c r="K455" s="69">
        <f>IF(C455="","",IF(J455="Per uur",IFERROR(VLOOKUP(C455,Tarieven!$A$2:$F$200,3,0),""),IF(J455="Vaste prijs",IFERROR(VLOOKUP(C455,Tarieven!$A$2:$F$200,4,0),""),"")))</f>
        <v/>
      </c>
      <c r="L455" s="70">
        <f>IF(C455="","",IF(J455="Per uur",N(I455)*N(K455),IF(J455="Vaste prijs",N(K455),0)))</f>
        <v/>
      </c>
      <c r="M455" s="69">
        <f>IF(C455="","",IFERROR(IF(N(VLOOKUP(C455,Tarieven!$A$2:$F$200,5,0))=0,"",VLOOKUP(C455,Tarieven!$A$2:$F$200,5,0)),""))</f>
        <v/>
      </c>
      <c r="N455" s="69" t="n"/>
      <c r="O455" s="69" t="n"/>
      <c r="P455" s="70">
        <f>IF(C455="","",N(L455)+N(M455)+N(N455)+N(O455))</f>
        <v/>
      </c>
      <c r="Q455" s="58" t="n"/>
      <c r="R455" s="57" t="n"/>
      <c r="S455" s="57" t="n"/>
      <c r="T455" s="57" t="n"/>
      <c r="U455" s="62">
        <f>IF(C455="","",IF(COUNTIF(Tarieven!$A$2:$A$200,C455)=0,"Klant niet in Tarieven",IF(MOD(N(H455),1)*100&gt;59.4,"Tijd ongeldig: minuten boven 59",IF(J455="Nog bepalen","Prijstype nog bepalen",IF(AND(J455="Per uur",N(K455)=0),"Uurtarief ontbreekt",IF(AND(J455="Vaste prijs",N(K455)=0),"Vaste prijs ontbreekt",IF(AND(N(I455)=0,Q455&lt;&gt;"Niet doorgegaan / verplaatst",Q455&lt;&gt;"Geen factuur nodig"),"Geen uren",IF(AND(G455="NEE",Q455="Verstuurd"),"Verstuurd terwijl werk niet af",IF(IFERROR(VLOOKUP(C455,Tarieven!$A$2:$F$200,2,0),"")="Beide","Beide-klant: controleer prijstype","OK")))))))))</f>
        <v/>
      </c>
    </row>
    <row r="456" ht="15" customHeight="1" s="42">
      <c r="A456" s="56">
        <f>IF(B456="","",WEEKNUM(B456,21))</f>
        <v/>
      </c>
      <c r="B456" s="55" t="n"/>
      <c r="C456" s="57" t="n"/>
      <c r="D456" s="57" t="n"/>
      <c r="E456" s="57" t="n"/>
      <c r="F456" s="57" t="n"/>
      <c r="G456" s="67" t="n"/>
      <c r="H456" s="68" t="n"/>
      <c r="I456" s="61">
        <f>IF(C456="","",IF(H456&lt;&gt;"",INT(H456)+ROUND(MOD(H456,1)*100/60,2),SUMIFS(Registraties!$L$5:$L$3004,Registraties!$D$5:$D$3004,C456,Registraties!$A$5:$A$3004,B456)))</f>
        <v/>
      </c>
      <c r="J456" s="58">
        <f>IF(C456="","",IFERROR(IF(VLOOKUP(C456,Tarieven!$A$2:$F$200,2,0)="Beide","Per uur",VLOOKUP(C456,Tarieven!$A$2:$F$200,2,0)),"Nog bepalen"))</f>
        <v/>
      </c>
      <c r="K456" s="69">
        <f>IF(C456="","",IF(J456="Per uur",IFERROR(VLOOKUP(C456,Tarieven!$A$2:$F$200,3,0),""),IF(J456="Vaste prijs",IFERROR(VLOOKUP(C456,Tarieven!$A$2:$F$200,4,0),""),"")))</f>
        <v/>
      </c>
      <c r="L456" s="70">
        <f>IF(C456="","",IF(J456="Per uur",N(I456)*N(K456),IF(J456="Vaste prijs",N(K456),0)))</f>
        <v/>
      </c>
      <c r="M456" s="69">
        <f>IF(C456="","",IFERROR(IF(N(VLOOKUP(C456,Tarieven!$A$2:$F$200,5,0))=0,"",VLOOKUP(C456,Tarieven!$A$2:$F$200,5,0)),""))</f>
        <v/>
      </c>
      <c r="N456" s="69" t="n"/>
      <c r="O456" s="69" t="n"/>
      <c r="P456" s="70">
        <f>IF(C456="","",N(L456)+N(M456)+N(N456)+N(O456))</f>
        <v/>
      </c>
      <c r="Q456" s="58" t="n"/>
      <c r="R456" s="57" t="n"/>
      <c r="S456" s="57" t="n"/>
      <c r="T456" s="57" t="n"/>
      <c r="U456" s="62">
        <f>IF(C456="","",IF(COUNTIF(Tarieven!$A$2:$A$200,C456)=0,"Klant niet in Tarieven",IF(MOD(N(H456),1)*100&gt;59.4,"Tijd ongeldig: minuten boven 59",IF(J456="Nog bepalen","Prijstype nog bepalen",IF(AND(J456="Per uur",N(K456)=0),"Uurtarief ontbreekt",IF(AND(J456="Vaste prijs",N(K456)=0),"Vaste prijs ontbreekt",IF(AND(N(I456)=0,Q456&lt;&gt;"Niet doorgegaan / verplaatst",Q456&lt;&gt;"Geen factuur nodig"),"Geen uren",IF(AND(G456="NEE",Q456="Verstuurd"),"Verstuurd terwijl werk niet af",IF(IFERROR(VLOOKUP(C456,Tarieven!$A$2:$F$200,2,0),"")="Beide","Beide-klant: controleer prijstype","OK")))))))))</f>
        <v/>
      </c>
    </row>
    <row r="457" ht="15" customHeight="1" s="42">
      <c r="A457" s="56">
        <f>IF(B457="","",WEEKNUM(B457,21))</f>
        <v/>
      </c>
      <c r="B457" s="55" t="n"/>
      <c r="C457" s="57" t="n"/>
      <c r="D457" s="57" t="n"/>
      <c r="E457" s="57" t="n"/>
      <c r="F457" s="57" t="n"/>
      <c r="G457" s="67" t="n"/>
      <c r="H457" s="68" t="n"/>
      <c r="I457" s="61">
        <f>IF(C457="","",IF(H457&lt;&gt;"",INT(H457)+ROUND(MOD(H457,1)*100/60,2),SUMIFS(Registraties!$L$5:$L$3004,Registraties!$D$5:$D$3004,C457,Registraties!$A$5:$A$3004,B457)))</f>
        <v/>
      </c>
      <c r="J457" s="58">
        <f>IF(C457="","",IFERROR(IF(VLOOKUP(C457,Tarieven!$A$2:$F$200,2,0)="Beide","Per uur",VLOOKUP(C457,Tarieven!$A$2:$F$200,2,0)),"Nog bepalen"))</f>
        <v/>
      </c>
      <c r="K457" s="69">
        <f>IF(C457="","",IF(J457="Per uur",IFERROR(VLOOKUP(C457,Tarieven!$A$2:$F$200,3,0),""),IF(J457="Vaste prijs",IFERROR(VLOOKUP(C457,Tarieven!$A$2:$F$200,4,0),""),"")))</f>
        <v/>
      </c>
      <c r="L457" s="70">
        <f>IF(C457="","",IF(J457="Per uur",N(I457)*N(K457),IF(J457="Vaste prijs",N(K457),0)))</f>
        <v/>
      </c>
      <c r="M457" s="69">
        <f>IF(C457="","",IFERROR(IF(N(VLOOKUP(C457,Tarieven!$A$2:$F$200,5,0))=0,"",VLOOKUP(C457,Tarieven!$A$2:$F$200,5,0)),""))</f>
        <v/>
      </c>
      <c r="N457" s="69" t="n"/>
      <c r="O457" s="69" t="n"/>
      <c r="P457" s="70">
        <f>IF(C457="","",N(L457)+N(M457)+N(N457)+N(O457))</f>
        <v/>
      </c>
      <c r="Q457" s="58" t="n"/>
      <c r="R457" s="57" t="n"/>
      <c r="S457" s="57" t="n"/>
      <c r="T457" s="57" t="n"/>
      <c r="U457" s="62">
        <f>IF(C457="","",IF(COUNTIF(Tarieven!$A$2:$A$200,C457)=0,"Klant niet in Tarieven",IF(MOD(N(H457),1)*100&gt;59.4,"Tijd ongeldig: minuten boven 59",IF(J457="Nog bepalen","Prijstype nog bepalen",IF(AND(J457="Per uur",N(K457)=0),"Uurtarief ontbreekt",IF(AND(J457="Vaste prijs",N(K457)=0),"Vaste prijs ontbreekt",IF(AND(N(I457)=0,Q457&lt;&gt;"Niet doorgegaan / verplaatst",Q457&lt;&gt;"Geen factuur nodig"),"Geen uren",IF(AND(G457="NEE",Q457="Verstuurd"),"Verstuurd terwijl werk niet af",IF(IFERROR(VLOOKUP(C457,Tarieven!$A$2:$F$200,2,0),"")="Beide","Beide-klant: controleer prijstype","OK")))))))))</f>
        <v/>
      </c>
    </row>
    <row r="458" ht="15" customHeight="1" s="42">
      <c r="A458" s="56">
        <f>IF(B458="","",WEEKNUM(B458,21))</f>
        <v/>
      </c>
      <c r="B458" s="55" t="n"/>
      <c r="C458" s="57" t="n"/>
      <c r="D458" s="57" t="n"/>
      <c r="E458" s="57" t="n"/>
      <c r="F458" s="57" t="n"/>
      <c r="G458" s="67" t="n"/>
      <c r="H458" s="68" t="n"/>
      <c r="I458" s="61">
        <f>IF(C458="","",IF(H458&lt;&gt;"",INT(H458)+ROUND(MOD(H458,1)*100/60,2),SUMIFS(Registraties!$L$5:$L$3004,Registraties!$D$5:$D$3004,C458,Registraties!$A$5:$A$3004,B458)))</f>
        <v/>
      </c>
      <c r="J458" s="58">
        <f>IF(C458="","",IFERROR(IF(VLOOKUP(C458,Tarieven!$A$2:$F$200,2,0)="Beide","Per uur",VLOOKUP(C458,Tarieven!$A$2:$F$200,2,0)),"Nog bepalen"))</f>
        <v/>
      </c>
      <c r="K458" s="69">
        <f>IF(C458="","",IF(J458="Per uur",IFERROR(VLOOKUP(C458,Tarieven!$A$2:$F$200,3,0),""),IF(J458="Vaste prijs",IFERROR(VLOOKUP(C458,Tarieven!$A$2:$F$200,4,0),""),"")))</f>
        <v/>
      </c>
      <c r="L458" s="70">
        <f>IF(C458="","",IF(J458="Per uur",N(I458)*N(K458),IF(J458="Vaste prijs",N(K458),0)))</f>
        <v/>
      </c>
      <c r="M458" s="69">
        <f>IF(C458="","",IFERROR(IF(N(VLOOKUP(C458,Tarieven!$A$2:$F$200,5,0))=0,"",VLOOKUP(C458,Tarieven!$A$2:$F$200,5,0)),""))</f>
        <v/>
      </c>
      <c r="N458" s="69" t="n"/>
      <c r="O458" s="69" t="n"/>
      <c r="P458" s="70">
        <f>IF(C458="","",N(L458)+N(M458)+N(N458)+N(O458))</f>
        <v/>
      </c>
      <c r="Q458" s="58" t="n"/>
      <c r="R458" s="57" t="n"/>
      <c r="S458" s="57" t="n"/>
      <c r="T458" s="57" t="n"/>
      <c r="U458" s="62">
        <f>IF(C458="","",IF(COUNTIF(Tarieven!$A$2:$A$200,C458)=0,"Klant niet in Tarieven",IF(MOD(N(H458),1)*100&gt;59.4,"Tijd ongeldig: minuten boven 59",IF(J458="Nog bepalen","Prijstype nog bepalen",IF(AND(J458="Per uur",N(K458)=0),"Uurtarief ontbreekt",IF(AND(J458="Vaste prijs",N(K458)=0),"Vaste prijs ontbreekt",IF(AND(N(I458)=0,Q458&lt;&gt;"Niet doorgegaan / verplaatst",Q458&lt;&gt;"Geen factuur nodig"),"Geen uren",IF(AND(G458="NEE",Q458="Verstuurd"),"Verstuurd terwijl werk niet af",IF(IFERROR(VLOOKUP(C458,Tarieven!$A$2:$F$200,2,0),"")="Beide","Beide-klant: controleer prijstype","OK")))))))))</f>
        <v/>
      </c>
    </row>
    <row r="459" ht="15" customHeight="1" s="42">
      <c r="A459" s="56">
        <f>IF(B459="","",WEEKNUM(B459,21))</f>
        <v/>
      </c>
      <c r="B459" s="55" t="n"/>
      <c r="C459" s="57" t="n"/>
      <c r="D459" s="57" t="n"/>
      <c r="E459" s="57" t="n"/>
      <c r="F459" s="57" t="n"/>
      <c r="G459" s="67" t="n"/>
      <c r="H459" s="68" t="n"/>
      <c r="I459" s="61">
        <f>IF(C459="","",IF(H459&lt;&gt;"",INT(H459)+ROUND(MOD(H459,1)*100/60,2),SUMIFS(Registraties!$L$5:$L$3004,Registraties!$D$5:$D$3004,C459,Registraties!$A$5:$A$3004,B459)))</f>
        <v/>
      </c>
      <c r="J459" s="58">
        <f>IF(C459="","",IFERROR(IF(VLOOKUP(C459,Tarieven!$A$2:$F$200,2,0)="Beide","Per uur",VLOOKUP(C459,Tarieven!$A$2:$F$200,2,0)),"Nog bepalen"))</f>
        <v/>
      </c>
      <c r="K459" s="69">
        <f>IF(C459="","",IF(J459="Per uur",IFERROR(VLOOKUP(C459,Tarieven!$A$2:$F$200,3,0),""),IF(J459="Vaste prijs",IFERROR(VLOOKUP(C459,Tarieven!$A$2:$F$200,4,0),""),"")))</f>
        <v/>
      </c>
      <c r="L459" s="70">
        <f>IF(C459="","",IF(J459="Per uur",N(I459)*N(K459),IF(J459="Vaste prijs",N(K459),0)))</f>
        <v/>
      </c>
      <c r="M459" s="69">
        <f>IF(C459="","",IFERROR(IF(N(VLOOKUP(C459,Tarieven!$A$2:$F$200,5,0))=0,"",VLOOKUP(C459,Tarieven!$A$2:$F$200,5,0)),""))</f>
        <v/>
      </c>
      <c r="N459" s="69" t="n"/>
      <c r="O459" s="69" t="n"/>
      <c r="P459" s="70">
        <f>IF(C459="","",N(L459)+N(M459)+N(N459)+N(O459))</f>
        <v/>
      </c>
      <c r="Q459" s="58" t="n"/>
      <c r="R459" s="57" t="n"/>
      <c r="S459" s="57" t="n"/>
      <c r="T459" s="57" t="n"/>
      <c r="U459" s="62">
        <f>IF(C459="","",IF(COUNTIF(Tarieven!$A$2:$A$200,C459)=0,"Klant niet in Tarieven",IF(MOD(N(H459),1)*100&gt;59.4,"Tijd ongeldig: minuten boven 59",IF(J459="Nog bepalen","Prijstype nog bepalen",IF(AND(J459="Per uur",N(K459)=0),"Uurtarief ontbreekt",IF(AND(J459="Vaste prijs",N(K459)=0),"Vaste prijs ontbreekt",IF(AND(N(I459)=0,Q459&lt;&gt;"Niet doorgegaan / verplaatst",Q459&lt;&gt;"Geen factuur nodig"),"Geen uren",IF(AND(G459="NEE",Q459="Verstuurd"),"Verstuurd terwijl werk niet af",IF(IFERROR(VLOOKUP(C459,Tarieven!$A$2:$F$200,2,0),"")="Beide","Beide-klant: controleer prijstype","OK")))))))))</f>
        <v/>
      </c>
    </row>
    <row r="460" ht="15" customHeight="1" s="42">
      <c r="A460" s="56">
        <f>IF(B460="","",WEEKNUM(B460,21))</f>
        <v/>
      </c>
      <c r="B460" s="55" t="n"/>
      <c r="C460" s="57" t="n"/>
      <c r="D460" s="57" t="n"/>
      <c r="E460" s="57" t="n"/>
      <c r="F460" s="57" t="n"/>
      <c r="G460" s="67" t="n"/>
      <c r="H460" s="68" t="n"/>
      <c r="I460" s="61">
        <f>IF(C460="","",IF(H460&lt;&gt;"",INT(H460)+ROUND(MOD(H460,1)*100/60,2),SUMIFS(Registraties!$L$5:$L$3004,Registraties!$D$5:$D$3004,C460,Registraties!$A$5:$A$3004,B460)))</f>
        <v/>
      </c>
      <c r="J460" s="58">
        <f>IF(C460="","",IFERROR(IF(VLOOKUP(C460,Tarieven!$A$2:$F$200,2,0)="Beide","Per uur",VLOOKUP(C460,Tarieven!$A$2:$F$200,2,0)),"Nog bepalen"))</f>
        <v/>
      </c>
      <c r="K460" s="69">
        <f>IF(C460="","",IF(J460="Per uur",IFERROR(VLOOKUP(C460,Tarieven!$A$2:$F$200,3,0),""),IF(J460="Vaste prijs",IFERROR(VLOOKUP(C460,Tarieven!$A$2:$F$200,4,0),""),"")))</f>
        <v/>
      </c>
      <c r="L460" s="70">
        <f>IF(C460="","",IF(J460="Per uur",N(I460)*N(K460),IF(J460="Vaste prijs",N(K460),0)))</f>
        <v/>
      </c>
      <c r="M460" s="69">
        <f>IF(C460="","",IFERROR(IF(N(VLOOKUP(C460,Tarieven!$A$2:$F$200,5,0))=0,"",VLOOKUP(C460,Tarieven!$A$2:$F$200,5,0)),""))</f>
        <v/>
      </c>
      <c r="N460" s="69" t="n"/>
      <c r="O460" s="69" t="n"/>
      <c r="P460" s="70">
        <f>IF(C460="","",N(L460)+N(M460)+N(N460)+N(O460))</f>
        <v/>
      </c>
      <c r="Q460" s="58" t="n"/>
      <c r="R460" s="57" t="n"/>
      <c r="S460" s="57" t="n"/>
      <c r="T460" s="57" t="n"/>
      <c r="U460" s="62">
        <f>IF(C460="","",IF(COUNTIF(Tarieven!$A$2:$A$200,C460)=0,"Klant niet in Tarieven",IF(MOD(N(H460),1)*100&gt;59.4,"Tijd ongeldig: minuten boven 59",IF(J460="Nog bepalen","Prijstype nog bepalen",IF(AND(J460="Per uur",N(K460)=0),"Uurtarief ontbreekt",IF(AND(J460="Vaste prijs",N(K460)=0),"Vaste prijs ontbreekt",IF(AND(N(I460)=0,Q460&lt;&gt;"Niet doorgegaan / verplaatst",Q460&lt;&gt;"Geen factuur nodig"),"Geen uren",IF(AND(G460="NEE",Q460="Verstuurd"),"Verstuurd terwijl werk niet af",IF(IFERROR(VLOOKUP(C460,Tarieven!$A$2:$F$200,2,0),"")="Beide","Beide-klant: controleer prijstype","OK")))))))))</f>
        <v/>
      </c>
    </row>
    <row r="461" ht="15" customHeight="1" s="42">
      <c r="A461" s="56">
        <f>IF(B461="","",WEEKNUM(B461,21))</f>
        <v/>
      </c>
      <c r="B461" s="55" t="n"/>
      <c r="C461" s="57" t="n"/>
      <c r="D461" s="57" t="n"/>
      <c r="E461" s="57" t="n"/>
      <c r="F461" s="57" t="n"/>
      <c r="G461" s="67" t="n"/>
      <c r="H461" s="68" t="n"/>
      <c r="I461" s="61">
        <f>IF(C461="","",IF(H461&lt;&gt;"",INT(H461)+ROUND(MOD(H461,1)*100/60,2),SUMIFS(Registraties!$L$5:$L$3004,Registraties!$D$5:$D$3004,C461,Registraties!$A$5:$A$3004,B461)))</f>
        <v/>
      </c>
      <c r="J461" s="58">
        <f>IF(C461="","",IFERROR(IF(VLOOKUP(C461,Tarieven!$A$2:$F$200,2,0)="Beide","Per uur",VLOOKUP(C461,Tarieven!$A$2:$F$200,2,0)),"Nog bepalen"))</f>
        <v/>
      </c>
      <c r="K461" s="69">
        <f>IF(C461="","",IF(J461="Per uur",IFERROR(VLOOKUP(C461,Tarieven!$A$2:$F$200,3,0),""),IF(J461="Vaste prijs",IFERROR(VLOOKUP(C461,Tarieven!$A$2:$F$200,4,0),""),"")))</f>
        <v/>
      </c>
      <c r="L461" s="70">
        <f>IF(C461="","",IF(J461="Per uur",N(I461)*N(K461),IF(J461="Vaste prijs",N(K461),0)))</f>
        <v/>
      </c>
      <c r="M461" s="69">
        <f>IF(C461="","",IFERROR(IF(N(VLOOKUP(C461,Tarieven!$A$2:$F$200,5,0))=0,"",VLOOKUP(C461,Tarieven!$A$2:$F$200,5,0)),""))</f>
        <v/>
      </c>
      <c r="N461" s="69" t="n"/>
      <c r="O461" s="69" t="n"/>
      <c r="P461" s="70">
        <f>IF(C461="","",N(L461)+N(M461)+N(N461)+N(O461))</f>
        <v/>
      </c>
      <c r="Q461" s="58" t="n"/>
      <c r="R461" s="57" t="n"/>
      <c r="S461" s="57" t="n"/>
      <c r="T461" s="57" t="n"/>
      <c r="U461" s="62">
        <f>IF(C461="","",IF(COUNTIF(Tarieven!$A$2:$A$200,C461)=0,"Klant niet in Tarieven",IF(MOD(N(H461),1)*100&gt;59.4,"Tijd ongeldig: minuten boven 59",IF(J461="Nog bepalen","Prijstype nog bepalen",IF(AND(J461="Per uur",N(K461)=0),"Uurtarief ontbreekt",IF(AND(J461="Vaste prijs",N(K461)=0),"Vaste prijs ontbreekt",IF(AND(N(I461)=0,Q461&lt;&gt;"Niet doorgegaan / verplaatst",Q461&lt;&gt;"Geen factuur nodig"),"Geen uren",IF(AND(G461="NEE",Q461="Verstuurd"),"Verstuurd terwijl werk niet af",IF(IFERROR(VLOOKUP(C461,Tarieven!$A$2:$F$200,2,0),"")="Beide","Beide-klant: controleer prijstype","OK")))))))))</f>
        <v/>
      </c>
    </row>
    <row r="462" ht="15" customHeight="1" s="42">
      <c r="A462" s="56">
        <f>IF(B462="","",WEEKNUM(B462,21))</f>
        <v/>
      </c>
      <c r="B462" s="55" t="n"/>
      <c r="C462" s="57" t="n"/>
      <c r="D462" s="57" t="n"/>
      <c r="E462" s="57" t="n"/>
      <c r="F462" s="57" t="n"/>
      <c r="G462" s="67" t="n"/>
      <c r="H462" s="68" t="n"/>
      <c r="I462" s="61">
        <f>IF(C462="","",IF(H462&lt;&gt;"",INT(H462)+ROUND(MOD(H462,1)*100/60,2),SUMIFS(Registraties!$L$5:$L$3004,Registraties!$D$5:$D$3004,C462,Registraties!$A$5:$A$3004,B462)))</f>
        <v/>
      </c>
      <c r="J462" s="58">
        <f>IF(C462="","",IFERROR(IF(VLOOKUP(C462,Tarieven!$A$2:$F$200,2,0)="Beide","Per uur",VLOOKUP(C462,Tarieven!$A$2:$F$200,2,0)),"Nog bepalen"))</f>
        <v/>
      </c>
      <c r="K462" s="69">
        <f>IF(C462="","",IF(J462="Per uur",IFERROR(VLOOKUP(C462,Tarieven!$A$2:$F$200,3,0),""),IF(J462="Vaste prijs",IFERROR(VLOOKUP(C462,Tarieven!$A$2:$F$200,4,0),""),"")))</f>
        <v/>
      </c>
      <c r="L462" s="70">
        <f>IF(C462="","",IF(J462="Per uur",N(I462)*N(K462),IF(J462="Vaste prijs",N(K462),0)))</f>
        <v/>
      </c>
      <c r="M462" s="69">
        <f>IF(C462="","",IFERROR(IF(N(VLOOKUP(C462,Tarieven!$A$2:$F$200,5,0))=0,"",VLOOKUP(C462,Tarieven!$A$2:$F$200,5,0)),""))</f>
        <v/>
      </c>
      <c r="N462" s="69" t="n"/>
      <c r="O462" s="69" t="n"/>
      <c r="P462" s="70">
        <f>IF(C462="","",N(L462)+N(M462)+N(N462)+N(O462))</f>
        <v/>
      </c>
      <c r="Q462" s="58" t="n"/>
      <c r="R462" s="57" t="n"/>
      <c r="S462" s="57" t="n"/>
      <c r="T462" s="57" t="n"/>
      <c r="U462" s="62">
        <f>IF(C462="","",IF(COUNTIF(Tarieven!$A$2:$A$200,C462)=0,"Klant niet in Tarieven",IF(MOD(N(H462),1)*100&gt;59.4,"Tijd ongeldig: minuten boven 59",IF(J462="Nog bepalen","Prijstype nog bepalen",IF(AND(J462="Per uur",N(K462)=0),"Uurtarief ontbreekt",IF(AND(J462="Vaste prijs",N(K462)=0),"Vaste prijs ontbreekt",IF(AND(N(I462)=0,Q462&lt;&gt;"Niet doorgegaan / verplaatst",Q462&lt;&gt;"Geen factuur nodig"),"Geen uren",IF(AND(G462="NEE",Q462="Verstuurd"),"Verstuurd terwijl werk niet af",IF(IFERROR(VLOOKUP(C462,Tarieven!$A$2:$F$200,2,0),"")="Beide","Beide-klant: controleer prijstype","OK")))))))))</f>
        <v/>
      </c>
    </row>
    <row r="463" ht="15" customHeight="1" s="42">
      <c r="A463" s="56">
        <f>IF(B463="","",WEEKNUM(B463,21))</f>
        <v/>
      </c>
      <c r="B463" s="55" t="n"/>
      <c r="C463" s="57" t="n"/>
      <c r="D463" s="57" t="n"/>
      <c r="E463" s="57" t="n"/>
      <c r="F463" s="57" t="n"/>
      <c r="G463" s="67" t="n"/>
      <c r="H463" s="68" t="n"/>
      <c r="I463" s="61">
        <f>IF(C463="","",IF(H463&lt;&gt;"",INT(H463)+ROUND(MOD(H463,1)*100/60,2),SUMIFS(Registraties!$L$5:$L$3004,Registraties!$D$5:$D$3004,C463,Registraties!$A$5:$A$3004,B463)))</f>
        <v/>
      </c>
      <c r="J463" s="58">
        <f>IF(C463="","",IFERROR(IF(VLOOKUP(C463,Tarieven!$A$2:$F$200,2,0)="Beide","Per uur",VLOOKUP(C463,Tarieven!$A$2:$F$200,2,0)),"Nog bepalen"))</f>
        <v/>
      </c>
      <c r="K463" s="69">
        <f>IF(C463="","",IF(J463="Per uur",IFERROR(VLOOKUP(C463,Tarieven!$A$2:$F$200,3,0),""),IF(J463="Vaste prijs",IFERROR(VLOOKUP(C463,Tarieven!$A$2:$F$200,4,0),""),"")))</f>
        <v/>
      </c>
      <c r="L463" s="70">
        <f>IF(C463="","",IF(J463="Per uur",N(I463)*N(K463),IF(J463="Vaste prijs",N(K463),0)))</f>
        <v/>
      </c>
      <c r="M463" s="69">
        <f>IF(C463="","",IFERROR(IF(N(VLOOKUP(C463,Tarieven!$A$2:$F$200,5,0))=0,"",VLOOKUP(C463,Tarieven!$A$2:$F$200,5,0)),""))</f>
        <v/>
      </c>
      <c r="N463" s="69" t="n"/>
      <c r="O463" s="69" t="n"/>
      <c r="P463" s="70">
        <f>IF(C463="","",N(L463)+N(M463)+N(N463)+N(O463))</f>
        <v/>
      </c>
      <c r="Q463" s="58" t="n"/>
      <c r="R463" s="57" t="n"/>
      <c r="S463" s="57" t="n"/>
      <c r="T463" s="57" t="n"/>
      <c r="U463" s="62">
        <f>IF(C463="","",IF(COUNTIF(Tarieven!$A$2:$A$200,C463)=0,"Klant niet in Tarieven",IF(MOD(N(H463),1)*100&gt;59.4,"Tijd ongeldig: minuten boven 59",IF(J463="Nog bepalen","Prijstype nog bepalen",IF(AND(J463="Per uur",N(K463)=0),"Uurtarief ontbreekt",IF(AND(J463="Vaste prijs",N(K463)=0),"Vaste prijs ontbreekt",IF(AND(N(I463)=0,Q463&lt;&gt;"Niet doorgegaan / verplaatst",Q463&lt;&gt;"Geen factuur nodig"),"Geen uren",IF(AND(G463="NEE",Q463="Verstuurd"),"Verstuurd terwijl werk niet af",IF(IFERROR(VLOOKUP(C463,Tarieven!$A$2:$F$200,2,0),"")="Beide","Beide-klant: controleer prijstype","OK")))))))))</f>
        <v/>
      </c>
    </row>
    <row r="464" ht="15" customHeight="1" s="42">
      <c r="A464" s="56">
        <f>IF(B464="","",WEEKNUM(B464,21))</f>
        <v/>
      </c>
      <c r="B464" s="55" t="n"/>
      <c r="C464" s="57" t="n"/>
      <c r="D464" s="57" t="n"/>
      <c r="E464" s="57" t="n"/>
      <c r="F464" s="57" t="n"/>
      <c r="G464" s="67" t="n"/>
      <c r="H464" s="68" t="n"/>
      <c r="I464" s="61">
        <f>IF(C464="","",IF(H464&lt;&gt;"",INT(H464)+ROUND(MOD(H464,1)*100/60,2),SUMIFS(Registraties!$L$5:$L$3004,Registraties!$D$5:$D$3004,C464,Registraties!$A$5:$A$3004,B464)))</f>
        <v/>
      </c>
      <c r="J464" s="58">
        <f>IF(C464="","",IFERROR(IF(VLOOKUP(C464,Tarieven!$A$2:$F$200,2,0)="Beide","Per uur",VLOOKUP(C464,Tarieven!$A$2:$F$200,2,0)),"Nog bepalen"))</f>
        <v/>
      </c>
      <c r="K464" s="69">
        <f>IF(C464="","",IF(J464="Per uur",IFERROR(VLOOKUP(C464,Tarieven!$A$2:$F$200,3,0),""),IF(J464="Vaste prijs",IFERROR(VLOOKUP(C464,Tarieven!$A$2:$F$200,4,0),""),"")))</f>
        <v/>
      </c>
      <c r="L464" s="70">
        <f>IF(C464="","",IF(J464="Per uur",N(I464)*N(K464),IF(J464="Vaste prijs",N(K464),0)))</f>
        <v/>
      </c>
      <c r="M464" s="69">
        <f>IF(C464="","",IFERROR(IF(N(VLOOKUP(C464,Tarieven!$A$2:$F$200,5,0))=0,"",VLOOKUP(C464,Tarieven!$A$2:$F$200,5,0)),""))</f>
        <v/>
      </c>
      <c r="N464" s="69" t="n"/>
      <c r="O464" s="69" t="n"/>
      <c r="P464" s="70">
        <f>IF(C464="","",N(L464)+N(M464)+N(N464)+N(O464))</f>
        <v/>
      </c>
      <c r="Q464" s="58" t="n"/>
      <c r="R464" s="57" t="n"/>
      <c r="S464" s="57" t="n"/>
      <c r="T464" s="57" t="n"/>
      <c r="U464" s="62">
        <f>IF(C464="","",IF(COUNTIF(Tarieven!$A$2:$A$200,C464)=0,"Klant niet in Tarieven",IF(MOD(N(H464),1)*100&gt;59.4,"Tijd ongeldig: minuten boven 59",IF(J464="Nog bepalen","Prijstype nog bepalen",IF(AND(J464="Per uur",N(K464)=0),"Uurtarief ontbreekt",IF(AND(J464="Vaste prijs",N(K464)=0),"Vaste prijs ontbreekt",IF(AND(N(I464)=0,Q464&lt;&gt;"Niet doorgegaan / verplaatst",Q464&lt;&gt;"Geen factuur nodig"),"Geen uren",IF(AND(G464="NEE",Q464="Verstuurd"),"Verstuurd terwijl werk niet af",IF(IFERROR(VLOOKUP(C464,Tarieven!$A$2:$F$200,2,0),"")="Beide","Beide-klant: controleer prijstype","OK")))))))))</f>
        <v/>
      </c>
    </row>
    <row r="465" ht="15" customHeight="1" s="42">
      <c r="A465" s="56">
        <f>IF(B465="","",WEEKNUM(B465,21))</f>
        <v/>
      </c>
      <c r="B465" s="55" t="n"/>
      <c r="C465" s="57" t="n"/>
      <c r="D465" s="57" t="n"/>
      <c r="E465" s="57" t="n"/>
      <c r="F465" s="57" t="n"/>
      <c r="G465" s="67" t="n"/>
      <c r="H465" s="68" t="n"/>
      <c r="I465" s="61">
        <f>IF(C465="","",IF(H465&lt;&gt;"",INT(H465)+ROUND(MOD(H465,1)*100/60,2),SUMIFS(Registraties!$L$5:$L$3004,Registraties!$D$5:$D$3004,C465,Registraties!$A$5:$A$3004,B465)))</f>
        <v/>
      </c>
      <c r="J465" s="58">
        <f>IF(C465="","",IFERROR(IF(VLOOKUP(C465,Tarieven!$A$2:$F$200,2,0)="Beide","Per uur",VLOOKUP(C465,Tarieven!$A$2:$F$200,2,0)),"Nog bepalen"))</f>
        <v/>
      </c>
      <c r="K465" s="69">
        <f>IF(C465="","",IF(J465="Per uur",IFERROR(VLOOKUP(C465,Tarieven!$A$2:$F$200,3,0),""),IF(J465="Vaste prijs",IFERROR(VLOOKUP(C465,Tarieven!$A$2:$F$200,4,0),""),"")))</f>
        <v/>
      </c>
      <c r="L465" s="70">
        <f>IF(C465="","",IF(J465="Per uur",N(I465)*N(K465),IF(J465="Vaste prijs",N(K465),0)))</f>
        <v/>
      </c>
      <c r="M465" s="69">
        <f>IF(C465="","",IFERROR(IF(N(VLOOKUP(C465,Tarieven!$A$2:$F$200,5,0))=0,"",VLOOKUP(C465,Tarieven!$A$2:$F$200,5,0)),""))</f>
        <v/>
      </c>
      <c r="N465" s="69" t="n"/>
      <c r="O465" s="69" t="n"/>
      <c r="P465" s="70">
        <f>IF(C465="","",N(L465)+N(M465)+N(N465)+N(O465))</f>
        <v/>
      </c>
      <c r="Q465" s="58" t="n"/>
      <c r="R465" s="57" t="n"/>
      <c r="S465" s="57" t="n"/>
      <c r="T465" s="57" t="n"/>
      <c r="U465" s="62">
        <f>IF(C465="","",IF(COUNTIF(Tarieven!$A$2:$A$200,C465)=0,"Klant niet in Tarieven",IF(MOD(N(H465),1)*100&gt;59.4,"Tijd ongeldig: minuten boven 59",IF(J465="Nog bepalen","Prijstype nog bepalen",IF(AND(J465="Per uur",N(K465)=0),"Uurtarief ontbreekt",IF(AND(J465="Vaste prijs",N(K465)=0),"Vaste prijs ontbreekt",IF(AND(N(I465)=0,Q465&lt;&gt;"Niet doorgegaan / verplaatst",Q465&lt;&gt;"Geen factuur nodig"),"Geen uren",IF(AND(G465="NEE",Q465="Verstuurd"),"Verstuurd terwijl werk niet af",IF(IFERROR(VLOOKUP(C465,Tarieven!$A$2:$F$200,2,0),"")="Beide","Beide-klant: controleer prijstype","OK")))))))))</f>
        <v/>
      </c>
    </row>
    <row r="466" ht="15" customHeight="1" s="42">
      <c r="A466" s="56">
        <f>IF(B466="","",WEEKNUM(B466,21))</f>
        <v/>
      </c>
      <c r="B466" s="55" t="n"/>
      <c r="C466" s="57" t="n"/>
      <c r="D466" s="57" t="n"/>
      <c r="E466" s="57" t="n"/>
      <c r="F466" s="57" t="n"/>
      <c r="G466" s="67" t="n"/>
      <c r="H466" s="68" t="n"/>
      <c r="I466" s="61">
        <f>IF(C466="","",IF(H466&lt;&gt;"",INT(H466)+ROUND(MOD(H466,1)*100/60,2),SUMIFS(Registraties!$L$5:$L$3004,Registraties!$D$5:$D$3004,C466,Registraties!$A$5:$A$3004,B466)))</f>
        <v/>
      </c>
      <c r="J466" s="58">
        <f>IF(C466="","",IFERROR(IF(VLOOKUP(C466,Tarieven!$A$2:$F$200,2,0)="Beide","Per uur",VLOOKUP(C466,Tarieven!$A$2:$F$200,2,0)),"Nog bepalen"))</f>
        <v/>
      </c>
      <c r="K466" s="69">
        <f>IF(C466="","",IF(J466="Per uur",IFERROR(VLOOKUP(C466,Tarieven!$A$2:$F$200,3,0),""),IF(J466="Vaste prijs",IFERROR(VLOOKUP(C466,Tarieven!$A$2:$F$200,4,0),""),"")))</f>
        <v/>
      </c>
      <c r="L466" s="70">
        <f>IF(C466="","",IF(J466="Per uur",N(I466)*N(K466),IF(J466="Vaste prijs",N(K466),0)))</f>
        <v/>
      </c>
      <c r="M466" s="69">
        <f>IF(C466="","",IFERROR(IF(N(VLOOKUP(C466,Tarieven!$A$2:$F$200,5,0))=0,"",VLOOKUP(C466,Tarieven!$A$2:$F$200,5,0)),""))</f>
        <v/>
      </c>
      <c r="N466" s="69" t="n"/>
      <c r="O466" s="69" t="n"/>
      <c r="P466" s="70">
        <f>IF(C466="","",N(L466)+N(M466)+N(N466)+N(O466))</f>
        <v/>
      </c>
      <c r="Q466" s="58" t="n"/>
      <c r="R466" s="57" t="n"/>
      <c r="S466" s="57" t="n"/>
      <c r="T466" s="57" t="n"/>
      <c r="U466" s="62">
        <f>IF(C466="","",IF(COUNTIF(Tarieven!$A$2:$A$200,C466)=0,"Klant niet in Tarieven",IF(MOD(N(H466),1)*100&gt;59.4,"Tijd ongeldig: minuten boven 59",IF(J466="Nog bepalen","Prijstype nog bepalen",IF(AND(J466="Per uur",N(K466)=0),"Uurtarief ontbreekt",IF(AND(J466="Vaste prijs",N(K466)=0),"Vaste prijs ontbreekt",IF(AND(N(I466)=0,Q466&lt;&gt;"Niet doorgegaan / verplaatst",Q466&lt;&gt;"Geen factuur nodig"),"Geen uren",IF(AND(G466="NEE",Q466="Verstuurd"),"Verstuurd terwijl werk niet af",IF(IFERROR(VLOOKUP(C466,Tarieven!$A$2:$F$200,2,0),"")="Beide","Beide-klant: controleer prijstype","OK")))))))))</f>
        <v/>
      </c>
    </row>
    <row r="467" ht="15" customHeight="1" s="42">
      <c r="A467" s="56">
        <f>IF(B467="","",WEEKNUM(B467,21))</f>
        <v/>
      </c>
      <c r="B467" s="55" t="n"/>
      <c r="C467" s="57" t="n"/>
      <c r="D467" s="57" t="n"/>
      <c r="E467" s="57" t="n"/>
      <c r="F467" s="57" t="n"/>
      <c r="G467" s="67" t="n"/>
      <c r="H467" s="68" t="n"/>
      <c r="I467" s="61">
        <f>IF(C467="","",IF(H467&lt;&gt;"",INT(H467)+ROUND(MOD(H467,1)*100/60,2),SUMIFS(Registraties!$L$5:$L$3004,Registraties!$D$5:$D$3004,C467,Registraties!$A$5:$A$3004,B467)))</f>
        <v/>
      </c>
      <c r="J467" s="58">
        <f>IF(C467="","",IFERROR(IF(VLOOKUP(C467,Tarieven!$A$2:$F$200,2,0)="Beide","Per uur",VLOOKUP(C467,Tarieven!$A$2:$F$200,2,0)),"Nog bepalen"))</f>
        <v/>
      </c>
      <c r="K467" s="69">
        <f>IF(C467="","",IF(J467="Per uur",IFERROR(VLOOKUP(C467,Tarieven!$A$2:$F$200,3,0),""),IF(J467="Vaste prijs",IFERROR(VLOOKUP(C467,Tarieven!$A$2:$F$200,4,0),""),"")))</f>
        <v/>
      </c>
      <c r="L467" s="70">
        <f>IF(C467="","",IF(J467="Per uur",N(I467)*N(K467),IF(J467="Vaste prijs",N(K467),0)))</f>
        <v/>
      </c>
      <c r="M467" s="69">
        <f>IF(C467="","",IFERROR(IF(N(VLOOKUP(C467,Tarieven!$A$2:$F$200,5,0))=0,"",VLOOKUP(C467,Tarieven!$A$2:$F$200,5,0)),""))</f>
        <v/>
      </c>
      <c r="N467" s="69" t="n"/>
      <c r="O467" s="69" t="n"/>
      <c r="P467" s="70">
        <f>IF(C467="","",N(L467)+N(M467)+N(N467)+N(O467))</f>
        <v/>
      </c>
      <c r="Q467" s="58" t="n"/>
      <c r="R467" s="57" t="n"/>
      <c r="S467" s="57" t="n"/>
      <c r="T467" s="57" t="n"/>
      <c r="U467" s="62">
        <f>IF(C467="","",IF(COUNTIF(Tarieven!$A$2:$A$200,C467)=0,"Klant niet in Tarieven",IF(MOD(N(H467),1)*100&gt;59.4,"Tijd ongeldig: minuten boven 59",IF(J467="Nog bepalen","Prijstype nog bepalen",IF(AND(J467="Per uur",N(K467)=0),"Uurtarief ontbreekt",IF(AND(J467="Vaste prijs",N(K467)=0),"Vaste prijs ontbreekt",IF(AND(N(I467)=0,Q467&lt;&gt;"Niet doorgegaan / verplaatst",Q467&lt;&gt;"Geen factuur nodig"),"Geen uren",IF(AND(G467="NEE",Q467="Verstuurd"),"Verstuurd terwijl werk niet af",IF(IFERROR(VLOOKUP(C467,Tarieven!$A$2:$F$200,2,0),"")="Beide","Beide-klant: controleer prijstype","OK")))))))))</f>
        <v/>
      </c>
    </row>
    <row r="468" ht="15" customHeight="1" s="42">
      <c r="A468" s="56">
        <f>IF(B468="","",WEEKNUM(B468,21))</f>
        <v/>
      </c>
      <c r="B468" s="55" t="n"/>
      <c r="C468" s="57" t="n"/>
      <c r="D468" s="57" t="n"/>
      <c r="E468" s="57" t="n"/>
      <c r="F468" s="57" t="n"/>
      <c r="G468" s="67" t="n"/>
      <c r="H468" s="68" t="n"/>
      <c r="I468" s="61">
        <f>IF(C468="","",IF(H468&lt;&gt;"",INT(H468)+ROUND(MOD(H468,1)*100/60,2),SUMIFS(Registraties!$L$5:$L$3004,Registraties!$D$5:$D$3004,C468,Registraties!$A$5:$A$3004,B468)))</f>
        <v/>
      </c>
      <c r="J468" s="58">
        <f>IF(C468="","",IFERROR(IF(VLOOKUP(C468,Tarieven!$A$2:$F$200,2,0)="Beide","Per uur",VLOOKUP(C468,Tarieven!$A$2:$F$200,2,0)),"Nog bepalen"))</f>
        <v/>
      </c>
      <c r="K468" s="69">
        <f>IF(C468="","",IF(J468="Per uur",IFERROR(VLOOKUP(C468,Tarieven!$A$2:$F$200,3,0),""),IF(J468="Vaste prijs",IFERROR(VLOOKUP(C468,Tarieven!$A$2:$F$200,4,0),""),"")))</f>
        <v/>
      </c>
      <c r="L468" s="70">
        <f>IF(C468="","",IF(J468="Per uur",N(I468)*N(K468),IF(J468="Vaste prijs",N(K468),0)))</f>
        <v/>
      </c>
      <c r="M468" s="69">
        <f>IF(C468="","",IFERROR(IF(N(VLOOKUP(C468,Tarieven!$A$2:$F$200,5,0))=0,"",VLOOKUP(C468,Tarieven!$A$2:$F$200,5,0)),""))</f>
        <v/>
      </c>
      <c r="N468" s="69" t="n"/>
      <c r="O468" s="69" t="n"/>
      <c r="P468" s="70">
        <f>IF(C468="","",N(L468)+N(M468)+N(N468)+N(O468))</f>
        <v/>
      </c>
      <c r="Q468" s="58" t="n"/>
      <c r="R468" s="57" t="n"/>
      <c r="S468" s="57" t="n"/>
      <c r="T468" s="57" t="n"/>
      <c r="U468" s="62">
        <f>IF(C468="","",IF(COUNTIF(Tarieven!$A$2:$A$200,C468)=0,"Klant niet in Tarieven",IF(MOD(N(H468),1)*100&gt;59.4,"Tijd ongeldig: minuten boven 59",IF(J468="Nog bepalen","Prijstype nog bepalen",IF(AND(J468="Per uur",N(K468)=0),"Uurtarief ontbreekt",IF(AND(J468="Vaste prijs",N(K468)=0),"Vaste prijs ontbreekt",IF(AND(N(I468)=0,Q468&lt;&gt;"Niet doorgegaan / verplaatst",Q468&lt;&gt;"Geen factuur nodig"),"Geen uren",IF(AND(G468="NEE",Q468="Verstuurd"),"Verstuurd terwijl werk niet af",IF(IFERROR(VLOOKUP(C468,Tarieven!$A$2:$F$200,2,0),"")="Beide","Beide-klant: controleer prijstype","OK")))))))))</f>
        <v/>
      </c>
    </row>
    <row r="469" ht="15" customHeight="1" s="42">
      <c r="A469" s="56">
        <f>IF(B469="","",WEEKNUM(B469,21))</f>
        <v/>
      </c>
      <c r="B469" s="55" t="n"/>
      <c r="C469" s="57" t="n"/>
      <c r="D469" s="57" t="n"/>
      <c r="E469" s="57" t="n"/>
      <c r="F469" s="57" t="n"/>
      <c r="G469" s="67" t="n"/>
      <c r="H469" s="68" t="n"/>
      <c r="I469" s="61">
        <f>IF(C469="","",IF(H469&lt;&gt;"",INT(H469)+ROUND(MOD(H469,1)*100/60,2),SUMIFS(Registraties!$L$5:$L$3004,Registraties!$D$5:$D$3004,C469,Registraties!$A$5:$A$3004,B469)))</f>
        <v/>
      </c>
      <c r="J469" s="58">
        <f>IF(C469="","",IFERROR(IF(VLOOKUP(C469,Tarieven!$A$2:$F$200,2,0)="Beide","Per uur",VLOOKUP(C469,Tarieven!$A$2:$F$200,2,0)),"Nog bepalen"))</f>
        <v/>
      </c>
      <c r="K469" s="69">
        <f>IF(C469="","",IF(J469="Per uur",IFERROR(VLOOKUP(C469,Tarieven!$A$2:$F$200,3,0),""),IF(J469="Vaste prijs",IFERROR(VLOOKUP(C469,Tarieven!$A$2:$F$200,4,0),""),"")))</f>
        <v/>
      </c>
      <c r="L469" s="70">
        <f>IF(C469="","",IF(J469="Per uur",N(I469)*N(K469),IF(J469="Vaste prijs",N(K469),0)))</f>
        <v/>
      </c>
      <c r="M469" s="69">
        <f>IF(C469="","",IFERROR(IF(N(VLOOKUP(C469,Tarieven!$A$2:$F$200,5,0))=0,"",VLOOKUP(C469,Tarieven!$A$2:$F$200,5,0)),""))</f>
        <v/>
      </c>
      <c r="N469" s="69" t="n"/>
      <c r="O469" s="69" t="n"/>
      <c r="P469" s="70">
        <f>IF(C469="","",N(L469)+N(M469)+N(N469)+N(O469))</f>
        <v/>
      </c>
      <c r="Q469" s="58" t="n"/>
      <c r="R469" s="57" t="n"/>
      <c r="S469" s="57" t="n"/>
      <c r="T469" s="57" t="n"/>
      <c r="U469" s="62">
        <f>IF(C469="","",IF(COUNTIF(Tarieven!$A$2:$A$200,C469)=0,"Klant niet in Tarieven",IF(MOD(N(H469),1)*100&gt;59.4,"Tijd ongeldig: minuten boven 59",IF(J469="Nog bepalen","Prijstype nog bepalen",IF(AND(J469="Per uur",N(K469)=0),"Uurtarief ontbreekt",IF(AND(J469="Vaste prijs",N(K469)=0),"Vaste prijs ontbreekt",IF(AND(N(I469)=0,Q469&lt;&gt;"Niet doorgegaan / verplaatst",Q469&lt;&gt;"Geen factuur nodig"),"Geen uren",IF(AND(G469="NEE",Q469="Verstuurd"),"Verstuurd terwijl werk niet af",IF(IFERROR(VLOOKUP(C469,Tarieven!$A$2:$F$200,2,0),"")="Beide","Beide-klant: controleer prijstype","OK")))))))))</f>
        <v/>
      </c>
    </row>
    <row r="470" ht="15" customHeight="1" s="42">
      <c r="A470" s="56">
        <f>IF(B470="","",WEEKNUM(B470,21))</f>
        <v/>
      </c>
      <c r="B470" s="55" t="n"/>
      <c r="C470" s="57" t="n"/>
      <c r="D470" s="57" t="n"/>
      <c r="E470" s="57" t="n"/>
      <c r="F470" s="57" t="n"/>
      <c r="G470" s="67" t="n"/>
      <c r="H470" s="68" t="n"/>
      <c r="I470" s="61">
        <f>IF(C470="","",IF(H470&lt;&gt;"",INT(H470)+ROUND(MOD(H470,1)*100/60,2),SUMIFS(Registraties!$L$5:$L$3004,Registraties!$D$5:$D$3004,C470,Registraties!$A$5:$A$3004,B470)))</f>
        <v/>
      </c>
      <c r="J470" s="58">
        <f>IF(C470="","",IFERROR(IF(VLOOKUP(C470,Tarieven!$A$2:$F$200,2,0)="Beide","Per uur",VLOOKUP(C470,Tarieven!$A$2:$F$200,2,0)),"Nog bepalen"))</f>
        <v/>
      </c>
      <c r="K470" s="69">
        <f>IF(C470="","",IF(J470="Per uur",IFERROR(VLOOKUP(C470,Tarieven!$A$2:$F$200,3,0),""),IF(J470="Vaste prijs",IFERROR(VLOOKUP(C470,Tarieven!$A$2:$F$200,4,0),""),"")))</f>
        <v/>
      </c>
      <c r="L470" s="70">
        <f>IF(C470="","",IF(J470="Per uur",N(I470)*N(K470),IF(J470="Vaste prijs",N(K470),0)))</f>
        <v/>
      </c>
      <c r="M470" s="69">
        <f>IF(C470="","",IFERROR(IF(N(VLOOKUP(C470,Tarieven!$A$2:$F$200,5,0))=0,"",VLOOKUP(C470,Tarieven!$A$2:$F$200,5,0)),""))</f>
        <v/>
      </c>
      <c r="N470" s="69" t="n"/>
      <c r="O470" s="69" t="n"/>
      <c r="P470" s="70">
        <f>IF(C470="","",N(L470)+N(M470)+N(N470)+N(O470))</f>
        <v/>
      </c>
      <c r="Q470" s="58" t="n"/>
      <c r="R470" s="57" t="n"/>
      <c r="S470" s="57" t="n"/>
      <c r="T470" s="57" t="n"/>
      <c r="U470" s="62">
        <f>IF(C470="","",IF(COUNTIF(Tarieven!$A$2:$A$200,C470)=0,"Klant niet in Tarieven",IF(MOD(N(H470),1)*100&gt;59.4,"Tijd ongeldig: minuten boven 59",IF(J470="Nog bepalen","Prijstype nog bepalen",IF(AND(J470="Per uur",N(K470)=0),"Uurtarief ontbreekt",IF(AND(J470="Vaste prijs",N(K470)=0),"Vaste prijs ontbreekt",IF(AND(N(I470)=0,Q470&lt;&gt;"Niet doorgegaan / verplaatst",Q470&lt;&gt;"Geen factuur nodig"),"Geen uren",IF(AND(G470="NEE",Q470="Verstuurd"),"Verstuurd terwijl werk niet af",IF(IFERROR(VLOOKUP(C470,Tarieven!$A$2:$F$200,2,0),"")="Beide","Beide-klant: controleer prijstype","OK")))))))))</f>
        <v/>
      </c>
    </row>
    <row r="471" ht="15" customHeight="1" s="42">
      <c r="A471" s="56">
        <f>IF(B471="","",WEEKNUM(B471,21))</f>
        <v/>
      </c>
      <c r="B471" s="55" t="n"/>
      <c r="C471" s="57" t="n"/>
      <c r="D471" s="57" t="n"/>
      <c r="E471" s="57" t="n"/>
      <c r="F471" s="57" t="n"/>
      <c r="G471" s="67" t="n"/>
      <c r="H471" s="68" t="n"/>
      <c r="I471" s="61">
        <f>IF(C471="","",IF(H471&lt;&gt;"",INT(H471)+ROUND(MOD(H471,1)*100/60,2),SUMIFS(Registraties!$L$5:$L$3004,Registraties!$D$5:$D$3004,C471,Registraties!$A$5:$A$3004,B471)))</f>
        <v/>
      </c>
      <c r="J471" s="58">
        <f>IF(C471="","",IFERROR(IF(VLOOKUP(C471,Tarieven!$A$2:$F$200,2,0)="Beide","Per uur",VLOOKUP(C471,Tarieven!$A$2:$F$200,2,0)),"Nog bepalen"))</f>
        <v/>
      </c>
      <c r="K471" s="69">
        <f>IF(C471="","",IF(J471="Per uur",IFERROR(VLOOKUP(C471,Tarieven!$A$2:$F$200,3,0),""),IF(J471="Vaste prijs",IFERROR(VLOOKUP(C471,Tarieven!$A$2:$F$200,4,0),""),"")))</f>
        <v/>
      </c>
      <c r="L471" s="70">
        <f>IF(C471="","",IF(J471="Per uur",N(I471)*N(K471),IF(J471="Vaste prijs",N(K471),0)))</f>
        <v/>
      </c>
      <c r="M471" s="69">
        <f>IF(C471="","",IFERROR(IF(N(VLOOKUP(C471,Tarieven!$A$2:$F$200,5,0))=0,"",VLOOKUP(C471,Tarieven!$A$2:$F$200,5,0)),""))</f>
        <v/>
      </c>
      <c r="N471" s="69" t="n"/>
      <c r="O471" s="69" t="n"/>
      <c r="P471" s="70">
        <f>IF(C471="","",N(L471)+N(M471)+N(N471)+N(O471))</f>
        <v/>
      </c>
      <c r="Q471" s="58" t="n"/>
      <c r="R471" s="57" t="n"/>
      <c r="S471" s="57" t="n"/>
      <c r="T471" s="57" t="n"/>
      <c r="U471" s="62">
        <f>IF(C471="","",IF(COUNTIF(Tarieven!$A$2:$A$200,C471)=0,"Klant niet in Tarieven",IF(MOD(N(H471),1)*100&gt;59.4,"Tijd ongeldig: minuten boven 59",IF(J471="Nog bepalen","Prijstype nog bepalen",IF(AND(J471="Per uur",N(K471)=0),"Uurtarief ontbreekt",IF(AND(J471="Vaste prijs",N(K471)=0),"Vaste prijs ontbreekt",IF(AND(N(I471)=0,Q471&lt;&gt;"Niet doorgegaan / verplaatst",Q471&lt;&gt;"Geen factuur nodig"),"Geen uren",IF(AND(G471="NEE",Q471="Verstuurd"),"Verstuurd terwijl werk niet af",IF(IFERROR(VLOOKUP(C471,Tarieven!$A$2:$F$200,2,0),"")="Beide","Beide-klant: controleer prijstype","OK")))))))))</f>
        <v/>
      </c>
    </row>
    <row r="472" ht="15" customHeight="1" s="42">
      <c r="A472" s="56">
        <f>IF(B472="","",WEEKNUM(B472,21))</f>
        <v/>
      </c>
      <c r="B472" s="55" t="n"/>
      <c r="C472" s="57" t="n"/>
      <c r="D472" s="57" t="n"/>
      <c r="E472" s="57" t="n"/>
      <c r="F472" s="57" t="n"/>
      <c r="G472" s="67" t="n"/>
      <c r="H472" s="68" t="n"/>
      <c r="I472" s="61">
        <f>IF(C472="","",IF(H472&lt;&gt;"",INT(H472)+ROUND(MOD(H472,1)*100/60,2),SUMIFS(Registraties!$L$5:$L$3004,Registraties!$D$5:$D$3004,C472,Registraties!$A$5:$A$3004,B472)))</f>
        <v/>
      </c>
      <c r="J472" s="58">
        <f>IF(C472="","",IFERROR(IF(VLOOKUP(C472,Tarieven!$A$2:$F$200,2,0)="Beide","Per uur",VLOOKUP(C472,Tarieven!$A$2:$F$200,2,0)),"Nog bepalen"))</f>
        <v/>
      </c>
      <c r="K472" s="69">
        <f>IF(C472="","",IF(J472="Per uur",IFERROR(VLOOKUP(C472,Tarieven!$A$2:$F$200,3,0),""),IF(J472="Vaste prijs",IFERROR(VLOOKUP(C472,Tarieven!$A$2:$F$200,4,0),""),"")))</f>
        <v/>
      </c>
      <c r="L472" s="70">
        <f>IF(C472="","",IF(J472="Per uur",N(I472)*N(K472),IF(J472="Vaste prijs",N(K472),0)))</f>
        <v/>
      </c>
      <c r="M472" s="69">
        <f>IF(C472="","",IFERROR(IF(N(VLOOKUP(C472,Tarieven!$A$2:$F$200,5,0))=0,"",VLOOKUP(C472,Tarieven!$A$2:$F$200,5,0)),""))</f>
        <v/>
      </c>
      <c r="N472" s="69" t="n"/>
      <c r="O472" s="69" t="n"/>
      <c r="P472" s="70">
        <f>IF(C472="","",N(L472)+N(M472)+N(N472)+N(O472))</f>
        <v/>
      </c>
      <c r="Q472" s="58" t="n"/>
      <c r="R472" s="57" t="n"/>
      <c r="S472" s="57" t="n"/>
      <c r="T472" s="57" t="n"/>
      <c r="U472" s="62">
        <f>IF(C472="","",IF(COUNTIF(Tarieven!$A$2:$A$200,C472)=0,"Klant niet in Tarieven",IF(MOD(N(H472),1)*100&gt;59.4,"Tijd ongeldig: minuten boven 59",IF(J472="Nog bepalen","Prijstype nog bepalen",IF(AND(J472="Per uur",N(K472)=0),"Uurtarief ontbreekt",IF(AND(J472="Vaste prijs",N(K472)=0),"Vaste prijs ontbreekt",IF(AND(N(I472)=0,Q472&lt;&gt;"Niet doorgegaan / verplaatst",Q472&lt;&gt;"Geen factuur nodig"),"Geen uren",IF(AND(G472="NEE",Q472="Verstuurd"),"Verstuurd terwijl werk niet af",IF(IFERROR(VLOOKUP(C472,Tarieven!$A$2:$F$200,2,0),"")="Beide","Beide-klant: controleer prijstype","OK")))))))))</f>
        <v/>
      </c>
    </row>
    <row r="473" ht="15" customHeight="1" s="42">
      <c r="A473" s="56">
        <f>IF(B473="","",WEEKNUM(B473,21))</f>
        <v/>
      </c>
      <c r="B473" s="55" t="n"/>
      <c r="C473" s="57" t="n"/>
      <c r="D473" s="57" t="n"/>
      <c r="E473" s="57" t="n"/>
      <c r="F473" s="57" t="n"/>
      <c r="G473" s="67" t="n"/>
      <c r="H473" s="68" t="n"/>
      <c r="I473" s="61">
        <f>IF(C473="","",IF(H473&lt;&gt;"",INT(H473)+ROUND(MOD(H473,1)*100/60,2),SUMIFS(Registraties!$L$5:$L$3004,Registraties!$D$5:$D$3004,C473,Registraties!$A$5:$A$3004,B473)))</f>
        <v/>
      </c>
      <c r="J473" s="58">
        <f>IF(C473="","",IFERROR(IF(VLOOKUP(C473,Tarieven!$A$2:$F$200,2,0)="Beide","Per uur",VLOOKUP(C473,Tarieven!$A$2:$F$200,2,0)),"Nog bepalen"))</f>
        <v/>
      </c>
      <c r="K473" s="69">
        <f>IF(C473="","",IF(J473="Per uur",IFERROR(VLOOKUP(C473,Tarieven!$A$2:$F$200,3,0),""),IF(J473="Vaste prijs",IFERROR(VLOOKUP(C473,Tarieven!$A$2:$F$200,4,0),""),"")))</f>
        <v/>
      </c>
      <c r="L473" s="70">
        <f>IF(C473="","",IF(J473="Per uur",N(I473)*N(K473),IF(J473="Vaste prijs",N(K473),0)))</f>
        <v/>
      </c>
      <c r="M473" s="69">
        <f>IF(C473="","",IFERROR(IF(N(VLOOKUP(C473,Tarieven!$A$2:$F$200,5,0))=0,"",VLOOKUP(C473,Tarieven!$A$2:$F$200,5,0)),""))</f>
        <v/>
      </c>
      <c r="N473" s="69" t="n"/>
      <c r="O473" s="69" t="n"/>
      <c r="P473" s="70">
        <f>IF(C473="","",N(L473)+N(M473)+N(N473)+N(O473))</f>
        <v/>
      </c>
      <c r="Q473" s="58" t="n"/>
      <c r="R473" s="57" t="n"/>
      <c r="S473" s="57" t="n"/>
      <c r="T473" s="57" t="n"/>
      <c r="U473" s="62">
        <f>IF(C473="","",IF(COUNTIF(Tarieven!$A$2:$A$200,C473)=0,"Klant niet in Tarieven",IF(MOD(N(H473),1)*100&gt;59.4,"Tijd ongeldig: minuten boven 59",IF(J473="Nog bepalen","Prijstype nog bepalen",IF(AND(J473="Per uur",N(K473)=0),"Uurtarief ontbreekt",IF(AND(J473="Vaste prijs",N(K473)=0),"Vaste prijs ontbreekt",IF(AND(N(I473)=0,Q473&lt;&gt;"Niet doorgegaan / verplaatst",Q473&lt;&gt;"Geen factuur nodig"),"Geen uren",IF(AND(G473="NEE",Q473="Verstuurd"),"Verstuurd terwijl werk niet af",IF(IFERROR(VLOOKUP(C473,Tarieven!$A$2:$F$200,2,0),"")="Beide","Beide-klant: controleer prijstype","OK")))))))))</f>
        <v/>
      </c>
    </row>
    <row r="474" ht="15" customHeight="1" s="42">
      <c r="A474" s="56">
        <f>IF(B474="","",WEEKNUM(B474,21))</f>
        <v/>
      </c>
      <c r="B474" s="55" t="n"/>
      <c r="C474" s="57" t="n"/>
      <c r="D474" s="57" t="n"/>
      <c r="E474" s="57" t="n"/>
      <c r="F474" s="57" t="n"/>
      <c r="G474" s="67" t="n"/>
      <c r="H474" s="68" t="n"/>
      <c r="I474" s="61">
        <f>IF(C474="","",IF(H474&lt;&gt;"",INT(H474)+ROUND(MOD(H474,1)*100/60,2),SUMIFS(Registraties!$L$5:$L$3004,Registraties!$D$5:$D$3004,C474,Registraties!$A$5:$A$3004,B474)))</f>
        <v/>
      </c>
      <c r="J474" s="58">
        <f>IF(C474="","",IFERROR(IF(VLOOKUP(C474,Tarieven!$A$2:$F$200,2,0)="Beide","Per uur",VLOOKUP(C474,Tarieven!$A$2:$F$200,2,0)),"Nog bepalen"))</f>
        <v/>
      </c>
      <c r="K474" s="69">
        <f>IF(C474="","",IF(J474="Per uur",IFERROR(VLOOKUP(C474,Tarieven!$A$2:$F$200,3,0),""),IF(J474="Vaste prijs",IFERROR(VLOOKUP(C474,Tarieven!$A$2:$F$200,4,0),""),"")))</f>
        <v/>
      </c>
      <c r="L474" s="70">
        <f>IF(C474="","",IF(J474="Per uur",N(I474)*N(K474),IF(J474="Vaste prijs",N(K474),0)))</f>
        <v/>
      </c>
      <c r="M474" s="69">
        <f>IF(C474="","",IFERROR(IF(N(VLOOKUP(C474,Tarieven!$A$2:$F$200,5,0))=0,"",VLOOKUP(C474,Tarieven!$A$2:$F$200,5,0)),""))</f>
        <v/>
      </c>
      <c r="N474" s="69" t="n"/>
      <c r="O474" s="69" t="n"/>
      <c r="P474" s="70">
        <f>IF(C474="","",N(L474)+N(M474)+N(N474)+N(O474))</f>
        <v/>
      </c>
      <c r="Q474" s="58" t="n"/>
      <c r="R474" s="57" t="n"/>
      <c r="S474" s="57" t="n"/>
      <c r="T474" s="57" t="n"/>
      <c r="U474" s="62">
        <f>IF(C474="","",IF(COUNTIF(Tarieven!$A$2:$A$200,C474)=0,"Klant niet in Tarieven",IF(MOD(N(H474),1)*100&gt;59.4,"Tijd ongeldig: minuten boven 59",IF(J474="Nog bepalen","Prijstype nog bepalen",IF(AND(J474="Per uur",N(K474)=0),"Uurtarief ontbreekt",IF(AND(J474="Vaste prijs",N(K474)=0),"Vaste prijs ontbreekt",IF(AND(N(I474)=0,Q474&lt;&gt;"Niet doorgegaan / verplaatst",Q474&lt;&gt;"Geen factuur nodig"),"Geen uren",IF(AND(G474="NEE",Q474="Verstuurd"),"Verstuurd terwijl werk niet af",IF(IFERROR(VLOOKUP(C474,Tarieven!$A$2:$F$200,2,0),"")="Beide","Beide-klant: controleer prijstype","OK")))))))))</f>
        <v/>
      </c>
    </row>
    <row r="475" ht="15" customHeight="1" s="42">
      <c r="A475" s="56">
        <f>IF(B475="","",WEEKNUM(B475,21))</f>
        <v/>
      </c>
      <c r="B475" s="55" t="n"/>
      <c r="C475" s="57" t="n"/>
      <c r="D475" s="57" t="n"/>
      <c r="E475" s="57" t="n"/>
      <c r="F475" s="57" t="n"/>
      <c r="G475" s="67" t="n"/>
      <c r="H475" s="68" t="n"/>
      <c r="I475" s="61">
        <f>IF(C475="","",IF(H475&lt;&gt;"",INT(H475)+ROUND(MOD(H475,1)*100/60,2),SUMIFS(Registraties!$L$5:$L$3004,Registraties!$D$5:$D$3004,C475,Registraties!$A$5:$A$3004,B475)))</f>
        <v/>
      </c>
      <c r="J475" s="58">
        <f>IF(C475="","",IFERROR(IF(VLOOKUP(C475,Tarieven!$A$2:$F$200,2,0)="Beide","Per uur",VLOOKUP(C475,Tarieven!$A$2:$F$200,2,0)),"Nog bepalen"))</f>
        <v/>
      </c>
      <c r="K475" s="69">
        <f>IF(C475="","",IF(J475="Per uur",IFERROR(VLOOKUP(C475,Tarieven!$A$2:$F$200,3,0),""),IF(J475="Vaste prijs",IFERROR(VLOOKUP(C475,Tarieven!$A$2:$F$200,4,0),""),"")))</f>
        <v/>
      </c>
      <c r="L475" s="70">
        <f>IF(C475="","",IF(J475="Per uur",N(I475)*N(K475),IF(J475="Vaste prijs",N(K475),0)))</f>
        <v/>
      </c>
      <c r="M475" s="69">
        <f>IF(C475="","",IFERROR(IF(N(VLOOKUP(C475,Tarieven!$A$2:$F$200,5,0))=0,"",VLOOKUP(C475,Tarieven!$A$2:$F$200,5,0)),""))</f>
        <v/>
      </c>
      <c r="N475" s="69" t="n"/>
      <c r="O475" s="69" t="n"/>
      <c r="P475" s="70">
        <f>IF(C475="","",N(L475)+N(M475)+N(N475)+N(O475))</f>
        <v/>
      </c>
      <c r="Q475" s="58" t="n"/>
      <c r="R475" s="57" t="n"/>
      <c r="S475" s="57" t="n"/>
      <c r="T475" s="57" t="n"/>
      <c r="U475" s="62">
        <f>IF(C475="","",IF(COUNTIF(Tarieven!$A$2:$A$200,C475)=0,"Klant niet in Tarieven",IF(MOD(N(H475),1)*100&gt;59.4,"Tijd ongeldig: minuten boven 59",IF(J475="Nog bepalen","Prijstype nog bepalen",IF(AND(J475="Per uur",N(K475)=0),"Uurtarief ontbreekt",IF(AND(J475="Vaste prijs",N(K475)=0),"Vaste prijs ontbreekt",IF(AND(N(I475)=0,Q475&lt;&gt;"Niet doorgegaan / verplaatst",Q475&lt;&gt;"Geen factuur nodig"),"Geen uren",IF(AND(G475="NEE",Q475="Verstuurd"),"Verstuurd terwijl werk niet af",IF(IFERROR(VLOOKUP(C475,Tarieven!$A$2:$F$200,2,0),"")="Beide","Beide-klant: controleer prijstype","OK")))))))))</f>
        <v/>
      </c>
    </row>
    <row r="476" ht="15" customHeight="1" s="42">
      <c r="A476" s="56">
        <f>IF(B476="","",WEEKNUM(B476,21))</f>
        <v/>
      </c>
      <c r="B476" s="55" t="n"/>
      <c r="C476" s="57" t="n"/>
      <c r="D476" s="57" t="n"/>
      <c r="E476" s="57" t="n"/>
      <c r="F476" s="57" t="n"/>
      <c r="G476" s="67" t="n"/>
      <c r="H476" s="68" t="n"/>
      <c r="I476" s="61">
        <f>IF(C476="","",IF(H476&lt;&gt;"",INT(H476)+ROUND(MOD(H476,1)*100/60,2),SUMIFS(Registraties!$L$5:$L$3004,Registraties!$D$5:$D$3004,C476,Registraties!$A$5:$A$3004,B476)))</f>
        <v/>
      </c>
      <c r="J476" s="58">
        <f>IF(C476="","",IFERROR(IF(VLOOKUP(C476,Tarieven!$A$2:$F$200,2,0)="Beide","Per uur",VLOOKUP(C476,Tarieven!$A$2:$F$200,2,0)),"Nog bepalen"))</f>
        <v/>
      </c>
      <c r="K476" s="69">
        <f>IF(C476="","",IF(J476="Per uur",IFERROR(VLOOKUP(C476,Tarieven!$A$2:$F$200,3,0),""),IF(J476="Vaste prijs",IFERROR(VLOOKUP(C476,Tarieven!$A$2:$F$200,4,0),""),"")))</f>
        <v/>
      </c>
      <c r="L476" s="70">
        <f>IF(C476="","",IF(J476="Per uur",N(I476)*N(K476),IF(J476="Vaste prijs",N(K476),0)))</f>
        <v/>
      </c>
      <c r="M476" s="69">
        <f>IF(C476="","",IFERROR(IF(N(VLOOKUP(C476,Tarieven!$A$2:$F$200,5,0))=0,"",VLOOKUP(C476,Tarieven!$A$2:$F$200,5,0)),""))</f>
        <v/>
      </c>
      <c r="N476" s="69" t="n"/>
      <c r="O476" s="69" t="n"/>
      <c r="P476" s="70">
        <f>IF(C476="","",N(L476)+N(M476)+N(N476)+N(O476))</f>
        <v/>
      </c>
      <c r="Q476" s="58" t="n"/>
      <c r="R476" s="57" t="n"/>
      <c r="S476" s="57" t="n"/>
      <c r="T476" s="57" t="n"/>
      <c r="U476" s="62">
        <f>IF(C476="","",IF(COUNTIF(Tarieven!$A$2:$A$200,C476)=0,"Klant niet in Tarieven",IF(MOD(N(H476),1)*100&gt;59.4,"Tijd ongeldig: minuten boven 59",IF(J476="Nog bepalen","Prijstype nog bepalen",IF(AND(J476="Per uur",N(K476)=0),"Uurtarief ontbreekt",IF(AND(J476="Vaste prijs",N(K476)=0),"Vaste prijs ontbreekt",IF(AND(N(I476)=0,Q476&lt;&gt;"Niet doorgegaan / verplaatst",Q476&lt;&gt;"Geen factuur nodig"),"Geen uren",IF(AND(G476="NEE",Q476="Verstuurd"),"Verstuurd terwijl werk niet af",IF(IFERROR(VLOOKUP(C476,Tarieven!$A$2:$F$200,2,0),"")="Beide","Beide-klant: controleer prijstype","OK")))))))))</f>
        <v/>
      </c>
    </row>
    <row r="477" ht="15" customHeight="1" s="42">
      <c r="A477" s="56">
        <f>IF(B477="","",WEEKNUM(B477,21))</f>
        <v/>
      </c>
      <c r="B477" s="55" t="n"/>
      <c r="C477" s="57" t="n"/>
      <c r="D477" s="57" t="n"/>
      <c r="E477" s="57" t="n"/>
      <c r="F477" s="57" t="n"/>
      <c r="G477" s="67" t="n"/>
      <c r="H477" s="68" t="n"/>
      <c r="I477" s="61">
        <f>IF(C477="","",IF(H477&lt;&gt;"",INT(H477)+ROUND(MOD(H477,1)*100/60,2),SUMIFS(Registraties!$L$5:$L$3004,Registraties!$D$5:$D$3004,C477,Registraties!$A$5:$A$3004,B477)))</f>
        <v/>
      </c>
      <c r="J477" s="58">
        <f>IF(C477="","",IFERROR(IF(VLOOKUP(C477,Tarieven!$A$2:$F$200,2,0)="Beide","Per uur",VLOOKUP(C477,Tarieven!$A$2:$F$200,2,0)),"Nog bepalen"))</f>
        <v/>
      </c>
      <c r="K477" s="69">
        <f>IF(C477="","",IF(J477="Per uur",IFERROR(VLOOKUP(C477,Tarieven!$A$2:$F$200,3,0),""),IF(J477="Vaste prijs",IFERROR(VLOOKUP(C477,Tarieven!$A$2:$F$200,4,0),""),"")))</f>
        <v/>
      </c>
      <c r="L477" s="70">
        <f>IF(C477="","",IF(J477="Per uur",N(I477)*N(K477),IF(J477="Vaste prijs",N(K477),0)))</f>
        <v/>
      </c>
      <c r="M477" s="69">
        <f>IF(C477="","",IFERROR(IF(N(VLOOKUP(C477,Tarieven!$A$2:$F$200,5,0))=0,"",VLOOKUP(C477,Tarieven!$A$2:$F$200,5,0)),""))</f>
        <v/>
      </c>
      <c r="N477" s="69" t="n"/>
      <c r="O477" s="69" t="n"/>
      <c r="P477" s="70">
        <f>IF(C477="","",N(L477)+N(M477)+N(N477)+N(O477))</f>
        <v/>
      </c>
      <c r="Q477" s="58" t="n"/>
      <c r="R477" s="57" t="n"/>
      <c r="S477" s="57" t="n"/>
      <c r="T477" s="57" t="n"/>
      <c r="U477" s="62">
        <f>IF(C477="","",IF(COUNTIF(Tarieven!$A$2:$A$200,C477)=0,"Klant niet in Tarieven",IF(MOD(N(H477),1)*100&gt;59.4,"Tijd ongeldig: minuten boven 59",IF(J477="Nog bepalen","Prijstype nog bepalen",IF(AND(J477="Per uur",N(K477)=0),"Uurtarief ontbreekt",IF(AND(J477="Vaste prijs",N(K477)=0),"Vaste prijs ontbreekt",IF(AND(N(I477)=0,Q477&lt;&gt;"Niet doorgegaan / verplaatst",Q477&lt;&gt;"Geen factuur nodig"),"Geen uren",IF(AND(G477="NEE",Q477="Verstuurd"),"Verstuurd terwijl werk niet af",IF(IFERROR(VLOOKUP(C477,Tarieven!$A$2:$F$200,2,0),"")="Beide","Beide-klant: controleer prijstype","OK")))))))))</f>
        <v/>
      </c>
    </row>
    <row r="478" ht="15" customHeight="1" s="42">
      <c r="A478" s="56">
        <f>IF(B478="","",WEEKNUM(B478,21))</f>
        <v/>
      </c>
      <c r="B478" s="55" t="n"/>
      <c r="C478" s="57" t="n"/>
      <c r="D478" s="57" t="n"/>
      <c r="E478" s="57" t="n"/>
      <c r="F478" s="57" t="n"/>
      <c r="G478" s="67" t="n"/>
      <c r="H478" s="68" t="n"/>
      <c r="I478" s="61">
        <f>IF(C478="","",IF(H478&lt;&gt;"",INT(H478)+ROUND(MOD(H478,1)*100/60,2),SUMIFS(Registraties!$L$5:$L$3004,Registraties!$D$5:$D$3004,C478,Registraties!$A$5:$A$3004,B478)))</f>
        <v/>
      </c>
      <c r="J478" s="58">
        <f>IF(C478="","",IFERROR(IF(VLOOKUP(C478,Tarieven!$A$2:$F$200,2,0)="Beide","Per uur",VLOOKUP(C478,Tarieven!$A$2:$F$200,2,0)),"Nog bepalen"))</f>
        <v/>
      </c>
      <c r="K478" s="69">
        <f>IF(C478="","",IF(J478="Per uur",IFERROR(VLOOKUP(C478,Tarieven!$A$2:$F$200,3,0),""),IF(J478="Vaste prijs",IFERROR(VLOOKUP(C478,Tarieven!$A$2:$F$200,4,0),""),"")))</f>
        <v/>
      </c>
      <c r="L478" s="70">
        <f>IF(C478="","",IF(J478="Per uur",N(I478)*N(K478),IF(J478="Vaste prijs",N(K478),0)))</f>
        <v/>
      </c>
      <c r="M478" s="69">
        <f>IF(C478="","",IFERROR(IF(N(VLOOKUP(C478,Tarieven!$A$2:$F$200,5,0))=0,"",VLOOKUP(C478,Tarieven!$A$2:$F$200,5,0)),""))</f>
        <v/>
      </c>
      <c r="N478" s="69" t="n"/>
      <c r="O478" s="69" t="n"/>
      <c r="P478" s="70">
        <f>IF(C478="","",N(L478)+N(M478)+N(N478)+N(O478))</f>
        <v/>
      </c>
      <c r="Q478" s="58" t="n"/>
      <c r="R478" s="57" t="n"/>
      <c r="S478" s="57" t="n"/>
      <c r="T478" s="57" t="n"/>
      <c r="U478" s="62">
        <f>IF(C478="","",IF(COUNTIF(Tarieven!$A$2:$A$200,C478)=0,"Klant niet in Tarieven",IF(MOD(N(H478),1)*100&gt;59.4,"Tijd ongeldig: minuten boven 59",IF(J478="Nog bepalen","Prijstype nog bepalen",IF(AND(J478="Per uur",N(K478)=0),"Uurtarief ontbreekt",IF(AND(J478="Vaste prijs",N(K478)=0),"Vaste prijs ontbreekt",IF(AND(N(I478)=0,Q478&lt;&gt;"Niet doorgegaan / verplaatst",Q478&lt;&gt;"Geen factuur nodig"),"Geen uren",IF(AND(G478="NEE",Q478="Verstuurd"),"Verstuurd terwijl werk niet af",IF(IFERROR(VLOOKUP(C478,Tarieven!$A$2:$F$200,2,0),"")="Beide","Beide-klant: controleer prijstype","OK")))))))))</f>
        <v/>
      </c>
    </row>
    <row r="479" ht="15" customHeight="1" s="42">
      <c r="A479" s="56">
        <f>IF(B479="","",WEEKNUM(B479,21))</f>
        <v/>
      </c>
      <c r="B479" s="55" t="n"/>
      <c r="C479" s="57" t="n"/>
      <c r="D479" s="57" t="n"/>
      <c r="E479" s="57" t="n"/>
      <c r="F479" s="57" t="n"/>
      <c r="G479" s="67" t="n"/>
      <c r="H479" s="68" t="n"/>
      <c r="I479" s="61">
        <f>IF(C479="","",IF(H479&lt;&gt;"",INT(H479)+ROUND(MOD(H479,1)*100/60,2),SUMIFS(Registraties!$L$5:$L$3004,Registraties!$D$5:$D$3004,C479,Registraties!$A$5:$A$3004,B479)))</f>
        <v/>
      </c>
      <c r="J479" s="58">
        <f>IF(C479="","",IFERROR(IF(VLOOKUP(C479,Tarieven!$A$2:$F$200,2,0)="Beide","Per uur",VLOOKUP(C479,Tarieven!$A$2:$F$200,2,0)),"Nog bepalen"))</f>
        <v/>
      </c>
      <c r="K479" s="69">
        <f>IF(C479="","",IF(J479="Per uur",IFERROR(VLOOKUP(C479,Tarieven!$A$2:$F$200,3,0),""),IF(J479="Vaste prijs",IFERROR(VLOOKUP(C479,Tarieven!$A$2:$F$200,4,0),""),"")))</f>
        <v/>
      </c>
      <c r="L479" s="70">
        <f>IF(C479="","",IF(J479="Per uur",N(I479)*N(K479),IF(J479="Vaste prijs",N(K479),0)))</f>
        <v/>
      </c>
      <c r="M479" s="69">
        <f>IF(C479="","",IFERROR(IF(N(VLOOKUP(C479,Tarieven!$A$2:$F$200,5,0))=0,"",VLOOKUP(C479,Tarieven!$A$2:$F$200,5,0)),""))</f>
        <v/>
      </c>
      <c r="N479" s="69" t="n"/>
      <c r="O479" s="69" t="n"/>
      <c r="P479" s="70">
        <f>IF(C479="","",N(L479)+N(M479)+N(N479)+N(O479))</f>
        <v/>
      </c>
      <c r="Q479" s="58" t="n"/>
      <c r="R479" s="57" t="n"/>
      <c r="S479" s="57" t="n"/>
      <c r="T479" s="57" t="n"/>
      <c r="U479" s="62">
        <f>IF(C479="","",IF(COUNTIF(Tarieven!$A$2:$A$200,C479)=0,"Klant niet in Tarieven",IF(MOD(N(H479),1)*100&gt;59.4,"Tijd ongeldig: minuten boven 59",IF(J479="Nog bepalen","Prijstype nog bepalen",IF(AND(J479="Per uur",N(K479)=0),"Uurtarief ontbreekt",IF(AND(J479="Vaste prijs",N(K479)=0),"Vaste prijs ontbreekt",IF(AND(N(I479)=0,Q479&lt;&gt;"Niet doorgegaan / verplaatst",Q479&lt;&gt;"Geen factuur nodig"),"Geen uren",IF(AND(G479="NEE",Q479="Verstuurd"),"Verstuurd terwijl werk niet af",IF(IFERROR(VLOOKUP(C479,Tarieven!$A$2:$F$200,2,0),"")="Beide","Beide-klant: controleer prijstype","OK")))))))))</f>
        <v/>
      </c>
    </row>
    <row r="480" ht="15" customHeight="1" s="42">
      <c r="A480" s="56">
        <f>IF(B480="","",WEEKNUM(B480,21))</f>
        <v/>
      </c>
      <c r="B480" s="55" t="n"/>
      <c r="C480" s="57" t="n"/>
      <c r="D480" s="57" t="n"/>
      <c r="E480" s="57" t="n"/>
      <c r="F480" s="57" t="n"/>
      <c r="G480" s="67" t="n"/>
      <c r="H480" s="68" t="n"/>
      <c r="I480" s="61">
        <f>IF(C480="","",IF(H480&lt;&gt;"",INT(H480)+ROUND(MOD(H480,1)*100/60,2),SUMIFS(Registraties!$L$5:$L$3004,Registraties!$D$5:$D$3004,C480,Registraties!$A$5:$A$3004,B480)))</f>
        <v/>
      </c>
      <c r="J480" s="58">
        <f>IF(C480="","",IFERROR(IF(VLOOKUP(C480,Tarieven!$A$2:$F$200,2,0)="Beide","Per uur",VLOOKUP(C480,Tarieven!$A$2:$F$200,2,0)),"Nog bepalen"))</f>
        <v/>
      </c>
      <c r="K480" s="69">
        <f>IF(C480="","",IF(J480="Per uur",IFERROR(VLOOKUP(C480,Tarieven!$A$2:$F$200,3,0),""),IF(J480="Vaste prijs",IFERROR(VLOOKUP(C480,Tarieven!$A$2:$F$200,4,0),""),"")))</f>
        <v/>
      </c>
      <c r="L480" s="70">
        <f>IF(C480="","",IF(J480="Per uur",N(I480)*N(K480),IF(J480="Vaste prijs",N(K480),0)))</f>
        <v/>
      </c>
      <c r="M480" s="69">
        <f>IF(C480="","",IFERROR(IF(N(VLOOKUP(C480,Tarieven!$A$2:$F$200,5,0))=0,"",VLOOKUP(C480,Tarieven!$A$2:$F$200,5,0)),""))</f>
        <v/>
      </c>
      <c r="N480" s="69" t="n"/>
      <c r="O480" s="69" t="n"/>
      <c r="P480" s="70">
        <f>IF(C480="","",N(L480)+N(M480)+N(N480)+N(O480))</f>
        <v/>
      </c>
      <c r="Q480" s="58" t="n"/>
      <c r="R480" s="57" t="n"/>
      <c r="S480" s="57" t="n"/>
      <c r="T480" s="57" t="n"/>
      <c r="U480" s="62">
        <f>IF(C480="","",IF(COUNTIF(Tarieven!$A$2:$A$200,C480)=0,"Klant niet in Tarieven",IF(MOD(N(H480),1)*100&gt;59.4,"Tijd ongeldig: minuten boven 59",IF(J480="Nog bepalen","Prijstype nog bepalen",IF(AND(J480="Per uur",N(K480)=0),"Uurtarief ontbreekt",IF(AND(J480="Vaste prijs",N(K480)=0),"Vaste prijs ontbreekt",IF(AND(N(I480)=0,Q480&lt;&gt;"Niet doorgegaan / verplaatst",Q480&lt;&gt;"Geen factuur nodig"),"Geen uren",IF(AND(G480="NEE",Q480="Verstuurd"),"Verstuurd terwijl werk niet af",IF(IFERROR(VLOOKUP(C480,Tarieven!$A$2:$F$200,2,0),"")="Beide","Beide-klant: controleer prijstype","OK")))))))))</f>
        <v/>
      </c>
    </row>
    <row r="481" ht="15" customHeight="1" s="42">
      <c r="A481" s="56">
        <f>IF(B481="","",WEEKNUM(B481,21))</f>
        <v/>
      </c>
      <c r="B481" s="55" t="n"/>
      <c r="C481" s="57" t="n"/>
      <c r="D481" s="57" t="n"/>
      <c r="E481" s="57" t="n"/>
      <c r="F481" s="57" t="n"/>
      <c r="G481" s="67" t="n"/>
      <c r="H481" s="68" t="n"/>
      <c r="I481" s="61">
        <f>IF(C481="","",IF(H481&lt;&gt;"",INT(H481)+ROUND(MOD(H481,1)*100/60,2),SUMIFS(Registraties!$L$5:$L$3004,Registraties!$D$5:$D$3004,C481,Registraties!$A$5:$A$3004,B481)))</f>
        <v/>
      </c>
      <c r="J481" s="58">
        <f>IF(C481="","",IFERROR(IF(VLOOKUP(C481,Tarieven!$A$2:$F$200,2,0)="Beide","Per uur",VLOOKUP(C481,Tarieven!$A$2:$F$200,2,0)),"Nog bepalen"))</f>
        <v/>
      </c>
      <c r="K481" s="69">
        <f>IF(C481="","",IF(J481="Per uur",IFERROR(VLOOKUP(C481,Tarieven!$A$2:$F$200,3,0),""),IF(J481="Vaste prijs",IFERROR(VLOOKUP(C481,Tarieven!$A$2:$F$200,4,0),""),"")))</f>
        <v/>
      </c>
      <c r="L481" s="70">
        <f>IF(C481="","",IF(J481="Per uur",N(I481)*N(K481),IF(J481="Vaste prijs",N(K481),0)))</f>
        <v/>
      </c>
      <c r="M481" s="69">
        <f>IF(C481="","",IFERROR(IF(N(VLOOKUP(C481,Tarieven!$A$2:$F$200,5,0))=0,"",VLOOKUP(C481,Tarieven!$A$2:$F$200,5,0)),""))</f>
        <v/>
      </c>
      <c r="N481" s="69" t="n"/>
      <c r="O481" s="69" t="n"/>
      <c r="P481" s="70">
        <f>IF(C481="","",N(L481)+N(M481)+N(N481)+N(O481))</f>
        <v/>
      </c>
      <c r="Q481" s="58" t="n"/>
      <c r="R481" s="57" t="n"/>
      <c r="S481" s="57" t="n"/>
      <c r="T481" s="57" t="n"/>
      <c r="U481" s="62">
        <f>IF(C481="","",IF(COUNTIF(Tarieven!$A$2:$A$200,C481)=0,"Klant niet in Tarieven",IF(MOD(N(H481),1)*100&gt;59.4,"Tijd ongeldig: minuten boven 59",IF(J481="Nog bepalen","Prijstype nog bepalen",IF(AND(J481="Per uur",N(K481)=0),"Uurtarief ontbreekt",IF(AND(J481="Vaste prijs",N(K481)=0),"Vaste prijs ontbreekt",IF(AND(N(I481)=0,Q481&lt;&gt;"Niet doorgegaan / verplaatst",Q481&lt;&gt;"Geen factuur nodig"),"Geen uren",IF(AND(G481="NEE",Q481="Verstuurd"),"Verstuurd terwijl werk niet af",IF(IFERROR(VLOOKUP(C481,Tarieven!$A$2:$F$200,2,0),"")="Beide","Beide-klant: controleer prijstype","OK")))))))))</f>
        <v/>
      </c>
    </row>
    <row r="482" ht="15" customHeight="1" s="42">
      <c r="A482" s="56">
        <f>IF(B482="","",WEEKNUM(B482,21))</f>
        <v/>
      </c>
      <c r="B482" s="55" t="n"/>
      <c r="C482" s="57" t="n"/>
      <c r="D482" s="57" t="n"/>
      <c r="E482" s="57" t="n"/>
      <c r="F482" s="57" t="n"/>
      <c r="G482" s="67" t="n"/>
      <c r="H482" s="68" t="n"/>
      <c r="I482" s="61">
        <f>IF(C482="","",IF(H482&lt;&gt;"",INT(H482)+ROUND(MOD(H482,1)*100/60,2),SUMIFS(Registraties!$L$5:$L$3004,Registraties!$D$5:$D$3004,C482,Registraties!$A$5:$A$3004,B482)))</f>
        <v/>
      </c>
      <c r="J482" s="58">
        <f>IF(C482="","",IFERROR(IF(VLOOKUP(C482,Tarieven!$A$2:$F$200,2,0)="Beide","Per uur",VLOOKUP(C482,Tarieven!$A$2:$F$200,2,0)),"Nog bepalen"))</f>
        <v/>
      </c>
      <c r="K482" s="69">
        <f>IF(C482="","",IF(J482="Per uur",IFERROR(VLOOKUP(C482,Tarieven!$A$2:$F$200,3,0),""),IF(J482="Vaste prijs",IFERROR(VLOOKUP(C482,Tarieven!$A$2:$F$200,4,0),""),"")))</f>
        <v/>
      </c>
      <c r="L482" s="70">
        <f>IF(C482="","",IF(J482="Per uur",N(I482)*N(K482),IF(J482="Vaste prijs",N(K482),0)))</f>
        <v/>
      </c>
      <c r="M482" s="69">
        <f>IF(C482="","",IFERROR(IF(N(VLOOKUP(C482,Tarieven!$A$2:$F$200,5,0))=0,"",VLOOKUP(C482,Tarieven!$A$2:$F$200,5,0)),""))</f>
        <v/>
      </c>
      <c r="N482" s="69" t="n"/>
      <c r="O482" s="69" t="n"/>
      <c r="P482" s="70">
        <f>IF(C482="","",N(L482)+N(M482)+N(N482)+N(O482))</f>
        <v/>
      </c>
      <c r="Q482" s="58" t="n"/>
      <c r="R482" s="57" t="n"/>
      <c r="S482" s="57" t="n"/>
      <c r="T482" s="57" t="n"/>
      <c r="U482" s="62">
        <f>IF(C482="","",IF(COUNTIF(Tarieven!$A$2:$A$200,C482)=0,"Klant niet in Tarieven",IF(MOD(N(H482),1)*100&gt;59.4,"Tijd ongeldig: minuten boven 59",IF(J482="Nog bepalen","Prijstype nog bepalen",IF(AND(J482="Per uur",N(K482)=0),"Uurtarief ontbreekt",IF(AND(J482="Vaste prijs",N(K482)=0),"Vaste prijs ontbreekt",IF(AND(N(I482)=0,Q482&lt;&gt;"Niet doorgegaan / verplaatst",Q482&lt;&gt;"Geen factuur nodig"),"Geen uren",IF(AND(G482="NEE",Q482="Verstuurd"),"Verstuurd terwijl werk niet af",IF(IFERROR(VLOOKUP(C482,Tarieven!$A$2:$F$200,2,0),"")="Beide","Beide-klant: controleer prijstype","OK")))))))))</f>
        <v/>
      </c>
    </row>
    <row r="483" ht="15" customHeight="1" s="42">
      <c r="A483" s="56">
        <f>IF(B483="","",WEEKNUM(B483,21))</f>
        <v/>
      </c>
      <c r="B483" s="55" t="n"/>
      <c r="C483" s="57" t="n"/>
      <c r="D483" s="57" t="n"/>
      <c r="E483" s="57" t="n"/>
      <c r="F483" s="57" t="n"/>
      <c r="G483" s="67" t="n"/>
      <c r="H483" s="68" t="n"/>
      <c r="I483" s="61">
        <f>IF(C483="","",IF(H483&lt;&gt;"",INT(H483)+ROUND(MOD(H483,1)*100/60,2),SUMIFS(Registraties!$L$5:$L$3004,Registraties!$D$5:$D$3004,C483,Registraties!$A$5:$A$3004,B483)))</f>
        <v/>
      </c>
      <c r="J483" s="58">
        <f>IF(C483="","",IFERROR(IF(VLOOKUP(C483,Tarieven!$A$2:$F$200,2,0)="Beide","Per uur",VLOOKUP(C483,Tarieven!$A$2:$F$200,2,0)),"Nog bepalen"))</f>
        <v/>
      </c>
      <c r="K483" s="69">
        <f>IF(C483="","",IF(J483="Per uur",IFERROR(VLOOKUP(C483,Tarieven!$A$2:$F$200,3,0),""),IF(J483="Vaste prijs",IFERROR(VLOOKUP(C483,Tarieven!$A$2:$F$200,4,0),""),"")))</f>
        <v/>
      </c>
      <c r="L483" s="70">
        <f>IF(C483="","",IF(J483="Per uur",N(I483)*N(K483),IF(J483="Vaste prijs",N(K483),0)))</f>
        <v/>
      </c>
      <c r="M483" s="69">
        <f>IF(C483="","",IFERROR(IF(N(VLOOKUP(C483,Tarieven!$A$2:$F$200,5,0))=0,"",VLOOKUP(C483,Tarieven!$A$2:$F$200,5,0)),""))</f>
        <v/>
      </c>
      <c r="N483" s="69" t="n"/>
      <c r="O483" s="69" t="n"/>
      <c r="P483" s="70">
        <f>IF(C483="","",N(L483)+N(M483)+N(N483)+N(O483))</f>
        <v/>
      </c>
      <c r="Q483" s="58" t="n"/>
      <c r="R483" s="57" t="n"/>
      <c r="S483" s="57" t="n"/>
      <c r="T483" s="57" t="n"/>
      <c r="U483" s="62">
        <f>IF(C483="","",IF(COUNTIF(Tarieven!$A$2:$A$200,C483)=0,"Klant niet in Tarieven",IF(MOD(N(H483),1)*100&gt;59.4,"Tijd ongeldig: minuten boven 59",IF(J483="Nog bepalen","Prijstype nog bepalen",IF(AND(J483="Per uur",N(K483)=0),"Uurtarief ontbreekt",IF(AND(J483="Vaste prijs",N(K483)=0),"Vaste prijs ontbreekt",IF(AND(N(I483)=0,Q483&lt;&gt;"Niet doorgegaan / verplaatst",Q483&lt;&gt;"Geen factuur nodig"),"Geen uren",IF(AND(G483="NEE",Q483="Verstuurd"),"Verstuurd terwijl werk niet af",IF(IFERROR(VLOOKUP(C483,Tarieven!$A$2:$F$200,2,0),"")="Beide","Beide-klant: controleer prijstype","OK")))))))))</f>
        <v/>
      </c>
    </row>
    <row r="484" ht="15" customHeight="1" s="42">
      <c r="A484" s="56">
        <f>IF(B484="","",WEEKNUM(B484,21))</f>
        <v/>
      </c>
      <c r="B484" s="55" t="n"/>
      <c r="C484" s="57" t="n"/>
      <c r="D484" s="57" t="n"/>
      <c r="E484" s="57" t="n"/>
      <c r="F484" s="57" t="n"/>
      <c r="G484" s="67" t="n"/>
      <c r="H484" s="68" t="n"/>
      <c r="I484" s="61">
        <f>IF(C484="","",IF(H484&lt;&gt;"",INT(H484)+ROUND(MOD(H484,1)*100/60,2),SUMIFS(Registraties!$L$5:$L$3004,Registraties!$D$5:$D$3004,C484,Registraties!$A$5:$A$3004,B484)))</f>
        <v/>
      </c>
      <c r="J484" s="58">
        <f>IF(C484="","",IFERROR(IF(VLOOKUP(C484,Tarieven!$A$2:$F$200,2,0)="Beide","Per uur",VLOOKUP(C484,Tarieven!$A$2:$F$200,2,0)),"Nog bepalen"))</f>
        <v/>
      </c>
      <c r="K484" s="69">
        <f>IF(C484="","",IF(J484="Per uur",IFERROR(VLOOKUP(C484,Tarieven!$A$2:$F$200,3,0),""),IF(J484="Vaste prijs",IFERROR(VLOOKUP(C484,Tarieven!$A$2:$F$200,4,0),""),"")))</f>
        <v/>
      </c>
      <c r="L484" s="70">
        <f>IF(C484="","",IF(J484="Per uur",N(I484)*N(K484),IF(J484="Vaste prijs",N(K484),0)))</f>
        <v/>
      </c>
      <c r="M484" s="69">
        <f>IF(C484="","",IFERROR(IF(N(VLOOKUP(C484,Tarieven!$A$2:$F$200,5,0))=0,"",VLOOKUP(C484,Tarieven!$A$2:$F$200,5,0)),""))</f>
        <v/>
      </c>
      <c r="N484" s="69" t="n"/>
      <c r="O484" s="69" t="n"/>
      <c r="P484" s="70">
        <f>IF(C484="","",N(L484)+N(M484)+N(N484)+N(O484))</f>
        <v/>
      </c>
      <c r="Q484" s="58" t="n"/>
      <c r="R484" s="57" t="n"/>
      <c r="S484" s="57" t="n"/>
      <c r="T484" s="57" t="n"/>
      <c r="U484" s="62">
        <f>IF(C484="","",IF(COUNTIF(Tarieven!$A$2:$A$200,C484)=0,"Klant niet in Tarieven",IF(MOD(N(H484),1)*100&gt;59.4,"Tijd ongeldig: minuten boven 59",IF(J484="Nog bepalen","Prijstype nog bepalen",IF(AND(J484="Per uur",N(K484)=0),"Uurtarief ontbreekt",IF(AND(J484="Vaste prijs",N(K484)=0),"Vaste prijs ontbreekt",IF(AND(N(I484)=0,Q484&lt;&gt;"Niet doorgegaan / verplaatst",Q484&lt;&gt;"Geen factuur nodig"),"Geen uren",IF(AND(G484="NEE",Q484="Verstuurd"),"Verstuurd terwijl werk niet af",IF(IFERROR(VLOOKUP(C484,Tarieven!$A$2:$F$200,2,0),"")="Beide","Beide-klant: controleer prijstype","OK")))))))))</f>
        <v/>
      </c>
    </row>
    <row r="485" ht="15" customHeight="1" s="42">
      <c r="A485" s="56">
        <f>IF(B485="","",WEEKNUM(B485,21))</f>
        <v/>
      </c>
      <c r="B485" s="55" t="n"/>
      <c r="C485" s="57" t="n"/>
      <c r="D485" s="57" t="n"/>
      <c r="E485" s="57" t="n"/>
      <c r="F485" s="57" t="n"/>
      <c r="G485" s="67" t="n"/>
      <c r="H485" s="68" t="n"/>
      <c r="I485" s="61">
        <f>IF(C485="","",IF(H485&lt;&gt;"",INT(H485)+ROUND(MOD(H485,1)*100/60,2),SUMIFS(Registraties!$L$5:$L$3004,Registraties!$D$5:$D$3004,C485,Registraties!$A$5:$A$3004,B485)))</f>
        <v/>
      </c>
      <c r="J485" s="58">
        <f>IF(C485="","",IFERROR(IF(VLOOKUP(C485,Tarieven!$A$2:$F$200,2,0)="Beide","Per uur",VLOOKUP(C485,Tarieven!$A$2:$F$200,2,0)),"Nog bepalen"))</f>
        <v/>
      </c>
      <c r="K485" s="69">
        <f>IF(C485="","",IF(J485="Per uur",IFERROR(VLOOKUP(C485,Tarieven!$A$2:$F$200,3,0),""),IF(J485="Vaste prijs",IFERROR(VLOOKUP(C485,Tarieven!$A$2:$F$200,4,0),""),"")))</f>
        <v/>
      </c>
      <c r="L485" s="70">
        <f>IF(C485="","",IF(J485="Per uur",N(I485)*N(K485),IF(J485="Vaste prijs",N(K485),0)))</f>
        <v/>
      </c>
      <c r="M485" s="69">
        <f>IF(C485="","",IFERROR(IF(N(VLOOKUP(C485,Tarieven!$A$2:$F$200,5,0))=0,"",VLOOKUP(C485,Tarieven!$A$2:$F$200,5,0)),""))</f>
        <v/>
      </c>
      <c r="N485" s="69" t="n"/>
      <c r="O485" s="69" t="n"/>
      <c r="P485" s="70">
        <f>IF(C485="","",N(L485)+N(M485)+N(N485)+N(O485))</f>
        <v/>
      </c>
      <c r="Q485" s="58" t="n"/>
      <c r="R485" s="57" t="n"/>
      <c r="S485" s="57" t="n"/>
      <c r="T485" s="57" t="n"/>
      <c r="U485" s="62">
        <f>IF(C485="","",IF(COUNTIF(Tarieven!$A$2:$A$200,C485)=0,"Klant niet in Tarieven",IF(MOD(N(H485),1)*100&gt;59.4,"Tijd ongeldig: minuten boven 59",IF(J485="Nog bepalen","Prijstype nog bepalen",IF(AND(J485="Per uur",N(K485)=0),"Uurtarief ontbreekt",IF(AND(J485="Vaste prijs",N(K485)=0),"Vaste prijs ontbreekt",IF(AND(N(I485)=0,Q485&lt;&gt;"Niet doorgegaan / verplaatst",Q485&lt;&gt;"Geen factuur nodig"),"Geen uren",IF(AND(G485="NEE",Q485="Verstuurd"),"Verstuurd terwijl werk niet af",IF(IFERROR(VLOOKUP(C485,Tarieven!$A$2:$F$200,2,0),"")="Beide","Beide-klant: controleer prijstype","OK")))))))))</f>
        <v/>
      </c>
    </row>
    <row r="486" ht="15" customHeight="1" s="42">
      <c r="A486" s="56">
        <f>IF(B486="","",WEEKNUM(B486,21))</f>
        <v/>
      </c>
      <c r="B486" s="55" t="n"/>
      <c r="C486" s="57" t="n"/>
      <c r="D486" s="57" t="n"/>
      <c r="E486" s="57" t="n"/>
      <c r="F486" s="57" t="n"/>
      <c r="G486" s="67" t="n"/>
      <c r="H486" s="68" t="n"/>
      <c r="I486" s="61">
        <f>IF(C486="","",IF(H486&lt;&gt;"",INT(H486)+ROUND(MOD(H486,1)*100/60,2),SUMIFS(Registraties!$L$5:$L$3004,Registraties!$D$5:$D$3004,C486,Registraties!$A$5:$A$3004,B486)))</f>
        <v/>
      </c>
      <c r="J486" s="58">
        <f>IF(C486="","",IFERROR(IF(VLOOKUP(C486,Tarieven!$A$2:$F$200,2,0)="Beide","Per uur",VLOOKUP(C486,Tarieven!$A$2:$F$200,2,0)),"Nog bepalen"))</f>
        <v/>
      </c>
      <c r="K486" s="69">
        <f>IF(C486="","",IF(J486="Per uur",IFERROR(VLOOKUP(C486,Tarieven!$A$2:$F$200,3,0),""),IF(J486="Vaste prijs",IFERROR(VLOOKUP(C486,Tarieven!$A$2:$F$200,4,0),""),"")))</f>
        <v/>
      </c>
      <c r="L486" s="70">
        <f>IF(C486="","",IF(J486="Per uur",N(I486)*N(K486),IF(J486="Vaste prijs",N(K486),0)))</f>
        <v/>
      </c>
      <c r="M486" s="69">
        <f>IF(C486="","",IFERROR(IF(N(VLOOKUP(C486,Tarieven!$A$2:$F$200,5,0))=0,"",VLOOKUP(C486,Tarieven!$A$2:$F$200,5,0)),""))</f>
        <v/>
      </c>
      <c r="N486" s="69" t="n"/>
      <c r="O486" s="69" t="n"/>
      <c r="P486" s="70">
        <f>IF(C486="","",N(L486)+N(M486)+N(N486)+N(O486))</f>
        <v/>
      </c>
      <c r="Q486" s="58" t="n"/>
      <c r="R486" s="57" t="n"/>
      <c r="S486" s="57" t="n"/>
      <c r="T486" s="57" t="n"/>
      <c r="U486" s="62">
        <f>IF(C486="","",IF(COUNTIF(Tarieven!$A$2:$A$200,C486)=0,"Klant niet in Tarieven",IF(MOD(N(H486),1)*100&gt;59.4,"Tijd ongeldig: minuten boven 59",IF(J486="Nog bepalen","Prijstype nog bepalen",IF(AND(J486="Per uur",N(K486)=0),"Uurtarief ontbreekt",IF(AND(J486="Vaste prijs",N(K486)=0),"Vaste prijs ontbreekt",IF(AND(N(I486)=0,Q486&lt;&gt;"Niet doorgegaan / verplaatst",Q486&lt;&gt;"Geen factuur nodig"),"Geen uren",IF(AND(G486="NEE",Q486="Verstuurd"),"Verstuurd terwijl werk niet af",IF(IFERROR(VLOOKUP(C486,Tarieven!$A$2:$F$200,2,0),"")="Beide","Beide-klant: controleer prijstype","OK")))))))))</f>
        <v/>
      </c>
    </row>
    <row r="487" ht="15" customHeight="1" s="42">
      <c r="A487" s="56">
        <f>IF(B487="","",WEEKNUM(B487,21))</f>
        <v/>
      </c>
      <c r="B487" s="55" t="n"/>
      <c r="C487" s="57" t="n"/>
      <c r="D487" s="57" t="n"/>
      <c r="E487" s="57" t="n"/>
      <c r="F487" s="57" t="n"/>
      <c r="G487" s="67" t="n"/>
      <c r="H487" s="68" t="n"/>
      <c r="I487" s="61">
        <f>IF(C487="","",IF(H487&lt;&gt;"",INT(H487)+ROUND(MOD(H487,1)*100/60,2),SUMIFS(Registraties!$L$5:$L$3004,Registraties!$D$5:$D$3004,C487,Registraties!$A$5:$A$3004,B487)))</f>
        <v/>
      </c>
      <c r="J487" s="58">
        <f>IF(C487="","",IFERROR(IF(VLOOKUP(C487,Tarieven!$A$2:$F$200,2,0)="Beide","Per uur",VLOOKUP(C487,Tarieven!$A$2:$F$200,2,0)),"Nog bepalen"))</f>
        <v/>
      </c>
      <c r="K487" s="69">
        <f>IF(C487="","",IF(J487="Per uur",IFERROR(VLOOKUP(C487,Tarieven!$A$2:$F$200,3,0),""),IF(J487="Vaste prijs",IFERROR(VLOOKUP(C487,Tarieven!$A$2:$F$200,4,0),""),"")))</f>
        <v/>
      </c>
      <c r="L487" s="70">
        <f>IF(C487="","",IF(J487="Per uur",N(I487)*N(K487),IF(J487="Vaste prijs",N(K487),0)))</f>
        <v/>
      </c>
      <c r="M487" s="69">
        <f>IF(C487="","",IFERROR(IF(N(VLOOKUP(C487,Tarieven!$A$2:$F$200,5,0))=0,"",VLOOKUP(C487,Tarieven!$A$2:$F$200,5,0)),""))</f>
        <v/>
      </c>
      <c r="N487" s="69" t="n"/>
      <c r="O487" s="69" t="n"/>
      <c r="P487" s="70">
        <f>IF(C487="","",N(L487)+N(M487)+N(N487)+N(O487))</f>
        <v/>
      </c>
      <c r="Q487" s="58" t="n"/>
      <c r="R487" s="57" t="n"/>
      <c r="S487" s="57" t="n"/>
      <c r="T487" s="57" t="n"/>
      <c r="U487" s="62">
        <f>IF(C487="","",IF(COUNTIF(Tarieven!$A$2:$A$200,C487)=0,"Klant niet in Tarieven",IF(MOD(N(H487),1)*100&gt;59.4,"Tijd ongeldig: minuten boven 59",IF(J487="Nog bepalen","Prijstype nog bepalen",IF(AND(J487="Per uur",N(K487)=0),"Uurtarief ontbreekt",IF(AND(J487="Vaste prijs",N(K487)=0),"Vaste prijs ontbreekt",IF(AND(N(I487)=0,Q487&lt;&gt;"Niet doorgegaan / verplaatst",Q487&lt;&gt;"Geen factuur nodig"),"Geen uren",IF(AND(G487="NEE",Q487="Verstuurd"),"Verstuurd terwijl werk niet af",IF(IFERROR(VLOOKUP(C487,Tarieven!$A$2:$F$200,2,0),"")="Beide","Beide-klant: controleer prijstype","OK")))))))))</f>
        <v/>
      </c>
    </row>
    <row r="488" ht="15" customHeight="1" s="42">
      <c r="A488" s="56">
        <f>IF(B488="","",WEEKNUM(B488,21))</f>
        <v/>
      </c>
      <c r="B488" s="55" t="n"/>
      <c r="C488" s="57" t="n"/>
      <c r="D488" s="57" t="n"/>
      <c r="E488" s="57" t="n"/>
      <c r="F488" s="57" t="n"/>
      <c r="G488" s="67" t="n"/>
      <c r="H488" s="68" t="n"/>
      <c r="I488" s="61">
        <f>IF(C488="","",IF(H488&lt;&gt;"",INT(H488)+ROUND(MOD(H488,1)*100/60,2),SUMIFS(Registraties!$L$5:$L$3004,Registraties!$D$5:$D$3004,C488,Registraties!$A$5:$A$3004,B488)))</f>
        <v/>
      </c>
      <c r="J488" s="58">
        <f>IF(C488="","",IFERROR(IF(VLOOKUP(C488,Tarieven!$A$2:$F$200,2,0)="Beide","Per uur",VLOOKUP(C488,Tarieven!$A$2:$F$200,2,0)),"Nog bepalen"))</f>
        <v/>
      </c>
      <c r="K488" s="69">
        <f>IF(C488="","",IF(J488="Per uur",IFERROR(VLOOKUP(C488,Tarieven!$A$2:$F$200,3,0),""),IF(J488="Vaste prijs",IFERROR(VLOOKUP(C488,Tarieven!$A$2:$F$200,4,0),""),"")))</f>
        <v/>
      </c>
      <c r="L488" s="70">
        <f>IF(C488="","",IF(J488="Per uur",N(I488)*N(K488),IF(J488="Vaste prijs",N(K488),0)))</f>
        <v/>
      </c>
      <c r="M488" s="69">
        <f>IF(C488="","",IFERROR(IF(N(VLOOKUP(C488,Tarieven!$A$2:$F$200,5,0))=0,"",VLOOKUP(C488,Tarieven!$A$2:$F$200,5,0)),""))</f>
        <v/>
      </c>
      <c r="N488" s="69" t="n"/>
      <c r="O488" s="69" t="n"/>
      <c r="P488" s="70">
        <f>IF(C488="","",N(L488)+N(M488)+N(N488)+N(O488))</f>
        <v/>
      </c>
      <c r="Q488" s="58" t="n"/>
      <c r="R488" s="57" t="n"/>
      <c r="S488" s="57" t="n"/>
      <c r="T488" s="57" t="n"/>
      <c r="U488" s="62">
        <f>IF(C488="","",IF(COUNTIF(Tarieven!$A$2:$A$200,C488)=0,"Klant niet in Tarieven",IF(MOD(N(H488),1)*100&gt;59.4,"Tijd ongeldig: minuten boven 59",IF(J488="Nog bepalen","Prijstype nog bepalen",IF(AND(J488="Per uur",N(K488)=0),"Uurtarief ontbreekt",IF(AND(J488="Vaste prijs",N(K488)=0),"Vaste prijs ontbreekt",IF(AND(N(I488)=0,Q488&lt;&gt;"Niet doorgegaan / verplaatst",Q488&lt;&gt;"Geen factuur nodig"),"Geen uren",IF(AND(G488="NEE",Q488="Verstuurd"),"Verstuurd terwijl werk niet af",IF(IFERROR(VLOOKUP(C488,Tarieven!$A$2:$F$200,2,0),"")="Beide","Beide-klant: controleer prijstype","OK")))))))))</f>
        <v/>
      </c>
    </row>
    <row r="489" ht="15" customHeight="1" s="42">
      <c r="A489" s="56">
        <f>IF(B489="","",WEEKNUM(B489,21))</f>
        <v/>
      </c>
      <c r="B489" s="55" t="n"/>
      <c r="C489" s="57" t="n"/>
      <c r="D489" s="57" t="n"/>
      <c r="E489" s="57" t="n"/>
      <c r="F489" s="57" t="n"/>
      <c r="G489" s="67" t="n"/>
      <c r="H489" s="68" t="n"/>
      <c r="I489" s="61">
        <f>IF(C489="","",IF(H489&lt;&gt;"",INT(H489)+ROUND(MOD(H489,1)*100/60,2),SUMIFS(Registraties!$L$5:$L$3004,Registraties!$D$5:$D$3004,C489,Registraties!$A$5:$A$3004,B489)))</f>
        <v/>
      </c>
      <c r="J489" s="58">
        <f>IF(C489="","",IFERROR(IF(VLOOKUP(C489,Tarieven!$A$2:$F$200,2,0)="Beide","Per uur",VLOOKUP(C489,Tarieven!$A$2:$F$200,2,0)),"Nog bepalen"))</f>
        <v/>
      </c>
      <c r="K489" s="69">
        <f>IF(C489="","",IF(J489="Per uur",IFERROR(VLOOKUP(C489,Tarieven!$A$2:$F$200,3,0),""),IF(J489="Vaste prijs",IFERROR(VLOOKUP(C489,Tarieven!$A$2:$F$200,4,0),""),"")))</f>
        <v/>
      </c>
      <c r="L489" s="70">
        <f>IF(C489="","",IF(J489="Per uur",N(I489)*N(K489),IF(J489="Vaste prijs",N(K489),0)))</f>
        <v/>
      </c>
      <c r="M489" s="69">
        <f>IF(C489="","",IFERROR(IF(N(VLOOKUP(C489,Tarieven!$A$2:$F$200,5,0))=0,"",VLOOKUP(C489,Tarieven!$A$2:$F$200,5,0)),""))</f>
        <v/>
      </c>
      <c r="N489" s="69" t="n"/>
      <c r="O489" s="69" t="n"/>
      <c r="P489" s="70">
        <f>IF(C489="","",N(L489)+N(M489)+N(N489)+N(O489))</f>
        <v/>
      </c>
      <c r="Q489" s="58" t="n"/>
      <c r="R489" s="57" t="n"/>
      <c r="S489" s="57" t="n"/>
      <c r="T489" s="57" t="n"/>
      <c r="U489" s="62">
        <f>IF(C489="","",IF(COUNTIF(Tarieven!$A$2:$A$200,C489)=0,"Klant niet in Tarieven",IF(MOD(N(H489),1)*100&gt;59.4,"Tijd ongeldig: minuten boven 59",IF(J489="Nog bepalen","Prijstype nog bepalen",IF(AND(J489="Per uur",N(K489)=0),"Uurtarief ontbreekt",IF(AND(J489="Vaste prijs",N(K489)=0),"Vaste prijs ontbreekt",IF(AND(N(I489)=0,Q489&lt;&gt;"Niet doorgegaan / verplaatst",Q489&lt;&gt;"Geen factuur nodig"),"Geen uren",IF(AND(G489="NEE",Q489="Verstuurd"),"Verstuurd terwijl werk niet af",IF(IFERROR(VLOOKUP(C489,Tarieven!$A$2:$F$200,2,0),"")="Beide","Beide-klant: controleer prijstype","OK")))))))))</f>
        <v/>
      </c>
    </row>
    <row r="490" ht="15" customHeight="1" s="42">
      <c r="A490" s="56">
        <f>IF(B490="","",WEEKNUM(B490,21))</f>
        <v/>
      </c>
      <c r="B490" s="55" t="n"/>
      <c r="C490" s="57" t="n"/>
      <c r="D490" s="57" t="n"/>
      <c r="E490" s="57" t="n"/>
      <c r="F490" s="57" t="n"/>
      <c r="G490" s="67" t="n"/>
      <c r="H490" s="68" t="n"/>
      <c r="I490" s="61">
        <f>IF(C490="","",IF(H490&lt;&gt;"",INT(H490)+ROUND(MOD(H490,1)*100/60,2),SUMIFS(Registraties!$L$5:$L$3004,Registraties!$D$5:$D$3004,C490,Registraties!$A$5:$A$3004,B490)))</f>
        <v/>
      </c>
      <c r="J490" s="58">
        <f>IF(C490="","",IFERROR(IF(VLOOKUP(C490,Tarieven!$A$2:$F$200,2,0)="Beide","Per uur",VLOOKUP(C490,Tarieven!$A$2:$F$200,2,0)),"Nog bepalen"))</f>
        <v/>
      </c>
      <c r="K490" s="69">
        <f>IF(C490="","",IF(J490="Per uur",IFERROR(VLOOKUP(C490,Tarieven!$A$2:$F$200,3,0),""),IF(J490="Vaste prijs",IFERROR(VLOOKUP(C490,Tarieven!$A$2:$F$200,4,0),""),"")))</f>
        <v/>
      </c>
      <c r="L490" s="70">
        <f>IF(C490="","",IF(J490="Per uur",N(I490)*N(K490),IF(J490="Vaste prijs",N(K490),0)))</f>
        <v/>
      </c>
      <c r="M490" s="69">
        <f>IF(C490="","",IFERROR(IF(N(VLOOKUP(C490,Tarieven!$A$2:$F$200,5,0))=0,"",VLOOKUP(C490,Tarieven!$A$2:$F$200,5,0)),""))</f>
        <v/>
      </c>
      <c r="N490" s="69" t="n"/>
      <c r="O490" s="69" t="n"/>
      <c r="P490" s="70">
        <f>IF(C490="","",N(L490)+N(M490)+N(N490)+N(O490))</f>
        <v/>
      </c>
      <c r="Q490" s="58" t="n"/>
      <c r="R490" s="57" t="n"/>
      <c r="S490" s="57" t="n"/>
      <c r="T490" s="57" t="n"/>
      <c r="U490" s="62">
        <f>IF(C490="","",IF(COUNTIF(Tarieven!$A$2:$A$200,C490)=0,"Klant niet in Tarieven",IF(MOD(N(H490),1)*100&gt;59.4,"Tijd ongeldig: minuten boven 59",IF(J490="Nog bepalen","Prijstype nog bepalen",IF(AND(J490="Per uur",N(K490)=0),"Uurtarief ontbreekt",IF(AND(J490="Vaste prijs",N(K490)=0),"Vaste prijs ontbreekt",IF(AND(N(I490)=0,Q490&lt;&gt;"Niet doorgegaan / verplaatst",Q490&lt;&gt;"Geen factuur nodig"),"Geen uren",IF(AND(G490="NEE",Q490="Verstuurd"),"Verstuurd terwijl werk niet af",IF(IFERROR(VLOOKUP(C490,Tarieven!$A$2:$F$200,2,0),"")="Beide","Beide-klant: controleer prijstype","OK")))))))))</f>
        <v/>
      </c>
    </row>
    <row r="491" ht="15" customHeight="1" s="42">
      <c r="A491" s="56">
        <f>IF(B491="","",WEEKNUM(B491,21))</f>
        <v/>
      </c>
      <c r="B491" s="55" t="n"/>
      <c r="C491" s="57" t="n"/>
      <c r="D491" s="57" t="n"/>
      <c r="E491" s="57" t="n"/>
      <c r="F491" s="57" t="n"/>
      <c r="G491" s="67" t="n"/>
      <c r="H491" s="68" t="n"/>
      <c r="I491" s="61">
        <f>IF(C491="","",IF(H491&lt;&gt;"",INT(H491)+ROUND(MOD(H491,1)*100/60,2),SUMIFS(Registraties!$L$5:$L$3004,Registraties!$D$5:$D$3004,C491,Registraties!$A$5:$A$3004,B491)))</f>
        <v/>
      </c>
      <c r="J491" s="58">
        <f>IF(C491="","",IFERROR(IF(VLOOKUP(C491,Tarieven!$A$2:$F$200,2,0)="Beide","Per uur",VLOOKUP(C491,Tarieven!$A$2:$F$200,2,0)),"Nog bepalen"))</f>
        <v/>
      </c>
      <c r="K491" s="69">
        <f>IF(C491="","",IF(J491="Per uur",IFERROR(VLOOKUP(C491,Tarieven!$A$2:$F$200,3,0),""),IF(J491="Vaste prijs",IFERROR(VLOOKUP(C491,Tarieven!$A$2:$F$200,4,0),""),"")))</f>
        <v/>
      </c>
      <c r="L491" s="70">
        <f>IF(C491="","",IF(J491="Per uur",N(I491)*N(K491),IF(J491="Vaste prijs",N(K491),0)))</f>
        <v/>
      </c>
      <c r="M491" s="69">
        <f>IF(C491="","",IFERROR(IF(N(VLOOKUP(C491,Tarieven!$A$2:$F$200,5,0))=0,"",VLOOKUP(C491,Tarieven!$A$2:$F$200,5,0)),""))</f>
        <v/>
      </c>
      <c r="N491" s="69" t="n"/>
      <c r="O491" s="69" t="n"/>
      <c r="P491" s="70">
        <f>IF(C491="","",N(L491)+N(M491)+N(N491)+N(O491))</f>
        <v/>
      </c>
      <c r="Q491" s="58" t="n"/>
      <c r="R491" s="57" t="n"/>
      <c r="S491" s="57" t="n"/>
      <c r="T491" s="57" t="n"/>
      <c r="U491" s="62">
        <f>IF(C491="","",IF(COUNTIF(Tarieven!$A$2:$A$200,C491)=0,"Klant niet in Tarieven",IF(MOD(N(H491),1)*100&gt;59.4,"Tijd ongeldig: minuten boven 59",IF(J491="Nog bepalen","Prijstype nog bepalen",IF(AND(J491="Per uur",N(K491)=0),"Uurtarief ontbreekt",IF(AND(J491="Vaste prijs",N(K491)=0),"Vaste prijs ontbreekt",IF(AND(N(I491)=0,Q491&lt;&gt;"Niet doorgegaan / verplaatst",Q491&lt;&gt;"Geen factuur nodig"),"Geen uren",IF(AND(G491="NEE",Q491="Verstuurd"),"Verstuurd terwijl werk niet af",IF(IFERROR(VLOOKUP(C491,Tarieven!$A$2:$F$200,2,0),"")="Beide","Beide-klant: controleer prijstype","OK")))))))))</f>
        <v/>
      </c>
    </row>
    <row r="492" ht="15" customHeight="1" s="42">
      <c r="A492" s="56">
        <f>IF(B492="","",WEEKNUM(B492,21))</f>
        <v/>
      </c>
      <c r="B492" s="55" t="n"/>
      <c r="C492" s="57" t="n"/>
      <c r="D492" s="57" t="n"/>
      <c r="E492" s="57" t="n"/>
      <c r="F492" s="57" t="n"/>
      <c r="G492" s="67" t="n"/>
      <c r="H492" s="68" t="n"/>
      <c r="I492" s="61">
        <f>IF(C492="","",IF(H492&lt;&gt;"",INT(H492)+ROUND(MOD(H492,1)*100/60,2),SUMIFS(Registraties!$L$5:$L$3004,Registraties!$D$5:$D$3004,C492,Registraties!$A$5:$A$3004,B492)))</f>
        <v/>
      </c>
      <c r="J492" s="58">
        <f>IF(C492="","",IFERROR(IF(VLOOKUP(C492,Tarieven!$A$2:$F$200,2,0)="Beide","Per uur",VLOOKUP(C492,Tarieven!$A$2:$F$200,2,0)),"Nog bepalen"))</f>
        <v/>
      </c>
      <c r="K492" s="69">
        <f>IF(C492="","",IF(J492="Per uur",IFERROR(VLOOKUP(C492,Tarieven!$A$2:$F$200,3,0),""),IF(J492="Vaste prijs",IFERROR(VLOOKUP(C492,Tarieven!$A$2:$F$200,4,0),""),"")))</f>
        <v/>
      </c>
      <c r="L492" s="70">
        <f>IF(C492="","",IF(J492="Per uur",N(I492)*N(K492),IF(J492="Vaste prijs",N(K492),0)))</f>
        <v/>
      </c>
      <c r="M492" s="69">
        <f>IF(C492="","",IFERROR(IF(N(VLOOKUP(C492,Tarieven!$A$2:$F$200,5,0))=0,"",VLOOKUP(C492,Tarieven!$A$2:$F$200,5,0)),""))</f>
        <v/>
      </c>
      <c r="N492" s="69" t="n"/>
      <c r="O492" s="69" t="n"/>
      <c r="P492" s="70">
        <f>IF(C492="","",N(L492)+N(M492)+N(N492)+N(O492))</f>
        <v/>
      </c>
      <c r="Q492" s="58" t="n"/>
      <c r="R492" s="57" t="n"/>
      <c r="S492" s="57" t="n"/>
      <c r="T492" s="57" t="n"/>
      <c r="U492" s="62">
        <f>IF(C492="","",IF(COUNTIF(Tarieven!$A$2:$A$200,C492)=0,"Klant niet in Tarieven",IF(MOD(N(H492),1)*100&gt;59.4,"Tijd ongeldig: minuten boven 59",IF(J492="Nog bepalen","Prijstype nog bepalen",IF(AND(J492="Per uur",N(K492)=0),"Uurtarief ontbreekt",IF(AND(J492="Vaste prijs",N(K492)=0),"Vaste prijs ontbreekt",IF(AND(N(I492)=0,Q492&lt;&gt;"Niet doorgegaan / verplaatst",Q492&lt;&gt;"Geen factuur nodig"),"Geen uren",IF(AND(G492="NEE",Q492="Verstuurd"),"Verstuurd terwijl werk niet af",IF(IFERROR(VLOOKUP(C492,Tarieven!$A$2:$F$200,2,0),"")="Beide","Beide-klant: controleer prijstype","OK")))))))))</f>
        <v/>
      </c>
    </row>
    <row r="493" ht="15" customHeight="1" s="42">
      <c r="A493" s="56">
        <f>IF(B493="","",WEEKNUM(B493,21))</f>
        <v/>
      </c>
      <c r="B493" s="55" t="n"/>
      <c r="C493" s="57" t="n"/>
      <c r="D493" s="57" t="n"/>
      <c r="E493" s="57" t="n"/>
      <c r="F493" s="57" t="n"/>
      <c r="G493" s="67" t="n"/>
      <c r="H493" s="68" t="n"/>
      <c r="I493" s="61">
        <f>IF(C493="","",IF(H493&lt;&gt;"",INT(H493)+ROUND(MOD(H493,1)*100/60,2),SUMIFS(Registraties!$L$5:$L$3004,Registraties!$D$5:$D$3004,C493,Registraties!$A$5:$A$3004,B493)))</f>
        <v/>
      </c>
      <c r="J493" s="58">
        <f>IF(C493="","",IFERROR(IF(VLOOKUP(C493,Tarieven!$A$2:$F$200,2,0)="Beide","Per uur",VLOOKUP(C493,Tarieven!$A$2:$F$200,2,0)),"Nog bepalen"))</f>
        <v/>
      </c>
      <c r="K493" s="69">
        <f>IF(C493="","",IF(J493="Per uur",IFERROR(VLOOKUP(C493,Tarieven!$A$2:$F$200,3,0),""),IF(J493="Vaste prijs",IFERROR(VLOOKUP(C493,Tarieven!$A$2:$F$200,4,0),""),"")))</f>
        <v/>
      </c>
      <c r="L493" s="70">
        <f>IF(C493="","",IF(J493="Per uur",N(I493)*N(K493),IF(J493="Vaste prijs",N(K493),0)))</f>
        <v/>
      </c>
      <c r="M493" s="69">
        <f>IF(C493="","",IFERROR(IF(N(VLOOKUP(C493,Tarieven!$A$2:$F$200,5,0))=0,"",VLOOKUP(C493,Tarieven!$A$2:$F$200,5,0)),""))</f>
        <v/>
      </c>
      <c r="N493" s="69" t="n"/>
      <c r="O493" s="69" t="n"/>
      <c r="P493" s="70">
        <f>IF(C493="","",N(L493)+N(M493)+N(N493)+N(O493))</f>
        <v/>
      </c>
      <c r="Q493" s="58" t="n"/>
      <c r="R493" s="57" t="n"/>
      <c r="S493" s="57" t="n"/>
      <c r="T493" s="57" t="n"/>
      <c r="U493" s="62">
        <f>IF(C493="","",IF(COUNTIF(Tarieven!$A$2:$A$200,C493)=0,"Klant niet in Tarieven",IF(MOD(N(H493),1)*100&gt;59.4,"Tijd ongeldig: minuten boven 59",IF(J493="Nog bepalen","Prijstype nog bepalen",IF(AND(J493="Per uur",N(K493)=0),"Uurtarief ontbreekt",IF(AND(J493="Vaste prijs",N(K493)=0),"Vaste prijs ontbreekt",IF(AND(N(I493)=0,Q493&lt;&gt;"Niet doorgegaan / verplaatst",Q493&lt;&gt;"Geen factuur nodig"),"Geen uren",IF(AND(G493="NEE",Q493="Verstuurd"),"Verstuurd terwijl werk niet af",IF(IFERROR(VLOOKUP(C493,Tarieven!$A$2:$F$200,2,0),"")="Beide","Beide-klant: controleer prijstype","OK")))))))))</f>
        <v/>
      </c>
    </row>
    <row r="494" ht="15" customHeight="1" s="42">
      <c r="A494" s="56">
        <f>IF(B494="","",WEEKNUM(B494,21))</f>
        <v/>
      </c>
      <c r="B494" s="55" t="n"/>
      <c r="C494" s="57" t="n"/>
      <c r="D494" s="57" t="n"/>
      <c r="E494" s="57" t="n"/>
      <c r="F494" s="57" t="n"/>
      <c r="G494" s="67" t="n"/>
      <c r="H494" s="68" t="n"/>
      <c r="I494" s="61">
        <f>IF(C494="","",IF(H494&lt;&gt;"",INT(H494)+ROUND(MOD(H494,1)*100/60,2),SUMIFS(Registraties!$L$5:$L$3004,Registraties!$D$5:$D$3004,C494,Registraties!$A$5:$A$3004,B494)))</f>
        <v/>
      </c>
      <c r="J494" s="58">
        <f>IF(C494="","",IFERROR(IF(VLOOKUP(C494,Tarieven!$A$2:$F$200,2,0)="Beide","Per uur",VLOOKUP(C494,Tarieven!$A$2:$F$200,2,0)),"Nog bepalen"))</f>
        <v/>
      </c>
      <c r="K494" s="69">
        <f>IF(C494="","",IF(J494="Per uur",IFERROR(VLOOKUP(C494,Tarieven!$A$2:$F$200,3,0),""),IF(J494="Vaste prijs",IFERROR(VLOOKUP(C494,Tarieven!$A$2:$F$200,4,0),""),"")))</f>
        <v/>
      </c>
      <c r="L494" s="70">
        <f>IF(C494="","",IF(J494="Per uur",N(I494)*N(K494),IF(J494="Vaste prijs",N(K494),0)))</f>
        <v/>
      </c>
      <c r="M494" s="69">
        <f>IF(C494="","",IFERROR(IF(N(VLOOKUP(C494,Tarieven!$A$2:$F$200,5,0))=0,"",VLOOKUP(C494,Tarieven!$A$2:$F$200,5,0)),""))</f>
        <v/>
      </c>
      <c r="N494" s="69" t="n"/>
      <c r="O494" s="69" t="n"/>
      <c r="P494" s="70">
        <f>IF(C494="","",N(L494)+N(M494)+N(N494)+N(O494))</f>
        <v/>
      </c>
      <c r="Q494" s="58" t="n"/>
      <c r="R494" s="57" t="n"/>
      <c r="S494" s="57" t="n"/>
      <c r="T494" s="57" t="n"/>
      <c r="U494" s="62">
        <f>IF(C494="","",IF(COUNTIF(Tarieven!$A$2:$A$200,C494)=0,"Klant niet in Tarieven",IF(MOD(N(H494),1)*100&gt;59.4,"Tijd ongeldig: minuten boven 59",IF(J494="Nog bepalen","Prijstype nog bepalen",IF(AND(J494="Per uur",N(K494)=0),"Uurtarief ontbreekt",IF(AND(J494="Vaste prijs",N(K494)=0),"Vaste prijs ontbreekt",IF(AND(N(I494)=0,Q494&lt;&gt;"Niet doorgegaan / verplaatst",Q494&lt;&gt;"Geen factuur nodig"),"Geen uren",IF(AND(G494="NEE",Q494="Verstuurd"),"Verstuurd terwijl werk niet af",IF(IFERROR(VLOOKUP(C494,Tarieven!$A$2:$F$200,2,0),"")="Beide","Beide-klant: controleer prijstype","OK")))))))))</f>
        <v/>
      </c>
    </row>
    <row r="495" ht="15" customHeight="1" s="42">
      <c r="A495" s="56">
        <f>IF(B495="","",WEEKNUM(B495,21))</f>
        <v/>
      </c>
      <c r="B495" s="55" t="n"/>
      <c r="C495" s="57" t="n"/>
      <c r="D495" s="57" t="n"/>
      <c r="E495" s="57" t="n"/>
      <c r="F495" s="57" t="n"/>
      <c r="G495" s="67" t="n"/>
      <c r="H495" s="68" t="n"/>
      <c r="I495" s="61">
        <f>IF(C495="","",IF(H495&lt;&gt;"",INT(H495)+ROUND(MOD(H495,1)*100/60,2),SUMIFS(Registraties!$L$5:$L$3004,Registraties!$D$5:$D$3004,C495,Registraties!$A$5:$A$3004,B495)))</f>
        <v/>
      </c>
      <c r="J495" s="58">
        <f>IF(C495="","",IFERROR(IF(VLOOKUP(C495,Tarieven!$A$2:$F$200,2,0)="Beide","Per uur",VLOOKUP(C495,Tarieven!$A$2:$F$200,2,0)),"Nog bepalen"))</f>
        <v/>
      </c>
      <c r="K495" s="69">
        <f>IF(C495="","",IF(J495="Per uur",IFERROR(VLOOKUP(C495,Tarieven!$A$2:$F$200,3,0),""),IF(J495="Vaste prijs",IFERROR(VLOOKUP(C495,Tarieven!$A$2:$F$200,4,0),""),"")))</f>
        <v/>
      </c>
      <c r="L495" s="70">
        <f>IF(C495="","",IF(J495="Per uur",N(I495)*N(K495),IF(J495="Vaste prijs",N(K495),0)))</f>
        <v/>
      </c>
      <c r="M495" s="69">
        <f>IF(C495="","",IFERROR(IF(N(VLOOKUP(C495,Tarieven!$A$2:$F$200,5,0))=0,"",VLOOKUP(C495,Tarieven!$A$2:$F$200,5,0)),""))</f>
        <v/>
      </c>
      <c r="N495" s="69" t="n"/>
      <c r="O495" s="69" t="n"/>
      <c r="P495" s="70">
        <f>IF(C495="","",N(L495)+N(M495)+N(N495)+N(O495))</f>
        <v/>
      </c>
      <c r="Q495" s="58" t="n"/>
      <c r="R495" s="57" t="n"/>
      <c r="S495" s="57" t="n"/>
      <c r="T495" s="57" t="n"/>
      <c r="U495" s="62">
        <f>IF(C495="","",IF(COUNTIF(Tarieven!$A$2:$A$200,C495)=0,"Klant niet in Tarieven",IF(MOD(N(H495),1)*100&gt;59.4,"Tijd ongeldig: minuten boven 59",IF(J495="Nog bepalen","Prijstype nog bepalen",IF(AND(J495="Per uur",N(K495)=0),"Uurtarief ontbreekt",IF(AND(J495="Vaste prijs",N(K495)=0),"Vaste prijs ontbreekt",IF(AND(N(I495)=0,Q495&lt;&gt;"Niet doorgegaan / verplaatst",Q495&lt;&gt;"Geen factuur nodig"),"Geen uren",IF(AND(G495="NEE",Q495="Verstuurd"),"Verstuurd terwijl werk niet af",IF(IFERROR(VLOOKUP(C495,Tarieven!$A$2:$F$200,2,0),"")="Beide","Beide-klant: controleer prijstype","OK")))))))))</f>
        <v/>
      </c>
    </row>
    <row r="496" ht="15" customHeight="1" s="42">
      <c r="A496" s="56">
        <f>IF(B496="","",WEEKNUM(B496,21))</f>
        <v/>
      </c>
      <c r="B496" s="55" t="n"/>
      <c r="C496" s="57" t="n"/>
      <c r="D496" s="57" t="n"/>
      <c r="E496" s="57" t="n"/>
      <c r="F496" s="57" t="n"/>
      <c r="G496" s="67" t="n"/>
      <c r="H496" s="68" t="n"/>
      <c r="I496" s="61">
        <f>IF(C496="","",IF(H496&lt;&gt;"",INT(H496)+ROUND(MOD(H496,1)*100/60,2),SUMIFS(Registraties!$L$5:$L$3004,Registraties!$D$5:$D$3004,C496,Registraties!$A$5:$A$3004,B496)))</f>
        <v/>
      </c>
      <c r="J496" s="58">
        <f>IF(C496="","",IFERROR(IF(VLOOKUP(C496,Tarieven!$A$2:$F$200,2,0)="Beide","Per uur",VLOOKUP(C496,Tarieven!$A$2:$F$200,2,0)),"Nog bepalen"))</f>
        <v/>
      </c>
      <c r="K496" s="69">
        <f>IF(C496="","",IF(J496="Per uur",IFERROR(VLOOKUP(C496,Tarieven!$A$2:$F$200,3,0),""),IF(J496="Vaste prijs",IFERROR(VLOOKUP(C496,Tarieven!$A$2:$F$200,4,0),""),"")))</f>
        <v/>
      </c>
      <c r="L496" s="70">
        <f>IF(C496="","",IF(J496="Per uur",N(I496)*N(K496),IF(J496="Vaste prijs",N(K496),0)))</f>
        <v/>
      </c>
      <c r="M496" s="69">
        <f>IF(C496="","",IFERROR(IF(N(VLOOKUP(C496,Tarieven!$A$2:$F$200,5,0))=0,"",VLOOKUP(C496,Tarieven!$A$2:$F$200,5,0)),""))</f>
        <v/>
      </c>
      <c r="N496" s="69" t="n"/>
      <c r="O496" s="69" t="n"/>
      <c r="P496" s="70">
        <f>IF(C496="","",N(L496)+N(M496)+N(N496)+N(O496))</f>
        <v/>
      </c>
      <c r="Q496" s="58" t="n"/>
      <c r="R496" s="57" t="n"/>
      <c r="S496" s="57" t="n"/>
      <c r="T496" s="57" t="n"/>
      <c r="U496" s="62">
        <f>IF(C496="","",IF(COUNTIF(Tarieven!$A$2:$A$200,C496)=0,"Klant niet in Tarieven",IF(MOD(N(H496),1)*100&gt;59.4,"Tijd ongeldig: minuten boven 59",IF(J496="Nog bepalen","Prijstype nog bepalen",IF(AND(J496="Per uur",N(K496)=0),"Uurtarief ontbreekt",IF(AND(J496="Vaste prijs",N(K496)=0),"Vaste prijs ontbreekt",IF(AND(N(I496)=0,Q496&lt;&gt;"Niet doorgegaan / verplaatst",Q496&lt;&gt;"Geen factuur nodig"),"Geen uren",IF(AND(G496="NEE",Q496="Verstuurd"),"Verstuurd terwijl werk niet af",IF(IFERROR(VLOOKUP(C496,Tarieven!$A$2:$F$200,2,0),"")="Beide","Beide-klant: controleer prijstype","OK")))))))))</f>
        <v/>
      </c>
    </row>
    <row r="497" ht="15" customHeight="1" s="42">
      <c r="A497" s="56">
        <f>IF(B497="","",WEEKNUM(B497,21))</f>
        <v/>
      </c>
      <c r="B497" s="55" t="n"/>
      <c r="C497" s="57" t="n"/>
      <c r="D497" s="57" t="n"/>
      <c r="E497" s="57" t="n"/>
      <c r="F497" s="57" t="n"/>
      <c r="G497" s="67" t="n"/>
      <c r="H497" s="68" t="n"/>
      <c r="I497" s="61">
        <f>IF(C497="","",IF(H497&lt;&gt;"",INT(H497)+ROUND(MOD(H497,1)*100/60,2),SUMIFS(Registraties!$L$5:$L$3004,Registraties!$D$5:$D$3004,C497,Registraties!$A$5:$A$3004,B497)))</f>
        <v/>
      </c>
      <c r="J497" s="58">
        <f>IF(C497="","",IFERROR(IF(VLOOKUP(C497,Tarieven!$A$2:$F$200,2,0)="Beide","Per uur",VLOOKUP(C497,Tarieven!$A$2:$F$200,2,0)),"Nog bepalen"))</f>
        <v/>
      </c>
      <c r="K497" s="69">
        <f>IF(C497="","",IF(J497="Per uur",IFERROR(VLOOKUP(C497,Tarieven!$A$2:$F$200,3,0),""),IF(J497="Vaste prijs",IFERROR(VLOOKUP(C497,Tarieven!$A$2:$F$200,4,0),""),"")))</f>
        <v/>
      </c>
      <c r="L497" s="70">
        <f>IF(C497="","",IF(J497="Per uur",N(I497)*N(K497),IF(J497="Vaste prijs",N(K497),0)))</f>
        <v/>
      </c>
      <c r="M497" s="69">
        <f>IF(C497="","",IFERROR(IF(N(VLOOKUP(C497,Tarieven!$A$2:$F$200,5,0))=0,"",VLOOKUP(C497,Tarieven!$A$2:$F$200,5,0)),""))</f>
        <v/>
      </c>
      <c r="N497" s="69" t="n"/>
      <c r="O497" s="69" t="n"/>
      <c r="P497" s="70">
        <f>IF(C497="","",N(L497)+N(M497)+N(N497)+N(O497))</f>
        <v/>
      </c>
      <c r="Q497" s="58" t="n"/>
      <c r="R497" s="57" t="n"/>
      <c r="S497" s="57" t="n"/>
      <c r="T497" s="57" t="n"/>
      <c r="U497" s="62">
        <f>IF(C497="","",IF(COUNTIF(Tarieven!$A$2:$A$200,C497)=0,"Klant niet in Tarieven",IF(MOD(N(H497),1)*100&gt;59.4,"Tijd ongeldig: minuten boven 59",IF(J497="Nog bepalen","Prijstype nog bepalen",IF(AND(J497="Per uur",N(K497)=0),"Uurtarief ontbreekt",IF(AND(J497="Vaste prijs",N(K497)=0),"Vaste prijs ontbreekt",IF(AND(N(I497)=0,Q497&lt;&gt;"Niet doorgegaan / verplaatst",Q497&lt;&gt;"Geen factuur nodig"),"Geen uren",IF(AND(G497="NEE",Q497="Verstuurd"),"Verstuurd terwijl werk niet af",IF(IFERROR(VLOOKUP(C497,Tarieven!$A$2:$F$200,2,0),"")="Beide","Beide-klant: controleer prijstype","OK")))))))))</f>
        <v/>
      </c>
    </row>
    <row r="498" ht="15" customHeight="1" s="42">
      <c r="A498" s="56">
        <f>IF(B498="","",WEEKNUM(B498,21))</f>
        <v/>
      </c>
      <c r="B498" s="55" t="n"/>
      <c r="C498" s="57" t="n"/>
      <c r="D498" s="57" t="n"/>
      <c r="E498" s="57" t="n"/>
      <c r="F498" s="57" t="n"/>
      <c r="G498" s="67" t="n"/>
      <c r="H498" s="68" t="n"/>
      <c r="I498" s="61">
        <f>IF(C498="","",IF(H498&lt;&gt;"",INT(H498)+ROUND(MOD(H498,1)*100/60,2),SUMIFS(Registraties!$L$5:$L$3004,Registraties!$D$5:$D$3004,C498,Registraties!$A$5:$A$3004,B498)))</f>
        <v/>
      </c>
      <c r="J498" s="58">
        <f>IF(C498="","",IFERROR(IF(VLOOKUP(C498,Tarieven!$A$2:$F$200,2,0)="Beide","Per uur",VLOOKUP(C498,Tarieven!$A$2:$F$200,2,0)),"Nog bepalen"))</f>
        <v/>
      </c>
      <c r="K498" s="69">
        <f>IF(C498="","",IF(J498="Per uur",IFERROR(VLOOKUP(C498,Tarieven!$A$2:$F$200,3,0),""),IF(J498="Vaste prijs",IFERROR(VLOOKUP(C498,Tarieven!$A$2:$F$200,4,0),""),"")))</f>
        <v/>
      </c>
      <c r="L498" s="70">
        <f>IF(C498="","",IF(J498="Per uur",N(I498)*N(K498),IF(J498="Vaste prijs",N(K498),0)))</f>
        <v/>
      </c>
      <c r="M498" s="69">
        <f>IF(C498="","",IFERROR(IF(N(VLOOKUP(C498,Tarieven!$A$2:$F$200,5,0))=0,"",VLOOKUP(C498,Tarieven!$A$2:$F$200,5,0)),""))</f>
        <v/>
      </c>
      <c r="N498" s="69" t="n"/>
      <c r="O498" s="69" t="n"/>
      <c r="P498" s="70">
        <f>IF(C498="","",N(L498)+N(M498)+N(N498)+N(O498))</f>
        <v/>
      </c>
      <c r="Q498" s="58" t="n"/>
      <c r="R498" s="57" t="n"/>
      <c r="S498" s="57" t="n"/>
      <c r="T498" s="57" t="n"/>
      <c r="U498" s="62">
        <f>IF(C498="","",IF(COUNTIF(Tarieven!$A$2:$A$200,C498)=0,"Klant niet in Tarieven",IF(MOD(N(H498),1)*100&gt;59.4,"Tijd ongeldig: minuten boven 59",IF(J498="Nog bepalen","Prijstype nog bepalen",IF(AND(J498="Per uur",N(K498)=0),"Uurtarief ontbreekt",IF(AND(J498="Vaste prijs",N(K498)=0),"Vaste prijs ontbreekt",IF(AND(N(I498)=0,Q498&lt;&gt;"Niet doorgegaan / verplaatst",Q498&lt;&gt;"Geen factuur nodig"),"Geen uren",IF(AND(G498="NEE",Q498="Verstuurd"),"Verstuurd terwijl werk niet af",IF(IFERROR(VLOOKUP(C498,Tarieven!$A$2:$F$200,2,0),"")="Beide","Beide-klant: controleer prijstype","OK")))))))))</f>
        <v/>
      </c>
    </row>
    <row r="499" ht="15" customHeight="1" s="42">
      <c r="A499" s="56">
        <f>IF(B499="","",WEEKNUM(B499,21))</f>
        <v/>
      </c>
      <c r="B499" s="55" t="n"/>
      <c r="C499" s="57" t="n"/>
      <c r="D499" s="57" t="n"/>
      <c r="E499" s="57" t="n"/>
      <c r="F499" s="57" t="n"/>
      <c r="G499" s="67" t="n"/>
      <c r="H499" s="68" t="n"/>
      <c r="I499" s="61">
        <f>IF(C499="","",IF(H499&lt;&gt;"",INT(H499)+ROUND(MOD(H499,1)*100/60,2),SUMIFS(Registraties!$L$5:$L$3004,Registraties!$D$5:$D$3004,C499,Registraties!$A$5:$A$3004,B499)))</f>
        <v/>
      </c>
      <c r="J499" s="58">
        <f>IF(C499="","",IFERROR(IF(VLOOKUP(C499,Tarieven!$A$2:$F$200,2,0)="Beide","Per uur",VLOOKUP(C499,Tarieven!$A$2:$F$200,2,0)),"Nog bepalen"))</f>
        <v/>
      </c>
      <c r="K499" s="69">
        <f>IF(C499="","",IF(J499="Per uur",IFERROR(VLOOKUP(C499,Tarieven!$A$2:$F$200,3,0),""),IF(J499="Vaste prijs",IFERROR(VLOOKUP(C499,Tarieven!$A$2:$F$200,4,0),""),"")))</f>
        <v/>
      </c>
      <c r="L499" s="70">
        <f>IF(C499="","",IF(J499="Per uur",N(I499)*N(K499),IF(J499="Vaste prijs",N(K499),0)))</f>
        <v/>
      </c>
      <c r="M499" s="69">
        <f>IF(C499="","",IFERROR(IF(N(VLOOKUP(C499,Tarieven!$A$2:$F$200,5,0))=0,"",VLOOKUP(C499,Tarieven!$A$2:$F$200,5,0)),""))</f>
        <v/>
      </c>
      <c r="N499" s="69" t="n"/>
      <c r="O499" s="69" t="n"/>
      <c r="P499" s="70">
        <f>IF(C499="","",N(L499)+N(M499)+N(N499)+N(O499))</f>
        <v/>
      </c>
      <c r="Q499" s="58" t="n"/>
      <c r="R499" s="57" t="n"/>
      <c r="S499" s="57" t="n"/>
      <c r="T499" s="57" t="n"/>
      <c r="U499" s="62">
        <f>IF(C499="","",IF(COUNTIF(Tarieven!$A$2:$A$200,C499)=0,"Klant niet in Tarieven",IF(MOD(N(H499),1)*100&gt;59.4,"Tijd ongeldig: minuten boven 59",IF(J499="Nog bepalen","Prijstype nog bepalen",IF(AND(J499="Per uur",N(K499)=0),"Uurtarief ontbreekt",IF(AND(J499="Vaste prijs",N(K499)=0),"Vaste prijs ontbreekt",IF(AND(N(I499)=0,Q499&lt;&gt;"Niet doorgegaan / verplaatst",Q499&lt;&gt;"Geen factuur nodig"),"Geen uren",IF(AND(G499="NEE",Q499="Verstuurd"),"Verstuurd terwijl werk niet af",IF(IFERROR(VLOOKUP(C499,Tarieven!$A$2:$F$200,2,0),"")="Beide","Beide-klant: controleer prijstype","OK")))))))))</f>
        <v/>
      </c>
    </row>
    <row r="500" ht="15" customHeight="1" s="42">
      <c r="A500" s="56">
        <f>IF(B500="","",WEEKNUM(B500,21))</f>
        <v/>
      </c>
      <c r="B500" s="55" t="n"/>
      <c r="C500" s="57" t="n"/>
      <c r="D500" s="57" t="n"/>
      <c r="E500" s="57" t="n"/>
      <c r="F500" s="57" t="n"/>
      <c r="G500" s="67" t="n"/>
      <c r="H500" s="68" t="n"/>
      <c r="I500" s="61">
        <f>IF(C500="","",IF(H500&lt;&gt;"",INT(H500)+ROUND(MOD(H500,1)*100/60,2),SUMIFS(Registraties!$L$5:$L$3004,Registraties!$D$5:$D$3004,C500,Registraties!$A$5:$A$3004,B500)))</f>
        <v/>
      </c>
      <c r="J500" s="58">
        <f>IF(C500="","",IFERROR(IF(VLOOKUP(C500,Tarieven!$A$2:$F$200,2,0)="Beide","Per uur",VLOOKUP(C500,Tarieven!$A$2:$F$200,2,0)),"Nog bepalen"))</f>
        <v/>
      </c>
      <c r="K500" s="69">
        <f>IF(C500="","",IF(J500="Per uur",IFERROR(VLOOKUP(C500,Tarieven!$A$2:$F$200,3,0),""),IF(J500="Vaste prijs",IFERROR(VLOOKUP(C500,Tarieven!$A$2:$F$200,4,0),""),"")))</f>
        <v/>
      </c>
      <c r="L500" s="70">
        <f>IF(C500="","",IF(J500="Per uur",N(I500)*N(K500),IF(J500="Vaste prijs",N(K500),0)))</f>
        <v/>
      </c>
      <c r="M500" s="69">
        <f>IF(C500="","",IFERROR(IF(N(VLOOKUP(C500,Tarieven!$A$2:$F$200,5,0))=0,"",VLOOKUP(C500,Tarieven!$A$2:$F$200,5,0)),""))</f>
        <v/>
      </c>
      <c r="N500" s="69" t="n"/>
      <c r="O500" s="69" t="n"/>
      <c r="P500" s="70">
        <f>IF(C500="","",N(L500)+N(M500)+N(N500)+N(O500))</f>
        <v/>
      </c>
      <c r="Q500" s="58" t="n"/>
      <c r="R500" s="57" t="n"/>
      <c r="S500" s="57" t="n"/>
      <c r="T500" s="57" t="n"/>
      <c r="U500" s="62">
        <f>IF(C500="","",IF(COUNTIF(Tarieven!$A$2:$A$200,C500)=0,"Klant niet in Tarieven",IF(MOD(N(H500),1)*100&gt;59.4,"Tijd ongeldig: minuten boven 59",IF(J500="Nog bepalen","Prijstype nog bepalen",IF(AND(J500="Per uur",N(K500)=0),"Uurtarief ontbreekt",IF(AND(J500="Vaste prijs",N(K500)=0),"Vaste prijs ontbreekt",IF(AND(N(I500)=0,Q500&lt;&gt;"Niet doorgegaan / verplaatst",Q500&lt;&gt;"Geen factuur nodig"),"Geen uren",IF(AND(G500="NEE",Q500="Verstuurd"),"Verstuurd terwijl werk niet af",IF(IFERROR(VLOOKUP(C500,Tarieven!$A$2:$F$200,2,0),"")="Beide","Beide-klant: controleer prijstype","OK")))))))))</f>
        <v/>
      </c>
    </row>
    <row r="501" ht="15" customHeight="1" s="42">
      <c r="A501" s="56">
        <f>IF(B501="","",WEEKNUM(B501,21))</f>
        <v/>
      </c>
      <c r="B501" s="55" t="n"/>
      <c r="C501" s="57" t="n"/>
      <c r="D501" s="57" t="n"/>
      <c r="E501" s="57" t="n"/>
      <c r="F501" s="57" t="n"/>
      <c r="G501" s="67" t="n"/>
      <c r="H501" s="68" t="n"/>
      <c r="I501" s="61">
        <f>IF(C501="","",IF(H501&lt;&gt;"",INT(H501)+ROUND(MOD(H501,1)*100/60,2),SUMIFS(Registraties!$L$5:$L$3004,Registraties!$D$5:$D$3004,C501,Registraties!$A$5:$A$3004,B501)))</f>
        <v/>
      </c>
      <c r="J501" s="58">
        <f>IF(C501="","",IFERROR(IF(VLOOKUP(C501,Tarieven!$A$2:$F$200,2,0)="Beide","Per uur",VLOOKUP(C501,Tarieven!$A$2:$F$200,2,0)),"Nog bepalen"))</f>
        <v/>
      </c>
      <c r="K501" s="69">
        <f>IF(C501="","",IF(J501="Per uur",IFERROR(VLOOKUP(C501,Tarieven!$A$2:$F$200,3,0),""),IF(J501="Vaste prijs",IFERROR(VLOOKUP(C501,Tarieven!$A$2:$F$200,4,0),""),"")))</f>
        <v/>
      </c>
      <c r="L501" s="70">
        <f>IF(C501="","",IF(J501="Per uur",N(I501)*N(K501),IF(J501="Vaste prijs",N(K501),0)))</f>
        <v/>
      </c>
      <c r="M501" s="69">
        <f>IF(C501="","",IFERROR(IF(N(VLOOKUP(C501,Tarieven!$A$2:$F$200,5,0))=0,"",VLOOKUP(C501,Tarieven!$A$2:$F$200,5,0)),""))</f>
        <v/>
      </c>
      <c r="N501" s="69" t="n"/>
      <c r="O501" s="69" t="n"/>
      <c r="P501" s="70">
        <f>IF(C501="","",N(L501)+N(M501)+N(N501)+N(O501))</f>
        <v/>
      </c>
      <c r="Q501" s="58" t="n"/>
      <c r="R501" s="57" t="n"/>
      <c r="S501" s="57" t="n"/>
      <c r="T501" s="57" t="n"/>
      <c r="U501" s="62">
        <f>IF(C501="","",IF(COUNTIF(Tarieven!$A$2:$A$200,C501)=0,"Klant niet in Tarieven",IF(MOD(N(H501),1)*100&gt;59.4,"Tijd ongeldig: minuten boven 59",IF(J501="Nog bepalen","Prijstype nog bepalen",IF(AND(J501="Per uur",N(K501)=0),"Uurtarief ontbreekt",IF(AND(J501="Vaste prijs",N(K501)=0),"Vaste prijs ontbreekt",IF(AND(N(I501)=0,Q501&lt;&gt;"Niet doorgegaan / verplaatst",Q501&lt;&gt;"Geen factuur nodig"),"Geen uren",IF(AND(G501="NEE",Q501="Verstuurd"),"Verstuurd terwijl werk niet af",IF(IFERROR(VLOOKUP(C501,Tarieven!$A$2:$F$200,2,0),"")="Beide","Beide-klant: controleer prijstype","OK")))))))))</f>
        <v/>
      </c>
    </row>
    <row r="502" ht="15" customHeight="1" s="42">
      <c r="A502" s="56">
        <f>IF(B502="","",WEEKNUM(B502,21))</f>
        <v/>
      </c>
      <c r="B502" s="55" t="n"/>
      <c r="C502" s="57" t="n"/>
      <c r="D502" s="57" t="n"/>
      <c r="E502" s="57" t="n"/>
      <c r="F502" s="57" t="n"/>
      <c r="G502" s="67" t="n"/>
      <c r="H502" s="68" t="n"/>
      <c r="I502" s="61">
        <f>IF(C502="","",IF(H502&lt;&gt;"",INT(H502)+ROUND(MOD(H502,1)*100/60,2),SUMIFS(Registraties!$L$5:$L$3004,Registraties!$D$5:$D$3004,C502,Registraties!$A$5:$A$3004,B502)))</f>
        <v/>
      </c>
      <c r="J502" s="58">
        <f>IF(C502="","",IFERROR(IF(VLOOKUP(C502,Tarieven!$A$2:$F$200,2,0)="Beide","Per uur",VLOOKUP(C502,Tarieven!$A$2:$F$200,2,0)),"Nog bepalen"))</f>
        <v/>
      </c>
      <c r="K502" s="69">
        <f>IF(C502="","",IF(J502="Per uur",IFERROR(VLOOKUP(C502,Tarieven!$A$2:$F$200,3,0),""),IF(J502="Vaste prijs",IFERROR(VLOOKUP(C502,Tarieven!$A$2:$F$200,4,0),""),"")))</f>
        <v/>
      </c>
      <c r="L502" s="70">
        <f>IF(C502="","",IF(J502="Per uur",N(I502)*N(K502),IF(J502="Vaste prijs",N(K502),0)))</f>
        <v/>
      </c>
      <c r="M502" s="69">
        <f>IF(C502="","",IFERROR(IF(N(VLOOKUP(C502,Tarieven!$A$2:$F$200,5,0))=0,"",VLOOKUP(C502,Tarieven!$A$2:$F$200,5,0)),""))</f>
        <v/>
      </c>
      <c r="N502" s="69" t="n"/>
      <c r="O502" s="69" t="n"/>
      <c r="P502" s="70">
        <f>IF(C502="","",N(L502)+N(M502)+N(N502)+N(O502))</f>
        <v/>
      </c>
      <c r="Q502" s="58" t="n"/>
      <c r="R502" s="57" t="n"/>
      <c r="S502" s="57" t="n"/>
      <c r="T502" s="57" t="n"/>
      <c r="U502" s="62">
        <f>IF(C502="","",IF(COUNTIF(Tarieven!$A$2:$A$200,C502)=0,"Klant niet in Tarieven",IF(MOD(N(H502),1)*100&gt;59.4,"Tijd ongeldig: minuten boven 59",IF(J502="Nog bepalen","Prijstype nog bepalen",IF(AND(J502="Per uur",N(K502)=0),"Uurtarief ontbreekt",IF(AND(J502="Vaste prijs",N(K502)=0),"Vaste prijs ontbreekt",IF(AND(N(I502)=0,Q502&lt;&gt;"Niet doorgegaan / verplaatst",Q502&lt;&gt;"Geen factuur nodig"),"Geen uren",IF(AND(G502="NEE",Q502="Verstuurd"),"Verstuurd terwijl werk niet af",IF(IFERROR(VLOOKUP(C502,Tarieven!$A$2:$F$200,2,0),"")="Beide","Beide-klant: controleer prijstype","OK")))))))))</f>
        <v/>
      </c>
    </row>
    <row r="503" ht="15" customHeight="1" s="42">
      <c r="A503" s="56">
        <f>IF(B503="","",WEEKNUM(B503,21))</f>
        <v/>
      </c>
      <c r="B503" s="55" t="n"/>
      <c r="C503" s="57" t="n"/>
      <c r="D503" s="57" t="n"/>
      <c r="E503" s="57" t="n"/>
      <c r="F503" s="57" t="n"/>
      <c r="G503" s="67" t="n"/>
      <c r="H503" s="68" t="n"/>
      <c r="I503" s="61">
        <f>IF(C503="","",IF(H503&lt;&gt;"",INT(H503)+ROUND(MOD(H503,1)*100/60,2),SUMIFS(Registraties!$L$5:$L$3004,Registraties!$D$5:$D$3004,C503,Registraties!$A$5:$A$3004,B503)))</f>
        <v/>
      </c>
      <c r="J503" s="58">
        <f>IF(C503="","",IFERROR(IF(VLOOKUP(C503,Tarieven!$A$2:$F$200,2,0)="Beide","Per uur",VLOOKUP(C503,Tarieven!$A$2:$F$200,2,0)),"Nog bepalen"))</f>
        <v/>
      </c>
      <c r="K503" s="69">
        <f>IF(C503="","",IF(J503="Per uur",IFERROR(VLOOKUP(C503,Tarieven!$A$2:$F$200,3,0),""),IF(J503="Vaste prijs",IFERROR(VLOOKUP(C503,Tarieven!$A$2:$F$200,4,0),""),"")))</f>
        <v/>
      </c>
      <c r="L503" s="70">
        <f>IF(C503="","",IF(J503="Per uur",N(I503)*N(K503),IF(J503="Vaste prijs",N(K503),0)))</f>
        <v/>
      </c>
      <c r="M503" s="69">
        <f>IF(C503="","",IFERROR(IF(N(VLOOKUP(C503,Tarieven!$A$2:$F$200,5,0))=0,"",VLOOKUP(C503,Tarieven!$A$2:$F$200,5,0)),""))</f>
        <v/>
      </c>
      <c r="N503" s="69" t="n"/>
      <c r="O503" s="69" t="n"/>
      <c r="P503" s="70">
        <f>IF(C503="","",N(L503)+N(M503)+N(N503)+N(O503))</f>
        <v/>
      </c>
      <c r="Q503" s="58" t="n"/>
      <c r="R503" s="57" t="n"/>
      <c r="S503" s="57" t="n"/>
      <c r="T503" s="57" t="n"/>
      <c r="U503" s="62">
        <f>IF(C503="","",IF(COUNTIF(Tarieven!$A$2:$A$200,C503)=0,"Klant niet in Tarieven",IF(MOD(N(H503),1)*100&gt;59.4,"Tijd ongeldig: minuten boven 59",IF(J503="Nog bepalen","Prijstype nog bepalen",IF(AND(J503="Per uur",N(K503)=0),"Uurtarief ontbreekt",IF(AND(J503="Vaste prijs",N(K503)=0),"Vaste prijs ontbreekt",IF(AND(N(I503)=0,Q503&lt;&gt;"Niet doorgegaan / verplaatst",Q503&lt;&gt;"Geen factuur nodig"),"Geen uren",IF(AND(G503="NEE",Q503="Verstuurd"),"Verstuurd terwijl werk niet af",IF(IFERROR(VLOOKUP(C503,Tarieven!$A$2:$F$200,2,0),"")="Beide","Beide-klant: controleer prijstype","OK")))))))))</f>
        <v/>
      </c>
    </row>
    <row r="504" ht="15" customHeight="1" s="42">
      <c r="A504" s="56">
        <f>IF(B504="","",WEEKNUM(B504,21))</f>
        <v/>
      </c>
      <c r="B504" s="55" t="n"/>
      <c r="C504" s="57" t="n"/>
      <c r="D504" s="57" t="n"/>
      <c r="E504" s="57" t="n"/>
      <c r="F504" s="57" t="n"/>
      <c r="G504" s="67" t="n"/>
      <c r="H504" s="68" t="n"/>
      <c r="I504" s="61">
        <f>IF(C504="","",IF(H504&lt;&gt;"",INT(H504)+ROUND(MOD(H504,1)*100/60,2),SUMIFS(Registraties!$L$5:$L$3004,Registraties!$D$5:$D$3004,C504,Registraties!$A$5:$A$3004,B504)))</f>
        <v/>
      </c>
      <c r="J504" s="58">
        <f>IF(C504="","",IFERROR(IF(VLOOKUP(C504,Tarieven!$A$2:$F$200,2,0)="Beide","Per uur",VLOOKUP(C504,Tarieven!$A$2:$F$200,2,0)),"Nog bepalen"))</f>
        <v/>
      </c>
      <c r="K504" s="69">
        <f>IF(C504="","",IF(J504="Per uur",IFERROR(VLOOKUP(C504,Tarieven!$A$2:$F$200,3,0),""),IF(J504="Vaste prijs",IFERROR(VLOOKUP(C504,Tarieven!$A$2:$F$200,4,0),""),"")))</f>
        <v/>
      </c>
      <c r="L504" s="70">
        <f>IF(C504="","",IF(J504="Per uur",N(I504)*N(K504),IF(J504="Vaste prijs",N(K504),0)))</f>
        <v/>
      </c>
      <c r="M504" s="69">
        <f>IF(C504="","",IFERROR(IF(N(VLOOKUP(C504,Tarieven!$A$2:$F$200,5,0))=0,"",VLOOKUP(C504,Tarieven!$A$2:$F$200,5,0)),""))</f>
        <v/>
      </c>
      <c r="N504" s="69" t="n"/>
      <c r="O504" s="69" t="n"/>
      <c r="P504" s="70">
        <f>IF(C504="","",N(L504)+N(M504)+N(N504)+N(O504))</f>
        <v/>
      </c>
      <c r="Q504" s="58" t="n"/>
      <c r="R504" s="57" t="n"/>
      <c r="S504" s="57" t="n"/>
      <c r="T504" s="57" t="n"/>
      <c r="U504" s="62">
        <f>IF(C504="","",IF(COUNTIF(Tarieven!$A$2:$A$200,C504)=0,"Klant niet in Tarieven",IF(MOD(N(H504),1)*100&gt;59.4,"Tijd ongeldig: minuten boven 59",IF(J504="Nog bepalen","Prijstype nog bepalen",IF(AND(J504="Per uur",N(K504)=0),"Uurtarief ontbreekt",IF(AND(J504="Vaste prijs",N(K504)=0),"Vaste prijs ontbreekt",IF(AND(N(I504)=0,Q504&lt;&gt;"Niet doorgegaan / verplaatst",Q504&lt;&gt;"Geen factuur nodig"),"Geen uren",IF(AND(G504="NEE",Q504="Verstuurd"),"Verstuurd terwijl werk niet af",IF(IFERROR(VLOOKUP(C504,Tarieven!$A$2:$F$200,2,0),"")="Beide","Beide-klant: controleer prijstype","OK")))))))))</f>
        <v/>
      </c>
    </row>
    <row r="505" ht="15" customHeight="1" s="42">
      <c r="A505" s="56">
        <f>IF(B505="","",WEEKNUM(B505,21))</f>
        <v/>
      </c>
      <c r="B505" s="55" t="n"/>
      <c r="C505" s="57" t="n"/>
      <c r="D505" s="57" t="n"/>
      <c r="E505" s="57" t="n"/>
      <c r="F505" s="57" t="n"/>
      <c r="G505" s="67" t="n"/>
      <c r="H505" s="68" t="n"/>
      <c r="I505" s="61">
        <f>IF(C505="","",IF(H505&lt;&gt;"",INT(H505)+ROUND(MOD(H505,1)*100/60,2),SUMIFS(Registraties!$L$5:$L$3004,Registraties!$D$5:$D$3004,C505,Registraties!$A$5:$A$3004,B505)))</f>
        <v/>
      </c>
      <c r="J505" s="58">
        <f>IF(C505="","",IFERROR(IF(VLOOKUP(C505,Tarieven!$A$2:$F$200,2,0)="Beide","Per uur",VLOOKUP(C505,Tarieven!$A$2:$F$200,2,0)),"Nog bepalen"))</f>
        <v/>
      </c>
      <c r="K505" s="69">
        <f>IF(C505="","",IF(J505="Per uur",IFERROR(VLOOKUP(C505,Tarieven!$A$2:$F$200,3,0),""),IF(J505="Vaste prijs",IFERROR(VLOOKUP(C505,Tarieven!$A$2:$F$200,4,0),""),"")))</f>
        <v/>
      </c>
      <c r="L505" s="70">
        <f>IF(C505="","",IF(J505="Per uur",N(I505)*N(K505),IF(J505="Vaste prijs",N(K505),0)))</f>
        <v/>
      </c>
      <c r="M505" s="69">
        <f>IF(C505="","",IFERROR(IF(N(VLOOKUP(C505,Tarieven!$A$2:$F$200,5,0))=0,"",VLOOKUP(C505,Tarieven!$A$2:$F$200,5,0)),""))</f>
        <v/>
      </c>
      <c r="N505" s="69" t="n"/>
      <c r="O505" s="69" t="n"/>
      <c r="P505" s="70">
        <f>IF(C505="","",N(L505)+N(M505)+N(N505)+N(O505))</f>
        <v/>
      </c>
      <c r="Q505" s="58" t="n"/>
      <c r="R505" s="57" t="n"/>
      <c r="S505" s="57" t="n"/>
      <c r="T505" s="57" t="n"/>
      <c r="U505" s="62">
        <f>IF(C505="","",IF(COUNTIF(Tarieven!$A$2:$A$200,C505)=0,"Klant niet in Tarieven",IF(MOD(N(H505),1)*100&gt;59.4,"Tijd ongeldig: minuten boven 59",IF(J505="Nog bepalen","Prijstype nog bepalen",IF(AND(J505="Per uur",N(K505)=0),"Uurtarief ontbreekt",IF(AND(J505="Vaste prijs",N(K505)=0),"Vaste prijs ontbreekt",IF(AND(N(I505)=0,Q505&lt;&gt;"Niet doorgegaan / verplaatst",Q505&lt;&gt;"Geen factuur nodig"),"Geen uren",IF(AND(G505="NEE",Q505="Verstuurd"),"Verstuurd terwijl werk niet af",IF(IFERROR(VLOOKUP(C505,Tarieven!$A$2:$F$200,2,0),"")="Beide","Beide-klant: controleer prijstype","OK")))))))))</f>
        <v/>
      </c>
    </row>
    <row r="506" ht="15" customHeight="1" s="42">
      <c r="A506" s="56">
        <f>IF(B506="","",WEEKNUM(B506,21))</f>
        <v/>
      </c>
      <c r="B506" s="55" t="n"/>
      <c r="C506" s="57" t="n"/>
      <c r="D506" s="57" t="n"/>
      <c r="E506" s="57" t="n"/>
      <c r="F506" s="57" t="n"/>
      <c r="G506" s="67" t="n"/>
      <c r="H506" s="68" t="n"/>
      <c r="I506" s="61">
        <f>IF(C506="","",IF(H506&lt;&gt;"",INT(H506)+ROUND(MOD(H506,1)*100/60,2),SUMIFS(Registraties!$L$5:$L$3004,Registraties!$D$5:$D$3004,C506,Registraties!$A$5:$A$3004,B506)))</f>
        <v/>
      </c>
      <c r="J506" s="58">
        <f>IF(C506="","",IFERROR(IF(VLOOKUP(C506,Tarieven!$A$2:$F$200,2,0)="Beide","Per uur",VLOOKUP(C506,Tarieven!$A$2:$F$200,2,0)),"Nog bepalen"))</f>
        <v/>
      </c>
      <c r="K506" s="69">
        <f>IF(C506="","",IF(J506="Per uur",IFERROR(VLOOKUP(C506,Tarieven!$A$2:$F$200,3,0),""),IF(J506="Vaste prijs",IFERROR(VLOOKUP(C506,Tarieven!$A$2:$F$200,4,0),""),"")))</f>
        <v/>
      </c>
      <c r="L506" s="70">
        <f>IF(C506="","",IF(J506="Per uur",N(I506)*N(K506),IF(J506="Vaste prijs",N(K506),0)))</f>
        <v/>
      </c>
      <c r="M506" s="69">
        <f>IF(C506="","",IFERROR(IF(N(VLOOKUP(C506,Tarieven!$A$2:$F$200,5,0))=0,"",VLOOKUP(C506,Tarieven!$A$2:$F$200,5,0)),""))</f>
        <v/>
      </c>
      <c r="N506" s="69" t="n"/>
      <c r="O506" s="69" t="n"/>
      <c r="P506" s="70">
        <f>IF(C506="","",N(L506)+N(M506)+N(N506)+N(O506))</f>
        <v/>
      </c>
      <c r="Q506" s="58" t="n"/>
      <c r="R506" s="57" t="n"/>
      <c r="S506" s="57" t="n"/>
      <c r="T506" s="57" t="n"/>
      <c r="U506" s="62">
        <f>IF(C506="","",IF(COUNTIF(Tarieven!$A$2:$A$200,C506)=0,"Klant niet in Tarieven",IF(MOD(N(H506),1)*100&gt;59.4,"Tijd ongeldig: minuten boven 59",IF(J506="Nog bepalen","Prijstype nog bepalen",IF(AND(J506="Per uur",N(K506)=0),"Uurtarief ontbreekt",IF(AND(J506="Vaste prijs",N(K506)=0),"Vaste prijs ontbreekt",IF(AND(N(I506)=0,Q506&lt;&gt;"Niet doorgegaan / verplaatst",Q506&lt;&gt;"Geen factuur nodig"),"Geen uren",IF(AND(G506="NEE",Q506="Verstuurd"),"Verstuurd terwijl werk niet af",IF(IFERROR(VLOOKUP(C506,Tarieven!$A$2:$F$200,2,0),"")="Beide","Beide-klant: controleer prijstype","OK")))))))))</f>
        <v/>
      </c>
    </row>
    <row r="507" ht="15" customHeight="1" s="42">
      <c r="A507" s="56">
        <f>IF(B507="","",WEEKNUM(B507,21))</f>
        <v/>
      </c>
      <c r="B507" s="55" t="n"/>
      <c r="C507" s="57" t="n"/>
      <c r="D507" s="57" t="n"/>
      <c r="E507" s="57" t="n"/>
      <c r="F507" s="57" t="n"/>
      <c r="G507" s="67" t="n"/>
      <c r="H507" s="68" t="n"/>
      <c r="I507" s="61">
        <f>IF(C507="","",IF(H507&lt;&gt;"",INT(H507)+ROUND(MOD(H507,1)*100/60,2),SUMIFS(Registraties!$L$5:$L$3004,Registraties!$D$5:$D$3004,C507,Registraties!$A$5:$A$3004,B507)))</f>
        <v/>
      </c>
      <c r="J507" s="58">
        <f>IF(C507="","",IFERROR(IF(VLOOKUP(C507,Tarieven!$A$2:$F$200,2,0)="Beide","Per uur",VLOOKUP(C507,Tarieven!$A$2:$F$200,2,0)),"Nog bepalen"))</f>
        <v/>
      </c>
      <c r="K507" s="69">
        <f>IF(C507="","",IF(J507="Per uur",IFERROR(VLOOKUP(C507,Tarieven!$A$2:$F$200,3,0),""),IF(J507="Vaste prijs",IFERROR(VLOOKUP(C507,Tarieven!$A$2:$F$200,4,0),""),"")))</f>
        <v/>
      </c>
      <c r="L507" s="70">
        <f>IF(C507="","",IF(J507="Per uur",N(I507)*N(K507),IF(J507="Vaste prijs",N(K507),0)))</f>
        <v/>
      </c>
      <c r="M507" s="69">
        <f>IF(C507="","",IFERROR(IF(N(VLOOKUP(C507,Tarieven!$A$2:$F$200,5,0))=0,"",VLOOKUP(C507,Tarieven!$A$2:$F$200,5,0)),""))</f>
        <v/>
      </c>
      <c r="N507" s="69" t="n"/>
      <c r="O507" s="69" t="n"/>
      <c r="P507" s="70">
        <f>IF(C507="","",N(L507)+N(M507)+N(N507)+N(O507))</f>
        <v/>
      </c>
      <c r="Q507" s="58" t="n"/>
      <c r="R507" s="57" t="n"/>
      <c r="S507" s="57" t="n"/>
      <c r="T507" s="57" t="n"/>
      <c r="U507" s="62">
        <f>IF(C507="","",IF(COUNTIF(Tarieven!$A$2:$A$200,C507)=0,"Klant niet in Tarieven",IF(MOD(N(H507),1)*100&gt;59.4,"Tijd ongeldig: minuten boven 59",IF(J507="Nog bepalen","Prijstype nog bepalen",IF(AND(J507="Per uur",N(K507)=0),"Uurtarief ontbreekt",IF(AND(J507="Vaste prijs",N(K507)=0),"Vaste prijs ontbreekt",IF(AND(N(I507)=0,Q507&lt;&gt;"Niet doorgegaan / verplaatst",Q507&lt;&gt;"Geen factuur nodig"),"Geen uren",IF(AND(G507="NEE",Q507="Verstuurd"),"Verstuurd terwijl werk niet af",IF(IFERROR(VLOOKUP(C507,Tarieven!$A$2:$F$200,2,0),"")="Beide","Beide-klant: controleer prijstype","OK")))))))))</f>
        <v/>
      </c>
    </row>
    <row r="508" ht="15" customHeight="1" s="42">
      <c r="A508" s="56">
        <f>IF(B508="","",WEEKNUM(B508,21))</f>
        <v/>
      </c>
      <c r="B508" s="55" t="n"/>
      <c r="C508" s="57" t="n"/>
      <c r="D508" s="57" t="n"/>
      <c r="E508" s="57" t="n"/>
      <c r="F508" s="57" t="n"/>
      <c r="G508" s="67" t="n"/>
      <c r="H508" s="68" t="n"/>
      <c r="I508" s="61">
        <f>IF(C508="","",IF(H508&lt;&gt;"",INT(H508)+ROUND(MOD(H508,1)*100/60,2),SUMIFS(Registraties!$L$5:$L$3004,Registraties!$D$5:$D$3004,C508,Registraties!$A$5:$A$3004,B508)))</f>
        <v/>
      </c>
      <c r="J508" s="58">
        <f>IF(C508="","",IFERROR(IF(VLOOKUP(C508,Tarieven!$A$2:$F$200,2,0)="Beide","Per uur",VLOOKUP(C508,Tarieven!$A$2:$F$200,2,0)),"Nog bepalen"))</f>
        <v/>
      </c>
      <c r="K508" s="69">
        <f>IF(C508="","",IF(J508="Per uur",IFERROR(VLOOKUP(C508,Tarieven!$A$2:$F$200,3,0),""),IF(J508="Vaste prijs",IFERROR(VLOOKUP(C508,Tarieven!$A$2:$F$200,4,0),""),"")))</f>
        <v/>
      </c>
      <c r="L508" s="70">
        <f>IF(C508="","",IF(J508="Per uur",N(I508)*N(K508),IF(J508="Vaste prijs",N(K508),0)))</f>
        <v/>
      </c>
      <c r="M508" s="69">
        <f>IF(C508="","",IFERROR(IF(N(VLOOKUP(C508,Tarieven!$A$2:$F$200,5,0))=0,"",VLOOKUP(C508,Tarieven!$A$2:$F$200,5,0)),""))</f>
        <v/>
      </c>
      <c r="N508" s="69" t="n"/>
      <c r="O508" s="69" t="n"/>
      <c r="P508" s="70">
        <f>IF(C508="","",N(L508)+N(M508)+N(N508)+N(O508))</f>
        <v/>
      </c>
      <c r="Q508" s="58" t="n"/>
      <c r="R508" s="57" t="n"/>
      <c r="S508" s="57" t="n"/>
      <c r="T508" s="57" t="n"/>
      <c r="U508" s="62">
        <f>IF(C508="","",IF(COUNTIF(Tarieven!$A$2:$A$200,C508)=0,"Klant niet in Tarieven",IF(MOD(N(H508),1)*100&gt;59.4,"Tijd ongeldig: minuten boven 59",IF(J508="Nog bepalen","Prijstype nog bepalen",IF(AND(J508="Per uur",N(K508)=0),"Uurtarief ontbreekt",IF(AND(J508="Vaste prijs",N(K508)=0),"Vaste prijs ontbreekt",IF(AND(N(I508)=0,Q508&lt;&gt;"Niet doorgegaan / verplaatst",Q508&lt;&gt;"Geen factuur nodig"),"Geen uren",IF(AND(G508="NEE",Q508="Verstuurd"),"Verstuurd terwijl werk niet af",IF(IFERROR(VLOOKUP(C508,Tarieven!$A$2:$F$200,2,0),"")="Beide","Beide-klant: controleer prijstype","OK")))))))))</f>
        <v/>
      </c>
    </row>
    <row r="509" ht="15" customHeight="1" s="42">
      <c r="A509" s="56">
        <f>IF(B509="","",WEEKNUM(B509,21))</f>
        <v/>
      </c>
      <c r="B509" s="55" t="n"/>
      <c r="C509" s="57" t="n"/>
      <c r="D509" s="57" t="n"/>
      <c r="E509" s="57" t="n"/>
      <c r="F509" s="57" t="n"/>
      <c r="G509" s="67" t="n"/>
      <c r="H509" s="68" t="n"/>
      <c r="I509" s="61">
        <f>IF(C509="","",IF(H509&lt;&gt;"",INT(H509)+ROUND(MOD(H509,1)*100/60,2),SUMIFS(Registraties!$L$5:$L$3004,Registraties!$D$5:$D$3004,C509,Registraties!$A$5:$A$3004,B509)))</f>
        <v/>
      </c>
      <c r="J509" s="58">
        <f>IF(C509="","",IFERROR(IF(VLOOKUP(C509,Tarieven!$A$2:$F$200,2,0)="Beide","Per uur",VLOOKUP(C509,Tarieven!$A$2:$F$200,2,0)),"Nog bepalen"))</f>
        <v/>
      </c>
      <c r="K509" s="69">
        <f>IF(C509="","",IF(J509="Per uur",IFERROR(VLOOKUP(C509,Tarieven!$A$2:$F$200,3,0),""),IF(J509="Vaste prijs",IFERROR(VLOOKUP(C509,Tarieven!$A$2:$F$200,4,0),""),"")))</f>
        <v/>
      </c>
      <c r="L509" s="70">
        <f>IF(C509="","",IF(J509="Per uur",N(I509)*N(K509),IF(J509="Vaste prijs",N(K509),0)))</f>
        <v/>
      </c>
      <c r="M509" s="69">
        <f>IF(C509="","",IFERROR(IF(N(VLOOKUP(C509,Tarieven!$A$2:$F$200,5,0))=0,"",VLOOKUP(C509,Tarieven!$A$2:$F$200,5,0)),""))</f>
        <v/>
      </c>
      <c r="N509" s="69" t="n"/>
      <c r="O509" s="69" t="n"/>
      <c r="P509" s="70">
        <f>IF(C509="","",N(L509)+N(M509)+N(N509)+N(O509))</f>
        <v/>
      </c>
      <c r="Q509" s="58" t="n"/>
      <c r="R509" s="57" t="n"/>
      <c r="S509" s="57" t="n"/>
      <c r="T509" s="57" t="n"/>
      <c r="U509" s="62">
        <f>IF(C509="","",IF(COUNTIF(Tarieven!$A$2:$A$200,C509)=0,"Klant niet in Tarieven",IF(MOD(N(H509),1)*100&gt;59.4,"Tijd ongeldig: minuten boven 59",IF(J509="Nog bepalen","Prijstype nog bepalen",IF(AND(J509="Per uur",N(K509)=0),"Uurtarief ontbreekt",IF(AND(J509="Vaste prijs",N(K509)=0),"Vaste prijs ontbreekt",IF(AND(N(I509)=0,Q509&lt;&gt;"Niet doorgegaan / verplaatst",Q509&lt;&gt;"Geen factuur nodig"),"Geen uren",IF(AND(G509="NEE",Q509="Verstuurd"),"Verstuurd terwijl werk niet af",IF(IFERROR(VLOOKUP(C509,Tarieven!$A$2:$F$200,2,0),"")="Beide","Beide-klant: controleer prijstype","OK")))))))))</f>
        <v/>
      </c>
    </row>
    <row r="510" ht="15" customHeight="1" s="42">
      <c r="A510" s="56">
        <f>IF(B510="","",WEEKNUM(B510,21))</f>
        <v/>
      </c>
      <c r="B510" s="55" t="n"/>
      <c r="C510" s="57" t="n"/>
      <c r="D510" s="57" t="n"/>
      <c r="E510" s="57" t="n"/>
      <c r="F510" s="57" t="n"/>
      <c r="G510" s="67" t="n"/>
      <c r="H510" s="68" t="n"/>
      <c r="I510" s="61">
        <f>IF(C510="","",IF(H510&lt;&gt;"",INT(H510)+ROUND(MOD(H510,1)*100/60,2),SUMIFS(Registraties!$L$5:$L$3004,Registraties!$D$5:$D$3004,C510,Registraties!$A$5:$A$3004,B510)))</f>
        <v/>
      </c>
      <c r="J510" s="58">
        <f>IF(C510="","",IFERROR(IF(VLOOKUP(C510,Tarieven!$A$2:$F$200,2,0)="Beide","Per uur",VLOOKUP(C510,Tarieven!$A$2:$F$200,2,0)),"Nog bepalen"))</f>
        <v/>
      </c>
      <c r="K510" s="69">
        <f>IF(C510="","",IF(J510="Per uur",IFERROR(VLOOKUP(C510,Tarieven!$A$2:$F$200,3,0),""),IF(J510="Vaste prijs",IFERROR(VLOOKUP(C510,Tarieven!$A$2:$F$200,4,0),""),"")))</f>
        <v/>
      </c>
      <c r="L510" s="70">
        <f>IF(C510="","",IF(J510="Per uur",N(I510)*N(K510),IF(J510="Vaste prijs",N(K510),0)))</f>
        <v/>
      </c>
      <c r="M510" s="69">
        <f>IF(C510="","",IFERROR(IF(N(VLOOKUP(C510,Tarieven!$A$2:$F$200,5,0))=0,"",VLOOKUP(C510,Tarieven!$A$2:$F$200,5,0)),""))</f>
        <v/>
      </c>
      <c r="N510" s="69" t="n"/>
      <c r="O510" s="69" t="n"/>
      <c r="P510" s="70">
        <f>IF(C510="","",N(L510)+N(M510)+N(N510)+N(O510))</f>
        <v/>
      </c>
      <c r="Q510" s="58" t="n"/>
      <c r="R510" s="57" t="n"/>
      <c r="S510" s="57" t="n"/>
      <c r="T510" s="57" t="n"/>
      <c r="U510" s="62">
        <f>IF(C510="","",IF(COUNTIF(Tarieven!$A$2:$A$200,C510)=0,"Klant niet in Tarieven",IF(MOD(N(H510),1)*100&gt;59.4,"Tijd ongeldig: minuten boven 59",IF(J510="Nog bepalen","Prijstype nog bepalen",IF(AND(J510="Per uur",N(K510)=0),"Uurtarief ontbreekt",IF(AND(J510="Vaste prijs",N(K510)=0),"Vaste prijs ontbreekt",IF(AND(N(I510)=0,Q510&lt;&gt;"Niet doorgegaan / verplaatst",Q510&lt;&gt;"Geen factuur nodig"),"Geen uren",IF(AND(G510="NEE",Q510="Verstuurd"),"Verstuurd terwijl werk niet af",IF(IFERROR(VLOOKUP(C510,Tarieven!$A$2:$F$200,2,0),"")="Beide","Beide-klant: controleer prijstype","OK")))))))))</f>
        <v/>
      </c>
    </row>
    <row r="511" ht="15" customHeight="1" s="42">
      <c r="A511" s="56">
        <f>IF(B511="","",WEEKNUM(B511,21))</f>
        <v/>
      </c>
      <c r="B511" s="55" t="n"/>
      <c r="C511" s="57" t="n"/>
      <c r="D511" s="57" t="n"/>
      <c r="E511" s="57" t="n"/>
      <c r="F511" s="57" t="n"/>
      <c r="G511" s="67" t="n"/>
      <c r="H511" s="68" t="n"/>
      <c r="I511" s="61">
        <f>IF(C511="","",IF(H511&lt;&gt;"",INT(H511)+ROUND(MOD(H511,1)*100/60,2),SUMIFS(Registraties!$L$5:$L$3004,Registraties!$D$5:$D$3004,C511,Registraties!$A$5:$A$3004,B511)))</f>
        <v/>
      </c>
      <c r="J511" s="58">
        <f>IF(C511="","",IFERROR(IF(VLOOKUP(C511,Tarieven!$A$2:$F$200,2,0)="Beide","Per uur",VLOOKUP(C511,Tarieven!$A$2:$F$200,2,0)),"Nog bepalen"))</f>
        <v/>
      </c>
      <c r="K511" s="69">
        <f>IF(C511="","",IF(J511="Per uur",IFERROR(VLOOKUP(C511,Tarieven!$A$2:$F$200,3,0),""),IF(J511="Vaste prijs",IFERROR(VLOOKUP(C511,Tarieven!$A$2:$F$200,4,0),""),"")))</f>
        <v/>
      </c>
      <c r="L511" s="70">
        <f>IF(C511="","",IF(J511="Per uur",N(I511)*N(K511),IF(J511="Vaste prijs",N(K511),0)))</f>
        <v/>
      </c>
      <c r="M511" s="69">
        <f>IF(C511="","",IFERROR(IF(N(VLOOKUP(C511,Tarieven!$A$2:$F$200,5,0))=0,"",VLOOKUP(C511,Tarieven!$A$2:$F$200,5,0)),""))</f>
        <v/>
      </c>
      <c r="N511" s="69" t="n"/>
      <c r="O511" s="69" t="n"/>
      <c r="P511" s="70">
        <f>IF(C511="","",N(L511)+N(M511)+N(N511)+N(O511))</f>
        <v/>
      </c>
      <c r="Q511" s="58" t="n"/>
      <c r="R511" s="57" t="n"/>
      <c r="S511" s="57" t="n"/>
      <c r="T511" s="57" t="n"/>
      <c r="U511" s="62">
        <f>IF(C511="","",IF(COUNTIF(Tarieven!$A$2:$A$200,C511)=0,"Klant niet in Tarieven",IF(MOD(N(H511),1)*100&gt;59.4,"Tijd ongeldig: minuten boven 59",IF(J511="Nog bepalen","Prijstype nog bepalen",IF(AND(J511="Per uur",N(K511)=0),"Uurtarief ontbreekt",IF(AND(J511="Vaste prijs",N(K511)=0),"Vaste prijs ontbreekt",IF(AND(N(I511)=0,Q511&lt;&gt;"Niet doorgegaan / verplaatst",Q511&lt;&gt;"Geen factuur nodig"),"Geen uren",IF(AND(G511="NEE",Q511="Verstuurd"),"Verstuurd terwijl werk niet af",IF(IFERROR(VLOOKUP(C511,Tarieven!$A$2:$F$200,2,0),"")="Beide","Beide-klant: controleer prijstype","OK")))))))))</f>
        <v/>
      </c>
    </row>
    <row r="512" ht="15" customHeight="1" s="42">
      <c r="A512" s="56">
        <f>IF(B512="","",WEEKNUM(B512,21))</f>
        <v/>
      </c>
      <c r="B512" s="55" t="n"/>
      <c r="C512" s="57" t="n"/>
      <c r="D512" s="57" t="n"/>
      <c r="E512" s="57" t="n"/>
      <c r="F512" s="57" t="n"/>
      <c r="G512" s="67" t="n"/>
      <c r="H512" s="68" t="n"/>
      <c r="I512" s="61">
        <f>IF(C512="","",IF(H512&lt;&gt;"",INT(H512)+ROUND(MOD(H512,1)*100/60,2),SUMIFS(Registraties!$L$5:$L$3004,Registraties!$D$5:$D$3004,C512,Registraties!$A$5:$A$3004,B512)))</f>
        <v/>
      </c>
      <c r="J512" s="58">
        <f>IF(C512="","",IFERROR(IF(VLOOKUP(C512,Tarieven!$A$2:$F$200,2,0)="Beide","Per uur",VLOOKUP(C512,Tarieven!$A$2:$F$200,2,0)),"Nog bepalen"))</f>
        <v/>
      </c>
      <c r="K512" s="69">
        <f>IF(C512="","",IF(J512="Per uur",IFERROR(VLOOKUP(C512,Tarieven!$A$2:$F$200,3,0),""),IF(J512="Vaste prijs",IFERROR(VLOOKUP(C512,Tarieven!$A$2:$F$200,4,0),""),"")))</f>
        <v/>
      </c>
      <c r="L512" s="70">
        <f>IF(C512="","",IF(J512="Per uur",N(I512)*N(K512),IF(J512="Vaste prijs",N(K512),0)))</f>
        <v/>
      </c>
      <c r="M512" s="69">
        <f>IF(C512="","",IFERROR(IF(N(VLOOKUP(C512,Tarieven!$A$2:$F$200,5,0))=0,"",VLOOKUP(C512,Tarieven!$A$2:$F$200,5,0)),""))</f>
        <v/>
      </c>
      <c r="N512" s="69" t="n"/>
      <c r="O512" s="69" t="n"/>
      <c r="P512" s="70">
        <f>IF(C512="","",N(L512)+N(M512)+N(N512)+N(O512))</f>
        <v/>
      </c>
      <c r="Q512" s="58" t="n"/>
      <c r="R512" s="57" t="n"/>
      <c r="S512" s="57" t="n"/>
      <c r="T512" s="57" t="n"/>
      <c r="U512" s="62">
        <f>IF(C512="","",IF(COUNTIF(Tarieven!$A$2:$A$200,C512)=0,"Klant niet in Tarieven",IF(MOD(N(H512),1)*100&gt;59.4,"Tijd ongeldig: minuten boven 59",IF(J512="Nog bepalen","Prijstype nog bepalen",IF(AND(J512="Per uur",N(K512)=0),"Uurtarief ontbreekt",IF(AND(J512="Vaste prijs",N(K512)=0),"Vaste prijs ontbreekt",IF(AND(N(I512)=0,Q512&lt;&gt;"Niet doorgegaan / verplaatst",Q512&lt;&gt;"Geen factuur nodig"),"Geen uren",IF(AND(G512="NEE",Q512="Verstuurd"),"Verstuurd terwijl werk niet af",IF(IFERROR(VLOOKUP(C512,Tarieven!$A$2:$F$200,2,0),"")="Beide","Beide-klant: controleer prijstype","OK")))))))))</f>
        <v/>
      </c>
    </row>
    <row r="513" ht="15" customHeight="1" s="42">
      <c r="A513" s="56">
        <f>IF(B513="","",WEEKNUM(B513,21))</f>
        <v/>
      </c>
      <c r="B513" s="55" t="n"/>
      <c r="C513" s="57" t="n"/>
      <c r="D513" s="57" t="n"/>
      <c r="E513" s="57" t="n"/>
      <c r="F513" s="57" t="n"/>
      <c r="G513" s="67" t="n"/>
      <c r="H513" s="68" t="n"/>
      <c r="I513" s="61">
        <f>IF(C513="","",IF(H513&lt;&gt;"",INT(H513)+ROUND(MOD(H513,1)*100/60,2),SUMIFS(Registraties!$L$5:$L$3004,Registraties!$D$5:$D$3004,C513,Registraties!$A$5:$A$3004,B513)))</f>
        <v/>
      </c>
      <c r="J513" s="58">
        <f>IF(C513="","",IFERROR(IF(VLOOKUP(C513,Tarieven!$A$2:$F$200,2,0)="Beide","Per uur",VLOOKUP(C513,Tarieven!$A$2:$F$200,2,0)),"Nog bepalen"))</f>
        <v/>
      </c>
      <c r="K513" s="69">
        <f>IF(C513="","",IF(J513="Per uur",IFERROR(VLOOKUP(C513,Tarieven!$A$2:$F$200,3,0),""),IF(J513="Vaste prijs",IFERROR(VLOOKUP(C513,Tarieven!$A$2:$F$200,4,0),""),"")))</f>
        <v/>
      </c>
      <c r="L513" s="70">
        <f>IF(C513="","",IF(J513="Per uur",N(I513)*N(K513),IF(J513="Vaste prijs",N(K513),0)))</f>
        <v/>
      </c>
      <c r="M513" s="69">
        <f>IF(C513="","",IFERROR(IF(N(VLOOKUP(C513,Tarieven!$A$2:$F$200,5,0))=0,"",VLOOKUP(C513,Tarieven!$A$2:$F$200,5,0)),""))</f>
        <v/>
      </c>
      <c r="N513" s="69" t="n"/>
      <c r="O513" s="69" t="n"/>
      <c r="P513" s="70">
        <f>IF(C513="","",N(L513)+N(M513)+N(N513)+N(O513))</f>
        <v/>
      </c>
      <c r="Q513" s="58" t="n"/>
      <c r="R513" s="57" t="n"/>
      <c r="S513" s="57" t="n"/>
      <c r="T513" s="57" t="n"/>
      <c r="U513" s="62">
        <f>IF(C513="","",IF(COUNTIF(Tarieven!$A$2:$A$200,C513)=0,"Klant niet in Tarieven",IF(MOD(N(H513),1)*100&gt;59.4,"Tijd ongeldig: minuten boven 59",IF(J513="Nog bepalen","Prijstype nog bepalen",IF(AND(J513="Per uur",N(K513)=0),"Uurtarief ontbreekt",IF(AND(J513="Vaste prijs",N(K513)=0),"Vaste prijs ontbreekt",IF(AND(N(I513)=0,Q513&lt;&gt;"Niet doorgegaan / verplaatst",Q513&lt;&gt;"Geen factuur nodig"),"Geen uren",IF(AND(G513="NEE",Q513="Verstuurd"),"Verstuurd terwijl werk niet af",IF(IFERROR(VLOOKUP(C513,Tarieven!$A$2:$F$200,2,0),"")="Beide","Beide-klant: controleer prijstype","OK")))))))))</f>
        <v/>
      </c>
    </row>
    <row r="514" ht="15" customHeight="1" s="42">
      <c r="A514" s="56">
        <f>IF(B514="","",WEEKNUM(B514,21))</f>
        <v/>
      </c>
      <c r="B514" s="55" t="n"/>
      <c r="C514" s="57" t="n"/>
      <c r="D514" s="57" t="n"/>
      <c r="E514" s="57" t="n"/>
      <c r="F514" s="57" t="n"/>
      <c r="G514" s="67" t="n"/>
      <c r="H514" s="68" t="n"/>
      <c r="I514" s="61">
        <f>IF(C514="","",IF(H514&lt;&gt;"",INT(H514)+ROUND(MOD(H514,1)*100/60,2),SUMIFS(Registraties!$L$5:$L$3004,Registraties!$D$5:$D$3004,C514,Registraties!$A$5:$A$3004,B514)))</f>
        <v/>
      </c>
      <c r="J514" s="58">
        <f>IF(C514="","",IFERROR(IF(VLOOKUP(C514,Tarieven!$A$2:$F$200,2,0)="Beide","Per uur",VLOOKUP(C514,Tarieven!$A$2:$F$200,2,0)),"Nog bepalen"))</f>
        <v/>
      </c>
      <c r="K514" s="69">
        <f>IF(C514="","",IF(J514="Per uur",IFERROR(VLOOKUP(C514,Tarieven!$A$2:$F$200,3,0),""),IF(J514="Vaste prijs",IFERROR(VLOOKUP(C514,Tarieven!$A$2:$F$200,4,0),""),"")))</f>
        <v/>
      </c>
      <c r="L514" s="70">
        <f>IF(C514="","",IF(J514="Per uur",N(I514)*N(K514),IF(J514="Vaste prijs",N(K514),0)))</f>
        <v/>
      </c>
      <c r="M514" s="69">
        <f>IF(C514="","",IFERROR(IF(N(VLOOKUP(C514,Tarieven!$A$2:$F$200,5,0))=0,"",VLOOKUP(C514,Tarieven!$A$2:$F$200,5,0)),""))</f>
        <v/>
      </c>
      <c r="N514" s="69" t="n"/>
      <c r="O514" s="69" t="n"/>
      <c r="P514" s="70">
        <f>IF(C514="","",N(L514)+N(M514)+N(N514)+N(O514))</f>
        <v/>
      </c>
      <c r="Q514" s="58" t="n"/>
      <c r="R514" s="57" t="n"/>
      <c r="S514" s="57" t="n"/>
      <c r="T514" s="57" t="n"/>
      <c r="U514" s="62">
        <f>IF(C514="","",IF(COUNTIF(Tarieven!$A$2:$A$200,C514)=0,"Klant niet in Tarieven",IF(MOD(N(H514),1)*100&gt;59.4,"Tijd ongeldig: minuten boven 59",IF(J514="Nog bepalen","Prijstype nog bepalen",IF(AND(J514="Per uur",N(K514)=0),"Uurtarief ontbreekt",IF(AND(J514="Vaste prijs",N(K514)=0),"Vaste prijs ontbreekt",IF(AND(N(I514)=0,Q514&lt;&gt;"Niet doorgegaan / verplaatst",Q514&lt;&gt;"Geen factuur nodig"),"Geen uren",IF(AND(G514="NEE",Q514="Verstuurd"),"Verstuurd terwijl werk niet af",IF(IFERROR(VLOOKUP(C514,Tarieven!$A$2:$F$200,2,0),"")="Beide","Beide-klant: controleer prijstype","OK")))))))))</f>
        <v/>
      </c>
    </row>
    <row r="515" ht="15" customHeight="1" s="42">
      <c r="A515" s="56">
        <f>IF(B515="","",WEEKNUM(B515,21))</f>
        <v/>
      </c>
      <c r="B515" s="55" t="n"/>
      <c r="C515" s="57" t="n"/>
      <c r="D515" s="57" t="n"/>
      <c r="E515" s="57" t="n"/>
      <c r="F515" s="57" t="n"/>
      <c r="G515" s="67" t="n"/>
      <c r="H515" s="68" t="n"/>
      <c r="I515" s="61">
        <f>IF(C515="","",IF(H515&lt;&gt;"",INT(H515)+ROUND(MOD(H515,1)*100/60,2),SUMIFS(Registraties!$L$5:$L$3004,Registraties!$D$5:$D$3004,C515,Registraties!$A$5:$A$3004,B515)))</f>
        <v/>
      </c>
      <c r="J515" s="58">
        <f>IF(C515="","",IFERROR(IF(VLOOKUP(C515,Tarieven!$A$2:$F$200,2,0)="Beide","Per uur",VLOOKUP(C515,Tarieven!$A$2:$F$200,2,0)),"Nog bepalen"))</f>
        <v/>
      </c>
      <c r="K515" s="69">
        <f>IF(C515="","",IF(J515="Per uur",IFERROR(VLOOKUP(C515,Tarieven!$A$2:$F$200,3,0),""),IF(J515="Vaste prijs",IFERROR(VLOOKUP(C515,Tarieven!$A$2:$F$200,4,0),""),"")))</f>
        <v/>
      </c>
      <c r="L515" s="70">
        <f>IF(C515="","",IF(J515="Per uur",N(I515)*N(K515),IF(J515="Vaste prijs",N(K515),0)))</f>
        <v/>
      </c>
      <c r="M515" s="69">
        <f>IF(C515="","",IFERROR(IF(N(VLOOKUP(C515,Tarieven!$A$2:$F$200,5,0))=0,"",VLOOKUP(C515,Tarieven!$A$2:$F$200,5,0)),""))</f>
        <v/>
      </c>
      <c r="N515" s="69" t="n"/>
      <c r="O515" s="69" t="n"/>
      <c r="P515" s="70">
        <f>IF(C515="","",N(L515)+N(M515)+N(N515)+N(O515))</f>
        <v/>
      </c>
      <c r="Q515" s="58" t="n"/>
      <c r="R515" s="57" t="n"/>
      <c r="S515" s="57" t="n"/>
      <c r="T515" s="57" t="n"/>
      <c r="U515" s="62">
        <f>IF(C515="","",IF(COUNTIF(Tarieven!$A$2:$A$200,C515)=0,"Klant niet in Tarieven",IF(MOD(N(H515),1)*100&gt;59.4,"Tijd ongeldig: minuten boven 59",IF(J515="Nog bepalen","Prijstype nog bepalen",IF(AND(J515="Per uur",N(K515)=0),"Uurtarief ontbreekt",IF(AND(J515="Vaste prijs",N(K515)=0),"Vaste prijs ontbreekt",IF(AND(N(I515)=0,Q515&lt;&gt;"Niet doorgegaan / verplaatst",Q515&lt;&gt;"Geen factuur nodig"),"Geen uren",IF(AND(G515="NEE",Q515="Verstuurd"),"Verstuurd terwijl werk niet af",IF(IFERROR(VLOOKUP(C515,Tarieven!$A$2:$F$200,2,0),"")="Beide","Beide-klant: controleer prijstype","OK")))))))))</f>
        <v/>
      </c>
    </row>
    <row r="516" ht="15" customHeight="1" s="42">
      <c r="A516" s="56">
        <f>IF(B516="","",WEEKNUM(B516,21))</f>
        <v/>
      </c>
      <c r="B516" s="55" t="n"/>
      <c r="C516" s="57" t="n"/>
      <c r="D516" s="57" t="n"/>
      <c r="E516" s="57" t="n"/>
      <c r="F516" s="57" t="n"/>
      <c r="G516" s="67" t="n"/>
      <c r="H516" s="68" t="n"/>
      <c r="I516" s="61">
        <f>IF(C516="","",IF(H516&lt;&gt;"",INT(H516)+ROUND(MOD(H516,1)*100/60,2),SUMIFS(Registraties!$L$5:$L$3004,Registraties!$D$5:$D$3004,C516,Registraties!$A$5:$A$3004,B516)))</f>
        <v/>
      </c>
      <c r="J516" s="58">
        <f>IF(C516="","",IFERROR(IF(VLOOKUP(C516,Tarieven!$A$2:$F$200,2,0)="Beide","Per uur",VLOOKUP(C516,Tarieven!$A$2:$F$200,2,0)),"Nog bepalen"))</f>
        <v/>
      </c>
      <c r="K516" s="69">
        <f>IF(C516="","",IF(J516="Per uur",IFERROR(VLOOKUP(C516,Tarieven!$A$2:$F$200,3,0),""),IF(J516="Vaste prijs",IFERROR(VLOOKUP(C516,Tarieven!$A$2:$F$200,4,0),""),"")))</f>
        <v/>
      </c>
      <c r="L516" s="70">
        <f>IF(C516="","",IF(J516="Per uur",N(I516)*N(K516),IF(J516="Vaste prijs",N(K516),0)))</f>
        <v/>
      </c>
      <c r="M516" s="69">
        <f>IF(C516="","",IFERROR(IF(N(VLOOKUP(C516,Tarieven!$A$2:$F$200,5,0))=0,"",VLOOKUP(C516,Tarieven!$A$2:$F$200,5,0)),""))</f>
        <v/>
      </c>
      <c r="N516" s="69" t="n"/>
      <c r="O516" s="69" t="n"/>
      <c r="P516" s="70">
        <f>IF(C516="","",N(L516)+N(M516)+N(N516)+N(O516))</f>
        <v/>
      </c>
      <c r="Q516" s="58" t="n"/>
      <c r="R516" s="57" t="n"/>
      <c r="S516" s="57" t="n"/>
      <c r="T516" s="57" t="n"/>
      <c r="U516" s="62">
        <f>IF(C516="","",IF(COUNTIF(Tarieven!$A$2:$A$200,C516)=0,"Klant niet in Tarieven",IF(MOD(N(H516),1)*100&gt;59.4,"Tijd ongeldig: minuten boven 59",IF(J516="Nog bepalen","Prijstype nog bepalen",IF(AND(J516="Per uur",N(K516)=0),"Uurtarief ontbreekt",IF(AND(J516="Vaste prijs",N(K516)=0),"Vaste prijs ontbreekt",IF(AND(N(I516)=0,Q516&lt;&gt;"Niet doorgegaan / verplaatst",Q516&lt;&gt;"Geen factuur nodig"),"Geen uren",IF(AND(G516="NEE",Q516="Verstuurd"),"Verstuurd terwijl werk niet af",IF(IFERROR(VLOOKUP(C516,Tarieven!$A$2:$F$200,2,0),"")="Beide","Beide-klant: controleer prijstype","OK")))))))))</f>
        <v/>
      </c>
    </row>
    <row r="517" ht="15" customHeight="1" s="42">
      <c r="A517" s="56">
        <f>IF(B517="","",WEEKNUM(B517,21))</f>
        <v/>
      </c>
      <c r="B517" s="55" t="n"/>
      <c r="C517" s="57" t="n"/>
      <c r="D517" s="57" t="n"/>
      <c r="E517" s="57" t="n"/>
      <c r="F517" s="57" t="n"/>
      <c r="G517" s="67" t="n"/>
      <c r="H517" s="68" t="n"/>
      <c r="I517" s="61">
        <f>IF(C517="","",IF(H517&lt;&gt;"",INT(H517)+ROUND(MOD(H517,1)*100/60,2),SUMIFS(Registraties!$L$5:$L$3004,Registraties!$D$5:$D$3004,C517,Registraties!$A$5:$A$3004,B517)))</f>
        <v/>
      </c>
      <c r="J517" s="58">
        <f>IF(C517="","",IFERROR(IF(VLOOKUP(C517,Tarieven!$A$2:$F$200,2,0)="Beide","Per uur",VLOOKUP(C517,Tarieven!$A$2:$F$200,2,0)),"Nog bepalen"))</f>
        <v/>
      </c>
      <c r="K517" s="69">
        <f>IF(C517="","",IF(J517="Per uur",IFERROR(VLOOKUP(C517,Tarieven!$A$2:$F$200,3,0),""),IF(J517="Vaste prijs",IFERROR(VLOOKUP(C517,Tarieven!$A$2:$F$200,4,0),""),"")))</f>
        <v/>
      </c>
      <c r="L517" s="70">
        <f>IF(C517="","",IF(J517="Per uur",N(I517)*N(K517),IF(J517="Vaste prijs",N(K517),0)))</f>
        <v/>
      </c>
      <c r="M517" s="69">
        <f>IF(C517="","",IFERROR(IF(N(VLOOKUP(C517,Tarieven!$A$2:$F$200,5,0))=0,"",VLOOKUP(C517,Tarieven!$A$2:$F$200,5,0)),""))</f>
        <v/>
      </c>
      <c r="N517" s="69" t="n"/>
      <c r="O517" s="69" t="n"/>
      <c r="P517" s="70">
        <f>IF(C517="","",N(L517)+N(M517)+N(N517)+N(O517))</f>
        <v/>
      </c>
      <c r="Q517" s="58" t="n"/>
      <c r="R517" s="57" t="n"/>
      <c r="S517" s="57" t="n"/>
      <c r="T517" s="57" t="n"/>
      <c r="U517" s="62">
        <f>IF(C517="","",IF(COUNTIF(Tarieven!$A$2:$A$200,C517)=0,"Klant niet in Tarieven",IF(MOD(N(H517),1)*100&gt;59.4,"Tijd ongeldig: minuten boven 59",IF(J517="Nog bepalen","Prijstype nog bepalen",IF(AND(J517="Per uur",N(K517)=0),"Uurtarief ontbreekt",IF(AND(J517="Vaste prijs",N(K517)=0),"Vaste prijs ontbreekt",IF(AND(N(I517)=0,Q517&lt;&gt;"Niet doorgegaan / verplaatst",Q517&lt;&gt;"Geen factuur nodig"),"Geen uren",IF(AND(G517="NEE",Q517="Verstuurd"),"Verstuurd terwijl werk niet af",IF(IFERROR(VLOOKUP(C517,Tarieven!$A$2:$F$200,2,0),"")="Beide","Beide-klant: controleer prijstype","OK")))))))))</f>
        <v/>
      </c>
    </row>
    <row r="518" ht="15" customHeight="1" s="42">
      <c r="A518" s="56">
        <f>IF(B518="","",WEEKNUM(B518,21))</f>
        <v/>
      </c>
      <c r="B518" s="55" t="n"/>
      <c r="C518" s="57" t="n"/>
      <c r="D518" s="57" t="n"/>
      <c r="E518" s="57" t="n"/>
      <c r="F518" s="57" t="n"/>
      <c r="G518" s="67" t="n"/>
      <c r="H518" s="68" t="n"/>
      <c r="I518" s="61">
        <f>IF(C518="","",IF(H518&lt;&gt;"",INT(H518)+ROUND(MOD(H518,1)*100/60,2),SUMIFS(Registraties!$L$5:$L$3004,Registraties!$D$5:$D$3004,C518,Registraties!$A$5:$A$3004,B518)))</f>
        <v/>
      </c>
      <c r="J518" s="58">
        <f>IF(C518="","",IFERROR(IF(VLOOKUP(C518,Tarieven!$A$2:$F$200,2,0)="Beide","Per uur",VLOOKUP(C518,Tarieven!$A$2:$F$200,2,0)),"Nog bepalen"))</f>
        <v/>
      </c>
      <c r="K518" s="69">
        <f>IF(C518="","",IF(J518="Per uur",IFERROR(VLOOKUP(C518,Tarieven!$A$2:$F$200,3,0),""),IF(J518="Vaste prijs",IFERROR(VLOOKUP(C518,Tarieven!$A$2:$F$200,4,0),""),"")))</f>
        <v/>
      </c>
      <c r="L518" s="70">
        <f>IF(C518="","",IF(J518="Per uur",N(I518)*N(K518),IF(J518="Vaste prijs",N(K518),0)))</f>
        <v/>
      </c>
      <c r="M518" s="69">
        <f>IF(C518="","",IFERROR(IF(N(VLOOKUP(C518,Tarieven!$A$2:$F$200,5,0))=0,"",VLOOKUP(C518,Tarieven!$A$2:$F$200,5,0)),""))</f>
        <v/>
      </c>
      <c r="N518" s="69" t="n"/>
      <c r="O518" s="69" t="n"/>
      <c r="P518" s="70">
        <f>IF(C518="","",N(L518)+N(M518)+N(N518)+N(O518))</f>
        <v/>
      </c>
      <c r="Q518" s="58" t="n"/>
      <c r="R518" s="57" t="n"/>
      <c r="S518" s="57" t="n"/>
      <c r="T518" s="57" t="n"/>
      <c r="U518" s="62">
        <f>IF(C518="","",IF(COUNTIF(Tarieven!$A$2:$A$200,C518)=0,"Klant niet in Tarieven",IF(MOD(N(H518),1)*100&gt;59.4,"Tijd ongeldig: minuten boven 59",IF(J518="Nog bepalen","Prijstype nog bepalen",IF(AND(J518="Per uur",N(K518)=0),"Uurtarief ontbreekt",IF(AND(J518="Vaste prijs",N(K518)=0),"Vaste prijs ontbreekt",IF(AND(N(I518)=0,Q518&lt;&gt;"Niet doorgegaan / verplaatst",Q518&lt;&gt;"Geen factuur nodig"),"Geen uren",IF(AND(G518="NEE",Q518="Verstuurd"),"Verstuurd terwijl werk niet af",IF(IFERROR(VLOOKUP(C518,Tarieven!$A$2:$F$200,2,0),"")="Beide","Beide-klant: controleer prijstype","OK")))))))))</f>
        <v/>
      </c>
    </row>
    <row r="519" ht="15" customHeight="1" s="42">
      <c r="A519" s="56">
        <f>IF(B519="","",WEEKNUM(B519,21))</f>
        <v/>
      </c>
      <c r="B519" s="55" t="n"/>
      <c r="C519" s="57" t="n"/>
      <c r="D519" s="57" t="n"/>
      <c r="E519" s="57" t="n"/>
      <c r="F519" s="57" t="n"/>
      <c r="G519" s="67" t="n"/>
      <c r="H519" s="68" t="n"/>
      <c r="I519" s="61">
        <f>IF(C519="","",IF(H519&lt;&gt;"",INT(H519)+ROUND(MOD(H519,1)*100/60,2),SUMIFS(Registraties!$L$5:$L$3004,Registraties!$D$5:$D$3004,C519,Registraties!$A$5:$A$3004,B519)))</f>
        <v/>
      </c>
      <c r="J519" s="58">
        <f>IF(C519="","",IFERROR(IF(VLOOKUP(C519,Tarieven!$A$2:$F$200,2,0)="Beide","Per uur",VLOOKUP(C519,Tarieven!$A$2:$F$200,2,0)),"Nog bepalen"))</f>
        <v/>
      </c>
      <c r="K519" s="69">
        <f>IF(C519="","",IF(J519="Per uur",IFERROR(VLOOKUP(C519,Tarieven!$A$2:$F$200,3,0),""),IF(J519="Vaste prijs",IFERROR(VLOOKUP(C519,Tarieven!$A$2:$F$200,4,0),""),"")))</f>
        <v/>
      </c>
      <c r="L519" s="70">
        <f>IF(C519="","",IF(J519="Per uur",N(I519)*N(K519),IF(J519="Vaste prijs",N(K519),0)))</f>
        <v/>
      </c>
      <c r="M519" s="69">
        <f>IF(C519="","",IFERROR(IF(N(VLOOKUP(C519,Tarieven!$A$2:$F$200,5,0))=0,"",VLOOKUP(C519,Tarieven!$A$2:$F$200,5,0)),""))</f>
        <v/>
      </c>
      <c r="N519" s="69" t="n"/>
      <c r="O519" s="69" t="n"/>
      <c r="P519" s="70">
        <f>IF(C519="","",N(L519)+N(M519)+N(N519)+N(O519))</f>
        <v/>
      </c>
      <c r="Q519" s="58" t="n"/>
      <c r="R519" s="57" t="n"/>
      <c r="S519" s="57" t="n"/>
      <c r="T519" s="57" t="n"/>
      <c r="U519" s="62">
        <f>IF(C519="","",IF(COUNTIF(Tarieven!$A$2:$A$200,C519)=0,"Klant niet in Tarieven",IF(MOD(N(H519),1)*100&gt;59.4,"Tijd ongeldig: minuten boven 59",IF(J519="Nog bepalen","Prijstype nog bepalen",IF(AND(J519="Per uur",N(K519)=0),"Uurtarief ontbreekt",IF(AND(J519="Vaste prijs",N(K519)=0),"Vaste prijs ontbreekt",IF(AND(N(I519)=0,Q519&lt;&gt;"Niet doorgegaan / verplaatst",Q519&lt;&gt;"Geen factuur nodig"),"Geen uren",IF(AND(G519="NEE",Q519="Verstuurd"),"Verstuurd terwijl werk niet af",IF(IFERROR(VLOOKUP(C519,Tarieven!$A$2:$F$200,2,0),"")="Beide","Beide-klant: controleer prijstype","OK")))))))))</f>
        <v/>
      </c>
    </row>
    <row r="520" ht="15" customHeight="1" s="42">
      <c r="A520" s="56">
        <f>IF(B520="","",WEEKNUM(B520,21))</f>
        <v/>
      </c>
      <c r="B520" s="55" t="n"/>
      <c r="C520" s="57" t="n"/>
      <c r="D520" s="57" t="n"/>
      <c r="E520" s="57" t="n"/>
      <c r="F520" s="57" t="n"/>
      <c r="G520" s="67" t="n"/>
      <c r="H520" s="68" t="n"/>
      <c r="I520" s="61">
        <f>IF(C520="","",IF(H520&lt;&gt;"",INT(H520)+ROUND(MOD(H520,1)*100/60,2),SUMIFS(Registraties!$L$5:$L$3004,Registraties!$D$5:$D$3004,C520,Registraties!$A$5:$A$3004,B520)))</f>
        <v/>
      </c>
      <c r="J520" s="58">
        <f>IF(C520="","",IFERROR(IF(VLOOKUP(C520,Tarieven!$A$2:$F$200,2,0)="Beide","Per uur",VLOOKUP(C520,Tarieven!$A$2:$F$200,2,0)),"Nog bepalen"))</f>
        <v/>
      </c>
      <c r="K520" s="69">
        <f>IF(C520="","",IF(J520="Per uur",IFERROR(VLOOKUP(C520,Tarieven!$A$2:$F$200,3,0),""),IF(J520="Vaste prijs",IFERROR(VLOOKUP(C520,Tarieven!$A$2:$F$200,4,0),""),"")))</f>
        <v/>
      </c>
      <c r="L520" s="70">
        <f>IF(C520="","",IF(J520="Per uur",N(I520)*N(K520),IF(J520="Vaste prijs",N(K520),0)))</f>
        <v/>
      </c>
      <c r="M520" s="69">
        <f>IF(C520="","",IFERROR(IF(N(VLOOKUP(C520,Tarieven!$A$2:$F$200,5,0))=0,"",VLOOKUP(C520,Tarieven!$A$2:$F$200,5,0)),""))</f>
        <v/>
      </c>
      <c r="N520" s="69" t="n"/>
      <c r="O520" s="69" t="n"/>
      <c r="P520" s="70">
        <f>IF(C520="","",N(L520)+N(M520)+N(N520)+N(O520))</f>
        <v/>
      </c>
      <c r="Q520" s="58" t="n"/>
      <c r="R520" s="57" t="n"/>
      <c r="S520" s="57" t="n"/>
      <c r="T520" s="57" t="n"/>
      <c r="U520" s="62">
        <f>IF(C520="","",IF(COUNTIF(Tarieven!$A$2:$A$200,C520)=0,"Klant niet in Tarieven",IF(MOD(N(H520),1)*100&gt;59.4,"Tijd ongeldig: minuten boven 59",IF(J520="Nog bepalen","Prijstype nog bepalen",IF(AND(J520="Per uur",N(K520)=0),"Uurtarief ontbreekt",IF(AND(J520="Vaste prijs",N(K520)=0),"Vaste prijs ontbreekt",IF(AND(N(I520)=0,Q520&lt;&gt;"Niet doorgegaan / verplaatst",Q520&lt;&gt;"Geen factuur nodig"),"Geen uren",IF(AND(G520="NEE",Q520="Verstuurd"),"Verstuurd terwijl werk niet af",IF(IFERROR(VLOOKUP(C520,Tarieven!$A$2:$F$200,2,0),"")="Beide","Beide-klant: controleer prijstype","OK")))))))))</f>
        <v/>
      </c>
    </row>
    <row r="521" ht="15" customHeight="1" s="42">
      <c r="A521" s="56">
        <f>IF(B521="","",WEEKNUM(B521,21))</f>
        <v/>
      </c>
      <c r="B521" s="55" t="n"/>
      <c r="C521" s="57" t="n"/>
      <c r="D521" s="57" t="n"/>
      <c r="E521" s="57" t="n"/>
      <c r="F521" s="57" t="n"/>
      <c r="G521" s="67" t="n"/>
      <c r="H521" s="68" t="n"/>
      <c r="I521" s="61">
        <f>IF(C521="","",IF(H521&lt;&gt;"",INT(H521)+ROUND(MOD(H521,1)*100/60,2),SUMIFS(Registraties!$L$5:$L$3004,Registraties!$D$5:$D$3004,C521,Registraties!$A$5:$A$3004,B521)))</f>
        <v/>
      </c>
      <c r="J521" s="58">
        <f>IF(C521="","",IFERROR(IF(VLOOKUP(C521,Tarieven!$A$2:$F$200,2,0)="Beide","Per uur",VLOOKUP(C521,Tarieven!$A$2:$F$200,2,0)),"Nog bepalen"))</f>
        <v/>
      </c>
      <c r="K521" s="69">
        <f>IF(C521="","",IF(J521="Per uur",IFERROR(VLOOKUP(C521,Tarieven!$A$2:$F$200,3,0),""),IF(J521="Vaste prijs",IFERROR(VLOOKUP(C521,Tarieven!$A$2:$F$200,4,0),""),"")))</f>
        <v/>
      </c>
      <c r="L521" s="70">
        <f>IF(C521="","",IF(J521="Per uur",N(I521)*N(K521),IF(J521="Vaste prijs",N(K521),0)))</f>
        <v/>
      </c>
      <c r="M521" s="69">
        <f>IF(C521="","",IFERROR(IF(N(VLOOKUP(C521,Tarieven!$A$2:$F$200,5,0))=0,"",VLOOKUP(C521,Tarieven!$A$2:$F$200,5,0)),""))</f>
        <v/>
      </c>
      <c r="N521" s="69" t="n"/>
      <c r="O521" s="69" t="n"/>
      <c r="P521" s="70">
        <f>IF(C521="","",N(L521)+N(M521)+N(N521)+N(O521))</f>
        <v/>
      </c>
      <c r="Q521" s="58" t="n"/>
      <c r="R521" s="57" t="n"/>
      <c r="S521" s="57" t="n"/>
      <c r="T521" s="57" t="n"/>
      <c r="U521" s="62">
        <f>IF(C521="","",IF(COUNTIF(Tarieven!$A$2:$A$200,C521)=0,"Klant niet in Tarieven",IF(MOD(N(H521),1)*100&gt;59.4,"Tijd ongeldig: minuten boven 59",IF(J521="Nog bepalen","Prijstype nog bepalen",IF(AND(J521="Per uur",N(K521)=0),"Uurtarief ontbreekt",IF(AND(J521="Vaste prijs",N(K521)=0),"Vaste prijs ontbreekt",IF(AND(N(I521)=0,Q521&lt;&gt;"Niet doorgegaan / verplaatst",Q521&lt;&gt;"Geen factuur nodig"),"Geen uren",IF(AND(G521="NEE",Q521="Verstuurd"),"Verstuurd terwijl werk niet af",IF(IFERROR(VLOOKUP(C521,Tarieven!$A$2:$F$200,2,0),"")="Beide","Beide-klant: controleer prijstype","OK")))))))))</f>
        <v/>
      </c>
    </row>
    <row r="522" ht="15" customHeight="1" s="42">
      <c r="A522" s="56">
        <f>IF(B522="","",WEEKNUM(B522,21))</f>
        <v/>
      </c>
      <c r="B522" s="55" t="n"/>
      <c r="C522" s="57" t="n"/>
      <c r="D522" s="57" t="n"/>
      <c r="E522" s="57" t="n"/>
      <c r="F522" s="57" t="n"/>
      <c r="G522" s="67" t="n"/>
      <c r="H522" s="68" t="n"/>
      <c r="I522" s="61">
        <f>IF(C522="","",IF(H522&lt;&gt;"",INT(H522)+ROUND(MOD(H522,1)*100/60,2),SUMIFS(Registraties!$L$5:$L$3004,Registraties!$D$5:$D$3004,C522,Registraties!$A$5:$A$3004,B522)))</f>
        <v/>
      </c>
      <c r="J522" s="58">
        <f>IF(C522="","",IFERROR(IF(VLOOKUP(C522,Tarieven!$A$2:$F$200,2,0)="Beide","Per uur",VLOOKUP(C522,Tarieven!$A$2:$F$200,2,0)),"Nog bepalen"))</f>
        <v/>
      </c>
      <c r="K522" s="69">
        <f>IF(C522="","",IF(J522="Per uur",IFERROR(VLOOKUP(C522,Tarieven!$A$2:$F$200,3,0),""),IF(J522="Vaste prijs",IFERROR(VLOOKUP(C522,Tarieven!$A$2:$F$200,4,0),""),"")))</f>
        <v/>
      </c>
      <c r="L522" s="70">
        <f>IF(C522="","",IF(J522="Per uur",N(I522)*N(K522),IF(J522="Vaste prijs",N(K522),0)))</f>
        <v/>
      </c>
      <c r="M522" s="69">
        <f>IF(C522="","",IFERROR(IF(N(VLOOKUP(C522,Tarieven!$A$2:$F$200,5,0))=0,"",VLOOKUP(C522,Tarieven!$A$2:$F$200,5,0)),""))</f>
        <v/>
      </c>
      <c r="N522" s="69" t="n"/>
      <c r="O522" s="69" t="n"/>
      <c r="P522" s="70">
        <f>IF(C522="","",N(L522)+N(M522)+N(N522)+N(O522))</f>
        <v/>
      </c>
      <c r="Q522" s="58" t="n"/>
      <c r="R522" s="57" t="n"/>
      <c r="S522" s="57" t="n"/>
      <c r="T522" s="57" t="n"/>
      <c r="U522" s="62">
        <f>IF(C522="","",IF(COUNTIF(Tarieven!$A$2:$A$200,C522)=0,"Klant niet in Tarieven",IF(MOD(N(H522),1)*100&gt;59.4,"Tijd ongeldig: minuten boven 59",IF(J522="Nog bepalen","Prijstype nog bepalen",IF(AND(J522="Per uur",N(K522)=0),"Uurtarief ontbreekt",IF(AND(J522="Vaste prijs",N(K522)=0),"Vaste prijs ontbreekt",IF(AND(N(I522)=0,Q522&lt;&gt;"Niet doorgegaan / verplaatst",Q522&lt;&gt;"Geen factuur nodig"),"Geen uren",IF(AND(G522="NEE",Q522="Verstuurd"),"Verstuurd terwijl werk niet af",IF(IFERROR(VLOOKUP(C522,Tarieven!$A$2:$F$200,2,0),"")="Beide","Beide-klant: controleer prijstype","OK")))))))))</f>
        <v/>
      </c>
    </row>
    <row r="523" ht="15" customHeight="1" s="42">
      <c r="A523" s="56">
        <f>IF(B523="","",WEEKNUM(B523,21))</f>
        <v/>
      </c>
      <c r="B523" s="55" t="n"/>
      <c r="C523" s="57" t="n"/>
      <c r="D523" s="57" t="n"/>
      <c r="E523" s="57" t="n"/>
      <c r="F523" s="57" t="n"/>
      <c r="G523" s="67" t="n"/>
      <c r="H523" s="68" t="n"/>
      <c r="I523" s="61">
        <f>IF(C523="","",IF(H523&lt;&gt;"",INT(H523)+ROUND(MOD(H523,1)*100/60,2),SUMIFS(Registraties!$L$5:$L$3004,Registraties!$D$5:$D$3004,C523,Registraties!$A$5:$A$3004,B523)))</f>
        <v/>
      </c>
      <c r="J523" s="58">
        <f>IF(C523="","",IFERROR(IF(VLOOKUP(C523,Tarieven!$A$2:$F$200,2,0)="Beide","Per uur",VLOOKUP(C523,Tarieven!$A$2:$F$200,2,0)),"Nog bepalen"))</f>
        <v/>
      </c>
      <c r="K523" s="69">
        <f>IF(C523="","",IF(J523="Per uur",IFERROR(VLOOKUP(C523,Tarieven!$A$2:$F$200,3,0),""),IF(J523="Vaste prijs",IFERROR(VLOOKUP(C523,Tarieven!$A$2:$F$200,4,0),""),"")))</f>
        <v/>
      </c>
      <c r="L523" s="70">
        <f>IF(C523="","",IF(J523="Per uur",N(I523)*N(K523),IF(J523="Vaste prijs",N(K523),0)))</f>
        <v/>
      </c>
      <c r="M523" s="69">
        <f>IF(C523="","",IFERROR(IF(N(VLOOKUP(C523,Tarieven!$A$2:$F$200,5,0))=0,"",VLOOKUP(C523,Tarieven!$A$2:$F$200,5,0)),""))</f>
        <v/>
      </c>
      <c r="N523" s="69" t="n"/>
      <c r="O523" s="69" t="n"/>
      <c r="P523" s="70">
        <f>IF(C523="","",N(L523)+N(M523)+N(N523)+N(O523))</f>
        <v/>
      </c>
      <c r="Q523" s="58" t="n"/>
      <c r="R523" s="57" t="n"/>
      <c r="S523" s="57" t="n"/>
      <c r="T523" s="57" t="n"/>
      <c r="U523" s="62">
        <f>IF(C523="","",IF(COUNTIF(Tarieven!$A$2:$A$200,C523)=0,"Klant niet in Tarieven",IF(MOD(N(H523),1)*100&gt;59.4,"Tijd ongeldig: minuten boven 59",IF(J523="Nog bepalen","Prijstype nog bepalen",IF(AND(J523="Per uur",N(K523)=0),"Uurtarief ontbreekt",IF(AND(J523="Vaste prijs",N(K523)=0),"Vaste prijs ontbreekt",IF(AND(N(I523)=0,Q523&lt;&gt;"Niet doorgegaan / verplaatst",Q523&lt;&gt;"Geen factuur nodig"),"Geen uren",IF(AND(G523="NEE",Q523="Verstuurd"),"Verstuurd terwijl werk niet af",IF(IFERROR(VLOOKUP(C523,Tarieven!$A$2:$F$200,2,0),"")="Beide","Beide-klant: controleer prijstype","OK")))))))))</f>
        <v/>
      </c>
    </row>
    <row r="524" ht="15" customHeight="1" s="42">
      <c r="A524" s="56">
        <f>IF(B524="","",WEEKNUM(B524,21))</f>
        <v/>
      </c>
      <c r="B524" s="55" t="n"/>
      <c r="C524" s="57" t="n"/>
      <c r="D524" s="57" t="n"/>
      <c r="E524" s="57" t="n"/>
      <c r="F524" s="57" t="n"/>
      <c r="G524" s="67" t="n"/>
      <c r="H524" s="68" t="n"/>
      <c r="I524" s="61">
        <f>IF(C524="","",IF(H524&lt;&gt;"",INT(H524)+ROUND(MOD(H524,1)*100/60,2),SUMIFS(Registraties!$L$5:$L$3004,Registraties!$D$5:$D$3004,C524,Registraties!$A$5:$A$3004,B524)))</f>
        <v/>
      </c>
      <c r="J524" s="58">
        <f>IF(C524="","",IFERROR(IF(VLOOKUP(C524,Tarieven!$A$2:$F$200,2,0)="Beide","Per uur",VLOOKUP(C524,Tarieven!$A$2:$F$200,2,0)),"Nog bepalen"))</f>
        <v/>
      </c>
      <c r="K524" s="69">
        <f>IF(C524="","",IF(J524="Per uur",IFERROR(VLOOKUP(C524,Tarieven!$A$2:$F$200,3,0),""),IF(J524="Vaste prijs",IFERROR(VLOOKUP(C524,Tarieven!$A$2:$F$200,4,0),""),"")))</f>
        <v/>
      </c>
      <c r="L524" s="70">
        <f>IF(C524="","",IF(J524="Per uur",N(I524)*N(K524),IF(J524="Vaste prijs",N(K524),0)))</f>
        <v/>
      </c>
      <c r="M524" s="69">
        <f>IF(C524="","",IFERROR(IF(N(VLOOKUP(C524,Tarieven!$A$2:$F$200,5,0))=0,"",VLOOKUP(C524,Tarieven!$A$2:$F$200,5,0)),""))</f>
        <v/>
      </c>
      <c r="N524" s="69" t="n"/>
      <c r="O524" s="69" t="n"/>
      <c r="P524" s="70">
        <f>IF(C524="","",N(L524)+N(M524)+N(N524)+N(O524))</f>
        <v/>
      </c>
      <c r="Q524" s="58" t="n"/>
      <c r="R524" s="57" t="n"/>
      <c r="S524" s="57" t="n"/>
      <c r="T524" s="57" t="n"/>
      <c r="U524" s="62">
        <f>IF(C524="","",IF(COUNTIF(Tarieven!$A$2:$A$200,C524)=0,"Klant niet in Tarieven",IF(MOD(N(H524),1)*100&gt;59.4,"Tijd ongeldig: minuten boven 59",IF(J524="Nog bepalen","Prijstype nog bepalen",IF(AND(J524="Per uur",N(K524)=0),"Uurtarief ontbreekt",IF(AND(J524="Vaste prijs",N(K524)=0),"Vaste prijs ontbreekt",IF(AND(N(I524)=0,Q524&lt;&gt;"Niet doorgegaan / verplaatst",Q524&lt;&gt;"Geen factuur nodig"),"Geen uren",IF(AND(G524="NEE",Q524="Verstuurd"),"Verstuurd terwijl werk niet af",IF(IFERROR(VLOOKUP(C524,Tarieven!$A$2:$F$200,2,0),"")="Beide","Beide-klant: controleer prijstype","OK")))))))))</f>
        <v/>
      </c>
    </row>
    <row r="525" ht="15" customHeight="1" s="42">
      <c r="A525" s="56">
        <f>IF(B525="","",WEEKNUM(B525,21))</f>
        <v/>
      </c>
      <c r="B525" s="55" t="n"/>
      <c r="C525" s="57" t="n"/>
      <c r="D525" s="57" t="n"/>
      <c r="E525" s="57" t="n"/>
      <c r="F525" s="57" t="n"/>
      <c r="G525" s="67" t="n"/>
      <c r="H525" s="68" t="n"/>
      <c r="I525" s="61">
        <f>IF(C525="","",IF(H525&lt;&gt;"",INT(H525)+ROUND(MOD(H525,1)*100/60,2),SUMIFS(Registraties!$L$5:$L$3004,Registraties!$D$5:$D$3004,C525,Registraties!$A$5:$A$3004,B525)))</f>
        <v/>
      </c>
      <c r="J525" s="58">
        <f>IF(C525="","",IFERROR(IF(VLOOKUP(C525,Tarieven!$A$2:$F$200,2,0)="Beide","Per uur",VLOOKUP(C525,Tarieven!$A$2:$F$200,2,0)),"Nog bepalen"))</f>
        <v/>
      </c>
      <c r="K525" s="69">
        <f>IF(C525="","",IF(J525="Per uur",IFERROR(VLOOKUP(C525,Tarieven!$A$2:$F$200,3,0),""),IF(J525="Vaste prijs",IFERROR(VLOOKUP(C525,Tarieven!$A$2:$F$200,4,0),""),"")))</f>
        <v/>
      </c>
      <c r="L525" s="70">
        <f>IF(C525="","",IF(J525="Per uur",N(I525)*N(K525),IF(J525="Vaste prijs",N(K525),0)))</f>
        <v/>
      </c>
      <c r="M525" s="69">
        <f>IF(C525="","",IFERROR(IF(N(VLOOKUP(C525,Tarieven!$A$2:$F$200,5,0))=0,"",VLOOKUP(C525,Tarieven!$A$2:$F$200,5,0)),""))</f>
        <v/>
      </c>
      <c r="N525" s="69" t="n"/>
      <c r="O525" s="69" t="n"/>
      <c r="P525" s="70">
        <f>IF(C525="","",N(L525)+N(M525)+N(N525)+N(O525))</f>
        <v/>
      </c>
      <c r="Q525" s="58" t="n"/>
      <c r="R525" s="57" t="n"/>
      <c r="S525" s="57" t="n"/>
      <c r="T525" s="57" t="n"/>
      <c r="U525" s="62">
        <f>IF(C525="","",IF(COUNTIF(Tarieven!$A$2:$A$200,C525)=0,"Klant niet in Tarieven",IF(MOD(N(H525),1)*100&gt;59.4,"Tijd ongeldig: minuten boven 59",IF(J525="Nog bepalen","Prijstype nog bepalen",IF(AND(J525="Per uur",N(K525)=0),"Uurtarief ontbreekt",IF(AND(J525="Vaste prijs",N(K525)=0),"Vaste prijs ontbreekt",IF(AND(N(I525)=0,Q525&lt;&gt;"Niet doorgegaan / verplaatst",Q525&lt;&gt;"Geen factuur nodig"),"Geen uren",IF(AND(G525="NEE",Q525="Verstuurd"),"Verstuurd terwijl werk niet af",IF(IFERROR(VLOOKUP(C525,Tarieven!$A$2:$F$200,2,0),"")="Beide","Beide-klant: controleer prijstype","OK")))))))))</f>
        <v/>
      </c>
    </row>
    <row r="526" ht="15" customHeight="1" s="42">
      <c r="A526" s="56">
        <f>IF(B526="","",WEEKNUM(B526,21))</f>
        <v/>
      </c>
      <c r="B526" s="55" t="n"/>
      <c r="C526" s="57" t="n"/>
      <c r="D526" s="57" t="n"/>
      <c r="E526" s="57" t="n"/>
      <c r="F526" s="57" t="n"/>
      <c r="G526" s="67" t="n"/>
      <c r="H526" s="68" t="n"/>
      <c r="I526" s="61">
        <f>IF(C526="","",IF(H526&lt;&gt;"",INT(H526)+ROUND(MOD(H526,1)*100/60,2),SUMIFS(Registraties!$L$5:$L$3004,Registraties!$D$5:$D$3004,C526,Registraties!$A$5:$A$3004,B526)))</f>
        <v/>
      </c>
      <c r="J526" s="58">
        <f>IF(C526="","",IFERROR(IF(VLOOKUP(C526,Tarieven!$A$2:$F$200,2,0)="Beide","Per uur",VLOOKUP(C526,Tarieven!$A$2:$F$200,2,0)),"Nog bepalen"))</f>
        <v/>
      </c>
      <c r="K526" s="69">
        <f>IF(C526="","",IF(J526="Per uur",IFERROR(VLOOKUP(C526,Tarieven!$A$2:$F$200,3,0),""),IF(J526="Vaste prijs",IFERROR(VLOOKUP(C526,Tarieven!$A$2:$F$200,4,0),""),"")))</f>
        <v/>
      </c>
      <c r="L526" s="70">
        <f>IF(C526="","",IF(J526="Per uur",N(I526)*N(K526),IF(J526="Vaste prijs",N(K526),0)))</f>
        <v/>
      </c>
      <c r="M526" s="69">
        <f>IF(C526="","",IFERROR(IF(N(VLOOKUP(C526,Tarieven!$A$2:$F$200,5,0))=0,"",VLOOKUP(C526,Tarieven!$A$2:$F$200,5,0)),""))</f>
        <v/>
      </c>
      <c r="N526" s="69" t="n"/>
      <c r="O526" s="69" t="n"/>
      <c r="P526" s="70">
        <f>IF(C526="","",N(L526)+N(M526)+N(N526)+N(O526))</f>
        <v/>
      </c>
      <c r="Q526" s="58" t="n"/>
      <c r="R526" s="57" t="n"/>
      <c r="S526" s="57" t="n"/>
      <c r="T526" s="57" t="n"/>
      <c r="U526" s="62">
        <f>IF(C526="","",IF(COUNTIF(Tarieven!$A$2:$A$200,C526)=0,"Klant niet in Tarieven",IF(MOD(N(H526),1)*100&gt;59.4,"Tijd ongeldig: minuten boven 59",IF(J526="Nog bepalen","Prijstype nog bepalen",IF(AND(J526="Per uur",N(K526)=0),"Uurtarief ontbreekt",IF(AND(J526="Vaste prijs",N(K526)=0),"Vaste prijs ontbreekt",IF(AND(N(I526)=0,Q526&lt;&gt;"Niet doorgegaan / verplaatst",Q526&lt;&gt;"Geen factuur nodig"),"Geen uren",IF(AND(G526="NEE",Q526="Verstuurd"),"Verstuurd terwijl werk niet af",IF(IFERROR(VLOOKUP(C526,Tarieven!$A$2:$F$200,2,0),"")="Beide","Beide-klant: controleer prijstype","OK")))))))))</f>
        <v/>
      </c>
    </row>
    <row r="527" ht="15" customHeight="1" s="42">
      <c r="A527" s="56">
        <f>IF(B527="","",WEEKNUM(B527,21))</f>
        <v/>
      </c>
      <c r="B527" s="55" t="n"/>
      <c r="C527" s="57" t="n"/>
      <c r="D527" s="57" t="n"/>
      <c r="E527" s="57" t="n"/>
      <c r="F527" s="57" t="n"/>
      <c r="G527" s="67" t="n"/>
      <c r="H527" s="68" t="n"/>
      <c r="I527" s="61">
        <f>IF(C527="","",IF(H527&lt;&gt;"",INT(H527)+ROUND(MOD(H527,1)*100/60,2),SUMIFS(Registraties!$L$5:$L$3004,Registraties!$D$5:$D$3004,C527,Registraties!$A$5:$A$3004,B527)))</f>
        <v/>
      </c>
      <c r="J527" s="58">
        <f>IF(C527="","",IFERROR(IF(VLOOKUP(C527,Tarieven!$A$2:$F$200,2,0)="Beide","Per uur",VLOOKUP(C527,Tarieven!$A$2:$F$200,2,0)),"Nog bepalen"))</f>
        <v/>
      </c>
      <c r="K527" s="69">
        <f>IF(C527="","",IF(J527="Per uur",IFERROR(VLOOKUP(C527,Tarieven!$A$2:$F$200,3,0),""),IF(J527="Vaste prijs",IFERROR(VLOOKUP(C527,Tarieven!$A$2:$F$200,4,0),""),"")))</f>
        <v/>
      </c>
      <c r="L527" s="70">
        <f>IF(C527="","",IF(J527="Per uur",N(I527)*N(K527),IF(J527="Vaste prijs",N(K527),0)))</f>
        <v/>
      </c>
      <c r="M527" s="69">
        <f>IF(C527="","",IFERROR(IF(N(VLOOKUP(C527,Tarieven!$A$2:$F$200,5,0))=0,"",VLOOKUP(C527,Tarieven!$A$2:$F$200,5,0)),""))</f>
        <v/>
      </c>
      <c r="N527" s="69" t="n"/>
      <c r="O527" s="69" t="n"/>
      <c r="P527" s="70">
        <f>IF(C527="","",N(L527)+N(M527)+N(N527)+N(O527))</f>
        <v/>
      </c>
      <c r="Q527" s="58" t="n"/>
      <c r="R527" s="57" t="n"/>
      <c r="S527" s="57" t="n"/>
      <c r="T527" s="57" t="n"/>
      <c r="U527" s="62">
        <f>IF(C527="","",IF(COUNTIF(Tarieven!$A$2:$A$200,C527)=0,"Klant niet in Tarieven",IF(MOD(N(H527),1)*100&gt;59.4,"Tijd ongeldig: minuten boven 59",IF(J527="Nog bepalen","Prijstype nog bepalen",IF(AND(J527="Per uur",N(K527)=0),"Uurtarief ontbreekt",IF(AND(J527="Vaste prijs",N(K527)=0),"Vaste prijs ontbreekt",IF(AND(N(I527)=0,Q527&lt;&gt;"Niet doorgegaan / verplaatst",Q527&lt;&gt;"Geen factuur nodig"),"Geen uren",IF(AND(G527="NEE",Q527="Verstuurd"),"Verstuurd terwijl werk niet af",IF(IFERROR(VLOOKUP(C527,Tarieven!$A$2:$F$200,2,0),"")="Beide","Beide-klant: controleer prijstype","OK")))))))))</f>
        <v/>
      </c>
    </row>
    <row r="528" ht="15" customHeight="1" s="42">
      <c r="A528" s="56">
        <f>IF(B528="","",WEEKNUM(B528,21))</f>
        <v/>
      </c>
      <c r="B528" s="55" t="n"/>
      <c r="C528" s="57" t="n"/>
      <c r="D528" s="57" t="n"/>
      <c r="E528" s="57" t="n"/>
      <c r="F528" s="57" t="n"/>
      <c r="G528" s="67" t="n"/>
      <c r="H528" s="68" t="n"/>
      <c r="I528" s="61">
        <f>IF(C528="","",IF(H528&lt;&gt;"",INT(H528)+ROUND(MOD(H528,1)*100/60,2),SUMIFS(Registraties!$L$5:$L$3004,Registraties!$D$5:$D$3004,C528,Registraties!$A$5:$A$3004,B528)))</f>
        <v/>
      </c>
      <c r="J528" s="58">
        <f>IF(C528="","",IFERROR(IF(VLOOKUP(C528,Tarieven!$A$2:$F$200,2,0)="Beide","Per uur",VLOOKUP(C528,Tarieven!$A$2:$F$200,2,0)),"Nog bepalen"))</f>
        <v/>
      </c>
      <c r="K528" s="69">
        <f>IF(C528="","",IF(J528="Per uur",IFERROR(VLOOKUP(C528,Tarieven!$A$2:$F$200,3,0),""),IF(J528="Vaste prijs",IFERROR(VLOOKUP(C528,Tarieven!$A$2:$F$200,4,0),""),"")))</f>
        <v/>
      </c>
      <c r="L528" s="70">
        <f>IF(C528="","",IF(J528="Per uur",N(I528)*N(K528),IF(J528="Vaste prijs",N(K528),0)))</f>
        <v/>
      </c>
      <c r="M528" s="69">
        <f>IF(C528="","",IFERROR(IF(N(VLOOKUP(C528,Tarieven!$A$2:$F$200,5,0))=0,"",VLOOKUP(C528,Tarieven!$A$2:$F$200,5,0)),""))</f>
        <v/>
      </c>
      <c r="N528" s="69" t="n"/>
      <c r="O528" s="69" t="n"/>
      <c r="P528" s="70">
        <f>IF(C528="","",N(L528)+N(M528)+N(N528)+N(O528))</f>
        <v/>
      </c>
      <c r="Q528" s="58" t="n"/>
      <c r="R528" s="57" t="n"/>
      <c r="S528" s="57" t="n"/>
      <c r="T528" s="57" t="n"/>
      <c r="U528" s="62">
        <f>IF(C528="","",IF(COUNTIF(Tarieven!$A$2:$A$200,C528)=0,"Klant niet in Tarieven",IF(MOD(N(H528),1)*100&gt;59.4,"Tijd ongeldig: minuten boven 59",IF(J528="Nog bepalen","Prijstype nog bepalen",IF(AND(J528="Per uur",N(K528)=0),"Uurtarief ontbreekt",IF(AND(J528="Vaste prijs",N(K528)=0),"Vaste prijs ontbreekt",IF(AND(N(I528)=0,Q528&lt;&gt;"Niet doorgegaan / verplaatst",Q528&lt;&gt;"Geen factuur nodig"),"Geen uren",IF(AND(G528="NEE",Q528="Verstuurd"),"Verstuurd terwijl werk niet af",IF(IFERROR(VLOOKUP(C528,Tarieven!$A$2:$F$200,2,0),"")="Beide","Beide-klant: controleer prijstype","OK")))))))))</f>
        <v/>
      </c>
    </row>
    <row r="529" ht="15" customHeight="1" s="42">
      <c r="A529" s="56">
        <f>IF(B529="","",WEEKNUM(B529,21))</f>
        <v/>
      </c>
      <c r="B529" s="55" t="n"/>
      <c r="C529" s="57" t="n"/>
      <c r="D529" s="57" t="n"/>
      <c r="E529" s="57" t="n"/>
      <c r="F529" s="57" t="n"/>
      <c r="G529" s="67" t="n"/>
      <c r="H529" s="68" t="n"/>
      <c r="I529" s="61">
        <f>IF(C529="","",IF(H529&lt;&gt;"",INT(H529)+ROUND(MOD(H529,1)*100/60,2),SUMIFS(Registraties!$L$5:$L$3004,Registraties!$D$5:$D$3004,C529,Registraties!$A$5:$A$3004,B529)))</f>
        <v/>
      </c>
      <c r="J529" s="58">
        <f>IF(C529="","",IFERROR(IF(VLOOKUP(C529,Tarieven!$A$2:$F$200,2,0)="Beide","Per uur",VLOOKUP(C529,Tarieven!$A$2:$F$200,2,0)),"Nog bepalen"))</f>
        <v/>
      </c>
      <c r="K529" s="69">
        <f>IF(C529="","",IF(J529="Per uur",IFERROR(VLOOKUP(C529,Tarieven!$A$2:$F$200,3,0),""),IF(J529="Vaste prijs",IFERROR(VLOOKUP(C529,Tarieven!$A$2:$F$200,4,0),""),"")))</f>
        <v/>
      </c>
      <c r="L529" s="70">
        <f>IF(C529="","",IF(J529="Per uur",N(I529)*N(K529),IF(J529="Vaste prijs",N(K529),0)))</f>
        <v/>
      </c>
      <c r="M529" s="69">
        <f>IF(C529="","",IFERROR(IF(N(VLOOKUP(C529,Tarieven!$A$2:$F$200,5,0))=0,"",VLOOKUP(C529,Tarieven!$A$2:$F$200,5,0)),""))</f>
        <v/>
      </c>
      <c r="N529" s="69" t="n"/>
      <c r="O529" s="69" t="n"/>
      <c r="P529" s="70">
        <f>IF(C529="","",N(L529)+N(M529)+N(N529)+N(O529))</f>
        <v/>
      </c>
      <c r="Q529" s="58" t="n"/>
      <c r="R529" s="57" t="n"/>
      <c r="S529" s="57" t="n"/>
      <c r="T529" s="57" t="n"/>
      <c r="U529" s="62">
        <f>IF(C529="","",IF(COUNTIF(Tarieven!$A$2:$A$200,C529)=0,"Klant niet in Tarieven",IF(MOD(N(H529),1)*100&gt;59.4,"Tijd ongeldig: minuten boven 59",IF(J529="Nog bepalen","Prijstype nog bepalen",IF(AND(J529="Per uur",N(K529)=0),"Uurtarief ontbreekt",IF(AND(J529="Vaste prijs",N(K529)=0),"Vaste prijs ontbreekt",IF(AND(N(I529)=0,Q529&lt;&gt;"Niet doorgegaan / verplaatst",Q529&lt;&gt;"Geen factuur nodig"),"Geen uren",IF(AND(G529="NEE",Q529="Verstuurd"),"Verstuurd terwijl werk niet af",IF(IFERROR(VLOOKUP(C529,Tarieven!$A$2:$F$200,2,0),"")="Beide","Beide-klant: controleer prijstype","OK")))))))))</f>
        <v/>
      </c>
    </row>
    <row r="530" ht="15" customHeight="1" s="42">
      <c r="A530" s="56">
        <f>IF(B530="","",WEEKNUM(B530,21))</f>
        <v/>
      </c>
      <c r="B530" s="55" t="n"/>
      <c r="C530" s="57" t="n"/>
      <c r="D530" s="57" t="n"/>
      <c r="E530" s="57" t="n"/>
      <c r="F530" s="57" t="n"/>
      <c r="G530" s="67" t="n"/>
      <c r="H530" s="68" t="n"/>
      <c r="I530" s="61">
        <f>IF(C530="","",IF(H530&lt;&gt;"",INT(H530)+ROUND(MOD(H530,1)*100/60,2),SUMIFS(Registraties!$L$5:$L$3004,Registraties!$D$5:$D$3004,C530,Registraties!$A$5:$A$3004,B530)))</f>
        <v/>
      </c>
      <c r="J530" s="58">
        <f>IF(C530="","",IFERROR(IF(VLOOKUP(C530,Tarieven!$A$2:$F$200,2,0)="Beide","Per uur",VLOOKUP(C530,Tarieven!$A$2:$F$200,2,0)),"Nog bepalen"))</f>
        <v/>
      </c>
      <c r="K530" s="69">
        <f>IF(C530="","",IF(J530="Per uur",IFERROR(VLOOKUP(C530,Tarieven!$A$2:$F$200,3,0),""),IF(J530="Vaste prijs",IFERROR(VLOOKUP(C530,Tarieven!$A$2:$F$200,4,0),""),"")))</f>
        <v/>
      </c>
      <c r="L530" s="70">
        <f>IF(C530="","",IF(J530="Per uur",N(I530)*N(K530),IF(J530="Vaste prijs",N(K530),0)))</f>
        <v/>
      </c>
      <c r="M530" s="69">
        <f>IF(C530="","",IFERROR(IF(N(VLOOKUP(C530,Tarieven!$A$2:$F$200,5,0))=0,"",VLOOKUP(C530,Tarieven!$A$2:$F$200,5,0)),""))</f>
        <v/>
      </c>
      <c r="N530" s="69" t="n"/>
      <c r="O530" s="69" t="n"/>
      <c r="P530" s="70">
        <f>IF(C530="","",N(L530)+N(M530)+N(N530)+N(O530))</f>
        <v/>
      </c>
      <c r="Q530" s="58" t="n"/>
      <c r="R530" s="57" t="n"/>
      <c r="S530" s="57" t="n"/>
      <c r="T530" s="57" t="n"/>
      <c r="U530" s="62">
        <f>IF(C530="","",IF(COUNTIF(Tarieven!$A$2:$A$200,C530)=0,"Klant niet in Tarieven",IF(MOD(N(H530),1)*100&gt;59.4,"Tijd ongeldig: minuten boven 59",IF(J530="Nog bepalen","Prijstype nog bepalen",IF(AND(J530="Per uur",N(K530)=0),"Uurtarief ontbreekt",IF(AND(J530="Vaste prijs",N(K530)=0),"Vaste prijs ontbreekt",IF(AND(N(I530)=0,Q530&lt;&gt;"Niet doorgegaan / verplaatst",Q530&lt;&gt;"Geen factuur nodig"),"Geen uren",IF(AND(G530="NEE",Q530="Verstuurd"),"Verstuurd terwijl werk niet af",IF(IFERROR(VLOOKUP(C530,Tarieven!$A$2:$F$200,2,0),"")="Beide","Beide-klant: controleer prijstype","OK")))))))))</f>
        <v/>
      </c>
    </row>
    <row r="531" ht="15" customHeight="1" s="42">
      <c r="A531" s="56">
        <f>IF(B531="","",WEEKNUM(B531,21))</f>
        <v/>
      </c>
      <c r="B531" s="55" t="n"/>
      <c r="C531" s="57" t="n"/>
      <c r="D531" s="57" t="n"/>
      <c r="E531" s="57" t="n"/>
      <c r="F531" s="57" t="n"/>
      <c r="G531" s="67" t="n"/>
      <c r="H531" s="68" t="n"/>
      <c r="I531" s="61">
        <f>IF(C531="","",IF(H531&lt;&gt;"",INT(H531)+ROUND(MOD(H531,1)*100/60,2),SUMIFS(Registraties!$L$5:$L$3004,Registraties!$D$5:$D$3004,C531,Registraties!$A$5:$A$3004,B531)))</f>
        <v/>
      </c>
      <c r="J531" s="58">
        <f>IF(C531="","",IFERROR(IF(VLOOKUP(C531,Tarieven!$A$2:$F$200,2,0)="Beide","Per uur",VLOOKUP(C531,Tarieven!$A$2:$F$200,2,0)),"Nog bepalen"))</f>
        <v/>
      </c>
      <c r="K531" s="69">
        <f>IF(C531="","",IF(J531="Per uur",IFERROR(VLOOKUP(C531,Tarieven!$A$2:$F$200,3,0),""),IF(J531="Vaste prijs",IFERROR(VLOOKUP(C531,Tarieven!$A$2:$F$200,4,0),""),"")))</f>
        <v/>
      </c>
      <c r="L531" s="70">
        <f>IF(C531="","",IF(J531="Per uur",N(I531)*N(K531),IF(J531="Vaste prijs",N(K531),0)))</f>
        <v/>
      </c>
      <c r="M531" s="69">
        <f>IF(C531="","",IFERROR(IF(N(VLOOKUP(C531,Tarieven!$A$2:$F$200,5,0))=0,"",VLOOKUP(C531,Tarieven!$A$2:$F$200,5,0)),""))</f>
        <v/>
      </c>
      <c r="N531" s="69" t="n"/>
      <c r="O531" s="69" t="n"/>
      <c r="P531" s="70">
        <f>IF(C531="","",N(L531)+N(M531)+N(N531)+N(O531))</f>
        <v/>
      </c>
      <c r="Q531" s="58" t="n"/>
      <c r="R531" s="57" t="n"/>
      <c r="S531" s="57" t="n"/>
      <c r="T531" s="57" t="n"/>
      <c r="U531" s="62">
        <f>IF(C531="","",IF(COUNTIF(Tarieven!$A$2:$A$200,C531)=0,"Klant niet in Tarieven",IF(MOD(N(H531),1)*100&gt;59.4,"Tijd ongeldig: minuten boven 59",IF(J531="Nog bepalen","Prijstype nog bepalen",IF(AND(J531="Per uur",N(K531)=0),"Uurtarief ontbreekt",IF(AND(J531="Vaste prijs",N(K531)=0),"Vaste prijs ontbreekt",IF(AND(N(I531)=0,Q531&lt;&gt;"Niet doorgegaan / verplaatst",Q531&lt;&gt;"Geen factuur nodig"),"Geen uren",IF(AND(G531="NEE",Q531="Verstuurd"),"Verstuurd terwijl werk niet af",IF(IFERROR(VLOOKUP(C531,Tarieven!$A$2:$F$200,2,0),"")="Beide","Beide-klant: controleer prijstype","OK")))))))))</f>
        <v/>
      </c>
    </row>
    <row r="532" ht="15" customHeight="1" s="42">
      <c r="A532" s="56">
        <f>IF(B532="","",WEEKNUM(B532,21))</f>
        <v/>
      </c>
      <c r="B532" s="55" t="n"/>
      <c r="C532" s="57" t="n"/>
      <c r="D532" s="57" t="n"/>
      <c r="E532" s="57" t="n"/>
      <c r="F532" s="57" t="n"/>
      <c r="G532" s="67" t="n"/>
      <c r="H532" s="68" t="n"/>
      <c r="I532" s="61">
        <f>IF(C532="","",IF(H532&lt;&gt;"",INT(H532)+ROUND(MOD(H532,1)*100/60,2),SUMIFS(Registraties!$L$5:$L$3004,Registraties!$D$5:$D$3004,C532,Registraties!$A$5:$A$3004,B532)))</f>
        <v/>
      </c>
      <c r="J532" s="58">
        <f>IF(C532="","",IFERROR(IF(VLOOKUP(C532,Tarieven!$A$2:$F$200,2,0)="Beide","Per uur",VLOOKUP(C532,Tarieven!$A$2:$F$200,2,0)),"Nog bepalen"))</f>
        <v/>
      </c>
      <c r="K532" s="69">
        <f>IF(C532="","",IF(J532="Per uur",IFERROR(VLOOKUP(C532,Tarieven!$A$2:$F$200,3,0),""),IF(J532="Vaste prijs",IFERROR(VLOOKUP(C532,Tarieven!$A$2:$F$200,4,0),""),"")))</f>
        <v/>
      </c>
      <c r="L532" s="70">
        <f>IF(C532="","",IF(J532="Per uur",N(I532)*N(K532),IF(J532="Vaste prijs",N(K532),0)))</f>
        <v/>
      </c>
      <c r="M532" s="69">
        <f>IF(C532="","",IFERROR(IF(N(VLOOKUP(C532,Tarieven!$A$2:$F$200,5,0))=0,"",VLOOKUP(C532,Tarieven!$A$2:$F$200,5,0)),""))</f>
        <v/>
      </c>
      <c r="N532" s="69" t="n"/>
      <c r="O532" s="69" t="n"/>
      <c r="P532" s="70">
        <f>IF(C532="","",N(L532)+N(M532)+N(N532)+N(O532))</f>
        <v/>
      </c>
      <c r="Q532" s="58" t="n"/>
      <c r="R532" s="57" t="n"/>
      <c r="S532" s="57" t="n"/>
      <c r="T532" s="57" t="n"/>
      <c r="U532" s="62">
        <f>IF(C532="","",IF(COUNTIF(Tarieven!$A$2:$A$200,C532)=0,"Klant niet in Tarieven",IF(MOD(N(H532),1)*100&gt;59.4,"Tijd ongeldig: minuten boven 59",IF(J532="Nog bepalen","Prijstype nog bepalen",IF(AND(J532="Per uur",N(K532)=0),"Uurtarief ontbreekt",IF(AND(J532="Vaste prijs",N(K532)=0),"Vaste prijs ontbreekt",IF(AND(N(I532)=0,Q532&lt;&gt;"Niet doorgegaan / verplaatst",Q532&lt;&gt;"Geen factuur nodig"),"Geen uren",IF(AND(G532="NEE",Q532="Verstuurd"),"Verstuurd terwijl werk niet af",IF(IFERROR(VLOOKUP(C532,Tarieven!$A$2:$F$200,2,0),"")="Beide","Beide-klant: controleer prijstype","OK")))))))))</f>
        <v/>
      </c>
    </row>
    <row r="533" ht="15" customHeight="1" s="42">
      <c r="A533" s="56">
        <f>IF(B533="","",WEEKNUM(B533,21))</f>
        <v/>
      </c>
      <c r="B533" s="55" t="n"/>
      <c r="C533" s="57" t="n"/>
      <c r="D533" s="57" t="n"/>
      <c r="E533" s="57" t="n"/>
      <c r="F533" s="57" t="n"/>
      <c r="G533" s="67" t="n"/>
      <c r="H533" s="68" t="n"/>
      <c r="I533" s="61">
        <f>IF(C533="","",IF(H533&lt;&gt;"",INT(H533)+ROUND(MOD(H533,1)*100/60,2),SUMIFS(Registraties!$L$5:$L$3004,Registraties!$D$5:$D$3004,C533,Registraties!$A$5:$A$3004,B533)))</f>
        <v/>
      </c>
      <c r="J533" s="58">
        <f>IF(C533="","",IFERROR(IF(VLOOKUP(C533,Tarieven!$A$2:$F$200,2,0)="Beide","Per uur",VLOOKUP(C533,Tarieven!$A$2:$F$200,2,0)),"Nog bepalen"))</f>
        <v/>
      </c>
      <c r="K533" s="69">
        <f>IF(C533="","",IF(J533="Per uur",IFERROR(VLOOKUP(C533,Tarieven!$A$2:$F$200,3,0),""),IF(J533="Vaste prijs",IFERROR(VLOOKUP(C533,Tarieven!$A$2:$F$200,4,0),""),"")))</f>
        <v/>
      </c>
      <c r="L533" s="70">
        <f>IF(C533="","",IF(J533="Per uur",N(I533)*N(K533),IF(J533="Vaste prijs",N(K533),0)))</f>
        <v/>
      </c>
      <c r="M533" s="69">
        <f>IF(C533="","",IFERROR(IF(N(VLOOKUP(C533,Tarieven!$A$2:$F$200,5,0))=0,"",VLOOKUP(C533,Tarieven!$A$2:$F$200,5,0)),""))</f>
        <v/>
      </c>
      <c r="N533" s="69" t="n"/>
      <c r="O533" s="69" t="n"/>
      <c r="P533" s="70">
        <f>IF(C533="","",N(L533)+N(M533)+N(N533)+N(O533))</f>
        <v/>
      </c>
      <c r="Q533" s="58" t="n"/>
      <c r="R533" s="57" t="n"/>
      <c r="S533" s="57" t="n"/>
      <c r="T533" s="57" t="n"/>
      <c r="U533" s="62">
        <f>IF(C533="","",IF(COUNTIF(Tarieven!$A$2:$A$200,C533)=0,"Klant niet in Tarieven",IF(MOD(N(H533),1)*100&gt;59.4,"Tijd ongeldig: minuten boven 59",IF(J533="Nog bepalen","Prijstype nog bepalen",IF(AND(J533="Per uur",N(K533)=0),"Uurtarief ontbreekt",IF(AND(J533="Vaste prijs",N(K533)=0),"Vaste prijs ontbreekt",IF(AND(N(I533)=0,Q533&lt;&gt;"Niet doorgegaan / verplaatst",Q533&lt;&gt;"Geen factuur nodig"),"Geen uren",IF(AND(G533="NEE",Q533="Verstuurd"),"Verstuurd terwijl werk niet af",IF(IFERROR(VLOOKUP(C533,Tarieven!$A$2:$F$200,2,0),"")="Beide","Beide-klant: controleer prijstype","OK")))))))))</f>
        <v/>
      </c>
    </row>
    <row r="534" ht="15" customHeight="1" s="42">
      <c r="A534" s="56">
        <f>IF(B534="","",WEEKNUM(B534,21))</f>
        <v/>
      </c>
      <c r="B534" s="55" t="n"/>
      <c r="C534" s="57" t="n"/>
      <c r="D534" s="57" t="n"/>
      <c r="E534" s="57" t="n"/>
      <c r="F534" s="57" t="n"/>
      <c r="G534" s="67" t="n"/>
      <c r="H534" s="68" t="n"/>
      <c r="I534" s="61">
        <f>IF(C534="","",IF(H534&lt;&gt;"",INT(H534)+ROUND(MOD(H534,1)*100/60,2),SUMIFS(Registraties!$L$5:$L$3004,Registraties!$D$5:$D$3004,C534,Registraties!$A$5:$A$3004,B534)))</f>
        <v/>
      </c>
      <c r="J534" s="58">
        <f>IF(C534="","",IFERROR(IF(VLOOKUP(C534,Tarieven!$A$2:$F$200,2,0)="Beide","Per uur",VLOOKUP(C534,Tarieven!$A$2:$F$200,2,0)),"Nog bepalen"))</f>
        <v/>
      </c>
      <c r="K534" s="69">
        <f>IF(C534="","",IF(J534="Per uur",IFERROR(VLOOKUP(C534,Tarieven!$A$2:$F$200,3,0),""),IF(J534="Vaste prijs",IFERROR(VLOOKUP(C534,Tarieven!$A$2:$F$200,4,0),""),"")))</f>
        <v/>
      </c>
      <c r="L534" s="70">
        <f>IF(C534="","",IF(J534="Per uur",N(I534)*N(K534),IF(J534="Vaste prijs",N(K534),0)))</f>
        <v/>
      </c>
      <c r="M534" s="69">
        <f>IF(C534="","",IFERROR(IF(N(VLOOKUP(C534,Tarieven!$A$2:$F$200,5,0))=0,"",VLOOKUP(C534,Tarieven!$A$2:$F$200,5,0)),""))</f>
        <v/>
      </c>
      <c r="N534" s="69" t="n"/>
      <c r="O534" s="69" t="n"/>
      <c r="P534" s="70">
        <f>IF(C534="","",N(L534)+N(M534)+N(N534)+N(O534))</f>
        <v/>
      </c>
      <c r="Q534" s="58" t="n"/>
      <c r="R534" s="57" t="n"/>
      <c r="S534" s="57" t="n"/>
      <c r="T534" s="57" t="n"/>
      <c r="U534" s="62">
        <f>IF(C534="","",IF(COUNTIF(Tarieven!$A$2:$A$200,C534)=0,"Klant niet in Tarieven",IF(MOD(N(H534),1)*100&gt;59.4,"Tijd ongeldig: minuten boven 59",IF(J534="Nog bepalen","Prijstype nog bepalen",IF(AND(J534="Per uur",N(K534)=0),"Uurtarief ontbreekt",IF(AND(J534="Vaste prijs",N(K534)=0),"Vaste prijs ontbreekt",IF(AND(N(I534)=0,Q534&lt;&gt;"Niet doorgegaan / verplaatst",Q534&lt;&gt;"Geen factuur nodig"),"Geen uren",IF(AND(G534="NEE",Q534="Verstuurd"),"Verstuurd terwijl werk niet af",IF(IFERROR(VLOOKUP(C534,Tarieven!$A$2:$F$200,2,0),"")="Beide","Beide-klant: controleer prijstype","OK")))))))))</f>
        <v/>
      </c>
    </row>
    <row r="535" ht="15" customHeight="1" s="42">
      <c r="A535" s="56">
        <f>IF(B535="","",WEEKNUM(B535,21))</f>
        <v/>
      </c>
      <c r="B535" s="55" t="n"/>
      <c r="C535" s="57" t="n"/>
      <c r="D535" s="57" t="n"/>
      <c r="E535" s="57" t="n"/>
      <c r="F535" s="57" t="n"/>
      <c r="G535" s="67" t="n"/>
      <c r="H535" s="68" t="n"/>
      <c r="I535" s="61">
        <f>IF(C535="","",IF(H535&lt;&gt;"",INT(H535)+ROUND(MOD(H535,1)*100/60,2),SUMIFS(Registraties!$L$5:$L$3004,Registraties!$D$5:$D$3004,C535,Registraties!$A$5:$A$3004,B535)))</f>
        <v/>
      </c>
      <c r="J535" s="58">
        <f>IF(C535="","",IFERROR(IF(VLOOKUP(C535,Tarieven!$A$2:$F$200,2,0)="Beide","Per uur",VLOOKUP(C535,Tarieven!$A$2:$F$200,2,0)),"Nog bepalen"))</f>
        <v/>
      </c>
      <c r="K535" s="69">
        <f>IF(C535="","",IF(J535="Per uur",IFERROR(VLOOKUP(C535,Tarieven!$A$2:$F$200,3,0),""),IF(J535="Vaste prijs",IFERROR(VLOOKUP(C535,Tarieven!$A$2:$F$200,4,0),""),"")))</f>
        <v/>
      </c>
      <c r="L535" s="70">
        <f>IF(C535="","",IF(J535="Per uur",N(I535)*N(K535),IF(J535="Vaste prijs",N(K535),0)))</f>
        <v/>
      </c>
      <c r="M535" s="69">
        <f>IF(C535="","",IFERROR(IF(N(VLOOKUP(C535,Tarieven!$A$2:$F$200,5,0))=0,"",VLOOKUP(C535,Tarieven!$A$2:$F$200,5,0)),""))</f>
        <v/>
      </c>
      <c r="N535" s="69" t="n"/>
      <c r="O535" s="69" t="n"/>
      <c r="P535" s="70">
        <f>IF(C535="","",N(L535)+N(M535)+N(N535)+N(O535))</f>
        <v/>
      </c>
      <c r="Q535" s="58" t="n"/>
      <c r="R535" s="57" t="n"/>
      <c r="S535" s="57" t="n"/>
      <c r="T535" s="57" t="n"/>
      <c r="U535" s="62">
        <f>IF(C535="","",IF(COUNTIF(Tarieven!$A$2:$A$200,C535)=0,"Klant niet in Tarieven",IF(MOD(N(H535),1)*100&gt;59.4,"Tijd ongeldig: minuten boven 59",IF(J535="Nog bepalen","Prijstype nog bepalen",IF(AND(J535="Per uur",N(K535)=0),"Uurtarief ontbreekt",IF(AND(J535="Vaste prijs",N(K535)=0),"Vaste prijs ontbreekt",IF(AND(N(I535)=0,Q535&lt;&gt;"Niet doorgegaan / verplaatst",Q535&lt;&gt;"Geen factuur nodig"),"Geen uren",IF(AND(G535="NEE",Q535="Verstuurd"),"Verstuurd terwijl werk niet af",IF(IFERROR(VLOOKUP(C535,Tarieven!$A$2:$F$200,2,0),"")="Beide","Beide-klant: controleer prijstype","OK")))))))))</f>
        <v/>
      </c>
    </row>
    <row r="536" ht="15" customHeight="1" s="42">
      <c r="A536" s="56">
        <f>IF(B536="","",WEEKNUM(B536,21))</f>
        <v/>
      </c>
      <c r="B536" s="55" t="n"/>
      <c r="C536" s="57" t="n"/>
      <c r="D536" s="57" t="n"/>
      <c r="E536" s="57" t="n"/>
      <c r="F536" s="57" t="n"/>
      <c r="G536" s="67" t="n"/>
      <c r="H536" s="68" t="n"/>
      <c r="I536" s="61">
        <f>IF(C536="","",IF(H536&lt;&gt;"",INT(H536)+ROUND(MOD(H536,1)*100/60,2),SUMIFS(Registraties!$L$5:$L$3004,Registraties!$D$5:$D$3004,C536,Registraties!$A$5:$A$3004,B536)))</f>
        <v/>
      </c>
      <c r="J536" s="58">
        <f>IF(C536="","",IFERROR(IF(VLOOKUP(C536,Tarieven!$A$2:$F$200,2,0)="Beide","Per uur",VLOOKUP(C536,Tarieven!$A$2:$F$200,2,0)),"Nog bepalen"))</f>
        <v/>
      </c>
      <c r="K536" s="69">
        <f>IF(C536="","",IF(J536="Per uur",IFERROR(VLOOKUP(C536,Tarieven!$A$2:$F$200,3,0),""),IF(J536="Vaste prijs",IFERROR(VLOOKUP(C536,Tarieven!$A$2:$F$200,4,0),""),"")))</f>
        <v/>
      </c>
      <c r="L536" s="70">
        <f>IF(C536="","",IF(J536="Per uur",N(I536)*N(K536),IF(J536="Vaste prijs",N(K536),0)))</f>
        <v/>
      </c>
      <c r="M536" s="69">
        <f>IF(C536="","",IFERROR(IF(N(VLOOKUP(C536,Tarieven!$A$2:$F$200,5,0))=0,"",VLOOKUP(C536,Tarieven!$A$2:$F$200,5,0)),""))</f>
        <v/>
      </c>
      <c r="N536" s="69" t="n"/>
      <c r="O536" s="69" t="n"/>
      <c r="P536" s="70">
        <f>IF(C536="","",N(L536)+N(M536)+N(N536)+N(O536))</f>
        <v/>
      </c>
      <c r="Q536" s="58" t="n"/>
      <c r="R536" s="57" t="n"/>
      <c r="S536" s="57" t="n"/>
      <c r="T536" s="57" t="n"/>
      <c r="U536" s="62">
        <f>IF(C536="","",IF(COUNTIF(Tarieven!$A$2:$A$200,C536)=0,"Klant niet in Tarieven",IF(MOD(N(H536),1)*100&gt;59.4,"Tijd ongeldig: minuten boven 59",IF(J536="Nog bepalen","Prijstype nog bepalen",IF(AND(J536="Per uur",N(K536)=0),"Uurtarief ontbreekt",IF(AND(J536="Vaste prijs",N(K536)=0),"Vaste prijs ontbreekt",IF(AND(N(I536)=0,Q536&lt;&gt;"Niet doorgegaan / verplaatst",Q536&lt;&gt;"Geen factuur nodig"),"Geen uren",IF(AND(G536="NEE",Q536="Verstuurd"),"Verstuurd terwijl werk niet af",IF(IFERROR(VLOOKUP(C536,Tarieven!$A$2:$F$200,2,0),"")="Beide","Beide-klant: controleer prijstype","OK")))))))))</f>
        <v/>
      </c>
    </row>
    <row r="537" ht="15" customHeight="1" s="42">
      <c r="A537" s="56">
        <f>IF(B537="","",WEEKNUM(B537,21))</f>
        <v/>
      </c>
      <c r="B537" s="55" t="n"/>
      <c r="C537" s="57" t="n"/>
      <c r="D537" s="57" t="n"/>
      <c r="E537" s="57" t="n"/>
      <c r="F537" s="57" t="n"/>
      <c r="G537" s="67" t="n"/>
      <c r="H537" s="68" t="n"/>
      <c r="I537" s="61">
        <f>IF(C537="","",IF(H537&lt;&gt;"",INT(H537)+ROUND(MOD(H537,1)*100/60,2),SUMIFS(Registraties!$L$5:$L$3004,Registraties!$D$5:$D$3004,C537,Registraties!$A$5:$A$3004,B537)))</f>
        <v/>
      </c>
      <c r="J537" s="58">
        <f>IF(C537="","",IFERROR(IF(VLOOKUP(C537,Tarieven!$A$2:$F$200,2,0)="Beide","Per uur",VLOOKUP(C537,Tarieven!$A$2:$F$200,2,0)),"Nog bepalen"))</f>
        <v/>
      </c>
      <c r="K537" s="69">
        <f>IF(C537="","",IF(J537="Per uur",IFERROR(VLOOKUP(C537,Tarieven!$A$2:$F$200,3,0),""),IF(J537="Vaste prijs",IFERROR(VLOOKUP(C537,Tarieven!$A$2:$F$200,4,0),""),"")))</f>
        <v/>
      </c>
      <c r="L537" s="70">
        <f>IF(C537="","",IF(J537="Per uur",N(I537)*N(K537),IF(J537="Vaste prijs",N(K537),0)))</f>
        <v/>
      </c>
      <c r="M537" s="69">
        <f>IF(C537="","",IFERROR(IF(N(VLOOKUP(C537,Tarieven!$A$2:$F$200,5,0))=0,"",VLOOKUP(C537,Tarieven!$A$2:$F$200,5,0)),""))</f>
        <v/>
      </c>
      <c r="N537" s="69" t="n"/>
      <c r="O537" s="69" t="n"/>
      <c r="P537" s="70">
        <f>IF(C537="","",N(L537)+N(M537)+N(N537)+N(O537))</f>
        <v/>
      </c>
      <c r="Q537" s="58" t="n"/>
      <c r="R537" s="57" t="n"/>
      <c r="S537" s="57" t="n"/>
      <c r="T537" s="57" t="n"/>
      <c r="U537" s="62">
        <f>IF(C537="","",IF(COUNTIF(Tarieven!$A$2:$A$200,C537)=0,"Klant niet in Tarieven",IF(MOD(N(H537),1)*100&gt;59.4,"Tijd ongeldig: minuten boven 59",IF(J537="Nog bepalen","Prijstype nog bepalen",IF(AND(J537="Per uur",N(K537)=0),"Uurtarief ontbreekt",IF(AND(J537="Vaste prijs",N(K537)=0),"Vaste prijs ontbreekt",IF(AND(N(I537)=0,Q537&lt;&gt;"Niet doorgegaan / verplaatst",Q537&lt;&gt;"Geen factuur nodig"),"Geen uren",IF(AND(G537="NEE",Q537="Verstuurd"),"Verstuurd terwijl werk niet af",IF(IFERROR(VLOOKUP(C537,Tarieven!$A$2:$F$200,2,0),"")="Beide","Beide-klant: controleer prijstype","OK")))))))))</f>
        <v/>
      </c>
    </row>
    <row r="538" ht="15" customHeight="1" s="42">
      <c r="A538" s="56">
        <f>IF(B538="","",WEEKNUM(B538,21))</f>
        <v/>
      </c>
      <c r="B538" s="55" t="n"/>
      <c r="C538" s="57" t="n"/>
      <c r="D538" s="57" t="n"/>
      <c r="E538" s="57" t="n"/>
      <c r="F538" s="57" t="n"/>
      <c r="G538" s="67" t="n"/>
      <c r="H538" s="68" t="n"/>
      <c r="I538" s="61">
        <f>IF(C538="","",IF(H538&lt;&gt;"",INT(H538)+ROUND(MOD(H538,1)*100/60,2),SUMIFS(Registraties!$L$5:$L$3004,Registraties!$D$5:$D$3004,C538,Registraties!$A$5:$A$3004,B538)))</f>
        <v/>
      </c>
      <c r="J538" s="58">
        <f>IF(C538="","",IFERROR(IF(VLOOKUP(C538,Tarieven!$A$2:$F$200,2,0)="Beide","Per uur",VLOOKUP(C538,Tarieven!$A$2:$F$200,2,0)),"Nog bepalen"))</f>
        <v/>
      </c>
      <c r="K538" s="69">
        <f>IF(C538="","",IF(J538="Per uur",IFERROR(VLOOKUP(C538,Tarieven!$A$2:$F$200,3,0),""),IF(J538="Vaste prijs",IFERROR(VLOOKUP(C538,Tarieven!$A$2:$F$200,4,0),""),"")))</f>
        <v/>
      </c>
      <c r="L538" s="70">
        <f>IF(C538="","",IF(J538="Per uur",N(I538)*N(K538),IF(J538="Vaste prijs",N(K538),0)))</f>
        <v/>
      </c>
      <c r="M538" s="69">
        <f>IF(C538="","",IFERROR(IF(N(VLOOKUP(C538,Tarieven!$A$2:$F$200,5,0))=0,"",VLOOKUP(C538,Tarieven!$A$2:$F$200,5,0)),""))</f>
        <v/>
      </c>
      <c r="N538" s="69" t="n"/>
      <c r="O538" s="69" t="n"/>
      <c r="P538" s="70">
        <f>IF(C538="","",N(L538)+N(M538)+N(N538)+N(O538))</f>
        <v/>
      </c>
      <c r="Q538" s="58" t="n"/>
      <c r="R538" s="57" t="n"/>
      <c r="S538" s="57" t="n"/>
      <c r="T538" s="57" t="n"/>
      <c r="U538" s="62">
        <f>IF(C538="","",IF(COUNTIF(Tarieven!$A$2:$A$200,C538)=0,"Klant niet in Tarieven",IF(MOD(N(H538),1)*100&gt;59.4,"Tijd ongeldig: minuten boven 59",IF(J538="Nog bepalen","Prijstype nog bepalen",IF(AND(J538="Per uur",N(K538)=0),"Uurtarief ontbreekt",IF(AND(J538="Vaste prijs",N(K538)=0),"Vaste prijs ontbreekt",IF(AND(N(I538)=0,Q538&lt;&gt;"Niet doorgegaan / verplaatst",Q538&lt;&gt;"Geen factuur nodig"),"Geen uren",IF(AND(G538="NEE",Q538="Verstuurd"),"Verstuurd terwijl werk niet af",IF(IFERROR(VLOOKUP(C538,Tarieven!$A$2:$F$200,2,0),"")="Beide","Beide-klant: controleer prijstype","OK")))))))))</f>
        <v/>
      </c>
    </row>
    <row r="539" ht="15" customHeight="1" s="42">
      <c r="A539" s="56">
        <f>IF(B539="","",WEEKNUM(B539,21))</f>
        <v/>
      </c>
      <c r="B539" s="55" t="n"/>
      <c r="C539" s="57" t="n"/>
      <c r="D539" s="57" t="n"/>
      <c r="E539" s="57" t="n"/>
      <c r="F539" s="57" t="n"/>
      <c r="G539" s="67" t="n"/>
      <c r="H539" s="68" t="n"/>
      <c r="I539" s="61">
        <f>IF(C539="","",IF(H539&lt;&gt;"",INT(H539)+ROUND(MOD(H539,1)*100/60,2),SUMIFS(Registraties!$L$5:$L$3004,Registraties!$D$5:$D$3004,C539,Registraties!$A$5:$A$3004,B539)))</f>
        <v/>
      </c>
      <c r="J539" s="58">
        <f>IF(C539="","",IFERROR(IF(VLOOKUP(C539,Tarieven!$A$2:$F$200,2,0)="Beide","Per uur",VLOOKUP(C539,Tarieven!$A$2:$F$200,2,0)),"Nog bepalen"))</f>
        <v/>
      </c>
      <c r="K539" s="69">
        <f>IF(C539="","",IF(J539="Per uur",IFERROR(VLOOKUP(C539,Tarieven!$A$2:$F$200,3,0),""),IF(J539="Vaste prijs",IFERROR(VLOOKUP(C539,Tarieven!$A$2:$F$200,4,0),""),"")))</f>
        <v/>
      </c>
      <c r="L539" s="70">
        <f>IF(C539="","",IF(J539="Per uur",N(I539)*N(K539),IF(J539="Vaste prijs",N(K539),0)))</f>
        <v/>
      </c>
      <c r="M539" s="69">
        <f>IF(C539="","",IFERROR(IF(N(VLOOKUP(C539,Tarieven!$A$2:$F$200,5,0))=0,"",VLOOKUP(C539,Tarieven!$A$2:$F$200,5,0)),""))</f>
        <v/>
      </c>
      <c r="N539" s="69" t="n"/>
      <c r="O539" s="69" t="n"/>
      <c r="P539" s="70">
        <f>IF(C539="","",N(L539)+N(M539)+N(N539)+N(O539))</f>
        <v/>
      </c>
      <c r="Q539" s="58" t="n"/>
      <c r="R539" s="57" t="n"/>
      <c r="S539" s="57" t="n"/>
      <c r="T539" s="57" t="n"/>
      <c r="U539" s="62">
        <f>IF(C539="","",IF(COUNTIF(Tarieven!$A$2:$A$200,C539)=0,"Klant niet in Tarieven",IF(MOD(N(H539),1)*100&gt;59.4,"Tijd ongeldig: minuten boven 59",IF(J539="Nog bepalen","Prijstype nog bepalen",IF(AND(J539="Per uur",N(K539)=0),"Uurtarief ontbreekt",IF(AND(J539="Vaste prijs",N(K539)=0),"Vaste prijs ontbreekt",IF(AND(N(I539)=0,Q539&lt;&gt;"Niet doorgegaan / verplaatst",Q539&lt;&gt;"Geen factuur nodig"),"Geen uren",IF(AND(G539="NEE",Q539="Verstuurd"),"Verstuurd terwijl werk niet af",IF(IFERROR(VLOOKUP(C539,Tarieven!$A$2:$F$200,2,0),"")="Beide","Beide-klant: controleer prijstype","OK")))))))))</f>
        <v/>
      </c>
    </row>
    <row r="540" ht="15" customHeight="1" s="42">
      <c r="A540" s="56">
        <f>IF(B540="","",WEEKNUM(B540,21))</f>
        <v/>
      </c>
      <c r="B540" s="55" t="n"/>
      <c r="C540" s="57" t="n"/>
      <c r="D540" s="57" t="n"/>
      <c r="E540" s="57" t="n"/>
      <c r="F540" s="57" t="n"/>
      <c r="G540" s="67" t="n"/>
      <c r="H540" s="68" t="n"/>
      <c r="I540" s="61">
        <f>IF(C540="","",IF(H540&lt;&gt;"",INT(H540)+ROUND(MOD(H540,1)*100/60,2),SUMIFS(Registraties!$L$5:$L$3004,Registraties!$D$5:$D$3004,C540,Registraties!$A$5:$A$3004,B540)))</f>
        <v/>
      </c>
      <c r="J540" s="58">
        <f>IF(C540="","",IFERROR(IF(VLOOKUP(C540,Tarieven!$A$2:$F$200,2,0)="Beide","Per uur",VLOOKUP(C540,Tarieven!$A$2:$F$200,2,0)),"Nog bepalen"))</f>
        <v/>
      </c>
      <c r="K540" s="69">
        <f>IF(C540="","",IF(J540="Per uur",IFERROR(VLOOKUP(C540,Tarieven!$A$2:$F$200,3,0),""),IF(J540="Vaste prijs",IFERROR(VLOOKUP(C540,Tarieven!$A$2:$F$200,4,0),""),"")))</f>
        <v/>
      </c>
      <c r="L540" s="70">
        <f>IF(C540="","",IF(J540="Per uur",N(I540)*N(K540),IF(J540="Vaste prijs",N(K540),0)))</f>
        <v/>
      </c>
      <c r="M540" s="69">
        <f>IF(C540="","",IFERROR(IF(N(VLOOKUP(C540,Tarieven!$A$2:$F$200,5,0))=0,"",VLOOKUP(C540,Tarieven!$A$2:$F$200,5,0)),""))</f>
        <v/>
      </c>
      <c r="N540" s="69" t="n"/>
      <c r="O540" s="69" t="n"/>
      <c r="P540" s="70">
        <f>IF(C540="","",N(L540)+N(M540)+N(N540)+N(O540))</f>
        <v/>
      </c>
      <c r="Q540" s="58" t="n"/>
      <c r="R540" s="57" t="n"/>
      <c r="S540" s="57" t="n"/>
      <c r="T540" s="57" t="n"/>
      <c r="U540" s="62">
        <f>IF(C540="","",IF(COUNTIF(Tarieven!$A$2:$A$200,C540)=0,"Klant niet in Tarieven",IF(MOD(N(H540),1)*100&gt;59.4,"Tijd ongeldig: minuten boven 59",IF(J540="Nog bepalen","Prijstype nog bepalen",IF(AND(J540="Per uur",N(K540)=0),"Uurtarief ontbreekt",IF(AND(J540="Vaste prijs",N(K540)=0),"Vaste prijs ontbreekt",IF(AND(N(I540)=0,Q540&lt;&gt;"Niet doorgegaan / verplaatst",Q540&lt;&gt;"Geen factuur nodig"),"Geen uren",IF(AND(G540="NEE",Q540="Verstuurd"),"Verstuurd terwijl werk niet af",IF(IFERROR(VLOOKUP(C540,Tarieven!$A$2:$F$200,2,0),"")="Beide","Beide-klant: controleer prijstype","OK")))))))))</f>
        <v/>
      </c>
    </row>
    <row r="541" ht="15" customHeight="1" s="42">
      <c r="A541" s="56">
        <f>IF(B541="","",WEEKNUM(B541,21))</f>
        <v/>
      </c>
      <c r="B541" s="55" t="n"/>
      <c r="C541" s="57" t="n"/>
      <c r="D541" s="57" t="n"/>
      <c r="E541" s="57" t="n"/>
      <c r="F541" s="57" t="n"/>
      <c r="G541" s="67" t="n"/>
      <c r="H541" s="68" t="n"/>
      <c r="I541" s="61">
        <f>IF(C541="","",IF(H541&lt;&gt;"",INT(H541)+ROUND(MOD(H541,1)*100/60,2),SUMIFS(Registraties!$L$5:$L$3004,Registraties!$D$5:$D$3004,C541,Registraties!$A$5:$A$3004,B541)))</f>
        <v/>
      </c>
      <c r="J541" s="58">
        <f>IF(C541="","",IFERROR(IF(VLOOKUP(C541,Tarieven!$A$2:$F$200,2,0)="Beide","Per uur",VLOOKUP(C541,Tarieven!$A$2:$F$200,2,0)),"Nog bepalen"))</f>
        <v/>
      </c>
      <c r="K541" s="69">
        <f>IF(C541="","",IF(J541="Per uur",IFERROR(VLOOKUP(C541,Tarieven!$A$2:$F$200,3,0),""),IF(J541="Vaste prijs",IFERROR(VLOOKUP(C541,Tarieven!$A$2:$F$200,4,0),""),"")))</f>
        <v/>
      </c>
      <c r="L541" s="70">
        <f>IF(C541="","",IF(J541="Per uur",N(I541)*N(K541),IF(J541="Vaste prijs",N(K541),0)))</f>
        <v/>
      </c>
      <c r="M541" s="69">
        <f>IF(C541="","",IFERROR(IF(N(VLOOKUP(C541,Tarieven!$A$2:$F$200,5,0))=0,"",VLOOKUP(C541,Tarieven!$A$2:$F$200,5,0)),""))</f>
        <v/>
      </c>
      <c r="N541" s="69" t="n"/>
      <c r="O541" s="69" t="n"/>
      <c r="P541" s="70">
        <f>IF(C541="","",N(L541)+N(M541)+N(N541)+N(O541))</f>
        <v/>
      </c>
      <c r="Q541" s="58" t="n"/>
      <c r="R541" s="57" t="n"/>
      <c r="S541" s="57" t="n"/>
      <c r="T541" s="57" t="n"/>
      <c r="U541" s="62">
        <f>IF(C541="","",IF(COUNTIF(Tarieven!$A$2:$A$200,C541)=0,"Klant niet in Tarieven",IF(MOD(N(H541),1)*100&gt;59.4,"Tijd ongeldig: minuten boven 59",IF(J541="Nog bepalen","Prijstype nog bepalen",IF(AND(J541="Per uur",N(K541)=0),"Uurtarief ontbreekt",IF(AND(J541="Vaste prijs",N(K541)=0),"Vaste prijs ontbreekt",IF(AND(N(I541)=0,Q541&lt;&gt;"Niet doorgegaan / verplaatst",Q541&lt;&gt;"Geen factuur nodig"),"Geen uren",IF(AND(G541="NEE",Q541="Verstuurd"),"Verstuurd terwijl werk niet af",IF(IFERROR(VLOOKUP(C541,Tarieven!$A$2:$F$200,2,0),"")="Beide","Beide-klant: controleer prijstype","OK")))))))))</f>
        <v/>
      </c>
    </row>
    <row r="542" ht="15" customHeight="1" s="42">
      <c r="A542" s="56">
        <f>IF(B542="","",WEEKNUM(B542,21))</f>
        <v/>
      </c>
      <c r="B542" s="55" t="n"/>
      <c r="C542" s="57" t="n"/>
      <c r="D542" s="57" t="n"/>
      <c r="E542" s="57" t="n"/>
      <c r="F542" s="57" t="n"/>
      <c r="G542" s="67" t="n"/>
      <c r="H542" s="68" t="n"/>
      <c r="I542" s="61">
        <f>IF(C542="","",IF(H542&lt;&gt;"",INT(H542)+ROUND(MOD(H542,1)*100/60,2),SUMIFS(Registraties!$L$5:$L$3004,Registraties!$D$5:$D$3004,C542,Registraties!$A$5:$A$3004,B542)))</f>
        <v/>
      </c>
      <c r="J542" s="58">
        <f>IF(C542="","",IFERROR(IF(VLOOKUP(C542,Tarieven!$A$2:$F$200,2,0)="Beide","Per uur",VLOOKUP(C542,Tarieven!$A$2:$F$200,2,0)),"Nog bepalen"))</f>
        <v/>
      </c>
      <c r="K542" s="69">
        <f>IF(C542="","",IF(J542="Per uur",IFERROR(VLOOKUP(C542,Tarieven!$A$2:$F$200,3,0),""),IF(J542="Vaste prijs",IFERROR(VLOOKUP(C542,Tarieven!$A$2:$F$200,4,0),""),"")))</f>
        <v/>
      </c>
      <c r="L542" s="70">
        <f>IF(C542="","",IF(J542="Per uur",N(I542)*N(K542),IF(J542="Vaste prijs",N(K542),0)))</f>
        <v/>
      </c>
      <c r="M542" s="69">
        <f>IF(C542="","",IFERROR(IF(N(VLOOKUP(C542,Tarieven!$A$2:$F$200,5,0))=0,"",VLOOKUP(C542,Tarieven!$A$2:$F$200,5,0)),""))</f>
        <v/>
      </c>
      <c r="N542" s="69" t="n"/>
      <c r="O542" s="69" t="n"/>
      <c r="P542" s="70">
        <f>IF(C542="","",N(L542)+N(M542)+N(N542)+N(O542))</f>
        <v/>
      </c>
      <c r="Q542" s="58" t="n"/>
      <c r="R542" s="57" t="n"/>
      <c r="S542" s="57" t="n"/>
      <c r="T542" s="57" t="n"/>
      <c r="U542" s="62">
        <f>IF(C542="","",IF(COUNTIF(Tarieven!$A$2:$A$200,C542)=0,"Klant niet in Tarieven",IF(MOD(N(H542),1)*100&gt;59.4,"Tijd ongeldig: minuten boven 59",IF(J542="Nog bepalen","Prijstype nog bepalen",IF(AND(J542="Per uur",N(K542)=0),"Uurtarief ontbreekt",IF(AND(J542="Vaste prijs",N(K542)=0),"Vaste prijs ontbreekt",IF(AND(N(I542)=0,Q542&lt;&gt;"Niet doorgegaan / verplaatst",Q542&lt;&gt;"Geen factuur nodig"),"Geen uren",IF(AND(G542="NEE",Q542="Verstuurd"),"Verstuurd terwijl werk niet af",IF(IFERROR(VLOOKUP(C542,Tarieven!$A$2:$F$200,2,0),"")="Beide","Beide-klant: controleer prijstype","OK")))))))))</f>
        <v/>
      </c>
    </row>
    <row r="543" ht="15" customHeight="1" s="42">
      <c r="A543" s="56">
        <f>IF(B543="","",WEEKNUM(B543,21))</f>
        <v/>
      </c>
      <c r="B543" s="55" t="n"/>
      <c r="C543" s="57" t="n"/>
      <c r="D543" s="57" t="n"/>
      <c r="E543" s="57" t="n"/>
      <c r="F543" s="57" t="n"/>
      <c r="G543" s="67" t="n"/>
      <c r="H543" s="68" t="n"/>
      <c r="I543" s="61">
        <f>IF(C543="","",IF(H543&lt;&gt;"",INT(H543)+ROUND(MOD(H543,1)*100/60,2),SUMIFS(Registraties!$L$5:$L$3004,Registraties!$D$5:$D$3004,C543,Registraties!$A$5:$A$3004,B543)))</f>
        <v/>
      </c>
      <c r="J543" s="58">
        <f>IF(C543="","",IFERROR(IF(VLOOKUP(C543,Tarieven!$A$2:$F$200,2,0)="Beide","Per uur",VLOOKUP(C543,Tarieven!$A$2:$F$200,2,0)),"Nog bepalen"))</f>
        <v/>
      </c>
      <c r="K543" s="69">
        <f>IF(C543="","",IF(J543="Per uur",IFERROR(VLOOKUP(C543,Tarieven!$A$2:$F$200,3,0),""),IF(J543="Vaste prijs",IFERROR(VLOOKUP(C543,Tarieven!$A$2:$F$200,4,0),""),"")))</f>
        <v/>
      </c>
      <c r="L543" s="70">
        <f>IF(C543="","",IF(J543="Per uur",N(I543)*N(K543),IF(J543="Vaste prijs",N(K543),0)))</f>
        <v/>
      </c>
      <c r="M543" s="69">
        <f>IF(C543="","",IFERROR(IF(N(VLOOKUP(C543,Tarieven!$A$2:$F$200,5,0))=0,"",VLOOKUP(C543,Tarieven!$A$2:$F$200,5,0)),""))</f>
        <v/>
      </c>
      <c r="N543" s="69" t="n"/>
      <c r="O543" s="69" t="n"/>
      <c r="P543" s="70">
        <f>IF(C543="","",N(L543)+N(M543)+N(N543)+N(O543))</f>
        <v/>
      </c>
      <c r="Q543" s="58" t="n"/>
      <c r="R543" s="57" t="n"/>
      <c r="S543" s="57" t="n"/>
      <c r="T543" s="57" t="n"/>
      <c r="U543" s="62">
        <f>IF(C543="","",IF(COUNTIF(Tarieven!$A$2:$A$200,C543)=0,"Klant niet in Tarieven",IF(MOD(N(H543),1)*100&gt;59.4,"Tijd ongeldig: minuten boven 59",IF(J543="Nog bepalen","Prijstype nog bepalen",IF(AND(J543="Per uur",N(K543)=0),"Uurtarief ontbreekt",IF(AND(J543="Vaste prijs",N(K543)=0),"Vaste prijs ontbreekt",IF(AND(N(I543)=0,Q543&lt;&gt;"Niet doorgegaan / verplaatst",Q543&lt;&gt;"Geen factuur nodig"),"Geen uren",IF(AND(G543="NEE",Q543="Verstuurd"),"Verstuurd terwijl werk niet af",IF(IFERROR(VLOOKUP(C543,Tarieven!$A$2:$F$200,2,0),"")="Beide","Beide-klant: controleer prijstype","OK")))))))))</f>
        <v/>
      </c>
    </row>
    <row r="544" ht="15" customHeight="1" s="42">
      <c r="A544" s="56">
        <f>IF(B544="","",WEEKNUM(B544,21))</f>
        <v/>
      </c>
      <c r="B544" s="55" t="n"/>
      <c r="C544" s="57" t="n"/>
      <c r="D544" s="57" t="n"/>
      <c r="E544" s="57" t="n"/>
      <c r="F544" s="57" t="n"/>
      <c r="G544" s="67" t="n"/>
      <c r="H544" s="68" t="n"/>
      <c r="I544" s="61">
        <f>IF(C544="","",IF(H544&lt;&gt;"",INT(H544)+ROUND(MOD(H544,1)*100/60,2),SUMIFS(Registraties!$L$5:$L$3004,Registraties!$D$5:$D$3004,C544,Registraties!$A$5:$A$3004,B544)))</f>
        <v/>
      </c>
      <c r="J544" s="58">
        <f>IF(C544="","",IFERROR(IF(VLOOKUP(C544,Tarieven!$A$2:$F$200,2,0)="Beide","Per uur",VLOOKUP(C544,Tarieven!$A$2:$F$200,2,0)),"Nog bepalen"))</f>
        <v/>
      </c>
      <c r="K544" s="69">
        <f>IF(C544="","",IF(J544="Per uur",IFERROR(VLOOKUP(C544,Tarieven!$A$2:$F$200,3,0),""),IF(J544="Vaste prijs",IFERROR(VLOOKUP(C544,Tarieven!$A$2:$F$200,4,0),""),"")))</f>
        <v/>
      </c>
      <c r="L544" s="70">
        <f>IF(C544="","",IF(J544="Per uur",N(I544)*N(K544),IF(J544="Vaste prijs",N(K544),0)))</f>
        <v/>
      </c>
      <c r="M544" s="69">
        <f>IF(C544="","",IFERROR(IF(N(VLOOKUP(C544,Tarieven!$A$2:$F$200,5,0))=0,"",VLOOKUP(C544,Tarieven!$A$2:$F$200,5,0)),""))</f>
        <v/>
      </c>
      <c r="N544" s="69" t="n"/>
      <c r="O544" s="69" t="n"/>
      <c r="P544" s="70">
        <f>IF(C544="","",N(L544)+N(M544)+N(N544)+N(O544))</f>
        <v/>
      </c>
      <c r="Q544" s="58" t="n"/>
      <c r="R544" s="57" t="n"/>
      <c r="S544" s="57" t="n"/>
      <c r="T544" s="57" t="n"/>
      <c r="U544" s="62">
        <f>IF(C544="","",IF(COUNTIF(Tarieven!$A$2:$A$200,C544)=0,"Klant niet in Tarieven",IF(MOD(N(H544),1)*100&gt;59.4,"Tijd ongeldig: minuten boven 59",IF(J544="Nog bepalen","Prijstype nog bepalen",IF(AND(J544="Per uur",N(K544)=0),"Uurtarief ontbreekt",IF(AND(J544="Vaste prijs",N(K544)=0),"Vaste prijs ontbreekt",IF(AND(N(I544)=0,Q544&lt;&gt;"Niet doorgegaan / verplaatst",Q544&lt;&gt;"Geen factuur nodig"),"Geen uren",IF(AND(G544="NEE",Q544="Verstuurd"),"Verstuurd terwijl werk niet af",IF(IFERROR(VLOOKUP(C544,Tarieven!$A$2:$F$200,2,0),"")="Beide","Beide-klant: controleer prijstype","OK")))))))))</f>
        <v/>
      </c>
    </row>
    <row r="545" ht="15" customHeight="1" s="42">
      <c r="A545" s="56">
        <f>IF(B545="","",WEEKNUM(B545,21))</f>
        <v/>
      </c>
      <c r="B545" s="55" t="n"/>
      <c r="C545" s="57" t="n"/>
      <c r="D545" s="57" t="n"/>
      <c r="E545" s="57" t="n"/>
      <c r="F545" s="57" t="n"/>
      <c r="G545" s="67" t="n"/>
      <c r="H545" s="68" t="n"/>
      <c r="I545" s="61">
        <f>IF(C545="","",IF(H545&lt;&gt;"",INT(H545)+ROUND(MOD(H545,1)*100/60,2),SUMIFS(Registraties!$L$5:$L$3004,Registraties!$D$5:$D$3004,C545,Registraties!$A$5:$A$3004,B545)))</f>
        <v/>
      </c>
      <c r="J545" s="58">
        <f>IF(C545="","",IFERROR(IF(VLOOKUP(C545,Tarieven!$A$2:$F$200,2,0)="Beide","Per uur",VLOOKUP(C545,Tarieven!$A$2:$F$200,2,0)),"Nog bepalen"))</f>
        <v/>
      </c>
      <c r="K545" s="69">
        <f>IF(C545="","",IF(J545="Per uur",IFERROR(VLOOKUP(C545,Tarieven!$A$2:$F$200,3,0),""),IF(J545="Vaste prijs",IFERROR(VLOOKUP(C545,Tarieven!$A$2:$F$200,4,0),""),"")))</f>
        <v/>
      </c>
      <c r="L545" s="70">
        <f>IF(C545="","",IF(J545="Per uur",N(I545)*N(K545),IF(J545="Vaste prijs",N(K545),0)))</f>
        <v/>
      </c>
      <c r="M545" s="69">
        <f>IF(C545="","",IFERROR(IF(N(VLOOKUP(C545,Tarieven!$A$2:$F$200,5,0))=0,"",VLOOKUP(C545,Tarieven!$A$2:$F$200,5,0)),""))</f>
        <v/>
      </c>
      <c r="N545" s="69" t="n"/>
      <c r="O545" s="69" t="n"/>
      <c r="P545" s="70">
        <f>IF(C545="","",N(L545)+N(M545)+N(N545)+N(O545))</f>
        <v/>
      </c>
      <c r="Q545" s="58" t="n"/>
      <c r="R545" s="57" t="n"/>
      <c r="S545" s="57" t="n"/>
      <c r="T545" s="57" t="n"/>
      <c r="U545" s="62">
        <f>IF(C545="","",IF(COUNTIF(Tarieven!$A$2:$A$200,C545)=0,"Klant niet in Tarieven",IF(MOD(N(H545),1)*100&gt;59.4,"Tijd ongeldig: minuten boven 59",IF(J545="Nog bepalen","Prijstype nog bepalen",IF(AND(J545="Per uur",N(K545)=0),"Uurtarief ontbreekt",IF(AND(J545="Vaste prijs",N(K545)=0),"Vaste prijs ontbreekt",IF(AND(N(I545)=0,Q545&lt;&gt;"Niet doorgegaan / verplaatst",Q545&lt;&gt;"Geen factuur nodig"),"Geen uren",IF(AND(G545="NEE",Q545="Verstuurd"),"Verstuurd terwijl werk niet af",IF(IFERROR(VLOOKUP(C545,Tarieven!$A$2:$F$200,2,0),"")="Beide","Beide-klant: controleer prijstype","OK")))))))))</f>
        <v/>
      </c>
    </row>
    <row r="546" ht="15" customHeight="1" s="42">
      <c r="A546" s="56">
        <f>IF(B546="","",WEEKNUM(B546,21))</f>
        <v/>
      </c>
      <c r="B546" s="55" t="n"/>
      <c r="C546" s="57" t="n"/>
      <c r="D546" s="57" t="n"/>
      <c r="E546" s="57" t="n"/>
      <c r="F546" s="57" t="n"/>
      <c r="G546" s="67" t="n"/>
      <c r="H546" s="68" t="n"/>
      <c r="I546" s="61">
        <f>IF(C546="","",IF(H546&lt;&gt;"",INT(H546)+ROUND(MOD(H546,1)*100/60,2),SUMIFS(Registraties!$L$5:$L$3004,Registraties!$D$5:$D$3004,C546,Registraties!$A$5:$A$3004,B546)))</f>
        <v/>
      </c>
      <c r="J546" s="58">
        <f>IF(C546="","",IFERROR(IF(VLOOKUP(C546,Tarieven!$A$2:$F$200,2,0)="Beide","Per uur",VLOOKUP(C546,Tarieven!$A$2:$F$200,2,0)),"Nog bepalen"))</f>
        <v/>
      </c>
      <c r="K546" s="69">
        <f>IF(C546="","",IF(J546="Per uur",IFERROR(VLOOKUP(C546,Tarieven!$A$2:$F$200,3,0),""),IF(J546="Vaste prijs",IFERROR(VLOOKUP(C546,Tarieven!$A$2:$F$200,4,0),""),"")))</f>
        <v/>
      </c>
      <c r="L546" s="70">
        <f>IF(C546="","",IF(J546="Per uur",N(I546)*N(K546),IF(J546="Vaste prijs",N(K546),0)))</f>
        <v/>
      </c>
      <c r="M546" s="69">
        <f>IF(C546="","",IFERROR(IF(N(VLOOKUP(C546,Tarieven!$A$2:$F$200,5,0))=0,"",VLOOKUP(C546,Tarieven!$A$2:$F$200,5,0)),""))</f>
        <v/>
      </c>
      <c r="N546" s="69" t="n"/>
      <c r="O546" s="69" t="n"/>
      <c r="P546" s="70">
        <f>IF(C546="","",N(L546)+N(M546)+N(N546)+N(O546))</f>
        <v/>
      </c>
      <c r="Q546" s="58" t="n"/>
      <c r="R546" s="57" t="n"/>
      <c r="S546" s="57" t="n"/>
      <c r="T546" s="57" t="n"/>
      <c r="U546" s="62">
        <f>IF(C546="","",IF(COUNTIF(Tarieven!$A$2:$A$200,C546)=0,"Klant niet in Tarieven",IF(MOD(N(H546),1)*100&gt;59.4,"Tijd ongeldig: minuten boven 59",IF(J546="Nog bepalen","Prijstype nog bepalen",IF(AND(J546="Per uur",N(K546)=0),"Uurtarief ontbreekt",IF(AND(J546="Vaste prijs",N(K546)=0),"Vaste prijs ontbreekt",IF(AND(N(I546)=0,Q546&lt;&gt;"Niet doorgegaan / verplaatst",Q546&lt;&gt;"Geen factuur nodig"),"Geen uren",IF(AND(G546="NEE",Q546="Verstuurd"),"Verstuurd terwijl werk niet af",IF(IFERROR(VLOOKUP(C546,Tarieven!$A$2:$F$200,2,0),"")="Beide","Beide-klant: controleer prijstype","OK")))))))))</f>
        <v/>
      </c>
    </row>
    <row r="547" ht="15" customHeight="1" s="42">
      <c r="A547" s="56">
        <f>IF(B547="","",WEEKNUM(B547,21))</f>
        <v/>
      </c>
      <c r="B547" s="55" t="n"/>
      <c r="C547" s="57" t="n"/>
      <c r="D547" s="57" t="n"/>
      <c r="E547" s="57" t="n"/>
      <c r="F547" s="57" t="n"/>
      <c r="G547" s="67" t="n"/>
      <c r="H547" s="68" t="n"/>
      <c r="I547" s="61">
        <f>IF(C547="","",IF(H547&lt;&gt;"",INT(H547)+ROUND(MOD(H547,1)*100/60,2),SUMIFS(Registraties!$L$5:$L$3004,Registraties!$D$5:$D$3004,C547,Registraties!$A$5:$A$3004,B547)))</f>
        <v/>
      </c>
      <c r="J547" s="58">
        <f>IF(C547="","",IFERROR(IF(VLOOKUP(C547,Tarieven!$A$2:$F$200,2,0)="Beide","Per uur",VLOOKUP(C547,Tarieven!$A$2:$F$200,2,0)),"Nog bepalen"))</f>
        <v/>
      </c>
      <c r="K547" s="69">
        <f>IF(C547="","",IF(J547="Per uur",IFERROR(VLOOKUP(C547,Tarieven!$A$2:$F$200,3,0),""),IF(J547="Vaste prijs",IFERROR(VLOOKUP(C547,Tarieven!$A$2:$F$200,4,0),""),"")))</f>
        <v/>
      </c>
      <c r="L547" s="70">
        <f>IF(C547="","",IF(J547="Per uur",N(I547)*N(K547),IF(J547="Vaste prijs",N(K547),0)))</f>
        <v/>
      </c>
      <c r="M547" s="69">
        <f>IF(C547="","",IFERROR(IF(N(VLOOKUP(C547,Tarieven!$A$2:$F$200,5,0))=0,"",VLOOKUP(C547,Tarieven!$A$2:$F$200,5,0)),""))</f>
        <v/>
      </c>
      <c r="N547" s="69" t="n"/>
      <c r="O547" s="69" t="n"/>
      <c r="P547" s="70">
        <f>IF(C547="","",N(L547)+N(M547)+N(N547)+N(O547))</f>
        <v/>
      </c>
      <c r="Q547" s="58" t="n"/>
      <c r="R547" s="57" t="n"/>
      <c r="S547" s="57" t="n"/>
      <c r="T547" s="57" t="n"/>
      <c r="U547" s="62">
        <f>IF(C547="","",IF(COUNTIF(Tarieven!$A$2:$A$200,C547)=0,"Klant niet in Tarieven",IF(MOD(N(H547),1)*100&gt;59.4,"Tijd ongeldig: minuten boven 59",IF(J547="Nog bepalen","Prijstype nog bepalen",IF(AND(J547="Per uur",N(K547)=0),"Uurtarief ontbreekt",IF(AND(J547="Vaste prijs",N(K547)=0),"Vaste prijs ontbreekt",IF(AND(N(I547)=0,Q547&lt;&gt;"Niet doorgegaan / verplaatst",Q547&lt;&gt;"Geen factuur nodig"),"Geen uren",IF(AND(G547="NEE",Q547="Verstuurd"),"Verstuurd terwijl werk niet af",IF(IFERROR(VLOOKUP(C547,Tarieven!$A$2:$F$200,2,0),"")="Beide","Beide-klant: controleer prijstype","OK")))))))))</f>
        <v/>
      </c>
    </row>
    <row r="548" ht="15" customHeight="1" s="42">
      <c r="A548" s="56">
        <f>IF(B548="","",WEEKNUM(B548,21))</f>
        <v/>
      </c>
      <c r="B548" s="55" t="n"/>
      <c r="C548" s="57" t="n"/>
      <c r="D548" s="57" t="n"/>
      <c r="E548" s="57" t="n"/>
      <c r="F548" s="57" t="n"/>
      <c r="G548" s="67" t="n"/>
      <c r="H548" s="68" t="n"/>
      <c r="I548" s="61">
        <f>IF(C548="","",IF(H548&lt;&gt;"",INT(H548)+ROUND(MOD(H548,1)*100/60,2),SUMIFS(Registraties!$L$5:$L$3004,Registraties!$D$5:$D$3004,C548,Registraties!$A$5:$A$3004,B548)))</f>
        <v/>
      </c>
      <c r="J548" s="58">
        <f>IF(C548="","",IFERROR(IF(VLOOKUP(C548,Tarieven!$A$2:$F$200,2,0)="Beide","Per uur",VLOOKUP(C548,Tarieven!$A$2:$F$200,2,0)),"Nog bepalen"))</f>
        <v/>
      </c>
      <c r="K548" s="69">
        <f>IF(C548="","",IF(J548="Per uur",IFERROR(VLOOKUP(C548,Tarieven!$A$2:$F$200,3,0),""),IF(J548="Vaste prijs",IFERROR(VLOOKUP(C548,Tarieven!$A$2:$F$200,4,0),""),"")))</f>
        <v/>
      </c>
      <c r="L548" s="70">
        <f>IF(C548="","",IF(J548="Per uur",N(I548)*N(K548),IF(J548="Vaste prijs",N(K548),0)))</f>
        <v/>
      </c>
      <c r="M548" s="69">
        <f>IF(C548="","",IFERROR(IF(N(VLOOKUP(C548,Tarieven!$A$2:$F$200,5,0))=0,"",VLOOKUP(C548,Tarieven!$A$2:$F$200,5,0)),""))</f>
        <v/>
      </c>
      <c r="N548" s="69" t="n"/>
      <c r="O548" s="69" t="n"/>
      <c r="P548" s="70">
        <f>IF(C548="","",N(L548)+N(M548)+N(N548)+N(O548))</f>
        <v/>
      </c>
      <c r="Q548" s="58" t="n"/>
      <c r="R548" s="57" t="n"/>
      <c r="S548" s="57" t="n"/>
      <c r="T548" s="57" t="n"/>
      <c r="U548" s="62">
        <f>IF(C548="","",IF(COUNTIF(Tarieven!$A$2:$A$200,C548)=0,"Klant niet in Tarieven",IF(MOD(N(H548),1)*100&gt;59.4,"Tijd ongeldig: minuten boven 59",IF(J548="Nog bepalen","Prijstype nog bepalen",IF(AND(J548="Per uur",N(K548)=0),"Uurtarief ontbreekt",IF(AND(J548="Vaste prijs",N(K548)=0),"Vaste prijs ontbreekt",IF(AND(N(I548)=0,Q548&lt;&gt;"Niet doorgegaan / verplaatst",Q548&lt;&gt;"Geen factuur nodig"),"Geen uren",IF(AND(G548="NEE",Q548="Verstuurd"),"Verstuurd terwijl werk niet af",IF(IFERROR(VLOOKUP(C548,Tarieven!$A$2:$F$200,2,0),"")="Beide","Beide-klant: controleer prijstype","OK")))))))))</f>
        <v/>
      </c>
    </row>
    <row r="549" ht="15" customHeight="1" s="42">
      <c r="A549" s="56">
        <f>IF(B549="","",WEEKNUM(B549,21))</f>
        <v/>
      </c>
      <c r="B549" s="55" t="n"/>
      <c r="C549" s="57" t="n"/>
      <c r="D549" s="57" t="n"/>
      <c r="E549" s="57" t="n"/>
      <c r="F549" s="57" t="n"/>
      <c r="G549" s="67" t="n"/>
      <c r="H549" s="68" t="n"/>
      <c r="I549" s="61">
        <f>IF(C549="","",IF(H549&lt;&gt;"",INT(H549)+ROUND(MOD(H549,1)*100/60,2),SUMIFS(Registraties!$L$5:$L$3004,Registraties!$D$5:$D$3004,C549,Registraties!$A$5:$A$3004,B549)))</f>
        <v/>
      </c>
      <c r="J549" s="58">
        <f>IF(C549="","",IFERROR(IF(VLOOKUP(C549,Tarieven!$A$2:$F$200,2,0)="Beide","Per uur",VLOOKUP(C549,Tarieven!$A$2:$F$200,2,0)),"Nog bepalen"))</f>
        <v/>
      </c>
      <c r="K549" s="69">
        <f>IF(C549="","",IF(J549="Per uur",IFERROR(VLOOKUP(C549,Tarieven!$A$2:$F$200,3,0),""),IF(J549="Vaste prijs",IFERROR(VLOOKUP(C549,Tarieven!$A$2:$F$200,4,0),""),"")))</f>
        <v/>
      </c>
      <c r="L549" s="70">
        <f>IF(C549="","",IF(J549="Per uur",N(I549)*N(K549),IF(J549="Vaste prijs",N(K549),0)))</f>
        <v/>
      </c>
      <c r="M549" s="69">
        <f>IF(C549="","",IFERROR(IF(N(VLOOKUP(C549,Tarieven!$A$2:$F$200,5,0))=0,"",VLOOKUP(C549,Tarieven!$A$2:$F$200,5,0)),""))</f>
        <v/>
      </c>
      <c r="N549" s="69" t="n"/>
      <c r="O549" s="69" t="n"/>
      <c r="P549" s="70">
        <f>IF(C549="","",N(L549)+N(M549)+N(N549)+N(O549))</f>
        <v/>
      </c>
      <c r="Q549" s="58" t="n"/>
      <c r="R549" s="57" t="n"/>
      <c r="S549" s="57" t="n"/>
      <c r="T549" s="57" t="n"/>
      <c r="U549" s="62">
        <f>IF(C549="","",IF(COUNTIF(Tarieven!$A$2:$A$200,C549)=0,"Klant niet in Tarieven",IF(MOD(N(H549),1)*100&gt;59.4,"Tijd ongeldig: minuten boven 59",IF(J549="Nog bepalen","Prijstype nog bepalen",IF(AND(J549="Per uur",N(K549)=0),"Uurtarief ontbreekt",IF(AND(J549="Vaste prijs",N(K549)=0),"Vaste prijs ontbreekt",IF(AND(N(I549)=0,Q549&lt;&gt;"Niet doorgegaan / verplaatst",Q549&lt;&gt;"Geen factuur nodig"),"Geen uren",IF(AND(G549="NEE",Q549="Verstuurd"),"Verstuurd terwijl werk niet af",IF(IFERROR(VLOOKUP(C549,Tarieven!$A$2:$F$200,2,0),"")="Beide","Beide-klant: controleer prijstype","OK")))))))))</f>
        <v/>
      </c>
    </row>
    <row r="550" ht="15" customHeight="1" s="42">
      <c r="A550" s="56">
        <f>IF(B550="","",WEEKNUM(B550,21))</f>
        <v/>
      </c>
      <c r="B550" s="55" t="n"/>
      <c r="C550" s="57" t="n"/>
      <c r="D550" s="57" t="n"/>
      <c r="E550" s="57" t="n"/>
      <c r="F550" s="57" t="n"/>
      <c r="G550" s="67" t="n"/>
      <c r="H550" s="68" t="n"/>
      <c r="I550" s="61">
        <f>IF(C550="","",IF(H550&lt;&gt;"",INT(H550)+ROUND(MOD(H550,1)*100/60,2),SUMIFS(Registraties!$L$5:$L$3004,Registraties!$D$5:$D$3004,C550,Registraties!$A$5:$A$3004,B550)))</f>
        <v/>
      </c>
      <c r="J550" s="58">
        <f>IF(C550="","",IFERROR(IF(VLOOKUP(C550,Tarieven!$A$2:$F$200,2,0)="Beide","Per uur",VLOOKUP(C550,Tarieven!$A$2:$F$200,2,0)),"Nog bepalen"))</f>
        <v/>
      </c>
      <c r="K550" s="69">
        <f>IF(C550="","",IF(J550="Per uur",IFERROR(VLOOKUP(C550,Tarieven!$A$2:$F$200,3,0),""),IF(J550="Vaste prijs",IFERROR(VLOOKUP(C550,Tarieven!$A$2:$F$200,4,0),""),"")))</f>
        <v/>
      </c>
      <c r="L550" s="70">
        <f>IF(C550="","",IF(J550="Per uur",N(I550)*N(K550),IF(J550="Vaste prijs",N(K550),0)))</f>
        <v/>
      </c>
      <c r="M550" s="69">
        <f>IF(C550="","",IFERROR(IF(N(VLOOKUP(C550,Tarieven!$A$2:$F$200,5,0))=0,"",VLOOKUP(C550,Tarieven!$A$2:$F$200,5,0)),""))</f>
        <v/>
      </c>
      <c r="N550" s="69" t="n"/>
      <c r="O550" s="69" t="n"/>
      <c r="P550" s="70">
        <f>IF(C550="","",N(L550)+N(M550)+N(N550)+N(O550))</f>
        <v/>
      </c>
      <c r="Q550" s="58" t="n"/>
      <c r="R550" s="57" t="n"/>
      <c r="S550" s="57" t="n"/>
      <c r="T550" s="57" t="n"/>
      <c r="U550" s="62">
        <f>IF(C550="","",IF(COUNTIF(Tarieven!$A$2:$A$200,C550)=0,"Klant niet in Tarieven",IF(MOD(N(H550),1)*100&gt;59.4,"Tijd ongeldig: minuten boven 59",IF(J550="Nog bepalen","Prijstype nog bepalen",IF(AND(J550="Per uur",N(K550)=0),"Uurtarief ontbreekt",IF(AND(J550="Vaste prijs",N(K550)=0),"Vaste prijs ontbreekt",IF(AND(N(I550)=0,Q550&lt;&gt;"Niet doorgegaan / verplaatst",Q550&lt;&gt;"Geen factuur nodig"),"Geen uren",IF(AND(G550="NEE",Q550="Verstuurd"),"Verstuurd terwijl werk niet af",IF(IFERROR(VLOOKUP(C550,Tarieven!$A$2:$F$200,2,0),"")="Beide","Beide-klant: controleer prijstype","OK")))))))))</f>
        <v/>
      </c>
    </row>
    <row r="551" ht="15" customHeight="1" s="42">
      <c r="A551" s="56">
        <f>IF(B551="","",WEEKNUM(B551,21))</f>
        <v/>
      </c>
      <c r="B551" s="55" t="n"/>
      <c r="C551" s="57" t="n"/>
      <c r="D551" s="57" t="n"/>
      <c r="E551" s="57" t="n"/>
      <c r="F551" s="57" t="n"/>
      <c r="G551" s="67" t="n"/>
      <c r="H551" s="68" t="n"/>
      <c r="I551" s="61">
        <f>IF(C551="","",IF(H551&lt;&gt;"",INT(H551)+ROUND(MOD(H551,1)*100/60,2),SUMIFS(Registraties!$L$5:$L$3004,Registraties!$D$5:$D$3004,C551,Registraties!$A$5:$A$3004,B551)))</f>
        <v/>
      </c>
      <c r="J551" s="58">
        <f>IF(C551="","",IFERROR(IF(VLOOKUP(C551,Tarieven!$A$2:$F$200,2,0)="Beide","Per uur",VLOOKUP(C551,Tarieven!$A$2:$F$200,2,0)),"Nog bepalen"))</f>
        <v/>
      </c>
      <c r="K551" s="69">
        <f>IF(C551="","",IF(J551="Per uur",IFERROR(VLOOKUP(C551,Tarieven!$A$2:$F$200,3,0),""),IF(J551="Vaste prijs",IFERROR(VLOOKUP(C551,Tarieven!$A$2:$F$200,4,0),""),"")))</f>
        <v/>
      </c>
      <c r="L551" s="70">
        <f>IF(C551="","",IF(J551="Per uur",N(I551)*N(K551),IF(J551="Vaste prijs",N(K551),0)))</f>
        <v/>
      </c>
      <c r="M551" s="69">
        <f>IF(C551="","",IFERROR(IF(N(VLOOKUP(C551,Tarieven!$A$2:$F$200,5,0))=0,"",VLOOKUP(C551,Tarieven!$A$2:$F$200,5,0)),""))</f>
        <v/>
      </c>
      <c r="N551" s="69" t="n"/>
      <c r="O551" s="69" t="n"/>
      <c r="P551" s="70">
        <f>IF(C551="","",N(L551)+N(M551)+N(N551)+N(O551))</f>
        <v/>
      </c>
      <c r="Q551" s="58" t="n"/>
      <c r="R551" s="57" t="n"/>
      <c r="S551" s="57" t="n"/>
      <c r="T551" s="57" t="n"/>
      <c r="U551" s="62">
        <f>IF(C551="","",IF(COUNTIF(Tarieven!$A$2:$A$200,C551)=0,"Klant niet in Tarieven",IF(MOD(N(H551),1)*100&gt;59.4,"Tijd ongeldig: minuten boven 59",IF(J551="Nog bepalen","Prijstype nog bepalen",IF(AND(J551="Per uur",N(K551)=0),"Uurtarief ontbreekt",IF(AND(J551="Vaste prijs",N(K551)=0),"Vaste prijs ontbreekt",IF(AND(N(I551)=0,Q551&lt;&gt;"Niet doorgegaan / verplaatst",Q551&lt;&gt;"Geen factuur nodig"),"Geen uren",IF(AND(G551="NEE",Q551="Verstuurd"),"Verstuurd terwijl werk niet af",IF(IFERROR(VLOOKUP(C551,Tarieven!$A$2:$F$200,2,0),"")="Beide","Beide-klant: controleer prijstype","OK")))))))))</f>
        <v/>
      </c>
    </row>
    <row r="552" ht="15" customHeight="1" s="42">
      <c r="A552" s="56">
        <f>IF(B552="","",WEEKNUM(B552,21))</f>
        <v/>
      </c>
      <c r="B552" s="55" t="n"/>
      <c r="C552" s="57" t="n"/>
      <c r="D552" s="57" t="n"/>
      <c r="E552" s="57" t="n"/>
      <c r="F552" s="57" t="n"/>
      <c r="G552" s="67" t="n"/>
      <c r="H552" s="68" t="n"/>
      <c r="I552" s="61">
        <f>IF(C552="","",IF(H552&lt;&gt;"",INT(H552)+ROUND(MOD(H552,1)*100/60,2),SUMIFS(Registraties!$L$5:$L$3004,Registraties!$D$5:$D$3004,C552,Registraties!$A$5:$A$3004,B552)))</f>
        <v/>
      </c>
      <c r="J552" s="58">
        <f>IF(C552="","",IFERROR(IF(VLOOKUP(C552,Tarieven!$A$2:$F$200,2,0)="Beide","Per uur",VLOOKUP(C552,Tarieven!$A$2:$F$200,2,0)),"Nog bepalen"))</f>
        <v/>
      </c>
      <c r="K552" s="69">
        <f>IF(C552="","",IF(J552="Per uur",IFERROR(VLOOKUP(C552,Tarieven!$A$2:$F$200,3,0),""),IF(J552="Vaste prijs",IFERROR(VLOOKUP(C552,Tarieven!$A$2:$F$200,4,0),""),"")))</f>
        <v/>
      </c>
      <c r="L552" s="70">
        <f>IF(C552="","",IF(J552="Per uur",N(I552)*N(K552),IF(J552="Vaste prijs",N(K552),0)))</f>
        <v/>
      </c>
      <c r="M552" s="69">
        <f>IF(C552="","",IFERROR(IF(N(VLOOKUP(C552,Tarieven!$A$2:$F$200,5,0))=0,"",VLOOKUP(C552,Tarieven!$A$2:$F$200,5,0)),""))</f>
        <v/>
      </c>
      <c r="N552" s="69" t="n"/>
      <c r="O552" s="69" t="n"/>
      <c r="P552" s="70">
        <f>IF(C552="","",N(L552)+N(M552)+N(N552)+N(O552))</f>
        <v/>
      </c>
      <c r="Q552" s="58" t="n"/>
      <c r="R552" s="57" t="n"/>
      <c r="S552" s="57" t="n"/>
      <c r="T552" s="57" t="n"/>
      <c r="U552" s="62">
        <f>IF(C552="","",IF(COUNTIF(Tarieven!$A$2:$A$200,C552)=0,"Klant niet in Tarieven",IF(MOD(N(H552),1)*100&gt;59.4,"Tijd ongeldig: minuten boven 59",IF(J552="Nog bepalen","Prijstype nog bepalen",IF(AND(J552="Per uur",N(K552)=0),"Uurtarief ontbreekt",IF(AND(J552="Vaste prijs",N(K552)=0),"Vaste prijs ontbreekt",IF(AND(N(I552)=0,Q552&lt;&gt;"Niet doorgegaan / verplaatst",Q552&lt;&gt;"Geen factuur nodig"),"Geen uren",IF(AND(G552="NEE",Q552="Verstuurd"),"Verstuurd terwijl werk niet af",IF(IFERROR(VLOOKUP(C552,Tarieven!$A$2:$F$200,2,0),"")="Beide","Beide-klant: controleer prijstype","OK")))))))))</f>
        <v/>
      </c>
    </row>
    <row r="553" ht="15" customHeight="1" s="42">
      <c r="A553" s="56">
        <f>IF(B553="","",WEEKNUM(B553,21))</f>
        <v/>
      </c>
      <c r="B553" s="55" t="n"/>
      <c r="C553" s="57" t="n"/>
      <c r="D553" s="57" t="n"/>
      <c r="E553" s="57" t="n"/>
      <c r="F553" s="57" t="n"/>
      <c r="G553" s="67" t="n"/>
      <c r="H553" s="68" t="n"/>
      <c r="I553" s="61">
        <f>IF(C553="","",IF(H553&lt;&gt;"",INT(H553)+ROUND(MOD(H553,1)*100/60,2),SUMIFS(Registraties!$L$5:$L$3004,Registraties!$D$5:$D$3004,C553,Registraties!$A$5:$A$3004,B553)))</f>
        <v/>
      </c>
      <c r="J553" s="58">
        <f>IF(C553="","",IFERROR(IF(VLOOKUP(C553,Tarieven!$A$2:$F$200,2,0)="Beide","Per uur",VLOOKUP(C553,Tarieven!$A$2:$F$200,2,0)),"Nog bepalen"))</f>
        <v/>
      </c>
      <c r="K553" s="69">
        <f>IF(C553="","",IF(J553="Per uur",IFERROR(VLOOKUP(C553,Tarieven!$A$2:$F$200,3,0),""),IF(J553="Vaste prijs",IFERROR(VLOOKUP(C553,Tarieven!$A$2:$F$200,4,0),""),"")))</f>
        <v/>
      </c>
      <c r="L553" s="70">
        <f>IF(C553="","",IF(J553="Per uur",N(I553)*N(K553),IF(J553="Vaste prijs",N(K553),0)))</f>
        <v/>
      </c>
      <c r="M553" s="69">
        <f>IF(C553="","",IFERROR(IF(N(VLOOKUP(C553,Tarieven!$A$2:$F$200,5,0))=0,"",VLOOKUP(C553,Tarieven!$A$2:$F$200,5,0)),""))</f>
        <v/>
      </c>
      <c r="N553" s="69" t="n"/>
      <c r="O553" s="69" t="n"/>
      <c r="P553" s="70">
        <f>IF(C553="","",N(L553)+N(M553)+N(N553)+N(O553))</f>
        <v/>
      </c>
      <c r="Q553" s="58" t="n"/>
      <c r="R553" s="57" t="n"/>
      <c r="S553" s="57" t="n"/>
      <c r="T553" s="57" t="n"/>
      <c r="U553" s="62">
        <f>IF(C553="","",IF(COUNTIF(Tarieven!$A$2:$A$200,C553)=0,"Klant niet in Tarieven",IF(MOD(N(H553),1)*100&gt;59.4,"Tijd ongeldig: minuten boven 59",IF(J553="Nog bepalen","Prijstype nog bepalen",IF(AND(J553="Per uur",N(K553)=0),"Uurtarief ontbreekt",IF(AND(J553="Vaste prijs",N(K553)=0),"Vaste prijs ontbreekt",IF(AND(N(I553)=0,Q553&lt;&gt;"Niet doorgegaan / verplaatst",Q553&lt;&gt;"Geen factuur nodig"),"Geen uren",IF(AND(G553="NEE",Q553="Verstuurd"),"Verstuurd terwijl werk niet af",IF(IFERROR(VLOOKUP(C553,Tarieven!$A$2:$F$200,2,0),"")="Beide","Beide-klant: controleer prijstype","OK")))))))))</f>
        <v/>
      </c>
    </row>
    <row r="554" ht="15" customHeight="1" s="42">
      <c r="A554" s="56">
        <f>IF(B554="","",WEEKNUM(B554,21))</f>
        <v/>
      </c>
      <c r="B554" s="55" t="n"/>
      <c r="C554" s="57" t="n"/>
      <c r="D554" s="57" t="n"/>
      <c r="E554" s="57" t="n"/>
      <c r="F554" s="57" t="n"/>
      <c r="G554" s="67" t="n"/>
      <c r="H554" s="68" t="n"/>
      <c r="I554" s="61">
        <f>IF(C554="","",IF(H554&lt;&gt;"",INT(H554)+ROUND(MOD(H554,1)*100/60,2),SUMIFS(Registraties!$L$5:$L$3004,Registraties!$D$5:$D$3004,C554,Registraties!$A$5:$A$3004,B554)))</f>
        <v/>
      </c>
      <c r="J554" s="58">
        <f>IF(C554="","",IFERROR(IF(VLOOKUP(C554,Tarieven!$A$2:$F$200,2,0)="Beide","Per uur",VLOOKUP(C554,Tarieven!$A$2:$F$200,2,0)),"Nog bepalen"))</f>
        <v/>
      </c>
      <c r="K554" s="69">
        <f>IF(C554="","",IF(J554="Per uur",IFERROR(VLOOKUP(C554,Tarieven!$A$2:$F$200,3,0),""),IF(J554="Vaste prijs",IFERROR(VLOOKUP(C554,Tarieven!$A$2:$F$200,4,0),""),"")))</f>
        <v/>
      </c>
      <c r="L554" s="70">
        <f>IF(C554="","",IF(J554="Per uur",N(I554)*N(K554),IF(J554="Vaste prijs",N(K554),0)))</f>
        <v/>
      </c>
      <c r="M554" s="69">
        <f>IF(C554="","",IFERROR(IF(N(VLOOKUP(C554,Tarieven!$A$2:$F$200,5,0))=0,"",VLOOKUP(C554,Tarieven!$A$2:$F$200,5,0)),""))</f>
        <v/>
      </c>
      <c r="N554" s="69" t="n"/>
      <c r="O554" s="69" t="n"/>
      <c r="P554" s="70">
        <f>IF(C554="","",N(L554)+N(M554)+N(N554)+N(O554))</f>
        <v/>
      </c>
      <c r="Q554" s="58" t="n"/>
      <c r="R554" s="57" t="n"/>
      <c r="S554" s="57" t="n"/>
      <c r="T554" s="57" t="n"/>
      <c r="U554" s="62">
        <f>IF(C554="","",IF(COUNTIF(Tarieven!$A$2:$A$200,C554)=0,"Klant niet in Tarieven",IF(MOD(N(H554),1)*100&gt;59.4,"Tijd ongeldig: minuten boven 59",IF(J554="Nog bepalen","Prijstype nog bepalen",IF(AND(J554="Per uur",N(K554)=0),"Uurtarief ontbreekt",IF(AND(J554="Vaste prijs",N(K554)=0),"Vaste prijs ontbreekt",IF(AND(N(I554)=0,Q554&lt;&gt;"Niet doorgegaan / verplaatst",Q554&lt;&gt;"Geen factuur nodig"),"Geen uren",IF(AND(G554="NEE",Q554="Verstuurd"),"Verstuurd terwijl werk niet af",IF(IFERROR(VLOOKUP(C554,Tarieven!$A$2:$F$200,2,0),"")="Beide","Beide-klant: controleer prijstype","OK")))))))))</f>
        <v/>
      </c>
    </row>
    <row r="555" ht="15" customHeight="1" s="42">
      <c r="A555" s="56">
        <f>IF(B555="","",WEEKNUM(B555,21))</f>
        <v/>
      </c>
      <c r="B555" s="55" t="n"/>
      <c r="C555" s="57" t="n"/>
      <c r="D555" s="57" t="n"/>
      <c r="E555" s="57" t="n"/>
      <c r="F555" s="57" t="n"/>
      <c r="G555" s="67" t="n"/>
      <c r="H555" s="68" t="n"/>
      <c r="I555" s="61">
        <f>IF(C555="","",IF(H555&lt;&gt;"",INT(H555)+ROUND(MOD(H555,1)*100/60,2),SUMIFS(Registraties!$L$5:$L$3004,Registraties!$D$5:$D$3004,C555,Registraties!$A$5:$A$3004,B555)))</f>
        <v/>
      </c>
      <c r="J555" s="58">
        <f>IF(C555="","",IFERROR(IF(VLOOKUP(C555,Tarieven!$A$2:$F$200,2,0)="Beide","Per uur",VLOOKUP(C555,Tarieven!$A$2:$F$200,2,0)),"Nog bepalen"))</f>
        <v/>
      </c>
      <c r="K555" s="69">
        <f>IF(C555="","",IF(J555="Per uur",IFERROR(VLOOKUP(C555,Tarieven!$A$2:$F$200,3,0),""),IF(J555="Vaste prijs",IFERROR(VLOOKUP(C555,Tarieven!$A$2:$F$200,4,0),""),"")))</f>
        <v/>
      </c>
      <c r="L555" s="70">
        <f>IF(C555="","",IF(J555="Per uur",N(I555)*N(K555),IF(J555="Vaste prijs",N(K555),0)))</f>
        <v/>
      </c>
      <c r="M555" s="69">
        <f>IF(C555="","",IFERROR(IF(N(VLOOKUP(C555,Tarieven!$A$2:$F$200,5,0))=0,"",VLOOKUP(C555,Tarieven!$A$2:$F$200,5,0)),""))</f>
        <v/>
      </c>
      <c r="N555" s="69" t="n"/>
      <c r="O555" s="69" t="n"/>
      <c r="P555" s="70">
        <f>IF(C555="","",N(L555)+N(M555)+N(N555)+N(O555))</f>
        <v/>
      </c>
      <c r="Q555" s="58" t="n"/>
      <c r="R555" s="57" t="n"/>
      <c r="S555" s="57" t="n"/>
      <c r="T555" s="57" t="n"/>
      <c r="U555" s="62">
        <f>IF(C555="","",IF(COUNTIF(Tarieven!$A$2:$A$200,C555)=0,"Klant niet in Tarieven",IF(MOD(N(H555),1)*100&gt;59.4,"Tijd ongeldig: minuten boven 59",IF(J555="Nog bepalen","Prijstype nog bepalen",IF(AND(J555="Per uur",N(K555)=0),"Uurtarief ontbreekt",IF(AND(J555="Vaste prijs",N(K555)=0),"Vaste prijs ontbreekt",IF(AND(N(I555)=0,Q555&lt;&gt;"Niet doorgegaan / verplaatst",Q555&lt;&gt;"Geen factuur nodig"),"Geen uren",IF(AND(G555="NEE",Q555="Verstuurd"),"Verstuurd terwijl werk niet af",IF(IFERROR(VLOOKUP(C555,Tarieven!$A$2:$F$200,2,0),"")="Beide","Beide-klant: controleer prijstype","OK")))))))))</f>
        <v/>
      </c>
    </row>
    <row r="556" ht="15" customHeight="1" s="42">
      <c r="A556" s="56">
        <f>IF(B556="","",WEEKNUM(B556,21))</f>
        <v/>
      </c>
      <c r="B556" s="55" t="n"/>
      <c r="C556" s="57" t="n"/>
      <c r="D556" s="57" t="n"/>
      <c r="E556" s="57" t="n"/>
      <c r="F556" s="57" t="n"/>
      <c r="G556" s="67" t="n"/>
      <c r="H556" s="68" t="n"/>
      <c r="I556" s="61">
        <f>IF(C556="","",IF(H556&lt;&gt;"",INT(H556)+ROUND(MOD(H556,1)*100/60,2),SUMIFS(Registraties!$L$5:$L$3004,Registraties!$D$5:$D$3004,C556,Registraties!$A$5:$A$3004,B556)))</f>
        <v/>
      </c>
      <c r="J556" s="58">
        <f>IF(C556="","",IFERROR(IF(VLOOKUP(C556,Tarieven!$A$2:$F$200,2,0)="Beide","Per uur",VLOOKUP(C556,Tarieven!$A$2:$F$200,2,0)),"Nog bepalen"))</f>
        <v/>
      </c>
      <c r="K556" s="69">
        <f>IF(C556="","",IF(J556="Per uur",IFERROR(VLOOKUP(C556,Tarieven!$A$2:$F$200,3,0),""),IF(J556="Vaste prijs",IFERROR(VLOOKUP(C556,Tarieven!$A$2:$F$200,4,0),""),"")))</f>
        <v/>
      </c>
      <c r="L556" s="70">
        <f>IF(C556="","",IF(J556="Per uur",N(I556)*N(K556),IF(J556="Vaste prijs",N(K556),0)))</f>
        <v/>
      </c>
      <c r="M556" s="69">
        <f>IF(C556="","",IFERROR(IF(N(VLOOKUP(C556,Tarieven!$A$2:$F$200,5,0))=0,"",VLOOKUP(C556,Tarieven!$A$2:$F$200,5,0)),""))</f>
        <v/>
      </c>
      <c r="N556" s="69" t="n"/>
      <c r="O556" s="69" t="n"/>
      <c r="P556" s="70">
        <f>IF(C556="","",N(L556)+N(M556)+N(N556)+N(O556))</f>
        <v/>
      </c>
      <c r="Q556" s="58" t="n"/>
      <c r="R556" s="57" t="n"/>
      <c r="S556" s="57" t="n"/>
      <c r="T556" s="57" t="n"/>
      <c r="U556" s="62">
        <f>IF(C556="","",IF(COUNTIF(Tarieven!$A$2:$A$200,C556)=0,"Klant niet in Tarieven",IF(MOD(N(H556),1)*100&gt;59.4,"Tijd ongeldig: minuten boven 59",IF(J556="Nog bepalen","Prijstype nog bepalen",IF(AND(J556="Per uur",N(K556)=0),"Uurtarief ontbreekt",IF(AND(J556="Vaste prijs",N(K556)=0),"Vaste prijs ontbreekt",IF(AND(N(I556)=0,Q556&lt;&gt;"Niet doorgegaan / verplaatst",Q556&lt;&gt;"Geen factuur nodig"),"Geen uren",IF(AND(G556="NEE",Q556="Verstuurd"),"Verstuurd terwijl werk niet af",IF(IFERROR(VLOOKUP(C556,Tarieven!$A$2:$F$200,2,0),"")="Beide","Beide-klant: controleer prijstype","OK")))))))))</f>
        <v/>
      </c>
    </row>
    <row r="557" ht="15" customHeight="1" s="42">
      <c r="A557" s="56">
        <f>IF(B557="","",WEEKNUM(B557,21))</f>
        <v/>
      </c>
      <c r="B557" s="55" t="n"/>
      <c r="C557" s="57" t="n"/>
      <c r="D557" s="57" t="n"/>
      <c r="E557" s="57" t="n"/>
      <c r="F557" s="57" t="n"/>
      <c r="G557" s="67" t="n"/>
      <c r="H557" s="68" t="n"/>
      <c r="I557" s="61">
        <f>IF(C557="","",IF(H557&lt;&gt;"",INT(H557)+ROUND(MOD(H557,1)*100/60,2),SUMIFS(Registraties!$L$5:$L$3004,Registraties!$D$5:$D$3004,C557,Registraties!$A$5:$A$3004,B557)))</f>
        <v/>
      </c>
      <c r="J557" s="58">
        <f>IF(C557="","",IFERROR(IF(VLOOKUP(C557,Tarieven!$A$2:$F$200,2,0)="Beide","Per uur",VLOOKUP(C557,Tarieven!$A$2:$F$200,2,0)),"Nog bepalen"))</f>
        <v/>
      </c>
      <c r="K557" s="69">
        <f>IF(C557="","",IF(J557="Per uur",IFERROR(VLOOKUP(C557,Tarieven!$A$2:$F$200,3,0),""),IF(J557="Vaste prijs",IFERROR(VLOOKUP(C557,Tarieven!$A$2:$F$200,4,0),""),"")))</f>
        <v/>
      </c>
      <c r="L557" s="70">
        <f>IF(C557="","",IF(J557="Per uur",N(I557)*N(K557),IF(J557="Vaste prijs",N(K557),0)))</f>
        <v/>
      </c>
      <c r="M557" s="69">
        <f>IF(C557="","",IFERROR(IF(N(VLOOKUP(C557,Tarieven!$A$2:$F$200,5,0))=0,"",VLOOKUP(C557,Tarieven!$A$2:$F$200,5,0)),""))</f>
        <v/>
      </c>
      <c r="N557" s="69" t="n"/>
      <c r="O557" s="69" t="n"/>
      <c r="P557" s="70">
        <f>IF(C557="","",N(L557)+N(M557)+N(N557)+N(O557))</f>
        <v/>
      </c>
      <c r="Q557" s="58" t="n"/>
      <c r="R557" s="57" t="n"/>
      <c r="S557" s="57" t="n"/>
      <c r="T557" s="57" t="n"/>
      <c r="U557" s="62">
        <f>IF(C557="","",IF(COUNTIF(Tarieven!$A$2:$A$200,C557)=0,"Klant niet in Tarieven",IF(MOD(N(H557),1)*100&gt;59.4,"Tijd ongeldig: minuten boven 59",IF(J557="Nog bepalen","Prijstype nog bepalen",IF(AND(J557="Per uur",N(K557)=0),"Uurtarief ontbreekt",IF(AND(J557="Vaste prijs",N(K557)=0),"Vaste prijs ontbreekt",IF(AND(N(I557)=0,Q557&lt;&gt;"Niet doorgegaan / verplaatst",Q557&lt;&gt;"Geen factuur nodig"),"Geen uren",IF(AND(G557="NEE",Q557="Verstuurd"),"Verstuurd terwijl werk niet af",IF(IFERROR(VLOOKUP(C557,Tarieven!$A$2:$F$200,2,0),"")="Beide","Beide-klant: controleer prijstype","OK")))))))))</f>
        <v/>
      </c>
    </row>
    <row r="558" ht="15" customHeight="1" s="42">
      <c r="A558" s="56">
        <f>IF(B558="","",WEEKNUM(B558,21))</f>
        <v/>
      </c>
      <c r="B558" s="55" t="n"/>
      <c r="C558" s="57" t="n"/>
      <c r="D558" s="57" t="n"/>
      <c r="E558" s="57" t="n"/>
      <c r="F558" s="57" t="n"/>
      <c r="G558" s="67" t="n"/>
      <c r="H558" s="68" t="n"/>
      <c r="I558" s="61">
        <f>IF(C558="","",IF(H558&lt;&gt;"",INT(H558)+ROUND(MOD(H558,1)*100/60,2),SUMIFS(Registraties!$L$5:$L$3004,Registraties!$D$5:$D$3004,C558,Registraties!$A$5:$A$3004,B558)))</f>
        <v/>
      </c>
      <c r="J558" s="58">
        <f>IF(C558="","",IFERROR(IF(VLOOKUP(C558,Tarieven!$A$2:$F$200,2,0)="Beide","Per uur",VLOOKUP(C558,Tarieven!$A$2:$F$200,2,0)),"Nog bepalen"))</f>
        <v/>
      </c>
      <c r="K558" s="69">
        <f>IF(C558="","",IF(J558="Per uur",IFERROR(VLOOKUP(C558,Tarieven!$A$2:$F$200,3,0),""),IF(J558="Vaste prijs",IFERROR(VLOOKUP(C558,Tarieven!$A$2:$F$200,4,0),""),"")))</f>
        <v/>
      </c>
      <c r="L558" s="70">
        <f>IF(C558="","",IF(J558="Per uur",N(I558)*N(K558),IF(J558="Vaste prijs",N(K558),0)))</f>
        <v/>
      </c>
      <c r="M558" s="69">
        <f>IF(C558="","",IFERROR(IF(N(VLOOKUP(C558,Tarieven!$A$2:$F$200,5,0))=0,"",VLOOKUP(C558,Tarieven!$A$2:$F$200,5,0)),""))</f>
        <v/>
      </c>
      <c r="N558" s="69" t="n"/>
      <c r="O558" s="69" t="n"/>
      <c r="P558" s="70">
        <f>IF(C558="","",N(L558)+N(M558)+N(N558)+N(O558))</f>
        <v/>
      </c>
      <c r="Q558" s="58" t="n"/>
      <c r="R558" s="57" t="n"/>
      <c r="S558" s="57" t="n"/>
      <c r="T558" s="57" t="n"/>
      <c r="U558" s="62">
        <f>IF(C558="","",IF(COUNTIF(Tarieven!$A$2:$A$200,C558)=0,"Klant niet in Tarieven",IF(MOD(N(H558),1)*100&gt;59.4,"Tijd ongeldig: minuten boven 59",IF(J558="Nog bepalen","Prijstype nog bepalen",IF(AND(J558="Per uur",N(K558)=0),"Uurtarief ontbreekt",IF(AND(J558="Vaste prijs",N(K558)=0),"Vaste prijs ontbreekt",IF(AND(N(I558)=0,Q558&lt;&gt;"Niet doorgegaan / verplaatst",Q558&lt;&gt;"Geen factuur nodig"),"Geen uren",IF(AND(G558="NEE",Q558="Verstuurd"),"Verstuurd terwijl werk niet af",IF(IFERROR(VLOOKUP(C558,Tarieven!$A$2:$F$200,2,0),"")="Beide","Beide-klant: controleer prijstype","OK")))))))))</f>
        <v/>
      </c>
    </row>
    <row r="559" ht="15" customHeight="1" s="42">
      <c r="A559" s="56">
        <f>IF(B559="","",WEEKNUM(B559,21))</f>
        <v/>
      </c>
      <c r="B559" s="55" t="n"/>
      <c r="C559" s="57" t="n"/>
      <c r="D559" s="57" t="n"/>
      <c r="E559" s="57" t="n"/>
      <c r="F559" s="57" t="n"/>
      <c r="G559" s="67" t="n"/>
      <c r="H559" s="68" t="n"/>
      <c r="I559" s="61">
        <f>IF(C559="","",IF(H559&lt;&gt;"",INT(H559)+ROUND(MOD(H559,1)*100/60,2),SUMIFS(Registraties!$L$5:$L$3004,Registraties!$D$5:$D$3004,C559,Registraties!$A$5:$A$3004,B559)))</f>
        <v/>
      </c>
      <c r="J559" s="58">
        <f>IF(C559="","",IFERROR(IF(VLOOKUP(C559,Tarieven!$A$2:$F$200,2,0)="Beide","Per uur",VLOOKUP(C559,Tarieven!$A$2:$F$200,2,0)),"Nog bepalen"))</f>
        <v/>
      </c>
      <c r="K559" s="69">
        <f>IF(C559="","",IF(J559="Per uur",IFERROR(VLOOKUP(C559,Tarieven!$A$2:$F$200,3,0),""),IF(J559="Vaste prijs",IFERROR(VLOOKUP(C559,Tarieven!$A$2:$F$200,4,0),""),"")))</f>
        <v/>
      </c>
      <c r="L559" s="70">
        <f>IF(C559="","",IF(J559="Per uur",N(I559)*N(K559),IF(J559="Vaste prijs",N(K559),0)))</f>
        <v/>
      </c>
      <c r="M559" s="69">
        <f>IF(C559="","",IFERROR(IF(N(VLOOKUP(C559,Tarieven!$A$2:$F$200,5,0))=0,"",VLOOKUP(C559,Tarieven!$A$2:$F$200,5,0)),""))</f>
        <v/>
      </c>
      <c r="N559" s="69" t="n"/>
      <c r="O559" s="69" t="n"/>
      <c r="P559" s="70">
        <f>IF(C559="","",N(L559)+N(M559)+N(N559)+N(O559))</f>
        <v/>
      </c>
      <c r="Q559" s="58" t="n"/>
      <c r="R559" s="57" t="n"/>
      <c r="S559" s="57" t="n"/>
      <c r="T559" s="57" t="n"/>
      <c r="U559" s="62">
        <f>IF(C559="","",IF(COUNTIF(Tarieven!$A$2:$A$200,C559)=0,"Klant niet in Tarieven",IF(MOD(N(H559),1)*100&gt;59.4,"Tijd ongeldig: minuten boven 59",IF(J559="Nog bepalen","Prijstype nog bepalen",IF(AND(J559="Per uur",N(K559)=0),"Uurtarief ontbreekt",IF(AND(J559="Vaste prijs",N(K559)=0),"Vaste prijs ontbreekt",IF(AND(N(I559)=0,Q559&lt;&gt;"Niet doorgegaan / verplaatst",Q559&lt;&gt;"Geen factuur nodig"),"Geen uren",IF(AND(G559="NEE",Q559="Verstuurd"),"Verstuurd terwijl werk niet af",IF(IFERROR(VLOOKUP(C559,Tarieven!$A$2:$F$200,2,0),"")="Beide","Beide-klant: controleer prijstype","OK")))))))))</f>
        <v/>
      </c>
    </row>
    <row r="560" ht="15" customHeight="1" s="42">
      <c r="A560" s="56">
        <f>IF(B560="","",WEEKNUM(B560,21))</f>
        <v/>
      </c>
      <c r="B560" s="55" t="n"/>
      <c r="C560" s="57" t="n"/>
      <c r="D560" s="57" t="n"/>
      <c r="E560" s="57" t="n"/>
      <c r="F560" s="57" t="n"/>
      <c r="G560" s="67" t="n"/>
      <c r="H560" s="68" t="n"/>
      <c r="I560" s="61">
        <f>IF(C560="","",IF(H560&lt;&gt;"",INT(H560)+ROUND(MOD(H560,1)*100/60,2),SUMIFS(Registraties!$L$5:$L$3004,Registraties!$D$5:$D$3004,C560,Registraties!$A$5:$A$3004,B560)))</f>
        <v/>
      </c>
      <c r="J560" s="58">
        <f>IF(C560="","",IFERROR(IF(VLOOKUP(C560,Tarieven!$A$2:$F$200,2,0)="Beide","Per uur",VLOOKUP(C560,Tarieven!$A$2:$F$200,2,0)),"Nog bepalen"))</f>
        <v/>
      </c>
      <c r="K560" s="69">
        <f>IF(C560="","",IF(J560="Per uur",IFERROR(VLOOKUP(C560,Tarieven!$A$2:$F$200,3,0),""),IF(J560="Vaste prijs",IFERROR(VLOOKUP(C560,Tarieven!$A$2:$F$200,4,0),""),"")))</f>
        <v/>
      </c>
      <c r="L560" s="70">
        <f>IF(C560="","",IF(J560="Per uur",N(I560)*N(K560),IF(J560="Vaste prijs",N(K560),0)))</f>
        <v/>
      </c>
      <c r="M560" s="69">
        <f>IF(C560="","",IFERROR(IF(N(VLOOKUP(C560,Tarieven!$A$2:$F$200,5,0))=0,"",VLOOKUP(C560,Tarieven!$A$2:$F$200,5,0)),""))</f>
        <v/>
      </c>
      <c r="N560" s="69" t="n"/>
      <c r="O560" s="69" t="n"/>
      <c r="P560" s="70">
        <f>IF(C560="","",N(L560)+N(M560)+N(N560)+N(O560))</f>
        <v/>
      </c>
      <c r="Q560" s="58" t="n"/>
      <c r="R560" s="57" t="n"/>
      <c r="S560" s="57" t="n"/>
      <c r="T560" s="57" t="n"/>
      <c r="U560" s="62">
        <f>IF(C560="","",IF(COUNTIF(Tarieven!$A$2:$A$200,C560)=0,"Klant niet in Tarieven",IF(MOD(N(H560),1)*100&gt;59.4,"Tijd ongeldig: minuten boven 59",IF(J560="Nog bepalen","Prijstype nog bepalen",IF(AND(J560="Per uur",N(K560)=0),"Uurtarief ontbreekt",IF(AND(J560="Vaste prijs",N(K560)=0),"Vaste prijs ontbreekt",IF(AND(N(I560)=0,Q560&lt;&gt;"Niet doorgegaan / verplaatst",Q560&lt;&gt;"Geen factuur nodig"),"Geen uren",IF(AND(G560="NEE",Q560="Verstuurd"),"Verstuurd terwijl werk niet af",IF(IFERROR(VLOOKUP(C560,Tarieven!$A$2:$F$200,2,0),"")="Beide","Beide-klant: controleer prijstype","OK")))))))))</f>
        <v/>
      </c>
    </row>
    <row r="561" ht="15" customHeight="1" s="42">
      <c r="A561" s="56">
        <f>IF(B561="","",WEEKNUM(B561,21))</f>
        <v/>
      </c>
      <c r="B561" s="55" t="n"/>
      <c r="C561" s="57" t="n"/>
      <c r="D561" s="57" t="n"/>
      <c r="E561" s="57" t="n"/>
      <c r="F561" s="57" t="n"/>
      <c r="G561" s="67" t="n"/>
      <c r="H561" s="68" t="n"/>
      <c r="I561" s="61">
        <f>IF(C561="","",IF(H561&lt;&gt;"",INT(H561)+ROUND(MOD(H561,1)*100/60,2),SUMIFS(Registraties!$L$5:$L$3004,Registraties!$D$5:$D$3004,C561,Registraties!$A$5:$A$3004,B561)))</f>
        <v/>
      </c>
      <c r="J561" s="58">
        <f>IF(C561="","",IFERROR(IF(VLOOKUP(C561,Tarieven!$A$2:$F$200,2,0)="Beide","Per uur",VLOOKUP(C561,Tarieven!$A$2:$F$200,2,0)),"Nog bepalen"))</f>
        <v/>
      </c>
      <c r="K561" s="69">
        <f>IF(C561="","",IF(J561="Per uur",IFERROR(VLOOKUP(C561,Tarieven!$A$2:$F$200,3,0),""),IF(J561="Vaste prijs",IFERROR(VLOOKUP(C561,Tarieven!$A$2:$F$200,4,0),""),"")))</f>
        <v/>
      </c>
      <c r="L561" s="70">
        <f>IF(C561="","",IF(J561="Per uur",N(I561)*N(K561),IF(J561="Vaste prijs",N(K561),0)))</f>
        <v/>
      </c>
      <c r="M561" s="69">
        <f>IF(C561="","",IFERROR(IF(N(VLOOKUP(C561,Tarieven!$A$2:$F$200,5,0))=0,"",VLOOKUP(C561,Tarieven!$A$2:$F$200,5,0)),""))</f>
        <v/>
      </c>
      <c r="N561" s="69" t="n"/>
      <c r="O561" s="69" t="n"/>
      <c r="P561" s="70">
        <f>IF(C561="","",N(L561)+N(M561)+N(N561)+N(O561))</f>
        <v/>
      </c>
      <c r="Q561" s="58" t="n"/>
      <c r="R561" s="57" t="n"/>
      <c r="S561" s="57" t="n"/>
      <c r="T561" s="57" t="n"/>
      <c r="U561" s="62">
        <f>IF(C561="","",IF(COUNTIF(Tarieven!$A$2:$A$200,C561)=0,"Klant niet in Tarieven",IF(MOD(N(H561),1)*100&gt;59.4,"Tijd ongeldig: minuten boven 59",IF(J561="Nog bepalen","Prijstype nog bepalen",IF(AND(J561="Per uur",N(K561)=0),"Uurtarief ontbreekt",IF(AND(J561="Vaste prijs",N(K561)=0),"Vaste prijs ontbreekt",IF(AND(N(I561)=0,Q561&lt;&gt;"Niet doorgegaan / verplaatst",Q561&lt;&gt;"Geen factuur nodig"),"Geen uren",IF(AND(G561="NEE",Q561="Verstuurd"),"Verstuurd terwijl werk niet af",IF(IFERROR(VLOOKUP(C561,Tarieven!$A$2:$F$200,2,0),"")="Beide","Beide-klant: controleer prijstype","OK")))))))))</f>
        <v/>
      </c>
    </row>
    <row r="562" ht="15" customHeight="1" s="42">
      <c r="A562" s="56">
        <f>IF(B562="","",WEEKNUM(B562,21))</f>
        <v/>
      </c>
      <c r="B562" s="55" t="n"/>
      <c r="C562" s="57" t="n"/>
      <c r="D562" s="57" t="n"/>
      <c r="E562" s="57" t="n"/>
      <c r="F562" s="57" t="n"/>
      <c r="G562" s="67" t="n"/>
      <c r="H562" s="68" t="n"/>
      <c r="I562" s="61">
        <f>IF(C562="","",IF(H562&lt;&gt;"",INT(H562)+ROUND(MOD(H562,1)*100/60,2),SUMIFS(Registraties!$L$5:$L$3004,Registraties!$D$5:$D$3004,C562,Registraties!$A$5:$A$3004,B562)))</f>
        <v/>
      </c>
      <c r="J562" s="58">
        <f>IF(C562="","",IFERROR(IF(VLOOKUP(C562,Tarieven!$A$2:$F$200,2,0)="Beide","Per uur",VLOOKUP(C562,Tarieven!$A$2:$F$200,2,0)),"Nog bepalen"))</f>
        <v/>
      </c>
      <c r="K562" s="69">
        <f>IF(C562="","",IF(J562="Per uur",IFERROR(VLOOKUP(C562,Tarieven!$A$2:$F$200,3,0),""),IF(J562="Vaste prijs",IFERROR(VLOOKUP(C562,Tarieven!$A$2:$F$200,4,0),""),"")))</f>
        <v/>
      </c>
      <c r="L562" s="70">
        <f>IF(C562="","",IF(J562="Per uur",N(I562)*N(K562),IF(J562="Vaste prijs",N(K562),0)))</f>
        <v/>
      </c>
      <c r="M562" s="69">
        <f>IF(C562="","",IFERROR(IF(N(VLOOKUP(C562,Tarieven!$A$2:$F$200,5,0))=0,"",VLOOKUP(C562,Tarieven!$A$2:$F$200,5,0)),""))</f>
        <v/>
      </c>
      <c r="N562" s="69" t="n"/>
      <c r="O562" s="69" t="n"/>
      <c r="P562" s="70">
        <f>IF(C562="","",N(L562)+N(M562)+N(N562)+N(O562))</f>
        <v/>
      </c>
      <c r="Q562" s="58" t="n"/>
      <c r="R562" s="57" t="n"/>
      <c r="S562" s="57" t="n"/>
      <c r="T562" s="57" t="n"/>
      <c r="U562" s="62">
        <f>IF(C562="","",IF(COUNTIF(Tarieven!$A$2:$A$200,C562)=0,"Klant niet in Tarieven",IF(MOD(N(H562),1)*100&gt;59.4,"Tijd ongeldig: minuten boven 59",IF(J562="Nog bepalen","Prijstype nog bepalen",IF(AND(J562="Per uur",N(K562)=0),"Uurtarief ontbreekt",IF(AND(J562="Vaste prijs",N(K562)=0),"Vaste prijs ontbreekt",IF(AND(N(I562)=0,Q562&lt;&gt;"Niet doorgegaan / verplaatst",Q562&lt;&gt;"Geen factuur nodig"),"Geen uren",IF(AND(G562="NEE",Q562="Verstuurd"),"Verstuurd terwijl werk niet af",IF(IFERROR(VLOOKUP(C562,Tarieven!$A$2:$F$200,2,0),"")="Beide","Beide-klant: controleer prijstype","OK")))))))))</f>
        <v/>
      </c>
    </row>
    <row r="563" ht="15" customHeight="1" s="42">
      <c r="A563" s="56">
        <f>IF(B563="","",WEEKNUM(B563,21))</f>
        <v/>
      </c>
      <c r="B563" s="55" t="n"/>
      <c r="C563" s="57" t="n"/>
      <c r="D563" s="57" t="n"/>
      <c r="E563" s="57" t="n"/>
      <c r="F563" s="57" t="n"/>
      <c r="G563" s="67" t="n"/>
      <c r="H563" s="68" t="n"/>
      <c r="I563" s="61">
        <f>IF(C563="","",IF(H563&lt;&gt;"",INT(H563)+ROUND(MOD(H563,1)*100/60,2),SUMIFS(Registraties!$L$5:$L$3004,Registraties!$D$5:$D$3004,C563,Registraties!$A$5:$A$3004,B563)))</f>
        <v/>
      </c>
      <c r="J563" s="58">
        <f>IF(C563="","",IFERROR(IF(VLOOKUP(C563,Tarieven!$A$2:$F$200,2,0)="Beide","Per uur",VLOOKUP(C563,Tarieven!$A$2:$F$200,2,0)),"Nog bepalen"))</f>
        <v/>
      </c>
      <c r="K563" s="69">
        <f>IF(C563="","",IF(J563="Per uur",IFERROR(VLOOKUP(C563,Tarieven!$A$2:$F$200,3,0),""),IF(J563="Vaste prijs",IFERROR(VLOOKUP(C563,Tarieven!$A$2:$F$200,4,0),""),"")))</f>
        <v/>
      </c>
      <c r="L563" s="70">
        <f>IF(C563="","",IF(J563="Per uur",N(I563)*N(K563),IF(J563="Vaste prijs",N(K563),0)))</f>
        <v/>
      </c>
      <c r="M563" s="69">
        <f>IF(C563="","",IFERROR(IF(N(VLOOKUP(C563,Tarieven!$A$2:$F$200,5,0))=0,"",VLOOKUP(C563,Tarieven!$A$2:$F$200,5,0)),""))</f>
        <v/>
      </c>
      <c r="N563" s="69" t="n"/>
      <c r="O563" s="69" t="n"/>
      <c r="P563" s="70">
        <f>IF(C563="","",N(L563)+N(M563)+N(N563)+N(O563))</f>
        <v/>
      </c>
      <c r="Q563" s="58" t="n"/>
      <c r="R563" s="57" t="n"/>
      <c r="S563" s="57" t="n"/>
      <c r="T563" s="57" t="n"/>
      <c r="U563" s="62">
        <f>IF(C563="","",IF(COUNTIF(Tarieven!$A$2:$A$200,C563)=0,"Klant niet in Tarieven",IF(MOD(N(H563),1)*100&gt;59.4,"Tijd ongeldig: minuten boven 59",IF(J563="Nog bepalen","Prijstype nog bepalen",IF(AND(J563="Per uur",N(K563)=0),"Uurtarief ontbreekt",IF(AND(J563="Vaste prijs",N(K563)=0),"Vaste prijs ontbreekt",IF(AND(N(I563)=0,Q563&lt;&gt;"Niet doorgegaan / verplaatst",Q563&lt;&gt;"Geen factuur nodig"),"Geen uren",IF(AND(G563="NEE",Q563="Verstuurd"),"Verstuurd terwijl werk niet af",IF(IFERROR(VLOOKUP(C563,Tarieven!$A$2:$F$200,2,0),"")="Beide","Beide-klant: controleer prijstype","OK")))))))))</f>
        <v/>
      </c>
    </row>
    <row r="564" ht="15" customHeight="1" s="42">
      <c r="A564" s="56">
        <f>IF(B564="","",WEEKNUM(B564,21))</f>
        <v/>
      </c>
      <c r="B564" s="55" t="n"/>
      <c r="C564" s="57" t="n"/>
      <c r="D564" s="57" t="n"/>
      <c r="E564" s="57" t="n"/>
      <c r="F564" s="57" t="n"/>
      <c r="G564" s="67" t="n"/>
      <c r="H564" s="68" t="n"/>
      <c r="I564" s="61">
        <f>IF(C564="","",IF(H564&lt;&gt;"",INT(H564)+ROUND(MOD(H564,1)*100/60,2),SUMIFS(Registraties!$L$5:$L$3004,Registraties!$D$5:$D$3004,C564,Registraties!$A$5:$A$3004,B564)))</f>
        <v/>
      </c>
      <c r="J564" s="58">
        <f>IF(C564="","",IFERROR(IF(VLOOKUP(C564,Tarieven!$A$2:$F$200,2,0)="Beide","Per uur",VLOOKUP(C564,Tarieven!$A$2:$F$200,2,0)),"Nog bepalen"))</f>
        <v/>
      </c>
      <c r="K564" s="69">
        <f>IF(C564="","",IF(J564="Per uur",IFERROR(VLOOKUP(C564,Tarieven!$A$2:$F$200,3,0),""),IF(J564="Vaste prijs",IFERROR(VLOOKUP(C564,Tarieven!$A$2:$F$200,4,0),""),"")))</f>
        <v/>
      </c>
      <c r="L564" s="70">
        <f>IF(C564="","",IF(J564="Per uur",N(I564)*N(K564),IF(J564="Vaste prijs",N(K564),0)))</f>
        <v/>
      </c>
      <c r="M564" s="69">
        <f>IF(C564="","",IFERROR(IF(N(VLOOKUP(C564,Tarieven!$A$2:$F$200,5,0))=0,"",VLOOKUP(C564,Tarieven!$A$2:$F$200,5,0)),""))</f>
        <v/>
      </c>
      <c r="N564" s="69" t="n"/>
      <c r="O564" s="69" t="n"/>
      <c r="P564" s="70">
        <f>IF(C564="","",N(L564)+N(M564)+N(N564)+N(O564))</f>
        <v/>
      </c>
      <c r="Q564" s="58" t="n"/>
      <c r="R564" s="57" t="n"/>
      <c r="S564" s="57" t="n"/>
      <c r="T564" s="57" t="n"/>
      <c r="U564" s="62">
        <f>IF(C564="","",IF(COUNTIF(Tarieven!$A$2:$A$200,C564)=0,"Klant niet in Tarieven",IF(MOD(N(H564),1)*100&gt;59.4,"Tijd ongeldig: minuten boven 59",IF(J564="Nog bepalen","Prijstype nog bepalen",IF(AND(J564="Per uur",N(K564)=0),"Uurtarief ontbreekt",IF(AND(J564="Vaste prijs",N(K564)=0),"Vaste prijs ontbreekt",IF(AND(N(I564)=0,Q564&lt;&gt;"Niet doorgegaan / verplaatst",Q564&lt;&gt;"Geen factuur nodig"),"Geen uren",IF(AND(G564="NEE",Q564="Verstuurd"),"Verstuurd terwijl werk niet af",IF(IFERROR(VLOOKUP(C564,Tarieven!$A$2:$F$200,2,0),"")="Beide","Beide-klant: controleer prijstype","OK")))))))))</f>
        <v/>
      </c>
    </row>
    <row r="565" ht="15" customHeight="1" s="42">
      <c r="A565" s="56">
        <f>IF(B565="","",WEEKNUM(B565,21))</f>
        <v/>
      </c>
      <c r="B565" s="55" t="n"/>
      <c r="C565" s="57" t="n"/>
      <c r="D565" s="57" t="n"/>
      <c r="E565" s="57" t="n"/>
      <c r="F565" s="57" t="n"/>
      <c r="G565" s="67" t="n"/>
      <c r="H565" s="68" t="n"/>
      <c r="I565" s="61">
        <f>IF(C565="","",IF(H565&lt;&gt;"",INT(H565)+ROUND(MOD(H565,1)*100/60,2),SUMIFS(Registraties!$L$5:$L$3004,Registraties!$D$5:$D$3004,C565,Registraties!$A$5:$A$3004,B565)))</f>
        <v/>
      </c>
      <c r="J565" s="58">
        <f>IF(C565="","",IFERROR(IF(VLOOKUP(C565,Tarieven!$A$2:$F$200,2,0)="Beide","Per uur",VLOOKUP(C565,Tarieven!$A$2:$F$200,2,0)),"Nog bepalen"))</f>
        <v/>
      </c>
      <c r="K565" s="69">
        <f>IF(C565="","",IF(J565="Per uur",IFERROR(VLOOKUP(C565,Tarieven!$A$2:$F$200,3,0),""),IF(J565="Vaste prijs",IFERROR(VLOOKUP(C565,Tarieven!$A$2:$F$200,4,0),""),"")))</f>
        <v/>
      </c>
      <c r="L565" s="70">
        <f>IF(C565="","",IF(J565="Per uur",N(I565)*N(K565),IF(J565="Vaste prijs",N(K565),0)))</f>
        <v/>
      </c>
      <c r="M565" s="69">
        <f>IF(C565="","",IFERROR(IF(N(VLOOKUP(C565,Tarieven!$A$2:$F$200,5,0))=0,"",VLOOKUP(C565,Tarieven!$A$2:$F$200,5,0)),""))</f>
        <v/>
      </c>
      <c r="N565" s="69" t="n"/>
      <c r="O565" s="69" t="n"/>
      <c r="P565" s="70">
        <f>IF(C565="","",N(L565)+N(M565)+N(N565)+N(O565))</f>
        <v/>
      </c>
      <c r="Q565" s="58" t="n"/>
      <c r="R565" s="57" t="n"/>
      <c r="S565" s="57" t="n"/>
      <c r="T565" s="57" t="n"/>
      <c r="U565" s="62">
        <f>IF(C565="","",IF(COUNTIF(Tarieven!$A$2:$A$200,C565)=0,"Klant niet in Tarieven",IF(MOD(N(H565),1)*100&gt;59.4,"Tijd ongeldig: minuten boven 59",IF(J565="Nog bepalen","Prijstype nog bepalen",IF(AND(J565="Per uur",N(K565)=0),"Uurtarief ontbreekt",IF(AND(J565="Vaste prijs",N(K565)=0),"Vaste prijs ontbreekt",IF(AND(N(I565)=0,Q565&lt;&gt;"Niet doorgegaan / verplaatst",Q565&lt;&gt;"Geen factuur nodig"),"Geen uren",IF(AND(G565="NEE",Q565="Verstuurd"),"Verstuurd terwijl werk niet af",IF(IFERROR(VLOOKUP(C565,Tarieven!$A$2:$F$200,2,0),"")="Beide","Beide-klant: controleer prijstype","OK")))))))))</f>
        <v/>
      </c>
    </row>
    <row r="566" ht="15" customHeight="1" s="42">
      <c r="A566" s="56">
        <f>IF(B566="","",WEEKNUM(B566,21))</f>
        <v/>
      </c>
      <c r="B566" s="55" t="n"/>
      <c r="C566" s="57" t="n"/>
      <c r="D566" s="57" t="n"/>
      <c r="E566" s="57" t="n"/>
      <c r="F566" s="57" t="n"/>
      <c r="G566" s="67" t="n"/>
      <c r="H566" s="68" t="n"/>
      <c r="I566" s="61">
        <f>IF(C566="","",IF(H566&lt;&gt;"",INT(H566)+ROUND(MOD(H566,1)*100/60,2),SUMIFS(Registraties!$L$5:$L$3004,Registraties!$D$5:$D$3004,C566,Registraties!$A$5:$A$3004,B566)))</f>
        <v/>
      </c>
      <c r="J566" s="58">
        <f>IF(C566="","",IFERROR(IF(VLOOKUP(C566,Tarieven!$A$2:$F$200,2,0)="Beide","Per uur",VLOOKUP(C566,Tarieven!$A$2:$F$200,2,0)),"Nog bepalen"))</f>
        <v/>
      </c>
      <c r="K566" s="69">
        <f>IF(C566="","",IF(J566="Per uur",IFERROR(VLOOKUP(C566,Tarieven!$A$2:$F$200,3,0),""),IF(J566="Vaste prijs",IFERROR(VLOOKUP(C566,Tarieven!$A$2:$F$200,4,0),""),"")))</f>
        <v/>
      </c>
      <c r="L566" s="70">
        <f>IF(C566="","",IF(J566="Per uur",N(I566)*N(K566),IF(J566="Vaste prijs",N(K566),0)))</f>
        <v/>
      </c>
      <c r="M566" s="69">
        <f>IF(C566="","",IFERROR(IF(N(VLOOKUP(C566,Tarieven!$A$2:$F$200,5,0))=0,"",VLOOKUP(C566,Tarieven!$A$2:$F$200,5,0)),""))</f>
        <v/>
      </c>
      <c r="N566" s="69" t="n"/>
      <c r="O566" s="69" t="n"/>
      <c r="P566" s="70">
        <f>IF(C566="","",N(L566)+N(M566)+N(N566)+N(O566))</f>
        <v/>
      </c>
      <c r="Q566" s="58" t="n"/>
      <c r="R566" s="57" t="n"/>
      <c r="S566" s="57" t="n"/>
      <c r="T566" s="57" t="n"/>
      <c r="U566" s="62">
        <f>IF(C566="","",IF(COUNTIF(Tarieven!$A$2:$A$200,C566)=0,"Klant niet in Tarieven",IF(MOD(N(H566),1)*100&gt;59.4,"Tijd ongeldig: minuten boven 59",IF(J566="Nog bepalen","Prijstype nog bepalen",IF(AND(J566="Per uur",N(K566)=0),"Uurtarief ontbreekt",IF(AND(J566="Vaste prijs",N(K566)=0),"Vaste prijs ontbreekt",IF(AND(N(I566)=0,Q566&lt;&gt;"Niet doorgegaan / verplaatst",Q566&lt;&gt;"Geen factuur nodig"),"Geen uren",IF(AND(G566="NEE",Q566="Verstuurd"),"Verstuurd terwijl werk niet af",IF(IFERROR(VLOOKUP(C566,Tarieven!$A$2:$F$200,2,0),"")="Beide","Beide-klant: controleer prijstype","OK")))))))))</f>
        <v/>
      </c>
    </row>
    <row r="567" ht="15" customHeight="1" s="42">
      <c r="A567" s="56">
        <f>IF(B567="","",WEEKNUM(B567,21))</f>
        <v/>
      </c>
      <c r="B567" s="55" t="n"/>
      <c r="C567" s="57" t="n"/>
      <c r="D567" s="57" t="n"/>
      <c r="E567" s="57" t="n"/>
      <c r="F567" s="57" t="n"/>
      <c r="G567" s="67" t="n"/>
      <c r="H567" s="68" t="n"/>
      <c r="I567" s="61">
        <f>IF(C567="","",IF(H567&lt;&gt;"",INT(H567)+ROUND(MOD(H567,1)*100/60,2),SUMIFS(Registraties!$L$5:$L$3004,Registraties!$D$5:$D$3004,C567,Registraties!$A$5:$A$3004,B567)))</f>
        <v/>
      </c>
      <c r="J567" s="58">
        <f>IF(C567="","",IFERROR(IF(VLOOKUP(C567,Tarieven!$A$2:$F$200,2,0)="Beide","Per uur",VLOOKUP(C567,Tarieven!$A$2:$F$200,2,0)),"Nog bepalen"))</f>
        <v/>
      </c>
      <c r="K567" s="69">
        <f>IF(C567="","",IF(J567="Per uur",IFERROR(VLOOKUP(C567,Tarieven!$A$2:$F$200,3,0),""),IF(J567="Vaste prijs",IFERROR(VLOOKUP(C567,Tarieven!$A$2:$F$200,4,0),""),"")))</f>
        <v/>
      </c>
      <c r="L567" s="70">
        <f>IF(C567="","",IF(J567="Per uur",N(I567)*N(K567),IF(J567="Vaste prijs",N(K567),0)))</f>
        <v/>
      </c>
      <c r="M567" s="69">
        <f>IF(C567="","",IFERROR(IF(N(VLOOKUP(C567,Tarieven!$A$2:$F$200,5,0))=0,"",VLOOKUP(C567,Tarieven!$A$2:$F$200,5,0)),""))</f>
        <v/>
      </c>
      <c r="N567" s="69" t="n"/>
      <c r="O567" s="69" t="n"/>
      <c r="P567" s="70">
        <f>IF(C567="","",N(L567)+N(M567)+N(N567)+N(O567))</f>
        <v/>
      </c>
      <c r="Q567" s="58" t="n"/>
      <c r="R567" s="57" t="n"/>
      <c r="S567" s="57" t="n"/>
      <c r="T567" s="57" t="n"/>
      <c r="U567" s="62">
        <f>IF(C567="","",IF(COUNTIF(Tarieven!$A$2:$A$200,C567)=0,"Klant niet in Tarieven",IF(MOD(N(H567),1)*100&gt;59.4,"Tijd ongeldig: minuten boven 59",IF(J567="Nog bepalen","Prijstype nog bepalen",IF(AND(J567="Per uur",N(K567)=0),"Uurtarief ontbreekt",IF(AND(J567="Vaste prijs",N(K567)=0),"Vaste prijs ontbreekt",IF(AND(N(I567)=0,Q567&lt;&gt;"Niet doorgegaan / verplaatst",Q567&lt;&gt;"Geen factuur nodig"),"Geen uren",IF(AND(G567="NEE",Q567="Verstuurd"),"Verstuurd terwijl werk niet af",IF(IFERROR(VLOOKUP(C567,Tarieven!$A$2:$F$200,2,0),"")="Beide","Beide-klant: controleer prijstype","OK")))))))))</f>
        <v/>
      </c>
    </row>
    <row r="568" ht="15" customHeight="1" s="42">
      <c r="A568" s="56">
        <f>IF(B568="","",WEEKNUM(B568,21))</f>
        <v/>
      </c>
      <c r="B568" s="55" t="n"/>
      <c r="C568" s="57" t="n"/>
      <c r="D568" s="57" t="n"/>
      <c r="E568" s="57" t="n"/>
      <c r="F568" s="57" t="n"/>
      <c r="G568" s="67" t="n"/>
      <c r="H568" s="68" t="n"/>
      <c r="I568" s="61">
        <f>IF(C568="","",IF(H568&lt;&gt;"",INT(H568)+ROUND(MOD(H568,1)*100/60,2),SUMIFS(Registraties!$L$5:$L$3004,Registraties!$D$5:$D$3004,C568,Registraties!$A$5:$A$3004,B568)))</f>
        <v/>
      </c>
      <c r="J568" s="58">
        <f>IF(C568="","",IFERROR(IF(VLOOKUP(C568,Tarieven!$A$2:$F$200,2,0)="Beide","Per uur",VLOOKUP(C568,Tarieven!$A$2:$F$200,2,0)),"Nog bepalen"))</f>
        <v/>
      </c>
      <c r="K568" s="69">
        <f>IF(C568="","",IF(J568="Per uur",IFERROR(VLOOKUP(C568,Tarieven!$A$2:$F$200,3,0),""),IF(J568="Vaste prijs",IFERROR(VLOOKUP(C568,Tarieven!$A$2:$F$200,4,0),""),"")))</f>
        <v/>
      </c>
      <c r="L568" s="70">
        <f>IF(C568="","",IF(J568="Per uur",N(I568)*N(K568),IF(J568="Vaste prijs",N(K568),0)))</f>
        <v/>
      </c>
      <c r="M568" s="69">
        <f>IF(C568="","",IFERROR(IF(N(VLOOKUP(C568,Tarieven!$A$2:$F$200,5,0))=0,"",VLOOKUP(C568,Tarieven!$A$2:$F$200,5,0)),""))</f>
        <v/>
      </c>
      <c r="N568" s="69" t="n"/>
      <c r="O568" s="69" t="n"/>
      <c r="P568" s="70">
        <f>IF(C568="","",N(L568)+N(M568)+N(N568)+N(O568))</f>
        <v/>
      </c>
      <c r="Q568" s="58" t="n"/>
      <c r="R568" s="57" t="n"/>
      <c r="S568" s="57" t="n"/>
      <c r="T568" s="57" t="n"/>
      <c r="U568" s="62">
        <f>IF(C568="","",IF(COUNTIF(Tarieven!$A$2:$A$200,C568)=0,"Klant niet in Tarieven",IF(MOD(N(H568),1)*100&gt;59.4,"Tijd ongeldig: minuten boven 59",IF(J568="Nog bepalen","Prijstype nog bepalen",IF(AND(J568="Per uur",N(K568)=0),"Uurtarief ontbreekt",IF(AND(J568="Vaste prijs",N(K568)=0),"Vaste prijs ontbreekt",IF(AND(N(I568)=0,Q568&lt;&gt;"Niet doorgegaan / verplaatst",Q568&lt;&gt;"Geen factuur nodig"),"Geen uren",IF(AND(G568="NEE",Q568="Verstuurd"),"Verstuurd terwijl werk niet af",IF(IFERROR(VLOOKUP(C568,Tarieven!$A$2:$F$200,2,0),"")="Beide","Beide-klant: controleer prijstype","OK")))))))))</f>
        <v/>
      </c>
    </row>
    <row r="569" ht="15" customHeight="1" s="42">
      <c r="A569" s="56">
        <f>IF(B569="","",WEEKNUM(B569,21))</f>
        <v/>
      </c>
      <c r="B569" s="55" t="n"/>
      <c r="C569" s="57" t="n"/>
      <c r="D569" s="57" t="n"/>
      <c r="E569" s="57" t="n"/>
      <c r="F569" s="57" t="n"/>
      <c r="G569" s="67" t="n"/>
      <c r="H569" s="68" t="n"/>
      <c r="I569" s="61">
        <f>IF(C569="","",IF(H569&lt;&gt;"",INT(H569)+ROUND(MOD(H569,1)*100/60,2),SUMIFS(Registraties!$L$5:$L$3004,Registraties!$D$5:$D$3004,C569,Registraties!$A$5:$A$3004,B569)))</f>
        <v/>
      </c>
      <c r="J569" s="58">
        <f>IF(C569="","",IFERROR(IF(VLOOKUP(C569,Tarieven!$A$2:$F$200,2,0)="Beide","Per uur",VLOOKUP(C569,Tarieven!$A$2:$F$200,2,0)),"Nog bepalen"))</f>
        <v/>
      </c>
      <c r="K569" s="69">
        <f>IF(C569="","",IF(J569="Per uur",IFERROR(VLOOKUP(C569,Tarieven!$A$2:$F$200,3,0),""),IF(J569="Vaste prijs",IFERROR(VLOOKUP(C569,Tarieven!$A$2:$F$200,4,0),""),"")))</f>
        <v/>
      </c>
      <c r="L569" s="70">
        <f>IF(C569="","",IF(J569="Per uur",N(I569)*N(K569),IF(J569="Vaste prijs",N(K569),0)))</f>
        <v/>
      </c>
      <c r="M569" s="69">
        <f>IF(C569="","",IFERROR(IF(N(VLOOKUP(C569,Tarieven!$A$2:$F$200,5,0))=0,"",VLOOKUP(C569,Tarieven!$A$2:$F$200,5,0)),""))</f>
        <v/>
      </c>
      <c r="N569" s="69" t="n"/>
      <c r="O569" s="69" t="n"/>
      <c r="P569" s="70">
        <f>IF(C569="","",N(L569)+N(M569)+N(N569)+N(O569))</f>
        <v/>
      </c>
      <c r="Q569" s="58" t="n"/>
      <c r="R569" s="57" t="n"/>
      <c r="S569" s="57" t="n"/>
      <c r="T569" s="57" t="n"/>
      <c r="U569" s="62">
        <f>IF(C569="","",IF(COUNTIF(Tarieven!$A$2:$A$200,C569)=0,"Klant niet in Tarieven",IF(MOD(N(H569),1)*100&gt;59.4,"Tijd ongeldig: minuten boven 59",IF(J569="Nog bepalen","Prijstype nog bepalen",IF(AND(J569="Per uur",N(K569)=0),"Uurtarief ontbreekt",IF(AND(J569="Vaste prijs",N(K569)=0),"Vaste prijs ontbreekt",IF(AND(N(I569)=0,Q569&lt;&gt;"Niet doorgegaan / verplaatst",Q569&lt;&gt;"Geen factuur nodig"),"Geen uren",IF(AND(G569="NEE",Q569="Verstuurd"),"Verstuurd terwijl werk niet af",IF(IFERROR(VLOOKUP(C569,Tarieven!$A$2:$F$200,2,0),"")="Beide","Beide-klant: controleer prijstype","OK")))))))))</f>
        <v/>
      </c>
    </row>
    <row r="570" ht="15" customHeight="1" s="42">
      <c r="A570" s="56">
        <f>IF(B570="","",WEEKNUM(B570,21))</f>
        <v/>
      </c>
      <c r="B570" s="55" t="n"/>
      <c r="C570" s="57" t="n"/>
      <c r="D570" s="57" t="n"/>
      <c r="E570" s="57" t="n"/>
      <c r="F570" s="57" t="n"/>
      <c r="G570" s="67" t="n"/>
      <c r="H570" s="68" t="n"/>
      <c r="I570" s="61">
        <f>IF(C570="","",IF(H570&lt;&gt;"",INT(H570)+ROUND(MOD(H570,1)*100/60,2),SUMIFS(Registraties!$L$5:$L$3004,Registraties!$D$5:$D$3004,C570,Registraties!$A$5:$A$3004,B570)))</f>
        <v/>
      </c>
      <c r="J570" s="58">
        <f>IF(C570="","",IFERROR(IF(VLOOKUP(C570,Tarieven!$A$2:$F$200,2,0)="Beide","Per uur",VLOOKUP(C570,Tarieven!$A$2:$F$200,2,0)),"Nog bepalen"))</f>
        <v/>
      </c>
      <c r="K570" s="69">
        <f>IF(C570="","",IF(J570="Per uur",IFERROR(VLOOKUP(C570,Tarieven!$A$2:$F$200,3,0),""),IF(J570="Vaste prijs",IFERROR(VLOOKUP(C570,Tarieven!$A$2:$F$200,4,0),""),"")))</f>
        <v/>
      </c>
      <c r="L570" s="70">
        <f>IF(C570="","",IF(J570="Per uur",N(I570)*N(K570),IF(J570="Vaste prijs",N(K570),0)))</f>
        <v/>
      </c>
      <c r="M570" s="69">
        <f>IF(C570="","",IFERROR(IF(N(VLOOKUP(C570,Tarieven!$A$2:$F$200,5,0))=0,"",VLOOKUP(C570,Tarieven!$A$2:$F$200,5,0)),""))</f>
        <v/>
      </c>
      <c r="N570" s="69" t="n"/>
      <c r="O570" s="69" t="n"/>
      <c r="P570" s="70">
        <f>IF(C570="","",N(L570)+N(M570)+N(N570)+N(O570))</f>
        <v/>
      </c>
      <c r="Q570" s="58" t="n"/>
      <c r="R570" s="57" t="n"/>
      <c r="S570" s="57" t="n"/>
      <c r="T570" s="57" t="n"/>
      <c r="U570" s="62">
        <f>IF(C570="","",IF(COUNTIF(Tarieven!$A$2:$A$200,C570)=0,"Klant niet in Tarieven",IF(MOD(N(H570),1)*100&gt;59.4,"Tijd ongeldig: minuten boven 59",IF(J570="Nog bepalen","Prijstype nog bepalen",IF(AND(J570="Per uur",N(K570)=0),"Uurtarief ontbreekt",IF(AND(J570="Vaste prijs",N(K570)=0),"Vaste prijs ontbreekt",IF(AND(N(I570)=0,Q570&lt;&gt;"Niet doorgegaan / verplaatst",Q570&lt;&gt;"Geen factuur nodig"),"Geen uren",IF(AND(G570="NEE",Q570="Verstuurd"),"Verstuurd terwijl werk niet af",IF(IFERROR(VLOOKUP(C570,Tarieven!$A$2:$F$200,2,0),"")="Beide","Beide-klant: controleer prijstype","OK")))))))))</f>
        <v/>
      </c>
    </row>
    <row r="571" ht="15" customHeight="1" s="42">
      <c r="A571" s="56">
        <f>IF(B571="","",WEEKNUM(B571,21))</f>
        <v/>
      </c>
      <c r="B571" s="55" t="n"/>
      <c r="C571" s="57" t="n"/>
      <c r="D571" s="57" t="n"/>
      <c r="E571" s="57" t="n"/>
      <c r="F571" s="57" t="n"/>
      <c r="G571" s="67" t="n"/>
      <c r="H571" s="68" t="n"/>
      <c r="I571" s="61">
        <f>IF(C571="","",IF(H571&lt;&gt;"",INT(H571)+ROUND(MOD(H571,1)*100/60,2),SUMIFS(Registraties!$L$5:$L$3004,Registraties!$D$5:$D$3004,C571,Registraties!$A$5:$A$3004,B571)))</f>
        <v/>
      </c>
      <c r="J571" s="58">
        <f>IF(C571="","",IFERROR(IF(VLOOKUP(C571,Tarieven!$A$2:$F$200,2,0)="Beide","Per uur",VLOOKUP(C571,Tarieven!$A$2:$F$200,2,0)),"Nog bepalen"))</f>
        <v/>
      </c>
      <c r="K571" s="69">
        <f>IF(C571="","",IF(J571="Per uur",IFERROR(VLOOKUP(C571,Tarieven!$A$2:$F$200,3,0),""),IF(J571="Vaste prijs",IFERROR(VLOOKUP(C571,Tarieven!$A$2:$F$200,4,0),""),"")))</f>
        <v/>
      </c>
      <c r="L571" s="70">
        <f>IF(C571="","",IF(J571="Per uur",N(I571)*N(K571),IF(J571="Vaste prijs",N(K571),0)))</f>
        <v/>
      </c>
      <c r="M571" s="69">
        <f>IF(C571="","",IFERROR(IF(N(VLOOKUP(C571,Tarieven!$A$2:$F$200,5,0))=0,"",VLOOKUP(C571,Tarieven!$A$2:$F$200,5,0)),""))</f>
        <v/>
      </c>
      <c r="N571" s="69" t="n"/>
      <c r="O571" s="69" t="n"/>
      <c r="P571" s="70">
        <f>IF(C571="","",N(L571)+N(M571)+N(N571)+N(O571))</f>
        <v/>
      </c>
      <c r="Q571" s="58" t="n"/>
      <c r="R571" s="57" t="n"/>
      <c r="S571" s="57" t="n"/>
      <c r="T571" s="57" t="n"/>
      <c r="U571" s="62">
        <f>IF(C571="","",IF(COUNTIF(Tarieven!$A$2:$A$200,C571)=0,"Klant niet in Tarieven",IF(MOD(N(H571),1)*100&gt;59.4,"Tijd ongeldig: minuten boven 59",IF(J571="Nog bepalen","Prijstype nog bepalen",IF(AND(J571="Per uur",N(K571)=0),"Uurtarief ontbreekt",IF(AND(J571="Vaste prijs",N(K571)=0),"Vaste prijs ontbreekt",IF(AND(N(I571)=0,Q571&lt;&gt;"Niet doorgegaan / verplaatst",Q571&lt;&gt;"Geen factuur nodig"),"Geen uren",IF(AND(G571="NEE",Q571="Verstuurd"),"Verstuurd terwijl werk niet af",IF(IFERROR(VLOOKUP(C571,Tarieven!$A$2:$F$200,2,0),"")="Beide","Beide-klant: controleer prijstype","OK")))))))))</f>
        <v/>
      </c>
    </row>
    <row r="572" ht="15" customHeight="1" s="42">
      <c r="A572" s="56">
        <f>IF(B572="","",WEEKNUM(B572,21))</f>
        <v/>
      </c>
      <c r="B572" s="55" t="n"/>
      <c r="C572" s="57" t="n"/>
      <c r="D572" s="57" t="n"/>
      <c r="E572" s="57" t="n"/>
      <c r="F572" s="57" t="n"/>
      <c r="G572" s="67" t="n"/>
      <c r="H572" s="68" t="n"/>
      <c r="I572" s="61">
        <f>IF(C572="","",IF(H572&lt;&gt;"",INT(H572)+ROUND(MOD(H572,1)*100/60,2),SUMIFS(Registraties!$L$5:$L$3004,Registraties!$D$5:$D$3004,C572,Registraties!$A$5:$A$3004,B572)))</f>
        <v/>
      </c>
      <c r="J572" s="58">
        <f>IF(C572="","",IFERROR(IF(VLOOKUP(C572,Tarieven!$A$2:$F$200,2,0)="Beide","Per uur",VLOOKUP(C572,Tarieven!$A$2:$F$200,2,0)),"Nog bepalen"))</f>
        <v/>
      </c>
      <c r="K572" s="69">
        <f>IF(C572="","",IF(J572="Per uur",IFERROR(VLOOKUP(C572,Tarieven!$A$2:$F$200,3,0),""),IF(J572="Vaste prijs",IFERROR(VLOOKUP(C572,Tarieven!$A$2:$F$200,4,0),""),"")))</f>
        <v/>
      </c>
      <c r="L572" s="70">
        <f>IF(C572="","",IF(J572="Per uur",N(I572)*N(K572),IF(J572="Vaste prijs",N(K572),0)))</f>
        <v/>
      </c>
      <c r="M572" s="69">
        <f>IF(C572="","",IFERROR(IF(N(VLOOKUP(C572,Tarieven!$A$2:$F$200,5,0))=0,"",VLOOKUP(C572,Tarieven!$A$2:$F$200,5,0)),""))</f>
        <v/>
      </c>
      <c r="N572" s="69" t="n"/>
      <c r="O572" s="69" t="n"/>
      <c r="P572" s="70">
        <f>IF(C572="","",N(L572)+N(M572)+N(N572)+N(O572))</f>
        <v/>
      </c>
      <c r="Q572" s="58" t="n"/>
      <c r="R572" s="57" t="n"/>
      <c r="S572" s="57" t="n"/>
      <c r="T572" s="57" t="n"/>
      <c r="U572" s="62">
        <f>IF(C572="","",IF(COUNTIF(Tarieven!$A$2:$A$200,C572)=0,"Klant niet in Tarieven",IF(MOD(N(H572),1)*100&gt;59.4,"Tijd ongeldig: minuten boven 59",IF(J572="Nog bepalen","Prijstype nog bepalen",IF(AND(J572="Per uur",N(K572)=0),"Uurtarief ontbreekt",IF(AND(J572="Vaste prijs",N(K572)=0),"Vaste prijs ontbreekt",IF(AND(N(I572)=0,Q572&lt;&gt;"Niet doorgegaan / verplaatst",Q572&lt;&gt;"Geen factuur nodig"),"Geen uren",IF(AND(G572="NEE",Q572="Verstuurd"),"Verstuurd terwijl werk niet af",IF(IFERROR(VLOOKUP(C572,Tarieven!$A$2:$F$200,2,0),"")="Beide","Beide-klant: controleer prijstype","OK")))))))))</f>
        <v/>
      </c>
    </row>
    <row r="573" ht="15" customHeight="1" s="42">
      <c r="A573" s="56">
        <f>IF(B573="","",WEEKNUM(B573,21))</f>
        <v/>
      </c>
      <c r="B573" s="55" t="n"/>
      <c r="C573" s="57" t="n"/>
      <c r="D573" s="57" t="n"/>
      <c r="E573" s="57" t="n"/>
      <c r="F573" s="57" t="n"/>
      <c r="G573" s="67" t="n"/>
      <c r="H573" s="68" t="n"/>
      <c r="I573" s="61">
        <f>IF(C573="","",IF(H573&lt;&gt;"",INT(H573)+ROUND(MOD(H573,1)*100/60,2),SUMIFS(Registraties!$L$5:$L$3004,Registraties!$D$5:$D$3004,C573,Registraties!$A$5:$A$3004,B573)))</f>
        <v/>
      </c>
      <c r="J573" s="58">
        <f>IF(C573="","",IFERROR(IF(VLOOKUP(C573,Tarieven!$A$2:$F$200,2,0)="Beide","Per uur",VLOOKUP(C573,Tarieven!$A$2:$F$200,2,0)),"Nog bepalen"))</f>
        <v/>
      </c>
      <c r="K573" s="69">
        <f>IF(C573="","",IF(J573="Per uur",IFERROR(VLOOKUP(C573,Tarieven!$A$2:$F$200,3,0),""),IF(J573="Vaste prijs",IFERROR(VLOOKUP(C573,Tarieven!$A$2:$F$200,4,0),""),"")))</f>
        <v/>
      </c>
      <c r="L573" s="70">
        <f>IF(C573="","",IF(J573="Per uur",N(I573)*N(K573),IF(J573="Vaste prijs",N(K573),0)))</f>
        <v/>
      </c>
      <c r="M573" s="69">
        <f>IF(C573="","",IFERROR(IF(N(VLOOKUP(C573,Tarieven!$A$2:$F$200,5,0))=0,"",VLOOKUP(C573,Tarieven!$A$2:$F$200,5,0)),""))</f>
        <v/>
      </c>
      <c r="N573" s="69" t="n"/>
      <c r="O573" s="69" t="n"/>
      <c r="P573" s="70">
        <f>IF(C573="","",N(L573)+N(M573)+N(N573)+N(O573))</f>
        <v/>
      </c>
      <c r="Q573" s="58" t="n"/>
      <c r="R573" s="57" t="n"/>
      <c r="S573" s="57" t="n"/>
      <c r="T573" s="57" t="n"/>
      <c r="U573" s="62">
        <f>IF(C573="","",IF(COUNTIF(Tarieven!$A$2:$A$200,C573)=0,"Klant niet in Tarieven",IF(MOD(N(H573),1)*100&gt;59.4,"Tijd ongeldig: minuten boven 59",IF(J573="Nog bepalen","Prijstype nog bepalen",IF(AND(J573="Per uur",N(K573)=0),"Uurtarief ontbreekt",IF(AND(J573="Vaste prijs",N(K573)=0),"Vaste prijs ontbreekt",IF(AND(N(I573)=0,Q573&lt;&gt;"Niet doorgegaan / verplaatst",Q573&lt;&gt;"Geen factuur nodig"),"Geen uren",IF(AND(G573="NEE",Q573="Verstuurd"),"Verstuurd terwijl werk niet af",IF(IFERROR(VLOOKUP(C573,Tarieven!$A$2:$F$200,2,0),"")="Beide","Beide-klant: controleer prijstype","OK")))))))))</f>
        <v/>
      </c>
    </row>
    <row r="574" ht="15" customHeight="1" s="42">
      <c r="A574" s="56">
        <f>IF(B574="","",WEEKNUM(B574,21))</f>
        <v/>
      </c>
      <c r="B574" s="55" t="n"/>
      <c r="C574" s="57" t="n"/>
      <c r="D574" s="57" t="n"/>
      <c r="E574" s="57" t="n"/>
      <c r="F574" s="57" t="n"/>
      <c r="G574" s="67" t="n"/>
      <c r="H574" s="68" t="n"/>
      <c r="I574" s="61">
        <f>IF(C574="","",IF(H574&lt;&gt;"",INT(H574)+ROUND(MOD(H574,1)*100/60,2),SUMIFS(Registraties!$L$5:$L$3004,Registraties!$D$5:$D$3004,C574,Registraties!$A$5:$A$3004,B574)))</f>
        <v/>
      </c>
      <c r="J574" s="58">
        <f>IF(C574="","",IFERROR(IF(VLOOKUP(C574,Tarieven!$A$2:$F$200,2,0)="Beide","Per uur",VLOOKUP(C574,Tarieven!$A$2:$F$200,2,0)),"Nog bepalen"))</f>
        <v/>
      </c>
      <c r="K574" s="69">
        <f>IF(C574="","",IF(J574="Per uur",IFERROR(VLOOKUP(C574,Tarieven!$A$2:$F$200,3,0),""),IF(J574="Vaste prijs",IFERROR(VLOOKUP(C574,Tarieven!$A$2:$F$200,4,0),""),"")))</f>
        <v/>
      </c>
      <c r="L574" s="70">
        <f>IF(C574="","",IF(J574="Per uur",N(I574)*N(K574),IF(J574="Vaste prijs",N(K574),0)))</f>
        <v/>
      </c>
      <c r="M574" s="69">
        <f>IF(C574="","",IFERROR(IF(N(VLOOKUP(C574,Tarieven!$A$2:$F$200,5,0))=0,"",VLOOKUP(C574,Tarieven!$A$2:$F$200,5,0)),""))</f>
        <v/>
      </c>
      <c r="N574" s="69" t="n"/>
      <c r="O574" s="69" t="n"/>
      <c r="P574" s="70">
        <f>IF(C574="","",N(L574)+N(M574)+N(N574)+N(O574))</f>
        <v/>
      </c>
      <c r="Q574" s="58" t="n"/>
      <c r="R574" s="57" t="n"/>
      <c r="S574" s="57" t="n"/>
      <c r="T574" s="57" t="n"/>
      <c r="U574" s="62">
        <f>IF(C574="","",IF(COUNTIF(Tarieven!$A$2:$A$200,C574)=0,"Klant niet in Tarieven",IF(MOD(N(H574),1)*100&gt;59.4,"Tijd ongeldig: minuten boven 59",IF(J574="Nog bepalen","Prijstype nog bepalen",IF(AND(J574="Per uur",N(K574)=0),"Uurtarief ontbreekt",IF(AND(J574="Vaste prijs",N(K574)=0),"Vaste prijs ontbreekt",IF(AND(N(I574)=0,Q574&lt;&gt;"Niet doorgegaan / verplaatst",Q574&lt;&gt;"Geen factuur nodig"),"Geen uren",IF(AND(G574="NEE",Q574="Verstuurd"),"Verstuurd terwijl werk niet af",IF(IFERROR(VLOOKUP(C574,Tarieven!$A$2:$F$200,2,0),"")="Beide","Beide-klant: controleer prijstype","OK")))))))))</f>
        <v/>
      </c>
    </row>
    <row r="575" ht="15" customHeight="1" s="42">
      <c r="A575" s="56">
        <f>IF(B575="","",WEEKNUM(B575,21))</f>
        <v/>
      </c>
      <c r="B575" s="55" t="n"/>
      <c r="C575" s="57" t="n"/>
      <c r="D575" s="57" t="n"/>
      <c r="E575" s="57" t="n"/>
      <c r="F575" s="57" t="n"/>
      <c r="G575" s="67" t="n"/>
      <c r="H575" s="68" t="n"/>
      <c r="I575" s="61">
        <f>IF(C575="","",IF(H575&lt;&gt;"",INT(H575)+ROUND(MOD(H575,1)*100/60,2),SUMIFS(Registraties!$L$5:$L$3004,Registraties!$D$5:$D$3004,C575,Registraties!$A$5:$A$3004,B575)))</f>
        <v/>
      </c>
      <c r="J575" s="58">
        <f>IF(C575="","",IFERROR(IF(VLOOKUP(C575,Tarieven!$A$2:$F$200,2,0)="Beide","Per uur",VLOOKUP(C575,Tarieven!$A$2:$F$200,2,0)),"Nog bepalen"))</f>
        <v/>
      </c>
      <c r="K575" s="69">
        <f>IF(C575="","",IF(J575="Per uur",IFERROR(VLOOKUP(C575,Tarieven!$A$2:$F$200,3,0),""),IF(J575="Vaste prijs",IFERROR(VLOOKUP(C575,Tarieven!$A$2:$F$200,4,0),""),"")))</f>
        <v/>
      </c>
      <c r="L575" s="70">
        <f>IF(C575="","",IF(J575="Per uur",N(I575)*N(K575),IF(J575="Vaste prijs",N(K575),0)))</f>
        <v/>
      </c>
      <c r="M575" s="69">
        <f>IF(C575="","",IFERROR(IF(N(VLOOKUP(C575,Tarieven!$A$2:$F$200,5,0))=0,"",VLOOKUP(C575,Tarieven!$A$2:$F$200,5,0)),""))</f>
        <v/>
      </c>
      <c r="N575" s="69" t="n"/>
      <c r="O575" s="69" t="n"/>
      <c r="P575" s="70">
        <f>IF(C575="","",N(L575)+N(M575)+N(N575)+N(O575))</f>
        <v/>
      </c>
      <c r="Q575" s="58" t="n"/>
      <c r="R575" s="57" t="n"/>
      <c r="S575" s="57" t="n"/>
      <c r="T575" s="57" t="n"/>
      <c r="U575" s="62">
        <f>IF(C575="","",IF(COUNTIF(Tarieven!$A$2:$A$200,C575)=0,"Klant niet in Tarieven",IF(MOD(N(H575),1)*100&gt;59.4,"Tijd ongeldig: minuten boven 59",IF(J575="Nog bepalen","Prijstype nog bepalen",IF(AND(J575="Per uur",N(K575)=0),"Uurtarief ontbreekt",IF(AND(J575="Vaste prijs",N(K575)=0),"Vaste prijs ontbreekt",IF(AND(N(I575)=0,Q575&lt;&gt;"Niet doorgegaan / verplaatst",Q575&lt;&gt;"Geen factuur nodig"),"Geen uren",IF(AND(G575="NEE",Q575="Verstuurd"),"Verstuurd terwijl werk niet af",IF(IFERROR(VLOOKUP(C575,Tarieven!$A$2:$F$200,2,0),"")="Beide","Beide-klant: controleer prijstype","OK")))))))))</f>
        <v/>
      </c>
    </row>
    <row r="576" ht="15" customHeight="1" s="42">
      <c r="A576" s="56">
        <f>IF(B576="","",WEEKNUM(B576,21))</f>
        <v/>
      </c>
      <c r="B576" s="55" t="n"/>
      <c r="C576" s="57" t="n"/>
      <c r="D576" s="57" t="n"/>
      <c r="E576" s="57" t="n"/>
      <c r="F576" s="57" t="n"/>
      <c r="G576" s="67" t="n"/>
      <c r="H576" s="68" t="n"/>
      <c r="I576" s="61">
        <f>IF(C576="","",IF(H576&lt;&gt;"",INT(H576)+ROUND(MOD(H576,1)*100/60,2),SUMIFS(Registraties!$L$5:$L$3004,Registraties!$D$5:$D$3004,C576,Registraties!$A$5:$A$3004,B576)))</f>
        <v/>
      </c>
      <c r="J576" s="58">
        <f>IF(C576="","",IFERROR(IF(VLOOKUP(C576,Tarieven!$A$2:$F$200,2,0)="Beide","Per uur",VLOOKUP(C576,Tarieven!$A$2:$F$200,2,0)),"Nog bepalen"))</f>
        <v/>
      </c>
      <c r="K576" s="69">
        <f>IF(C576="","",IF(J576="Per uur",IFERROR(VLOOKUP(C576,Tarieven!$A$2:$F$200,3,0),""),IF(J576="Vaste prijs",IFERROR(VLOOKUP(C576,Tarieven!$A$2:$F$200,4,0),""),"")))</f>
        <v/>
      </c>
      <c r="L576" s="70">
        <f>IF(C576="","",IF(J576="Per uur",N(I576)*N(K576),IF(J576="Vaste prijs",N(K576),0)))</f>
        <v/>
      </c>
      <c r="M576" s="69">
        <f>IF(C576="","",IFERROR(IF(N(VLOOKUP(C576,Tarieven!$A$2:$F$200,5,0))=0,"",VLOOKUP(C576,Tarieven!$A$2:$F$200,5,0)),""))</f>
        <v/>
      </c>
      <c r="N576" s="69" t="n"/>
      <c r="O576" s="69" t="n"/>
      <c r="P576" s="70">
        <f>IF(C576="","",N(L576)+N(M576)+N(N576)+N(O576))</f>
        <v/>
      </c>
      <c r="Q576" s="58" t="n"/>
      <c r="R576" s="57" t="n"/>
      <c r="S576" s="57" t="n"/>
      <c r="T576" s="57" t="n"/>
      <c r="U576" s="62">
        <f>IF(C576="","",IF(COUNTIF(Tarieven!$A$2:$A$200,C576)=0,"Klant niet in Tarieven",IF(MOD(N(H576),1)*100&gt;59.4,"Tijd ongeldig: minuten boven 59",IF(J576="Nog bepalen","Prijstype nog bepalen",IF(AND(J576="Per uur",N(K576)=0),"Uurtarief ontbreekt",IF(AND(J576="Vaste prijs",N(K576)=0),"Vaste prijs ontbreekt",IF(AND(N(I576)=0,Q576&lt;&gt;"Niet doorgegaan / verplaatst",Q576&lt;&gt;"Geen factuur nodig"),"Geen uren",IF(AND(G576="NEE",Q576="Verstuurd"),"Verstuurd terwijl werk niet af",IF(IFERROR(VLOOKUP(C576,Tarieven!$A$2:$F$200,2,0),"")="Beide","Beide-klant: controleer prijstype","OK")))))))))</f>
        <v/>
      </c>
    </row>
    <row r="577" ht="15" customHeight="1" s="42">
      <c r="A577" s="56">
        <f>IF(B577="","",WEEKNUM(B577,21))</f>
        <v/>
      </c>
      <c r="B577" s="55" t="n"/>
      <c r="C577" s="57" t="n"/>
      <c r="D577" s="57" t="n"/>
      <c r="E577" s="57" t="n"/>
      <c r="F577" s="57" t="n"/>
      <c r="G577" s="67" t="n"/>
      <c r="H577" s="68" t="n"/>
      <c r="I577" s="61">
        <f>IF(C577="","",IF(H577&lt;&gt;"",INT(H577)+ROUND(MOD(H577,1)*100/60,2),SUMIFS(Registraties!$L$5:$L$3004,Registraties!$D$5:$D$3004,C577,Registraties!$A$5:$A$3004,B577)))</f>
        <v/>
      </c>
      <c r="J577" s="58">
        <f>IF(C577="","",IFERROR(IF(VLOOKUP(C577,Tarieven!$A$2:$F$200,2,0)="Beide","Per uur",VLOOKUP(C577,Tarieven!$A$2:$F$200,2,0)),"Nog bepalen"))</f>
        <v/>
      </c>
      <c r="K577" s="69">
        <f>IF(C577="","",IF(J577="Per uur",IFERROR(VLOOKUP(C577,Tarieven!$A$2:$F$200,3,0),""),IF(J577="Vaste prijs",IFERROR(VLOOKUP(C577,Tarieven!$A$2:$F$200,4,0),""),"")))</f>
        <v/>
      </c>
      <c r="L577" s="70">
        <f>IF(C577="","",IF(J577="Per uur",N(I577)*N(K577),IF(J577="Vaste prijs",N(K577),0)))</f>
        <v/>
      </c>
      <c r="M577" s="69">
        <f>IF(C577="","",IFERROR(IF(N(VLOOKUP(C577,Tarieven!$A$2:$F$200,5,0))=0,"",VLOOKUP(C577,Tarieven!$A$2:$F$200,5,0)),""))</f>
        <v/>
      </c>
      <c r="N577" s="69" t="n"/>
      <c r="O577" s="69" t="n"/>
      <c r="P577" s="70">
        <f>IF(C577="","",N(L577)+N(M577)+N(N577)+N(O577))</f>
        <v/>
      </c>
      <c r="Q577" s="58" t="n"/>
      <c r="R577" s="57" t="n"/>
      <c r="S577" s="57" t="n"/>
      <c r="T577" s="57" t="n"/>
      <c r="U577" s="62">
        <f>IF(C577="","",IF(COUNTIF(Tarieven!$A$2:$A$200,C577)=0,"Klant niet in Tarieven",IF(MOD(N(H577),1)*100&gt;59.4,"Tijd ongeldig: minuten boven 59",IF(J577="Nog bepalen","Prijstype nog bepalen",IF(AND(J577="Per uur",N(K577)=0),"Uurtarief ontbreekt",IF(AND(J577="Vaste prijs",N(K577)=0),"Vaste prijs ontbreekt",IF(AND(N(I577)=0,Q577&lt;&gt;"Niet doorgegaan / verplaatst",Q577&lt;&gt;"Geen factuur nodig"),"Geen uren",IF(AND(G577="NEE",Q577="Verstuurd"),"Verstuurd terwijl werk niet af",IF(IFERROR(VLOOKUP(C577,Tarieven!$A$2:$F$200,2,0),"")="Beide","Beide-klant: controleer prijstype","OK")))))))))</f>
        <v/>
      </c>
    </row>
    <row r="578" ht="15" customHeight="1" s="42">
      <c r="A578" s="56">
        <f>IF(B578="","",WEEKNUM(B578,21))</f>
        <v/>
      </c>
      <c r="B578" s="55" t="n"/>
      <c r="C578" s="57" t="n"/>
      <c r="D578" s="57" t="n"/>
      <c r="E578" s="57" t="n"/>
      <c r="F578" s="57" t="n"/>
      <c r="G578" s="67" t="n"/>
      <c r="H578" s="68" t="n"/>
      <c r="I578" s="61">
        <f>IF(C578="","",IF(H578&lt;&gt;"",INT(H578)+ROUND(MOD(H578,1)*100/60,2),SUMIFS(Registraties!$L$5:$L$3004,Registraties!$D$5:$D$3004,C578,Registraties!$A$5:$A$3004,B578)))</f>
        <v/>
      </c>
      <c r="J578" s="58">
        <f>IF(C578="","",IFERROR(IF(VLOOKUP(C578,Tarieven!$A$2:$F$200,2,0)="Beide","Per uur",VLOOKUP(C578,Tarieven!$A$2:$F$200,2,0)),"Nog bepalen"))</f>
        <v/>
      </c>
      <c r="K578" s="69">
        <f>IF(C578="","",IF(J578="Per uur",IFERROR(VLOOKUP(C578,Tarieven!$A$2:$F$200,3,0),""),IF(J578="Vaste prijs",IFERROR(VLOOKUP(C578,Tarieven!$A$2:$F$200,4,0),""),"")))</f>
        <v/>
      </c>
      <c r="L578" s="70">
        <f>IF(C578="","",IF(J578="Per uur",N(I578)*N(K578),IF(J578="Vaste prijs",N(K578),0)))</f>
        <v/>
      </c>
      <c r="M578" s="69">
        <f>IF(C578="","",IFERROR(IF(N(VLOOKUP(C578,Tarieven!$A$2:$F$200,5,0))=0,"",VLOOKUP(C578,Tarieven!$A$2:$F$200,5,0)),""))</f>
        <v/>
      </c>
      <c r="N578" s="69" t="n"/>
      <c r="O578" s="69" t="n"/>
      <c r="P578" s="70">
        <f>IF(C578="","",N(L578)+N(M578)+N(N578)+N(O578))</f>
        <v/>
      </c>
      <c r="Q578" s="58" t="n"/>
      <c r="R578" s="57" t="n"/>
      <c r="S578" s="57" t="n"/>
      <c r="T578" s="57" t="n"/>
      <c r="U578" s="62">
        <f>IF(C578="","",IF(COUNTIF(Tarieven!$A$2:$A$200,C578)=0,"Klant niet in Tarieven",IF(MOD(N(H578),1)*100&gt;59.4,"Tijd ongeldig: minuten boven 59",IF(J578="Nog bepalen","Prijstype nog bepalen",IF(AND(J578="Per uur",N(K578)=0),"Uurtarief ontbreekt",IF(AND(J578="Vaste prijs",N(K578)=0),"Vaste prijs ontbreekt",IF(AND(N(I578)=0,Q578&lt;&gt;"Niet doorgegaan / verplaatst",Q578&lt;&gt;"Geen factuur nodig"),"Geen uren",IF(AND(G578="NEE",Q578="Verstuurd"),"Verstuurd terwijl werk niet af",IF(IFERROR(VLOOKUP(C578,Tarieven!$A$2:$F$200,2,0),"")="Beide","Beide-klant: controleer prijstype","OK")))))))))</f>
        <v/>
      </c>
    </row>
    <row r="579" ht="15" customHeight="1" s="42">
      <c r="A579" s="56">
        <f>IF(B579="","",WEEKNUM(B579,21))</f>
        <v/>
      </c>
      <c r="B579" s="55" t="n"/>
      <c r="C579" s="57" t="n"/>
      <c r="D579" s="57" t="n"/>
      <c r="E579" s="57" t="n"/>
      <c r="F579" s="57" t="n"/>
      <c r="G579" s="67" t="n"/>
      <c r="H579" s="68" t="n"/>
      <c r="I579" s="61">
        <f>IF(C579="","",IF(H579&lt;&gt;"",INT(H579)+ROUND(MOD(H579,1)*100/60,2),SUMIFS(Registraties!$L$5:$L$3004,Registraties!$D$5:$D$3004,C579,Registraties!$A$5:$A$3004,B579)))</f>
        <v/>
      </c>
      <c r="J579" s="58">
        <f>IF(C579="","",IFERROR(IF(VLOOKUP(C579,Tarieven!$A$2:$F$200,2,0)="Beide","Per uur",VLOOKUP(C579,Tarieven!$A$2:$F$200,2,0)),"Nog bepalen"))</f>
        <v/>
      </c>
      <c r="K579" s="69">
        <f>IF(C579="","",IF(J579="Per uur",IFERROR(VLOOKUP(C579,Tarieven!$A$2:$F$200,3,0),""),IF(J579="Vaste prijs",IFERROR(VLOOKUP(C579,Tarieven!$A$2:$F$200,4,0),""),"")))</f>
        <v/>
      </c>
      <c r="L579" s="70">
        <f>IF(C579="","",IF(J579="Per uur",N(I579)*N(K579),IF(J579="Vaste prijs",N(K579),0)))</f>
        <v/>
      </c>
      <c r="M579" s="69">
        <f>IF(C579="","",IFERROR(IF(N(VLOOKUP(C579,Tarieven!$A$2:$F$200,5,0))=0,"",VLOOKUP(C579,Tarieven!$A$2:$F$200,5,0)),""))</f>
        <v/>
      </c>
      <c r="N579" s="69" t="n"/>
      <c r="O579" s="69" t="n"/>
      <c r="P579" s="70">
        <f>IF(C579="","",N(L579)+N(M579)+N(N579)+N(O579))</f>
        <v/>
      </c>
      <c r="Q579" s="58" t="n"/>
      <c r="R579" s="57" t="n"/>
      <c r="S579" s="57" t="n"/>
      <c r="T579" s="57" t="n"/>
      <c r="U579" s="62">
        <f>IF(C579="","",IF(COUNTIF(Tarieven!$A$2:$A$200,C579)=0,"Klant niet in Tarieven",IF(MOD(N(H579),1)*100&gt;59.4,"Tijd ongeldig: minuten boven 59",IF(J579="Nog bepalen","Prijstype nog bepalen",IF(AND(J579="Per uur",N(K579)=0),"Uurtarief ontbreekt",IF(AND(J579="Vaste prijs",N(K579)=0),"Vaste prijs ontbreekt",IF(AND(N(I579)=0,Q579&lt;&gt;"Niet doorgegaan / verplaatst",Q579&lt;&gt;"Geen factuur nodig"),"Geen uren",IF(AND(G579="NEE",Q579="Verstuurd"),"Verstuurd terwijl werk niet af",IF(IFERROR(VLOOKUP(C579,Tarieven!$A$2:$F$200,2,0),"")="Beide","Beide-klant: controleer prijstype","OK")))))))))</f>
        <v/>
      </c>
    </row>
    <row r="580" ht="15" customHeight="1" s="42">
      <c r="A580" s="56">
        <f>IF(B580="","",WEEKNUM(B580,21))</f>
        <v/>
      </c>
      <c r="B580" s="55" t="n"/>
      <c r="C580" s="57" t="n"/>
      <c r="D580" s="57" t="n"/>
      <c r="E580" s="57" t="n"/>
      <c r="F580" s="57" t="n"/>
      <c r="G580" s="67" t="n"/>
      <c r="H580" s="68" t="n"/>
      <c r="I580" s="61">
        <f>IF(C580="","",IF(H580&lt;&gt;"",INT(H580)+ROUND(MOD(H580,1)*100/60,2),SUMIFS(Registraties!$L$5:$L$3004,Registraties!$D$5:$D$3004,C580,Registraties!$A$5:$A$3004,B580)))</f>
        <v/>
      </c>
      <c r="J580" s="58">
        <f>IF(C580="","",IFERROR(IF(VLOOKUP(C580,Tarieven!$A$2:$F$200,2,0)="Beide","Per uur",VLOOKUP(C580,Tarieven!$A$2:$F$200,2,0)),"Nog bepalen"))</f>
        <v/>
      </c>
      <c r="K580" s="69">
        <f>IF(C580="","",IF(J580="Per uur",IFERROR(VLOOKUP(C580,Tarieven!$A$2:$F$200,3,0),""),IF(J580="Vaste prijs",IFERROR(VLOOKUP(C580,Tarieven!$A$2:$F$200,4,0),""),"")))</f>
        <v/>
      </c>
      <c r="L580" s="70">
        <f>IF(C580="","",IF(J580="Per uur",N(I580)*N(K580),IF(J580="Vaste prijs",N(K580),0)))</f>
        <v/>
      </c>
      <c r="M580" s="69">
        <f>IF(C580="","",IFERROR(IF(N(VLOOKUP(C580,Tarieven!$A$2:$F$200,5,0))=0,"",VLOOKUP(C580,Tarieven!$A$2:$F$200,5,0)),""))</f>
        <v/>
      </c>
      <c r="N580" s="69" t="n"/>
      <c r="O580" s="69" t="n"/>
      <c r="P580" s="70">
        <f>IF(C580="","",N(L580)+N(M580)+N(N580)+N(O580))</f>
        <v/>
      </c>
      <c r="Q580" s="58" t="n"/>
      <c r="R580" s="57" t="n"/>
      <c r="S580" s="57" t="n"/>
      <c r="T580" s="57" t="n"/>
      <c r="U580" s="62">
        <f>IF(C580="","",IF(COUNTIF(Tarieven!$A$2:$A$200,C580)=0,"Klant niet in Tarieven",IF(MOD(N(H580),1)*100&gt;59.4,"Tijd ongeldig: minuten boven 59",IF(J580="Nog bepalen","Prijstype nog bepalen",IF(AND(J580="Per uur",N(K580)=0),"Uurtarief ontbreekt",IF(AND(J580="Vaste prijs",N(K580)=0),"Vaste prijs ontbreekt",IF(AND(N(I580)=0,Q580&lt;&gt;"Niet doorgegaan / verplaatst",Q580&lt;&gt;"Geen factuur nodig"),"Geen uren",IF(AND(G580="NEE",Q580="Verstuurd"),"Verstuurd terwijl werk niet af",IF(IFERROR(VLOOKUP(C580,Tarieven!$A$2:$F$200,2,0),"")="Beide","Beide-klant: controleer prijstype","OK")))))))))</f>
        <v/>
      </c>
    </row>
    <row r="581" ht="15" customHeight="1" s="42">
      <c r="A581" s="56">
        <f>IF(B581="","",WEEKNUM(B581,21))</f>
        <v/>
      </c>
      <c r="B581" s="55" t="n"/>
      <c r="C581" s="57" t="n"/>
      <c r="D581" s="57" t="n"/>
      <c r="E581" s="57" t="n"/>
      <c r="F581" s="57" t="n"/>
      <c r="G581" s="67" t="n"/>
      <c r="H581" s="68" t="n"/>
      <c r="I581" s="61">
        <f>IF(C581="","",IF(H581&lt;&gt;"",INT(H581)+ROUND(MOD(H581,1)*100/60,2),SUMIFS(Registraties!$L$5:$L$3004,Registraties!$D$5:$D$3004,C581,Registraties!$A$5:$A$3004,B581)))</f>
        <v/>
      </c>
      <c r="J581" s="58">
        <f>IF(C581="","",IFERROR(IF(VLOOKUP(C581,Tarieven!$A$2:$F$200,2,0)="Beide","Per uur",VLOOKUP(C581,Tarieven!$A$2:$F$200,2,0)),"Nog bepalen"))</f>
        <v/>
      </c>
      <c r="K581" s="69">
        <f>IF(C581="","",IF(J581="Per uur",IFERROR(VLOOKUP(C581,Tarieven!$A$2:$F$200,3,0),""),IF(J581="Vaste prijs",IFERROR(VLOOKUP(C581,Tarieven!$A$2:$F$200,4,0),""),"")))</f>
        <v/>
      </c>
      <c r="L581" s="70">
        <f>IF(C581="","",IF(J581="Per uur",N(I581)*N(K581),IF(J581="Vaste prijs",N(K581),0)))</f>
        <v/>
      </c>
      <c r="M581" s="69">
        <f>IF(C581="","",IFERROR(IF(N(VLOOKUP(C581,Tarieven!$A$2:$F$200,5,0))=0,"",VLOOKUP(C581,Tarieven!$A$2:$F$200,5,0)),""))</f>
        <v/>
      </c>
      <c r="N581" s="69" t="n"/>
      <c r="O581" s="69" t="n"/>
      <c r="P581" s="70">
        <f>IF(C581="","",N(L581)+N(M581)+N(N581)+N(O581))</f>
        <v/>
      </c>
      <c r="Q581" s="58" t="n"/>
      <c r="R581" s="57" t="n"/>
      <c r="S581" s="57" t="n"/>
      <c r="T581" s="57" t="n"/>
      <c r="U581" s="62">
        <f>IF(C581="","",IF(COUNTIF(Tarieven!$A$2:$A$200,C581)=0,"Klant niet in Tarieven",IF(MOD(N(H581),1)*100&gt;59.4,"Tijd ongeldig: minuten boven 59",IF(J581="Nog bepalen","Prijstype nog bepalen",IF(AND(J581="Per uur",N(K581)=0),"Uurtarief ontbreekt",IF(AND(J581="Vaste prijs",N(K581)=0),"Vaste prijs ontbreekt",IF(AND(N(I581)=0,Q581&lt;&gt;"Niet doorgegaan / verplaatst",Q581&lt;&gt;"Geen factuur nodig"),"Geen uren",IF(AND(G581="NEE",Q581="Verstuurd"),"Verstuurd terwijl werk niet af",IF(IFERROR(VLOOKUP(C581,Tarieven!$A$2:$F$200,2,0),"")="Beide","Beide-klant: controleer prijstype","OK")))))))))</f>
        <v/>
      </c>
    </row>
    <row r="582" ht="15" customHeight="1" s="42">
      <c r="A582" s="56">
        <f>IF(B582="","",WEEKNUM(B582,21))</f>
        <v/>
      </c>
      <c r="B582" s="55" t="n"/>
      <c r="C582" s="57" t="n"/>
      <c r="D582" s="57" t="n"/>
      <c r="E582" s="57" t="n"/>
      <c r="F582" s="57" t="n"/>
      <c r="G582" s="67" t="n"/>
      <c r="H582" s="68" t="n"/>
      <c r="I582" s="61">
        <f>IF(C582="","",IF(H582&lt;&gt;"",INT(H582)+ROUND(MOD(H582,1)*100/60,2),SUMIFS(Registraties!$L$5:$L$3004,Registraties!$D$5:$D$3004,C582,Registraties!$A$5:$A$3004,B582)))</f>
        <v/>
      </c>
      <c r="J582" s="58">
        <f>IF(C582="","",IFERROR(IF(VLOOKUP(C582,Tarieven!$A$2:$F$200,2,0)="Beide","Per uur",VLOOKUP(C582,Tarieven!$A$2:$F$200,2,0)),"Nog bepalen"))</f>
        <v/>
      </c>
      <c r="K582" s="69">
        <f>IF(C582="","",IF(J582="Per uur",IFERROR(VLOOKUP(C582,Tarieven!$A$2:$F$200,3,0),""),IF(J582="Vaste prijs",IFERROR(VLOOKUP(C582,Tarieven!$A$2:$F$200,4,0),""),"")))</f>
        <v/>
      </c>
      <c r="L582" s="70">
        <f>IF(C582="","",IF(J582="Per uur",N(I582)*N(K582),IF(J582="Vaste prijs",N(K582),0)))</f>
        <v/>
      </c>
      <c r="M582" s="69">
        <f>IF(C582="","",IFERROR(IF(N(VLOOKUP(C582,Tarieven!$A$2:$F$200,5,0))=0,"",VLOOKUP(C582,Tarieven!$A$2:$F$200,5,0)),""))</f>
        <v/>
      </c>
      <c r="N582" s="69" t="n"/>
      <c r="O582" s="69" t="n"/>
      <c r="P582" s="70">
        <f>IF(C582="","",N(L582)+N(M582)+N(N582)+N(O582))</f>
        <v/>
      </c>
      <c r="Q582" s="58" t="n"/>
      <c r="R582" s="57" t="n"/>
      <c r="S582" s="57" t="n"/>
      <c r="T582" s="57" t="n"/>
      <c r="U582" s="62">
        <f>IF(C582="","",IF(COUNTIF(Tarieven!$A$2:$A$200,C582)=0,"Klant niet in Tarieven",IF(MOD(N(H582),1)*100&gt;59.4,"Tijd ongeldig: minuten boven 59",IF(J582="Nog bepalen","Prijstype nog bepalen",IF(AND(J582="Per uur",N(K582)=0),"Uurtarief ontbreekt",IF(AND(J582="Vaste prijs",N(K582)=0),"Vaste prijs ontbreekt",IF(AND(N(I582)=0,Q582&lt;&gt;"Niet doorgegaan / verplaatst",Q582&lt;&gt;"Geen factuur nodig"),"Geen uren",IF(AND(G582="NEE",Q582="Verstuurd"),"Verstuurd terwijl werk niet af",IF(IFERROR(VLOOKUP(C582,Tarieven!$A$2:$F$200,2,0),"")="Beide","Beide-klant: controleer prijstype","OK")))))))))</f>
        <v/>
      </c>
    </row>
    <row r="583" ht="15" customHeight="1" s="42">
      <c r="A583" s="56">
        <f>IF(B583="","",WEEKNUM(B583,21))</f>
        <v/>
      </c>
      <c r="B583" s="55" t="n"/>
      <c r="C583" s="57" t="n"/>
      <c r="D583" s="57" t="n"/>
      <c r="E583" s="57" t="n"/>
      <c r="F583" s="57" t="n"/>
      <c r="G583" s="67" t="n"/>
      <c r="H583" s="68" t="n"/>
      <c r="I583" s="61">
        <f>IF(C583="","",IF(H583&lt;&gt;"",INT(H583)+ROUND(MOD(H583,1)*100/60,2),SUMIFS(Registraties!$L$5:$L$3004,Registraties!$D$5:$D$3004,C583,Registraties!$A$5:$A$3004,B583)))</f>
        <v/>
      </c>
      <c r="J583" s="58">
        <f>IF(C583="","",IFERROR(IF(VLOOKUP(C583,Tarieven!$A$2:$F$200,2,0)="Beide","Per uur",VLOOKUP(C583,Tarieven!$A$2:$F$200,2,0)),"Nog bepalen"))</f>
        <v/>
      </c>
      <c r="K583" s="69">
        <f>IF(C583="","",IF(J583="Per uur",IFERROR(VLOOKUP(C583,Tarieven!$A$2:$F$200,3,0),""),IF(J583="Vaste prijs",IFERROR(VLOOKUP(C583,Tarieven!$A$2:$F$200,4,0),""),"")))</f>
        <v/>
      </c>
      <c r="L583" s="70">
        <f>IF(C583="","",IF(J583="Per uur",N(I583)*N(K583),IF(J583="Vaste prijs",N(K583),0)))</f>
        <v/>
      </c>
      <c r="M583" s="69">
        <f>IF(C583="","",IFERROR(IF(N(VLOOKUP(C583,Tarieven!$A$2:$F$200,5,0))=0,"",VLOOKUP(C583,Tarieven!$A$2:$F$200,5,0)),""))</f>
        <v/>
      </c>
      <c r="N583" s="69" t="n"/>
      <c r="O583" s="69" t="n"/>
      <c r="P583" s="70">
        <f>IF(C583="","",N(L583)+N(M583)+N(N583)+N(O583))</f>
        <v/>
      </c>
      <c r="Q583" s="58" t="n"/>
      <c r="R583" s="57" t="n"/>
      <c r="S583" s="57" t="n"/>
      <c r="T583" s="57" t="n"/>
      <c r="U583" s="62">
        <f>IF(C583="","",IF(COUNTIF(Tarieven!$A$2:$A$200,C583)=0,"Klant niet in Tarieven",IF(MOD(N(H583),1)*100&gt;59.4,"Tijd ongeldig: minuten boven 59",IF(J583="Nog bepalen","Prijstype nog bepalen",IF(AND(J583="Per uur",N(K583)=0),"Uurtarief ontbreekt",IF(AND(J583="Vaste prijs",N(K583)=0),"Vaste prijs ontbreekt",IF(AND(N(I583)=0,Q583&lt;&gt;"Niet doorgegaan / verplaatst",Q583&lt;&gt;"Geen factuur nodig"),"Geen uren",IF(AND(G583="NEE",Q583="Verstuurd"),"Verstuurd terwijl werk niet af",IF(IFERROR(VLOOKUP(C583,Tarieven!$A$2:$F$200,2,0),"")="Beide","Beide-klant: controleer prijstype","OK")))))))))</f>
        <v/>
      </c>
    </row>
    <row r="584" ht="15" customHeight="1" s="42">
      <c r="A584" s="56">
        <f>IF(B584="","",WEEKNUM(B584,21))</f>
        <v/>
      </c>
      <c r="B584" s="55" t="n"/>
      <c r="C584" s="57" t="n"/>
      <c r="D584" s="57" t="n"/>
      <c r="E584" s="57" t="n"/>
      <c r="F584" s="57" t="n"/>
      <c r="G584" s="67" t="n"/>
      <c r="H584" s="68" t="n"/>
      <c r="I584" s="61">
        <f>IF(C584="","",IF(H584&lt;&gt;"",INT(H584)+ROUND(MOD(H584,1)*100/60,2),SUMIFS(Registraties!$L$5:$L$3004,Registraties!$D$5:$D$3004,C584,Registraties!$A$5:$A$3004,B584)))</f>
        <v/>
      </c>
      <c r="J584" s="58">
        <f>IF(C584="","",IFERROR(IF(VLOOKUP(C584,Tarieven!$A$2:$F$200,2,0)="Beide","Per uur",VLOOKUP(C584,Tarieven!$A$2:$F$200,2,0)),"Nog bepalen"))</f>
        <v/>
      </c>
      <c r="K584" s="69">
        <f>IF(C584="","",IF(J584="Per uur",IFERROR(VLOOKUP(C584,Tarieven!$A$2:$F$200,3,0),""),IF(J584="Vaste prijs",IFERROR(VLOOKUP(C584,Tarieven!$A$2:$F$200,4,0),""),"")))</f>
        <v/>
      </c>
      <c r="L584" s="70">
        <f>IF(C584="","",IF(J584="Per uur",N(I584)*N(K584),IF(J584="Vaste prijs",N(K584),0)))</f>
        <v/>
      </c>
      <c r="M584" s="69">
        <f>IF(C584="","",IFERROR(IF(N(VLOOKUP(C584,Tarieven!$A$2:$F$200,5,0))=0,"",VLOOKUP(C584,Tarieven!$A$2:$F$200,5,0)),""))</f>
        <v/>
      </c>
      <c r="N584" s="69" t="n"/>
      <c r="O584" s="69" t="n"/>
      <c r="P584" s="70">
        <f>IF(C584="","",N(L584)+N(M584)+N(N584)+N(O584))</f>
        <v/>
      </c>
      <c r="Q584" s="58" t="n"/>
      <c r="R584" s="57" t="n"/>
      <c r="S584" s="57" t="n"/>
      <c r="T584" s="57" t="n"/>
      <c r="U584" s="62">
        <f>IF(C584="","",IF(COUNTIF(Tarieven!$A$2:$A$200,C584)=0,"Klant niet in Tarieven",IF(MOD(N(H584),1)*100&gt;59.4,"Tijd ongeldig: minuten boven 59",IF(J584="Nog bepalen","Prijstype nog bepalen",IF(AND(J584="Per uur",N(K584)=0),"Uurtarief ontbreekt",IF(AND(J584="Vaste prijs",N(K584)=0),"Vaste prijs ontbreekt",IF(AND(N(I584)=0,Q584&lt;&gt;"Niet doorgegaan / verplaatst",Q584&lt;&gt;"Geen factuur nodig"),"Geen uren",IF(AND(G584="NEE",Q584="Verstuurd"),"Verstuurd terwijl werk niet af",IF(IFERROR(VLOOKUP(C584,Tarieven!$A$2:$F$200,2,0),"")="Beide","Beide-klant: controleer prijstype","OK")))))))))</f>
        <v/>
      </c>
    </row>
    <row r="585" ht="15" customHeight="1" s="42">
      <c r="A585" s="56">
        <f>IF(B585="","",WEEKNUM(B585,21))</f>
        <v/>
      </c>
      <c r="B585" s="55" t="n"/>
      <c r="C585" s="57" t="n"/>
      <c r="D585" s="57" t="n"/>
      <c r="E585" s="57" t="n"/>
      <c r="F585" s="57" t="n"/>
      <c r="G585" s="67" t="n"/>
      <c r="H585" s="68" t="n"/>
      <c r="I585" s="61">
        <f>IF(C585="","",IF(H585&lt;&gt;"",INT(H585)+ROUND(MOD(H585,1)*100/60,2),SUMIFS(Registraties!$L$5:$L$3004,Registraties!$D$5:$D$3004,C585,Registraties!$A$5:$A$3004,B585)))</f>
        <v/>
      </c>
      <c r="J585" s="58">
        <f>IF(C585="","",IFERROR(IF(VLOOKUP(C585,Tarieven!$A$2:$F$200,2,0)="Beide","Per uur",VLOOKUP(C585,Tarieven!$A$2:$F$200,2,0)),"Nog bepalen"))</f>
        <v/>
      </c>
      <c r="K585" s="69">
        <f>IF(C585="","",IF(J585="Per uur",IFERROR(VLOOKUP(C585,Tarieven!$A$2:$F$200,3,0),""),IF(J585="Vaste prijs",IFERROR(VLOOKUP(C585,Tarieven!$A$2:$F$200,4,0),""),"")))</f>
        <v/>
      </c>
      <c r="L585" s="70">
        <f>IF(C585="","",IF(J585="Per uur",N(I585)*N(K585),IF(J585="Vaste prijs",N(K585),0)))</f>
        <v/>
      </c>
      <c r="M585" s="69">
        <f>IF(C585="","",IFERROR(IF(N(VLOOKUP(C585,Tarieven!$A$2:$F$200,5,0))=0,"",VLOOKUP(C585,Tarieven!$A$2:$F$200,5,0)),""))</f>
        <v/>
      </c>
      <c r="N585" s="69" t="n"/>
      <c r="O585" s="69" t="n"/>
      <c r="P585" s="70">
        <f>IF(C585="","",N(L585)+N(M585)+N(N585)+N(O585))</f>
        <v/>
      </c>
      <c r="Q585" s="58" t="n"/>
      <c r="R585" s="57" t="n"/>
      <c r="S585" s="57" t="n"/>
      <c r="T585" s="57" t="n"/>
      <c r="U585" s="62">
        <f>IF(C585="","",IF(COUNTIF(Tarieven!$A$2:$A$200,C585)=0,"Klant niet in Tarieven",IF(MOD(N(H585),1)*100&gt;59.4,"Tijd ongeldig: minuten boven 59",IF(J585="Nog bepalen","Prijstype nog bepalen",IF(AND(J585="Per uur",N(K585)=0),"Uurtarief ontbreekt",IF(AND(J585="Vaste prijs",N(K585)=0),"Vaste prijs ontbreekt",IF(AND(N(I585)=0,Q585&lt;&gt;"Niet doorgegaan / verplaatst",Q585&lt;&gt;"Geen factuur nodig"),"Geen uren",IF(AND(G585="NEE",Q585="Verstuurd"),"Verstuurd terwijl werk niet af",IF(IFERROR(VLOOKUP(C585,Tarieven!$A$2:$F$200,2,0),"")="Beide","Beide-klant: controleer prijstype","OK")))))))))</f>
        <v/>
      </c>
    </row>
    <row r="586" ht="15" customHeight="1" s="42">
      <c r="A586" s="56">
        <f>IF(B586="","",WEEKNUM(B586,21))</f>
        <v/>
      </c>
      <c r="B586" s="55" t="n"/>
      <c r="C586" s="57" t="n"/>
      <c r="D586" s="57" t="n"/>
      <c r="E586" s="57" t="n"/>
      <c r="F586" s="57" t="n"/>
      <c r="G586" s="67" t="n"/>
      <c r="H586" s="68" t="n"/>
      <c r="I586" s="61">
        <f>IF(C586="","",IF(H586&lt;&gt;"",INT(H586)+ROUND(MOD(H586,1)*100/60,2),SUMIFS(Registraties!$L$5:$L$3004,Registraties!$D$5:$D$3004,C586,Registraties!$A$5:$A$3004,B586)))</f>
        <v/>
      </c>
      <c r="J586" s="58">
        <f>IF(C586="","",IFERROR(IF(VLOOKUP(C586,Tarieven!$A$2:$F$200,2,0)="Beide","Per uur",VLOOKUP(C586,Tarieven!$A$2:$F$200,2,0)),"Nog bepalen"))</f>
        <v/>
      </c>
      <c r="K586" s="69">
        <f>IF(C586="","",IF(J586="Per uur",IFERROR(VLOOKUP(C586,Tarieven!$A$2:$F$200,3,0),""),IF(J586="Vaste prijs",IFERROR(VLOOKUP(C586,Tarieven!$A$2:$F$200,4,0),""),"")))</f>
        <v/>
      </c>
      <c r="L586" s="70">
        <f>IF(C586="","",IF(J586="Per uur",N(I586)*N(K586),IF(J586="Vaste prijs",N(K586),0)))</f>
        <v/>
      </c>
      <c r="M586" s="69">
        <f>IF(C586="","",IFERROR(IF(N(VLOOKUP(C586,Tarieven!$A$2:$F$200,5,0))=0,"",VLOOKUP(C586,Tarieven!$A$2:$F$200,5,0)),""))</f>
        <v/>
      </c>
      <c r="N586" s="69" t="n"/>
      <c r="O586" s="69" t="n"/>
      <c r="P586" s="70">
        <f>IF(C586="","",N(L586)+N(M586)+N(N586)+N(O586))</f>
        <v/>
      </c>
      <c r="Q586" s="58" t="n"/>
      <c r="R586" s="57" t="n"/>
      <c r="S586" s="57" t="n"/>
      <c r="T586" s="57" t="n"/>
      <c r="U586" s="62">
        <f>IF(C586="","",IF(COUNTIF(Tarieven!$A$2:$A$200,C586)=0,"Klant niet in Tarieven",IF(MOD(N(H586),1)*100&gt;59.4,"Tijd ongeldig: minuten boven 59",IF(J586="Nog bepalen","Prijstype nog bepalen",IF(AND(J586="Per uur",N(K586)=0),"Uurtarief ontbreekt",IF(AND(J586="Vaste prijs",N(K586)=0),"Vaste prijs ontbreekt",IF(AND(N(I586)=0,Q586&lt;&gt;"Niet doorgegaan / verplaatst",Q586&lt;&gt;"Geen factuur nodig"),"Geen uren",IF(AND(G586="NEE",Q586="Verstuurd"),"Verstuurd terwijl werk niet af",IF(IFERROR(VLOOKUP(C586,Tarieven!$A$2:$F$200,2,0),"")="Beide","Beide-klant: controleer prijstype","OK")))))))))</f>
        <v/>
      </c>
    </row>
    <row r="587" ht="15" customHeight="1" s="42">
      <c r="A587" s="56">
        <f>IF(B587="","",WEEKNUM(B587,21))</f>
        <v/>
      </c>
      <c r="B587" s="55" t="n"/>
      <c r="C587" s="57" t="n"/>
      <c r="D587" s="57" t="n"/>
      <c r="E587" s="57" t="n"/>
      <c r="F587" s="57" t="n"/>
      <c r="G587" s="67" t="n"/>
      <c r="H587" s="68" t="n"/>
      <c r="I587" s="61">
        <f>IF(C587="","",IF(H587&lt;&gt;"",INT(H587)+ROUND(MOD(H587,1)*100/60,2),SUMIFS(Registraties!$L$5:$L$3004,Registraties!$D$5:$D$3004,C587,Registraties!$A$5:$A$3004,B587)))</f>
        <v/>
      </c>
      <c r="J587" s="58">
        <f>IF(C587="","",IFERROR(IF(VLOOKUP(C587,Tarieven!$A$2:$F$200,2,0)="Beide","Per uur",VLOOKUP(C587,Tarieven!$A$2:$F$200,2,0)),"Nog bepalen"))</f>
        <v/>
      </c>
      <c r="K587" s="69">
        <f>IF(C587="","",IF(J587="Per uur",IFERROR(VLOOKUP(C587,Tarieven!$A$2:$F$200,3,0),""),IF(J587="Vaste prijs",IFERROR(VLOOKUP(C587,Tarieven!$A$2:$F$200,4,0),""),"")))</f>
        <v/>
      </c>
      <c r="L587" s="70">
        <f>IF(C587="","",IF(J587="Per uur",N(I587)*N(K587),IF(J587="Vaste prijs",N(K587),0)))</f>
        <v/>
      </c>
      <c r="M587" s="69">
        <f>IF(C587="","",IFERROR(IF(N(VLOOKUP(C587,Tarieven!$A$2:$F$200,5,0))=0,"",VLOOKUP(C587,Tarieven!$A$2:$F$200,5,0)),""))</f>
        <v/>
      </c>
      <c r="N587" s="69" t="n"/>
      <c r="O587" s="69" t="n"/>
      <c r="P587" s="70">
        <f>IF(C587="","",N(L587)+N(M587)+N(N587)+N(O587))</f>
        <v/>
      </c>
      <c r="Q587" s="58" t="n"/>
      <c r="R587" s="57" t="n"/>
      <c r="S587" s="57" t="n"/>
      <c r="T587" s="57" t="n"/>
      <c r="U587" s="62">
        <f>IF(C587="","",IF(COUNTIF(Tarieven!$A$2:$A$200,C587)=0,"Klant niet in Tarieven",IF(MOD(N(H587),1)*100&gt;59.4,"Tijd ongeldig: minuten boven 59",IF(J587="Nog bepalen","Prijstype nog bepalen",IF(AND(J587="Per uur",N(K587)=0),"Uurtarief ontbreekt",IF(AND(J587="Vaste prijs",N(K587)=0),"Vaste prijs ontbreekt",IF(AND(N(I587)=0,Q587&lt;&gt;"Niet doorgegaan / verplaatst",Q587&lt;&gt;"Geen factuur nodig"),"Geen uren",IF(AND(G587="NEE",Q587="Verstuurd"),"Verstuurd terwijl werk niet af",IF(IFERROR(VLOOKUP(C587,Tarieven!$A$2:$F$200,2,0),"")="Beide","Beide-klant: controleer prijstype","OK")))))))))</f>
        <v/>
      </c>
    </row>
    <row r="588" ht="15" customHeight="1" s="42">
      <c r="A588" s="56">
        <f>IF(B588="","",WEEKNUM(B588,21))</f>
        <v/>
      </c>
      <c r="B588" s="55" t="n"/>
      <c r="C588" s="57" t="n"/>
      <c r="D588" s="57" t="n"/>
      <c r="E588" s="57" t="n"/>
      <c r="F588" s="57" t="n"/>
      <c r="G588" s="67" t="n"/>
      <c r="H588" s="68" t="n"/>
      <c r="I588" s="61">
        <f>IF(C588="","",IF(H588&lt;&gt;"",INT(H588)+ROUND(MOD(H588,1)*100/60,2),SUMIFS(Registraties!$L$5:$L$3004,Registraties!$D$5:$D$3004,C588,Registraties!$A$5:$A$3004,B588)))</f>
        <v/>
      </c>
      <c r="J588" s="58">
        <f>IF(C588="","",IFERROR(IF(VLOOKUP(C588,Tarieven!$A$2:$F$200,2,0)="Beide","Per uur",VLOOKUP(C588,Tarieven!$A$2:$F$200,2,0)),"Nog bepalen"))</f>
        <v/>
      </c>
      <c r="K588" s="69">
        <f>IF(C588="","",IF(J588="Per uur",IFERROR(VLOOKUP(C588,Tarieven!$A$2:$F$200,3,0),""),IF(J588="Vaste prijs",IFERROR(VLOOKUP(C588,Tarieven!$A$2:$F$200,4,0),""),"")))</f>
        <v/>
      </c>
      <c r="L588" s="70">
        <f>IF(C588="","",IF(J588="Per uur",N(I588)*N(K588),IF(J588="Vaste prijs",N(K588),0)))</f>
        <v/>
      </c>
      <c r="M588" s="69">
        <f>IF(C588="","",IFERROR(IF(N(VLOOKUP(C588,Tarieven!$A$2:$F$200,5,0))=0,"",VLOOKUP(C588,Tarieven!$A$2:$F$200,5,0)),""))</f>
        <v/>
      </c>
      <c r="N588" s="69" t="n"/>
      <c r="O588" s="69" t="n"/>
      <c r="P588" s="70">
        <f>IF(C588="","",N(L588)+N(M588)+N(N588)+N(O588))</f>
        <v/>
      </c>
      <c r="Q588" s="58" t="n"/>
      <c r="R588" s="57" t="n"/>
      <c r="S588" s="57" t="n"/>
      <c r="T588" s="57" t="n"/>
      <c r="U588" s="62">
        <f>IF(C588="","",IF(COUNTIF(Tarieven!$A$2:$A$200,C588)=0,"Klant niet in Tarieven",IF(MOD(N(H588),1)*100&gt;59.4,"Tijd ongeldig: minuten boven 59",IF(J588="Nog bepalen","Prijstype nog bepalen",IF(AND(J588="Per uur",N(K588)=0),"Uurtarief ontbreekt",IF(AND(J588="Vaste prijs",N(K588)=0),"Vaste prijs ontbreekt",IF(AND(N(I588)=0,Q588&lt;&gt;"Niet doorgegaan / verplaatst",Q588&lt;&gt;"Geen factuur nodig"),"Geen uren",IF(AND(G588="NEE",Q588="Verstuurd"),"Verstuurd terwijl werk niet af",IF(IFERROR(VLOOKUP(C588,Tarieven!$A$2:$F$200,2,0),"")="Beide","Beide-klant: controleer prijstype","OK")))))))))</f>
        <v/>
      </c>
    </row>
    <row r="589" ht="15" customHeight="1" s="42">
      <c r="A589" s="56">
        <f>IF(B589="","",WEEKNUM(B589,21))</f>
        <v/>
      </c>
      <c r="B589" s="55" t="n"/>
      <c r="C589" s="57" t="n"/>
      <c r="D589" s="57" t="n"/>
      <c r="E589" s="57" t="n"/>
      <c r="F589" s="57" t="n"/>
      <c r="G589" s="67" t="n"/>
      <c r="H589" s="68" t="n"/>
      <c r="I589" s="61">
        <f>IF(C589="","",IF(H589&lt;&gt;"",INT(H589)+ROUND(MOD(H589,1)*100/60,2),SUMIFS(Registraties!$L$5:$L$3004,Registraties!$D$5:$D$3004,C589,Registraties!$A$5:$A$3004,B589)))</f>
        <v/>
      </c>
      <c r="J589" s="58">
        <f>IF(C589="","",IFERROR(IF(VLOOKUP(C589,Tarieven!$A$2:$F$200,2,0)="Beide","Per uur",VLOOKUP(C589,Tarieven!$A$2:$F$200,2,0)),"Nog bepalen"))</f>
        <v/>
      </c>
      <c r="K589" s="69">
        <f>IF(C589="","",IF(J589="Per uur",IFERROR(VLOOKUP(C589,Tarieven!$A$2:$F$200,3,0),""),IF(J589="Vaste prijs",IFERROR(VLOOKUP(C589,Tarieven!$A$2:$F$200,4,0),""),"")))</f>
        <v/>
      </c>
      <c r="L589" s="70">
        <f>IF(C589="","",IF(J589="Per uur",N(I589)*N(K589),IF(J589="Vaste prijs",N(K589),0)))</f>
        <v/>
      </c>
      <c r="M589" s="69">
        <f>IF(C589="","",IFERROR(IF(N(VLOOKUP(C589,Tarieven!$A$2:$F$200,5,0))=0,"",VLOOKUP(C589,Tarieven!$A$2:$F$200,5,0)),""))</f>
        <v/>
      </c>
      <c r="N589" s="69" t="n"/>
      <c r="O589" s="69" t="n"/>
      <c r="P589" s="70">
        <f>IF(C589="","",N(L589)+N(M589)+N(N589)+N(O589))</f>
        <v/>
      </c>
      <c r="Q589" s="58" t="n"/>
      <c r="R589" s="57" t="n"/>
      <c r="S589" s="57" t="n"/>
      <c r="T589" s="57" t="n"/>
      <c r="U589" s="62">
        <f>IF(C589="","",IF(COUNTIF(Tarieven!$A$2:$A$200,C589)=0,"Klant niet in Tarieven",IF(MOD(N(H589),1)*100&gt;59.4,"Tijd ongeldig: minuten boven 59",IF(J589="Nog bepalen","Prijstype nog bepalen",IF(AND(J589="Per uur",N(K589)=0),"Uurtarief ontbreekt",IF(AND(J589="Vaste prijs",N(K589)=0),"Vaste prijs ontbreekt",IF(AND(N(I589)=0,Q589&lt;&gt;"Niet doorgegaan / verplaatst",Q589&lt;&gt;"Geen factuur nodig"),"Geen uren",IF(AND(G589="NEE",Q589="Verstuurd"),"Verstuurd terwijl werk niet af",IF(IFERROR(VLOOKUP(C589,Tarieven!$A$2:$F$200,2,0),"")="Beide","Beide-klant: controleer prijstype","OK")))))))))</f>
        <v/>
      </c>
    </row>
    <row r="590" ht="15" customHeight="1" s="42">
      <c r="A590" s="56">
        <f>IF(B590="","",WEEKNUM(B590,21))</f>
        <v/>
      </c>
      <c r="B590" s="55" t="n"/>
      <c r="C590" s="57" t="n"/>
      <c r="D590" s="57" t="n"/>
      <c r="E590" s="57" t="n"/>
      <c r="F590" s="57" t="n"/>
      <c r="G590" s="67" t="n"/>
      <c r="H590" s="68" t="n"/>
      <c r="I590" s="61">
        <f>IF(C590="","",IF(H590&lt;&gt;"",INT(H590)+ROUND(MOD(H590,1)*100/60,2),SUMIFS(Registraties!$L$5:$L$3004,Registraties!$D$5:$D$3004,C590,Registraties!$A$5:$A$3004,B590)))</f>
        <v/>
      </c>
      <c r="J590" s="58">
        <f>IF(C590="","",IFERROR(IF(VLOOKUP(C590,Tarieven!$A$2:$F$200,2,0)="Beide","Per uur",VLOOKUP(C590,Tarieven!$A$2:$F$200,2,0)),"Nog bepalen"))</f>
        <v/>
      </c>
      <c r="K590" s="69">
        <f>IF(C590="","",IF(J590="Per uur",IFERROR(VLOOKUP(C590,Tarieven!$A$2:$F$200,3,0),""),IF(J590="Vaste prijs",IFERROR(VLOOKUP(C590,Tarieven!$A$2:$F$200,4,0),""),"")))</f>
        <v/>
      </c>
      <c r="L590" s="70">
        <f>IF(C590="","",IF(J590="Per uur",N(I590)*N(K590),IF(J590="Vaste prijs",N(K590),0)))</f>
        <v/>
      </c>
      <c r="M590" s="69">
        <f>IF(C590="","",IFERROR(IF(N(VLOOKUP(C590,Tarieven!$A$2:$F$200,5,0))=0,"",VLOOKUP(C590,Tarieven!$A$2:$F$200,5,0)),""))</f>
        <v/>
      </c>
      <c r="N590" s="69" t="n"/>
      <c r="O590" s="69" t="n"/>
      <c r="P590" s="70">
        <f>IF(C590="","",N(L590)+N(M590)+N(N590)+N(O590))</f>
        <v/>
      </c>
      <c r="Q590" s="58" t="n"/>
      <c r="R590" s="57" t="n"/>
      <c r="S590" s="57" t="n"/>
      <c r="T590" s="57" t="n"/>
      <c r="U590" s="62">
        <f>IF(C590="","",IF(COUNTIF(Tarieven!$A$2:$A$200,C590)=0,"Klant niet in Tarieven",IF(MOD(N(H590),1)*100&gt;59.4,"Tijd ongeldig: minuten boven 59",IF(J590="Nog bepalen","Prijstype nog bepalen",IF(AND(J590="Per uur",N(K590)=0),"Uurtarief ontbreekt",IF(AND(J590="Vaste prijs",N(K590)=0),"Vaste prijs ontbreekt",IF(AND(N(I590)=0,Q590&lt;&gt;"Niet doorgegaan / verplaatst",Q590&lt;&gt;"Geen factuur nodig"),"Geen uren",IF(AND(G590="NEE",Q590="Verstuurd"),"Verstuurd terwijl werk niet af",IF(IFERROR(VLOOKUP(C590,Tarieven!$A$2:$F$200,2,0),"")="Beide","Beide-klant: controleer prijstype","OK")))))))))</f>
        <v/>
      </c>
    </row>
    <row r="591" ht="15" customHeight="1" s="42">
      <c r="A591" s="56">
        <f>IF(B591="","",WEEKNUM(B591,21))</f>
        <v/>
      </c>
      <c r="B591" s="55" t="n"/>
      <c r="C591" s="57" t="n"/>
      <c r="D591" s="57" t="n"/>
      <c r="E591" s="57" t="n"/>
      <c r="F591" s="57" t="n"/>
      <c r="G591" s="67" t="n"/>
      <c r="H591" s="68" t="n"/>
      <c r="I591" s="61">
        <f>IF(C591="","",IF(H591&lt;&gt;"",INT(H591)+ROUND(MOD(H591,1)*100/60,2),SUMIFS(Registraties!$L$5:$L$3004,Registraties!$D$5:$D$3004,C591,Registraties!$A$5:$A$3004,B591)))</f>
        <v/>
      </c>
      <c r="J591" s="58">
        <f>IF(C591="","",IFERROR(IF(VLOOKUP(C591,Tarieven!$A$2:$F$200,2,0)="Beide","Per uur",VLOOKUP(C591,Tarieven!$A$2:$F$200,2,0)),"Nog bepalen"))</f>
        <v/>
      </c>
      <c r="K591" s="69">
        <f>IF(C591="","",IF(J591="Per uur",IFERROR(VLOOKUP(C591,Tarieven!$A$2:$F$200,3,0),""),IF(J591="Vaste prijs",IFERROR(VLOOKUP(C591,Tarieven!$A$2:$F$200,4,0),""),"")))</f>
        <v/>
      </c>
      <c r="L591" s="70">
        <f>IF(C591="","",IF(J591="Per uur",N(I591)*N(K591),IF(J591="Vaste prijs",N(K591),0)))</f>
        <v/>
      </c>
      <c r="M591" s="69">
        <f>IF(C591="","",IFERROR(IF(N(VLOOKUP(C591,Tarieven!$A$2:$F$200,5,0))=0,"",VLOOKUP(C591,Tarieven!$A$2:$F$200,5,0)),""))</f>
        <v/>
      </c>
      <c r="N591" s="69" t="n"/>
      <c r="O591" s="69" t="n"/>
      <c r="P591" s="70">
        <f>IF(C591="","",N(L591)+N(M591)+N(N591)+N(O591))</f>
        <v/>
      </c>
      <c r="Q591" s="58" t="n"/>
      <c r="R591" s="57" t="n"/>
      <c r="S591" s="57" t="n"/>
      <c r="T591" s="57" t="n"/>
      <c r="U591" s="62">
        <f>IF(C591="","",IF(COUNTIF(Tarieven!$A$2:$A$200,C591)=0,"Klant niet in Tarieven",IF(MOD(N(H591),1)*100&gt;59.4,"Tijd ongeldig: minuten boven 59",IF(J591="Nog bepalen","Prijstype nog bepalen",IF(AND(J591="Per uur",N(K591)=0),"Uurtarief ontbreekt",IF(AND(J591="Vaste prijs",N(K591)=0),"Vaste prijs ontbreekt",IF(AND(N(I591)=0,Q591&lt;&gt;"Niet doorgegaan / verplaatst",Q591&lt;&gt;"Geen factuur nodig"),"Geen uren",IF(AND(G591="NEE",Q591="Verstuurd"),"Verstuurd terwijl werk niet af",IF(IFERROR(VLOOKUP(C591,Tarieven!$A$2:$F$200,2,0),"")="Beide","Beide-klant: controleer prijstype","OK")))))))))</f>
        <v/>
      </c>
    </row>
    <row r="592" ht="15" customHeight="1" s="42">
      <c r="A592" s="56">
        <f>IF(B592="","",WEEKNUM(B592,21))</f>
        <v/>
      </c>
      <c r="B592" s="55" t="n"/>
      <c r="C592" s="57" t="n"/>
      <c r="D592" s="57" t="n"/>
      <c r="E592" s="57" t="n"/>
      <c r="F592" s="57" t="n"/>
      <c r="G592" s="67" t="n"/>
      <c r="H592" s="68" t="n"/>
      <c r="I592" s="61">
        <f>IF(C592="","",IF(H592&lt;&gt;"",INT(H592)+ROUND(MOD(H592,1)*100/60,2),SUMIFS(Registraties!$L$5:$L$3004,Registraties!$D$5:$D$3004,C592,Registraties!$A$5:$A$3004,B592)))</f>
        <v/>
      </c>
      <c r="J592" s="58">
        <f>IF(C592="","",IFERROR(IF(VLOOKUP(C592,Tarieven!$A$2:$F$200,2,0)="Beide","Per uur",VLOOKUP(C592,Tarieven!$A$2:$F$200,2,0)),"Nog bepalen"))</f>
        <v/>
      </c>
      <c r="K592" s="69">
        <f>IF(C592="","",IF(J592="Per uur",IFERROR(VLOOKUP(C592,Tarieven!$A$2:$F$200,3,0),""),IF(J592="Vaste prijs",IFERROR(VLOOKUP(C592,Tarieven!$A$2:$F$200,4,0),""),"")))</f>
        <v/>
      </c>
      <c r="L592" s="70">
        <f>IF(C592="","",IF(J592="Per uur",N(I592)*N(K592),IF(J592="Vaste prijs",N(K592),0)))</f>
        <v/>
      </c>
      <c r="M592" s="69">
        <f>IF(C592="","",IFERROR(IF(N(VLOOKUP(C592,Tarieven!$A$2:$F$200,5,0))=0,"",VLOOKUP(C592,Tarieven!$A$2:$F$200,5,0)),""))</f>
        <v/>
      </c>
      <c r="N592" s="69" t="n"/>
      <c r="O592" s="69" t="n"/>
      <c r="P592" s="70">
        <f>IF(C592="","",N(L592)+N(M592)+N(N592)+N(O592))</f>
        <v/>
      </c>
      <c r="Q592" s="58" t="n"/>
      <c r="R592" s="57" t="n"/>
      <c r="S592" s="57" t="n"/>
      <c r="T592" s="57" t="n"/>
      <c r="U592" s="62">
        <f>IF(C592="","",IF(COUNTIF(Tarieven!$A$2:$A$200,C592)=0,"Klant niet in Tarieven",IF(MOD(N(H592),1)*100&gt;59.4,"Tijd ongeldig: minuten boven 59",IF(J592="Nog bepalen","Prijstype nog bepalen",IF(AND(J592="Per uur",N(K592)=0),"Uurtarief ontbreekt",IF(AND(J592="Vaste prijs",N(K592)=0),"Vaste prijs ontbreekt",IF(AND(N(I592)=0,Q592&lt;&gt;"Niet doorgegaan / verplaatst",Q592&lt;&gt;"Geen factuur nodig"),"Geen uren",IF(AND(G592="NEE",Q592="Verstuurd"),"Verstuurd terwijl werk niet af",IF(IFERROR(VLOOKUP(C592,Tarieven!$A$2:$F$200,2,0),"")="Beide","Beide-klant: controleer prijstype","OK")))))))))</f>
        <v/>
      </c>
    </row>
    <row r="593" ht="15" customHeight="1" s="42">
      <c r="A593" s="56">
        <f>IF(B593="","",WEEKNUM(B593,21))</f>
        <v/>
      </c>
      <c r="B593" s="55" t="n"/>
      <c r="C593" s="57" t="n"/>
      <c r="D593" s="57" t="n"/>
      <c r="E593" s="57" t="n"/>
      <c r="F593" s="57" t="n"/>
      <c r="G593" s="67" t="n"/>
      <c r="H593" s="68" t="n"/>
      <c r="I593" s="61">
        <f>IF(C593="","",IF(H593&lt;&gt;"",INT(H593)+ROUND(MOD(H593,1)*100/60,2),SUMIFS(Registraties!$L$5:$L$3004,Registraties!$D$5:$D$3004,C593,Registraties!$A$5:$A$3004,B593)))</f>
        <v/>
      </c>
      <c r="J593" s="58">
        <f>IF(C593="","",IFERROR(IF(VLOOKUP(C593,Tarieven!$A$2:$F$200,2,0)="Beide","Per uur",VLOOKUP(C593,Tarieven!$A$2:$F$200,2,0)),"Nog bepalen"))</f>
        <v/>
      </c>
      <c r="K593" s="69">
        <f>IF(C593="","",IF(J593="Per uur",IFERROR(VLOOKUP(C593,Tarieven!$A$2:$F$200,3,0),""),IF(J593="Vaste prijs",IFERROR(VLOOKUP(C593,Tarieven!$A$2:$F$200,4,0),""),"")))</f>
        <v/>
      </c>
      <c r="L593" s="70">
        <f>IF(C593="","",IF(J593="Per uur",N(I593)*N(K593),IF(J593="Vaste prijs",N(K593),0)))</f>
        <v/>
      </c>
      <c r="M593" s="69">
        <f>IF(C593="","",IFERROR(IF(N(VLOOKUP(C593,Tarieven!$A$2:$F$200,5,0))=0,"",VLOOKUP(C593,Tarieven!$A$2:$F$200,5,0)),""))</f>
        <v/>
      </c>
      <c r="N593" s="69" t="n"/>
      <c r="O593" s="69" t="n"/>
      <c r="P593" s="70">
        <f>IF(C593="","",N(L593)+N(M593)+N(N593)+N(O593))</f>
        <v/>
      </c>
      <c r="Q593" s="58" t="n"/>
      <c r="R593" s="57" t="n"/>
      <c r="S593" s="57" t="n"/>
      <c r="T593" s="57" t="n"/>
      <c r="U593" s="62">
        <f>IF(C593="","",IF(COUNTIF(Tarieven!$A$2:$A$200,C593)=0,"Klant niet in Tarieven",IF(MOD(N(H593),1)*100&gt;59.4,"Tijd ongeldig: minuten boven 59",IF(J593="Nog bepalen","Prijstype nog bepalen",IF(AND(J593="Per uur",N(K593)=0),"Uurtarief ontbreekt",IF(AND(J593="Vaste prijs",N(K593)=0),"Vaste prijs ontbreekt",IF(AND(N(I593)=0,Q593&lt;&gt;"Niet doorgegaan / verplaatst",Q593&lt;&gt;"Geen factuur nodig"),"Geen uren",IF(AND(G593="NEE",Q593="Verstuurd"),"Verstuurd terwijl werk niet af",IF(IFERROR(VLOOKUP(C593,Tarieven!$A$2:$F$200,2,0),"")="Beide","Beide-klant: controleer prijstype","OK")))))))))</f>
        <v/>
      </c>
    </row>
    <row r="594" ht="15" customHeight="1" s="42">
      <c r="A594" s="56">
        <f>IF(B594="","",WEEKNUM(B594,21))</f>
        <v/>
      </c>
      <c r="B594" s="55" t="n"/>
      <c r="C594" s="57" t="n"/>
      <c r="D594" s="57" t="n"/>
      <c r="E594" s="57" t="n"/>
      <c r="F594" s="57" t="n"/>
      <c r="G594" s="67" t="n"/>
      <c r="H594" s="68" t="n"/>
      <c r="I594" s="61">
        <f>IF(C594="","",IF(H594&lt;&gt;"",INT(H594)+ROUND(MOD(H594,1)*100/60,2),SUMIFS(Registraties!$L$5:$L$3004,Registraties!$D$5:$D$3004,C594,Registraties!$A$5:$A$3004,B594)))</f>
        <v/>
      </c>
      <c r="J594" s="58">
        <f>IF(C594="","",IFERROR(IF(VLOOKUP(C594,Tarieven!$A$2:$F$200,2,0)="Beide","Per uur",VLOOKUP(C594,Tarieven!$A$2:$F$200,2,0)),"Nog bepalen"))</f>
        <v/>
      </c>
      <c r="K594" s="69">
        <f>IF(C594="","",IF(J594="Per uur",IFERROR(VLOOKUP(C594,Tarieven!$A$2:$F$200,3,0),""),IF(J594="Vaste prijs",IFERROR(VLOOKUP(C594,Tarieven!$A$2:$F$200,4,0),""),"")))</f>
        <v/>
      </c>
      <c r="L594" s="70">
        <f>IF(C594="","",IF(J594="Per uur",N(I594)*N(K594),IF(J594="Vaste prijs",N(K594),0)))</f>
        <v/>
      </c>
      <c r="M594" s="69">
        <f>IF(C594="","",IFERROR(IF(N(VLOOKUP(C594,Tarieven!$A$2:$F$200,5,0))=0,"",VLOOKUP(C594,Tarieven!$A$2:$F$200,5,0)),""))</f>
        <v/>
      </c>
      <c r="N594" s="69" t="n"/>
      <c r="O594" s="69" t="n"/>
      <c r="P594" s="70">
        <f>IF(C594="","",N(L594)+N(M594)+N(N594)+N(O594))</f>
        <v/>
      </c>
      <c r="Q594" s="58" t="n"/>
      <c r="R594" s="57" t="n"/>
      <c r="S594" s="57" t="n"/>
      <c r="T594" s="57" t="n"/>
      <c r="U594" s="62">
        <f>IF(C594="","",IF(COUNTIF(Tarieven!$A$2:$A$200,C594)=0,"Klant niet in Tarieven",IF(MOD(N(H594),1)*100&gt;59.4,"Tijd ongeldig: minuten boven 59",IF(J594="Nog bepalen","Prijstype nog bepalen",IF(AND(J594="Per uur",N(K594)=0),"Uurtarief ontbreekt",IF(AND(J594="Vaste prijs",N(K594)=0),"Vaste prijs ontbreekt",IF(AND(N(I594)=0,Q594&lt;&gt;"Niet doorgegaan / verplaatst",Q594&lt;&gt;"Geen factuur nodig"),"Geen uren",IF(AND(G594="NEE",Q594="Verstuurd"),"Verstuurd terwijl werk niet af",IF(IFERROR(VLOOKUP(C594,Tarieven!$A$2:$F$200,2,0),"")="Beide","Beide-klant: controleer prijstype","OK")))))))))</f>
        <v/>
      </c>
    </row>
    <row r="595" ht="15" customHeight="1" s="42">
      <c r="A595" s="56">
        <f>IF(B595="","",WEEKNUM(B595,21))</f>
        <v/>
      </c>
      <c r="B595" s="55" t="n"/>
      <c r="C595" s="57" t="n"/>
      <c r="D595" s="57" t="n"/>
      <c r="E595" s="57" t="n"/>
      <c r="F595" s="57" t="n"/>
      <c r="G595" s="67" t="n"/>
      <c r="H595" s="68" t="n"/>
      <c r="I595" s="61">
        <f>IF(C595="","",IF(H595&lt;&gt;"",INT(H595)+ROUND(MOD(H595,1)*100/60,2),SUMIFS(Registraties!$L$5:$L$3004,Registraties!$D$5:$D$3004,C595,Registraties!$A$5:$A$3004,B595)))</f>
        <v/>
      </c>
      <c r="J595" s="58">
        <f>IF(C595="","",IFERROR(IF(VLOOKUP(C595,Tarieven!$A$2:$F$200,2,0)="Beide","Per uur",VLOOKUP(C595,Tarieven!$A$2:$F$200,2,0)),"Nog bepalen"))</f>
        <v/>
      </c>
      <c r="K595" s="69">
        <f>IF(C595="","",IF(J595="Per uur",IFERROR(VLOOKUP(C595,Tarieven!$A$2:$F$200,3,0),""),IF(J595="Vaste prijs",IFERROR(VLOOKUP(C595,Tarieven!$A$2:$F$200,4,0),""),"")))</f>
        <v/>
      </c>
      <c r="L595" s="70">
        <f>IF(C595="","",IF(J595="Per uur",N(I595)*N(K595),IF(J595="Vaste prijs",N(K595),0)))</f>
        <v/>
      </c>
      <c r="M595" s="69">
        <f>IF(C595="","",IFERROR(IF(N(VLOOKUP(C595,Tarieven!$A$2:$F$200,5,0))=0,"",VLOOKUP(C595,Tarieven!$A$2:$F$200,5,0)),""))</f>
        <v/>
      </c>
      <c r="N595" s="69" t="n"/>
      <c r="O595" s="69" t="n"/>
      <c r="P595" s="70">
        <f>IF(C595="","",N(L595)+N(M595)+N(N595)+N(O595))</f>
        <v/>
      </c>
      <c r="Q595" s="58" t="n"/>
      <c r="R595" s="57" t="n"/>
      <c r="S595" s="57" t="n"/>
      <c r="T595" s="57" t="n"/>
      <c r="U595" s="62">
        <f>IF(C595="","",IF(COUNTIF(Tarieven!$A$2:$A$200,C595)=0,"Klant niet in Tarieven",IF(MOD(N(H595),1)*100&gt;59.4,"Tijd ongeldig: minuten boven 59",IF(J595="Nog bepalen","Prijstype nog bepalen",IF(AND(J595="Per uur",N(K595)=0),"Uurtarief ontbreekt",IF(AND(J595="Vaste prijs",N(K595)=0),"Vaste prijs ontbreekt",IF(AND(N(I595)=0,Q595&lt;&gt;"Niet doorgegaan / verplaatst",Q595&lt;&gt;"Geen factuur nodig"),"Geen uren",IF(AND(G595="NEE",Q595="Verstuurd"),"Verstuurd terwijl werk niet af",IF(IFERROR(VLOOKUP(C595,Tarieven!$A$2:$F$200,2,0),"")="Beide","Beide-klant: controleer prijstype","OK")))))))))</f>
        <v/>
      </c>
    </row>
    <row r="596" ht="15" customHeight="1" s="42">
      <c r="A596" s="56">
        <f>IF(B596="","",WEEKNUM(B596,21))</f>
        <v/>
      </c>
      <c r="B596" s="55" t="n"/>
      <c r="C596" s="57" t="n"/>
      <c r="D596" s="57" t="n"/>
      <c r="E596" s="57" t="n"/>
      <c r="F596" s="57" t="n"/>
      <c r="G596" s="67" t="n"/>
      <c r="H596" s="68" t="n"/>
      <c r="I596" s="61">
        <f>IF(C596="","",IF(H596&lt;&gt;"",INT(H596)+ROUND(MOD(H596,1)*100/60,2),SUMIFS(Registraties!$L$5:$L$3004,Registraties!$D$5:$D$3004,C596,Registraties!$A$5:$A$3004,B596)))</f>
        <v/>
      </c>
      <c r="J596" s="58">
        <f>IF(C596="","",IFERROR(IF(VLOOKUP(C596,Tarieven!$A$2:$F$200,2,0)="Beide","Per uur",VLOOKUP(C596,Tarieven!$A$2:$F$200,2,0)),"Nog bepalen"))</f>
        <v/>
      </c>
      <c r="K596" s="69">
        <f>IF(C596="","",IF(J596="Per uur",IFERROR(VLOOKUP(C596,Tarieven!$A$2:$F$200,3,0),""),IF(J596="Vaste prijs",IFERROR(VLOOKUP(C596,Tarieven!$A$2:$F$200,4,0),""),"")))</f>
        <v/>
      </c>
      <c r="L596" s="70">
        <f>IF(C596="","",IF(J596="Per uur",N(I596)*N(K596),IF(J596="Vaste prijs",N(K596),0)))</f>
        <v/>
      </c>
      <c r="M596" s="69">
        <f>IF(C596="","",IFERROR(IF(N(VLOOKUP(C596,Tarieven!$A$2:$F$200,5,0))=0,"",VLOOKUP(C596,Tarieven!$A$2:$F$200,5,0)),""))</f>
        <v/>
      </c>
      <c r="N596" s="69" t="n"/>
      <c r="O596" s="69" t="n"/>
      <c r="P596" s="70">
        <f>IF(C596="","",N(L596)+N(M596)+N(N596)+N(O596))</f>
        <v/>
      </c>
      <c r="Q596" s="58" t="n"/>
      <c r="R596" s="57" t="n"/>
      <c r="S596" s="57" t="n"/>
      <c r="T596" s="57" t="n"/>
      <c r="U596" s="62">
        <f>IF(C596="","",IF(COUNTIF(Tarieven!$A$2:$A$200,C596)=0,"Klant niet in Tarieven",IF(MOD(N(H596),1)*100&gt;59.4,"Tijd ongeldig: minuten boven 59",IF(J596="Nog bepalen","Prijstype nog bepalen",IF(AND(J596="Per uur",N(K596)=0),"Uurtarief ontbreekt",IF(AND(J596="Vaste prijs",N(K596)=0),"Vaste prijs ontbreekt",IF(AND(N(I596)=0,Q596&lt;&gt;"Niet doorgegaan / verplaatst",Q596&lt;&gt;"Geen factuur nodig"),"Geen uren",IF(AND(G596="NEE",Q596="Verstuurd"),"Verstuurd terwijl werk niet af",IF(IFERROR(VLOOKUP(C596,Tarieven!$A$2:$F$200,2,0),"")="Beide","Beide-klant: controleer prijstype","OK")))))))))</f>
        <v/>
      </c>
    </row>
    <row r="597" ht="15" customHeight="1" s="42">
      <c r="A597" s="56">
        <f>IF(B597="","",WEEKNUM(B597,21))</f>
        <v/>
      </c>
      <c r="B597" s="55" t="n"/>
      <c r="C597" s="57" t="n"/>
      <c r="D597" s="57" t="n"/>
      <c r="E597" s="57" t="n"/>
      <c r="F597" s="57" t="n"/>
      <c r="G597" s="67" t="n"/>
      <c r="H597" s="68" t="n"/>
      <c r="I597" s="61">
        <f>IF(C597="","",IF(H597&lt;&gt;"",INT(H597)+ROUND(MOD(H597,1)*100/60,2),SUMIFS(Registraties!$L$5:$L$3004,Registraties!$D$5:$D$3004,C597,Registraties!$A$5:$A$3004,B597)))</f>
        <v/>
      </c>
      <c r="J597" s="58">
        <f>IF(C597="","",IFERROR(IF(VLOOKUP(C597,Tarieven!$A$2:$F$200,2,0)="Beide","Per uur",VLOOKUP(C597,Tarieven!$A$2:$F$200,2,0)),"Nog bepalen"))</f>
        <v/>
      </c>
      <c r="K597" s="69">
        <f>IF(C597="","",IF(J597="Per uur",IFERROR(VLOOKUP(C597,Tarieven!$A$2:$F$200,3,0),""),IF(J597="Vaste prijs",IFERROR(VLOOKUP(C597,Tarieven!$A$2:$F$200,4,0),""),"")))</f>
        <v/>
      </c>
      <c r="L597" s="70">
        <f>IF(C597="","",IF(J597="Per uur",N(I597)*N(K597),IF(J597="Vaste prijs",N(K597),0)))</f>
        <v/>
      </c>
      <c r="M597" s="69">
        <f>IF(C597="","",IFERROR(IF(N(VLOOKUP(C597,Tarieven!$A$2:$F$200,5,0))=0,"",VLOOKUP(C597,Tarieven!$A$2:$F$200,5,0)),""))</f>
        <v/>
      </c>
      <c r="N597" s="69" t="n"/>
      <c r="O597" s="69" t="n"/>
      <c r="P597" s="70">
        <f>IF(C597="","",N(L597)+N(M597)+N(N597)+N(O597))</f>
        <v/>
      </c>
      <c r="Q597" s="58" t="n"/>
      <c r="R597" s="57" t="n"/>
      <c r="S597" s="57" t="n"/>
      <c r="T597" s="57" t="n"/>
      <c r="U597" s="62">
        <f>IF(C597="","",IF(COUNTIF(Tarieven!$A$2:$A$200,C597)=0,"Klant niet in Tarieven",IF(MOD(N(H597),1)*100&gt;59.4,"Tijd ongeldig: minuten boven 59",IF(J597="Nog bepalen","Prijstype nog bepalen",IF(AND(J597="Per uur",N(K597)=0),"Uurtarief ontbreekt",IF(AND(J597="Vaste prijs",N(K597)=0),"Vaste prijs ontbreekt",IF(AND(N(I597)=0,Q597&lt;&gt;"Niet doorgegaan / verplaatst",Q597&lt;&gt;"Geen factuur nodig"),"Geen uren",IF(AND(G597="NEE",Q597="Verstuurd"),"Verstuurd terwijl werk niet af",IF(IFERROR(VLOOKUP(C597,Tarieven!$A$2:$F$200,2,0),"")="Beide","Beide-klant: controleer prijstype","OK")))))))))</f>
        <v/>
      </c>
    </row>
    <row r="598" ht="15" customHeight="1" s="42">
      <c r="A598" s="56">
        <f>IF(B598="","",WEEKNUM(B598,21))</f>
        <v/>
      </c>
      <c r="B598" s="55" t="n"/>
      <c r="C598" s="57" t="n"/>
      <c r="D598" s="57" t="n"/>
      <c r="E598" s="57" t="n"/>
      <c r="F598" s="57" t="n"/>
      <c r="G598" s="67" t="n"/>
      <c r="H598" s="68" t="n"/>
      <c r="I598" s="61">
        <f>IF(C598="","",IF(H598&lt;&gt;"",INT(H598)+ROUND(MOD(H598,1)*100/60,2),SUMIFS(Registraties!$L$5:$L$3004,Registraties!$D$5:$D$3004,C598,Registraties!$A$5:$A$3004,B598)))</f>
        <v/>
      </c>
      <c r="J598" s="58">
        <f>IF(C598="","",IFERROR(IF(VLOOKUP(C598,Tarieven!$A$2:$F$200,2,0)="Beide","Per uur",VLOOKUP(C598,Tarieven!$A$2:$F$200,2,0)),"Nog bepalen"))</f>
        <v/>
      </c>
      <c r="K598" s="69">
        <f>IF(C598="","",IF(J598="Per uur",IFERROR(VLOOKUP(C598,Tarieven!$A$2:$F$200,3,0),""),IF(J598="Vaste prijs",IFERROR(VLOOKUP(C598,Tarieven!$A$2:$F$200,4,0),""),"")))</f>
        <v/>
      </c>
      <c r="L598" s="70">
        <f>IF(C598="","",IF(J598="Per uur",N(I598)*N(K598),IF(J598="Vaste prijs",N(K598),0)))</f>
        <v/>
      </c>
      <c r="M598" s="69">
        <f>IF(C598="","",IFERROR(IF(N(VLOOKUP(C598,Tarieven!$A$2:$F$200,5,0))=0,"",VLOOKUP(C598,Tarieven!$A$2:$F$200,5,0)),""))</f>
        <v/>
      </c>
      <c r="N598" s="69" t="n"/>
      <c r="O598" s="69" t="n"/>
      <c r="P598" s="70">
        <f>IF(C598="","",N(L598)+N(M598)+N(N598)+N(O598))</f>
        <v/>
      </c>
      <c r="Q598" s="58" t="n"/>
      <c r="R598" s="57" t="n"/>
      <c r="S598" s="57" t="n"/>
      <c r="T598" s="57" t="n"/>
      <c r="U598" s="62">
        <f>IF(C598="","",IF(COUNTIF(Tarieven!$A$2:$A$200,C598)=0,"Klant niet in Tarieven",IF(MOD(N(H598),1)*100&gt;59.4,"Tijd ongeldig: minuten boven 59",IF(J598="Nog bepalen","Prijstype nog bepalen",IF(AND(J598="Per uur",N(K598)=0),"Uurtarief ontbreekt",IF(AND(J598="Vaste prijs",N(K598)=0),"Vaste prijs ontbreekt",IF(AND(N(I598)=0,Q598&lt;&gt;"Niet doorgegaan / verplaatst",Q598&lt;&gt;"Geen factuur nodig"),"Geen uren",IF(AND(G598="NEE",Q598="Verstuurd"),"Verstuurd terwijl werk niet af",IF(IFERROR(VLOOKUP(C598,Tarieven!$A$2:$F$200,2,0),"")="Beide","Beide-klant: controleer prijstype","OK")))))))))</f>
        <v/>
      </c>
    </row>
    <row r="599" ht="15" customHeight="1" s="42">
      <c r="A599" s="56">
        <f>IF(B599="","",WEEKNUM(B599,21))</f>
        <v/>
      </c>
      <c r="B599" s="55" t="n"/>
      <c r="C599" s="57" t="n"/>
      <c r="D599" s="57" t="n"/>
      <c r="E599" s="57" t="n"/>
      <c r="F599" s="57" t="n"/>
      <c r="G599" s="67" t="n"/>
      <c r="H599" s="68" t="n"/>
      <c r="I599" s="61">
        <f>IF(C599="","",IF(H599&lt;&gt;"",INT(H599)+ROUND(MOD(H599,1)*100/60,2),SUMIFS(Registraties!$L$5:$L$3004,Registraties!$D$5:$D$3004,C599,Registraties!$A$5:$A$3004,B599)))</f>
        <v/>
      </c>
      <c r="J599" s="58">
        <f>IF(C599="","",IFERROR(IF(VLOOKUP(C599,Tarieven!$A$2:$F$200,2,0)="Beide","Per uur",VLOOKUP(C599,Tarieven!$A$2:$F$200,2,0)),"Nog bepalen"))</f>
        <v/>
      </c>
      <c r="K599" s="69">
        <f>IF(C599="","",IF(J599="Per uur",IFERROR(VLOOKUP(C599,Tarieven!$A$2:$F$200,3,0),""),IF(J599="Vaste prijs",IFERROR(VLOOKUP(C599,Tarieven!$A$2:$F$200,4,0),""),"")))</f>
        <v/>
      </c>
      <c r="L599" s="70">
        <f>IF(C599="","",IF(J599="Per uur",N(I599)*N(K599),IF(J599="Vaste prijs",N(K599),0)))</f>
        <v/>
      </c>
      <c r="M599" s="69">
        <f>IF(C599="","",IFERROR(IF(N(VLOOKUP(C599,Tarieven!$A$2:$F$200,5,0))=0,"",VLOOKUP(C599,Tarieven!$A$2:$F$200,5,0)),""))</f>
        <v/>
      </c>
      <c r="N599" s="69" t="n"/>
      <c r="O599" s="69" t="n"/>
      <c r="P599" s="70">
        <f>IF(C599="","",N(L599)+N(M599)+N(N599)+N(O599))</f>
        <v/>
      </c>
      <c r="Q599" s="58" t="n"/>
      <c r="R599" s="57" t="n"/>
      <c r="S599" s="57" t="n"/>
      <c r="T599" s="57" t="n"/>
      <c r="U599" s="62">
        <f>IF(C599="","",IF(COUNTIF(Tarieven!$A$2:$A$200,C599)=0,"Klant niet in Tarieven",IF(MOD(N(H599),1)*100&gt;59.4,"Tijd ongeldig: minuten boven 59",IF(J599="Nog bepalen","Prijstype nog bepalen",IF(AND(J599="Per uur",N(K599)=0),"Uurtarief ontbreekt",IF(AND(J599="Vaste prijs",N(K599)=0),"Vaste prijs ontbreekt",IF(AND(N(I599)=0,Q599&lt;&gt;"Niet doorgegaan / verplaatst",Q599&lt;&gt;"Geen factuur nodig"),"Geen uren",IF(AND(G599="NEE",Q599="Verstuurd"),"Verstuurd terwijl werk niet af",IF(IFERROR(VLOOKUP(C599,Tarieven!$A$2:$F$200,2,0),"")="Beide","Beide-klant: controleer prijstype","OK")))))))))</f>
        <v/>
      </c>
    </row>
    <row r="600" ht="15" customHeight="1" s="42">
      <c r="A600" s="56">
        <f>IF(B600="","",WEEKNUM(B600,21))</f>
        <v/>
      </c>
      <c r="B600" s="55" t="n"/>
      <c r="C600" s="57" t="n"/>
      <c r="D600" s="57" t="n"/>
      <c r="E600" s="57" t="n"/>
      <c r="F600" s="57" t="n"/>
      <c r="G600" s="67" t="n"/>
      <c r="H600" s="68" t="n"/>
      <c r="I600" s="61">
        <f>IF(C600="","",IF(H600&lt;&gt;"",INT(H600)+ROUND(MOD(H600,1)*100/60,2),SUMIFS(Registraties!$L$5:$L$3004,Registraties!$D$5:$D$3004,C600,Registraties!$A$5:$A$3004,B600)))</f>
        <v/>
      </c>
      <c r="J600" s="58">
        <f>IF(C600="","",IFERROR(IF(VLOOKUP(C600,Tarieven!$A$2:$F$200,2,0)="Beide","Per uur",VLOOKUP(C600,Tarieven!$A$2:$F$200,2,0)),"Nog bepalen"))</f>
        <v/>
      </c>
      <c r="K600" s="69">
        <f>IF(C600="","",IF(J600="Per uur",IFERROR(VLOOKUP(C600,Tarieven!$A$2:$F$200,3,0),""),IF(J600="Vaste prijs",IFERROR(VLOOKUP(C600,Tarieven!$A$2:$F$200,4,0),""),"")))</f>
        <v/>
      </c>
      <c r="L600" s="70">
        <f>IF(C600="","",IF(J600="Per uur",N(I600)*N(K600),IF(J600="Vaste prijs",N(K600),0)))</f>
        <v/>
      </c>
      <c r="M600" s="69">
        <f>IF(C600="","",IFERROR(IF(N(VLOOKUP(C600,Tarieven!$A$2:$F$200,5,0))=0,"",VLOOKUP(C600,Tarieven!$A$2:$F$200,5,0)),""))</f>
        <v/>
      </c>
      <c r="N600" s="69" t="n"/>
      <c r="O600" s="69" t="n"/>
      <c r="P600" s="70">
        <f>IF(C600="","",N(L600)+N(M600)+N(N600)+N(O600))</f>
        <v/>
      </c>
      <c r="Q600" s="58" t="n"/>
      <c r="R600" s="57" t="n"/>
      <c r="S600" s="57" t="n"/>
      <c r="T600" s="57" t="n"/>
      <c r="U600" s="62">
        <f>IF(C600="","",IF(COUNTIF(Tarieven!$A$2:$A$200,C600)=0,"Klant niet in Tarieven",IF(MOD(N(H600),1)*100&gt;59.4,"Tijd ongeldig: minuten boven 59",IF(J600="Nog bepalen","Prijstype nog bepalen",IF(AND(J600="Per uur",N(K600)=0),"Uurtarief ontbreekt",IF(AND(J600="Vaste prijs",N(K600)=0),"Vaste prijs ontbreekt",IF(AND(N(I600)=0,Q600&lt;&gt;"Niet doorgegaan / verplaatst",Q600&lt;&gt;"Geen factuur nodig"),"Geen uren",IF(AND(G600="NEE",Q600="Verstuurd"),"Verstuurd terwijl werk niet af",IF(IFERROR(VLOOKUP(C600,Tarieven!$A$2:$F$200,2,0),"")="Beide","Beide-klant: controleer prijstype","OK")))))))))</f>
        <v/>
      </c>
    </row>
    <row r="601" ht="15" customHeight="1" s="42">
      <c r="A601" s="56">
        <f>IF(B601="","",WEEKNUM(B601,21))</f>
        <v/>
      </c>
      <c r="B601" s="55" t="n"/>
      <c r="C601" s="57" t="n"/>
      <c r="D601" s="57" t="n"/>
      <c r="E601" s="57" t="n"/>
      <c r="F601" s="57" t="n"/>
      <c r="G601" s="67" t="n"/>
      <c r="H601" s="68" t="n"/>
      <c r="I601" s="61">
        <f>IF(C601="","",IF(H601&lt;&gt;"",INT(H601)+ROUND(MOD(H601,1)*100/60,2),SUMIFS(Registraties!$L$5:$L$3004,Registraties!$D$5:$D$3004,C601,Registraties!$A$5:$A$3004,B601)))</f>
        <v/>
      </c>
      <c r="J601" s="58">
        <f>IF(C601="","",IFERROR(IF(VLOOKUP(C601,Tarieven!$A$2:$F$200,2,0)="Beide","Per uur",VLOOKUP(C601,Tarieven!$A$2:$F$200,2,0)),"Nog bepalen"))</f>
        <v/>
      </c>
      <c r="K601" s="69">
        <f>IF(C601="","",IF(J601="Per uur",IFERROR(VLOOKUP(C601,Tarieven!$A$2:$F$200,3,0),""),IF(J601="Vaste prijs",IFERROR(VLOOKUP(C601,Tarieven!$A$2:$F$200,4,0),""),"")))</f>
        <v/>
      </c>
      <c r="L601" s="70">
        <f>IF(C601="","",IF(J601="Per uur",N(I601)*N(K601),IF(J601="Vaste prijs",N(K601),0)))</f>
        <v/>
      </c>
      <c r="M601" s="69">
        <f>IF(C601="","",IFERROR(IF(N(VLOOKUP(C601,Tarieven!$A$2:$F$200,5,0))=0,"",VLOOKUP(C601,Tarieven!$A$2:$F$200,5,0)),""))</f>
        <v/>
      </c>
      <c r="N601" s="69" t="n"/>
      <c r="O601" s="69" t="n"/>
      <c r="P601" s="70">
        <f>IF(C601="","",N(L601)+N(M601)+N(N601)+N(O601))</f>
        <v/>
      </c>
      <c r="Q601" s="58" t="n"/>
      <c r="R601" s="57" t="n"/>
      <c r="S601" s="57" t="n"/>
      <c r="T601" s="57" t="n"/>
      <c r="U601" s="62">
        <f>IF(C601="","",IF(COUNTIF(Tarieven!$A$2:$A$200,C601)=0,"Klant niet in Tarieven",IF(MOD(N(H601),1)*100&gt;59.4,"Tijd ongeldig: minuten boven 59",IF(J601="Nog bepalen","Prijstype nog bepalen",IF(AND(J601="Per uur",N(K601)=0),"Uurtarief ontbreekt",IF(AND(J601="Vaste prijs",N(K601)=0),"Vaste prijs ontbreekt",IF(AND(N(I601)=0,Q601&lt;&gt;"Niet doorgegaan / verplaatst",Q601&lt;&gt;"Geen factuur nodig"),"Geen uren",IF(AND(G601="NEE",Q601="Verstuurd"),"Verstuurd terwijl werk niet af",IF(IFERROR(VLOOKUP(C601,Tarieven!$A$2:$F$200,2,0),"")="Beide","Beide-klant: controleer prijstype","OK")))))))))</f>
        <v/>
      </c>
    </row>
    <row r="602" ht="15" customHeight="1" s="42">
      <c r="A602" s="56">
        <f>IF(B602="","",WEEKNUM(B602,21))</f>
        <v/>
      </c>
      <c r="B602" s="55" t="n"/>
      <c r="C602" s="57" t="n"/>
      <c r="D602" s="57" t="n"/>
      <c r="E602" s="57" t="n"/>
      <c r="F602" s="57" t="n"/>
      <c r="G602" s="67" t="n"/>
      <c r="H602" s="68" t="n"/>
      <c r="I602" s="61">
        <f>IF(C602="","",IF(H602&lt;&gt;"",INT(H602)+ROUND(MOD(H602,1)*100/60,2),SUMIFS(Registraties!$L$5:$L$3004,Registraties!$D$5:$D$3004,C602,Registraties!$A$5:$A$3004,B602)))</f>
        <v/>
      </c>
      <c r="J602" s="58">
        <f>IF(C602="","",IFERROR(IF(VLOOKUP(C602,Tarieven!$A$2:$F$200,2,0)="Beide","Per uur",VLOOKUP(C602,Tarieven!$A$2:$F$200,2,0)),"Nog bepalen"))</f>
        <v/>
      </c>
      <c r="K602" s="69">
        <f>IF(C602="","",IF(J602="Per uur",IFERROR(VLOOKUP(C602,Tarieven!$A$2:$F$200,3,0),""),IF(J602="Vaste prijs",IFERROR(VLOOKUP(C602,Tarieven!$A$2:$F$200,4,0),""),"")))</f>
        <v/>
      </c>
      <c r="L602" s="70">
        <f>IF(C602="","",IF(J602="Per uur",N(I602)*N(K602),IF(J602="Vaste prijs",N(K602),0)))</f>
        <v/>
      </c>
      <c r="M602" s="69">
        <f>IF(C602="","",IFERROR(IF(N(VLOOKUP(C602,Tarieven!$A$2:$F$200,5,0))=0,"",VLOOKUP(C602,Tarieven!$A$2:$F$200,5,0)),""))</f>
        <v/>
      </c>
      <c r="N602" s="69" t="n"/>
      <c r="O602" s="69" t="n"/>
      <c r="P602" s="70">
        <f>IF(C602="","",N(L602)+N(M602)+N(N602)+N(O602))</f>
        <v/>
      </c>
      <c r="Q602" s="58" t="n"/>
      <c r="R602" s="57" t="n"/>
      <c r="S602" s="57" t="n"/>
      <c r="T602" s="57" t="n"/>
      <c r="U602" s="62">
        <f>IF(C602="","",IF(COUNTIF(Tarieven!$A$2:$A$200,C602)=0,"Klant niet in Tarieven",IF(MOD(N(H602),1)*100&gt;59.4,"Tijd ongeldig: minuten boven 59",IF(J602="Nog bepalen","Prijstype nog bepalen",IF(AND(J602="Per uur",N(K602)=0),"Uurtarief ontbreekt",IF(AND(J602="Vaste prijs",N(K602)=0),"Vaste prijs ontbreekt",IF(AND(N(I602)=0,Q602&lt;&gt;"Niet doorgegaan / verplaatst",Q602&lt;&gt;"Geen factuur nodig"),"Geen uren",IF(AND(G602="NEE",Q602="Verstuurd"),"Verstuurd terwijl werk niet af",IF(IFERROR(VLOOKUP(C602,Tarieven!$A$2:$F$200,2,0),"")="Beide","Beide-klant: controleer prijstype","OK")))))))))</f>
        <v/>
      </c>
    </row>
  </sheetData>
  <sheetProtection selectLockedCells="1" selectUnlockedCells="1" sheet="1" objects="0" insertRows="1" insertHyperlinks="1" autoFilter="0" scenarios="0" formatColumns="1" deleteColumns="1" insertColumns="1" pivotTables="1" deleteRows="1" formatCells="0" formatRows="1" sort="0"/>
  <autoFilter ref="A2:U602"/>
  <mergeCells count="5">
    <mergeCell ref="A1:G1"/>
    <mergeCell ref="L1:P1"/>
    <mergeCell ref="H1:I1"/>
    <mergeCell ref="J1:K1"/>
    <mergeCell ref="Q1:T1"/>
  </mergeCells>
  <conditionalFormatting sqref="G3:G602">
    <cfRule type="cellIs" rank="0" priority="2" equalAverage="0" operator="equal" aboveAverage="0" dxfId="9" text="" percent="0" bottom="0">
      <formula>"NEE"</formula>
    </cfRule>
  </conditionalFormatting>
  <conditionalFormatting sqref="Q3:Q602">
    <cfRule type="cellIs" rank="0" priority="3" equalAverage="0" operator="equal" aboveAverage="0" dxfId="10" text="" percent="0" bottom="0">
      <formula>"Nog factureren"</formula>
    </cfRule>
    <cfRule type="cellIs" rank="0" priority="4" equalAverage="0" operator="equal" aboveAverage="0" dxfId="11" text="" percent="0" bottom="0">
      <formula>"Concept in HERO"</formula>
    </cfRule>
    <cfRule type="cellIs" rank="0" priority="5" equalAverage="0" operator="equal" aboveAverage="0" dxfId="12" text="" percent="0" bottom="0">
      <formula>"Verstuurd"</formula>
    </cfRule>
    <cfRule type="cellIs" rank="0" priority="6" equalAverage="0" operator="equal" aboveAverage="0" dxfId="13" text="" percent="0" bottom="0">
      <formula>"Geen factuur nodig"</formula>
    </cfRule>
    <cfRule type="cellIs" rank="0" priority="7" equalAverage="0" operator="equal" aboveAverage="0" dxfId="13" text="" percent="0" bottom="0">
      <formula>"Niet doorgegaan / verplaatst"</formula>
    </cfRule>
    <cfRule type="cellIs" rank="0" priority="8" equalAverage="0" operator="equal" aboveAverage="0" dxfId="9" text="" percent="0" bottom="0">
      <formula>"Check nodig"</formula>
    </cfRule>
  </conditionalFormatting>
  <conditionalFormatting sqref="J3:J602">
    <cfRule type="cellIs" rank="0" priority="9" equalAverage="0" operator="equal" aboveAverage="0" dxfId="11" text="" percent="0" bottom="0">
      <formula>"Nog bepalen"</formula>
    </cfRule>
  </conditionalFormatting>
  <conditionalFormatting sqref="U3:U602">
    <cfRule type="expression" rank="0" priority="10" equalAverage="0" aboveAverage="0" dxfId="7" text="" percent="0" bottom="0">
      <formula>AND($U3&lt;&gt;"",$U3&lt;&gt;"OK")</formula>
    </cfRule>
    <cfRule type="expression" rank="0" priority="11" equalAverage="0" aboveAverage="0" dxfId="8" text="" percent="0" bottom="0">
      <formula>$U3="OK"</formula>
    </cfRule>
  </conditionalFormatting>
  <dataValidations count="3">
    <dataValidation sqref="G3:G602" showDropDown="0" showInputMessage="1" showErrorMessage="0" allowBlank="1" promptTitle="Werk afgerond?" prompt="JA of NEE. NEE kleurt rood." type="list" errorStyle="stop" operator="between">
      <formula1>"JA,NEE"</formula1>
      <formula2>0</formula2>
    </dataValidation>
    <dataValidation sqref="J3:J602" showDropDown="0" showInputMessage="1" showErrorMessage="0" allowBlank="1" promptTitle="Prijstype" prompt="Bepaalt of Prijs een uurtarief of een vast bedrag is." type="list" errorStyle="stop" operator="between">
      <formula1>"Per uur,Vaste prijs,Nog bepalen"</formula1>
      <formula2>0</formula2>
    </dataValidation>
    <dataValidation sqref="Q3:Q602" showDropDown="0" showInputMessage="1" showErrorMessage="0" allowBlank="1" promptTitle="Factuurstatus" prompt="Nog factureren, Concept in HERO, Verstuurd. Betaling wordt in HERO bijgehouden." type="list" errorStyle="stop" operator="between">
      <formula1>"Nog factureren,Concept in HERO,Verstuurd,Geen factuur nodig,Niet doorgegaan / verplaatst,Check nodig"</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6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41" min="1" max="1"/>
    <col width="12" customWidth="1" style="41" min="2" max="2"/>
    <col width="11" customWidth="1" style="41" min="3" max="3"/>
    <col width="16" customWidth="1" style="41" min="4" max="4"/>
    <col width="14" customWidth="1" style="41" min="5" max="6"/>
  </cols>
  <sheetData>
    <row r="1" ht="17.25" customHeight="1" s="42">
      <c r="A1" s="71" t="inlineStr">
        <is>
          <t>Overzicht per klant</t>
        </is>
      </c>
    </row>
    <row r="3" ht="15" customHeight="1" s="42">
      <c r="A3" s="72" t="inlineStr">
        <is>
          <t>Nog factureren</t>
        </is>
      </c>
      <c r="C3" s="73" t="inlineStr">
        <is>
          <t>Concept in HERO</t>
        </is>
      </c>
      <c r="E3" s="74" t="inlineStr">
        <is>
          <t>Verstuurd</t>
        </is>
      </c>
    </row>
    <row r="4" ht="17.25" customHeight="1" s="42">
      <c r="A4" s="75">
        <f>SUMIFS(Werkregels!$P$3:$P$602,Werkregels!$Q$3:$Q$602,"Nog factureren")</f>
        <v/>
      </c>
      <c r="C4" s="75">
        <f>SUMIFS(Werkregels!$P$3:$P$602,Werkregels!$Q$3:$Q$602,"Concept in HERO")</f>
        <v/>
      </c>
      <c r="E4" s="75">
        <f>SUMIFS(Werkregels!$P$3:$P$602,Werkregels!$Q$3:$Q$602,"Verstuurd")</f>
        <v/>
      </c>
    </row>
    <row r="6" ht="27.75" customHeight="1" s="42">
      <c r="A6" s="54" t="inlineStr">
        <is>
          <t>Klant</t>
        </is>
      </c>
      <c r="B6" s="54" t="inlineStr">
        <is>
          <t>Regels open</t>
        </is>
      </c>
      <c r="C6" s="54" t="inlineStr">
        <is>
          <t>Uren open</t>
        </is>
      </c>
      <c r="D6" s="54" t="inlineStr">
        <is>
          <t>Nog factureren €</t>
        </is>
      </c>
      <c r="E6" s="54" t="inlineStr">
        <is>
          <t>Concept €</t>
        </is>
      </c>
      <c r="F6" s="54" t="inlineStr">
        <is>
          <t>Verstuurd €</t>
        </is>
      </c>
    </row>
    <row r="7" ht="15" customHeight="1" s="42">
      <c r="A7" s="76" t="n"/>
      <c r="B7" s="77">
        <f>IF($A7="","",COUNTIFS(Werkregels!$C$3:$C$602,$A7,Werkregels!$Q$3:$Q$602,"Nog factureren")+COUNTIFS(Werkregels!$C$3:$C$602,$A7,Werkregels!$Q$3:$Q$602,"Check nodig"))</f>
        <v/>
      </c>
      <c r="C7" s="78">
        <f>IF($A7="","",SUMIFS(Werkregels!$I$3:$I$602,Werkregels!$C$3:$C$602,$A7,Werkregels!$Q$3:$Q$602,"Nog factureren")+SUMIFS(Werkregels!$I$3:$I$602,Werkregels!$C$3:$C$602,$A7,Werkregels!$Q$3:$Q$602,"Check nodig"))</f>
        <v/>
      </c>
      <c r="D7" s="79">
        <f>IF($A7="","",SUMIFS(Werkregels!$P$3:$P$602,Werkregels!$C$3:$C$602,$A7,Werkregels!$Q$3:$Q$602,"Nog factureren"))</f>
        <v/>
      </c>
      <c r="E7" s="79">
        <f>IF($A7="","",SUMIFS(Werkregels!$P$3:$P$602,Werkregels!$C$3:$C$602,$A7,Werkregels!$Q$3:$Q$602,"Concept in HERO"))</f>
        <v/>
      </c>
      <c r="F7" s="79">
        <f>IF($A7="","",SUMIFS(Werkregels!$P$3:$P$602,Werkregels!$C$3:$C$602,$A7,Werkregels!$Q$3:$Q$602,"Verstuurd"))</f>
        <v/>
      </c>
    </row>
    <row r="8" ht="15" customHeight="1" s="42">
      <c r="A8" s="63" t="n"/>
      <c r="B8" s="56">
        <f>IF($A8="","",COUNTIFS(Werkregels!$C$3:$C$602,$A8,Werkregels!$Q$3:$Q$602,"Nog factureren")+COUNTIFS(Werkregels!$C$3:$C$602,$A8,Werkregels!$Q$3:$Q$602,"Check nodig"))</f>
        <v/>
      </c>
      <c r="C8" s="61">
        <f>IF($A8="","",SUMIFS(Werkregels!$I$3:$I$602,Werkregels!$C$3:$C$602,$A8,Werkregels!$Q$3:$Q$602,"Nog factureren")+SUMIFS(Werkregels!$I$3:$I$602,Werkregels!$C$3:$C$602,$A8,Werkregels!$Q$3:$Q$602,"Check nodig"))</f>
        <v/>
      </c>
      <c r="D8" s="70">
        <f>IF($A8="","",SUMIFS(Werkregels!$P$3:$P$602,Werkregels!$C$3:$C$602,$A8,Werkregels!$Q$3:$Q$602,"Nog factureren"))</f>
        <v/>
      </c>
      <c r="E8" s="70">
        <f>IF($A8="","",SUMIFS(Werkregels!$P$3:$P$602,Werkregels!$C$3:$C$602,$A8,Werkregels!$Q$3:$Q$602,"Concept in HERO"))</f>
        <v/>
      </c>
      <c r="F8" s="70">
        <f>IF($A8="","",SUMIFS(Werkregels!$P$3:$P$602,Werkregels!$C$3:$C$602,$A8,Werkregels!$Q$3:$Q$602,"Verstuurd"))</f>
        <v/>
      </c>
    </row>
    <row r="9" ht="15" customHeight="1" s="42">
      <c r="A9" s="76" t="n"/>
      <c r="B9" s="77">
        <f>IF($A9="","",COUNTIFS(Werkregels!$C$3:$C$602,$A9,Werkregels!$Q$3:$Q$602,"Nog factureren")+COUNTIFS(Werkregels!$C$3:$C$602,$A9,Werkregels!$Q$3:$Q$602,"Check nodig"))</f>
        <v/>
      </c>
      <c r="C9" s="78">
        <f>IF($A9="","",SUMIFS(Werkregels!$I$3:$I$602,Werkregels!$C$3:$C$602,$A9,Werkregels!$Q$3:$Q$602,"Nog factureren")+SUMIFS(Werkregels!$I$3:$I$602,Werkregels!$C$3:$C$602,$A9,Werkregels!$Q$3:$Q$602,"Check nodig"))</f>
        <v/>
      </c>
      <c r="D9" s="79">
        <f>IF($A9="","",SUMIFS(Werkregels!$P$3:$P$602,Werkregels!$C$3:$C$602,$A9,Werkregels!$Q$3:$Q$602,"Nog factureren"))</f>
        <v/>
      </c>
      <c r="E9" s="79">
        <f>IF($A9="","",SUMIFS(Werkregels!$P$3:$P$602,Werkregels!$C$3:$C$602,$A9,Werkregels!$Q$3:$Q$602,"Concept in HERO"))</f>
        <v/>
      </c>
      <c r="F9" s="79">
        <f>IF($A9="","",SUMIFS(Werkregels!$P$3:$P$602,Werkregels!$C$3:$C$602,$A9,Werkregels!$Q$3:$Q$602,"Verstuurd"))</f>
        <v/>
      </c>
    </row>
    <row r="10" ht="15" customHeight="1" s="42">
      <c r="A10" s="63" t="n"/>
      <c r="B10" s="56">
        <f>IF($A10="","",COUNTIFS(Werkregels!$C$3:$C$602,$A10,Werkregels!$Q$3:$Q$602,"Nog factureren")+COUNTIFS(Werkregels!$C$3:$C$602,$A10,Werkregels!$Q$3:$Q$602,"Check nodig"))</f>
        <v/>
      </c>
      <c r="C10" s="61">
        <f>IF($A10="","",SUMIFS(Werkregels!$I$3:$I$602,Werkregels!$C$3:$C$602,$A10,Werkregels!$Q$3:$Q$602,"Nog factureren")+SUMIFS(Werkregels!$I$3:$I$602,Werkregels!$C$3:$C$602,$A10,Werkregels!$Q$3:$Q$602,"Check nodig"))</f>
        <v/>
      </c>
      <c r="D10" s="70">
        <f>IF($A10="","",SUMIFS(Werkregels!$P$3:$P$602,Werkregels!$C$3:$C$602,$A10,Werkregels!$Q$3:$Q$602,"Nog factureren"))</f>
        <v/>
      </c>
      <c r="E10" s="70">
        <f>IF($A10="","",SUMIFS(Werkregels!$P$3:$P$602,Werkregels!$C$3:$C$602,$A10,Werkregels!$Q$3:$Q$602,"Concept in HERO"))</f>
        <v/>
      </c>
      <c r="F10" s="70">
        <f>IF($A10="","",SUMIFS(Werkregels!$P$3:$P$602,Werkregels!$C$3:$C$602,$A10,Werkregels!$Q$3:$Q$602,"Verstuurd"))</f>
        <v/>
      </c>
    </row>
    <row r="11" ht="15" customHeight="1" s="42">
      <c r="A11" s="76" t="n"/>
      <c r="B11" s="77">
        <f>IF($A11="","",COUNTIFS(Werkregels!$C$3:$C$602,$A11,Werkregels!$Q$3:$Q$602,"Nog factureren")+COUNTIFS(Werkregels!$C$3:$C$602,$A11,Werkregels!$Q$3:$Q$602,"Check nodig"))</f>
        <v/>
      </c>
      <c r="C11" s="78">
        <f>IF($A11="","",SUMIFS(Werkregels!$I$3:$I$602,Werkregels!$C$3:$C$602,$A11,Werkregels!$Q$3:$Q$602,"Nog factureren")+SUMIFS(Werkregels!$I$3:$I$602,Werkregels!$C$3:$C$602,$A11,Werkregels!$Q$3:$Q$602,"Check nodig"))</f>
        <v/>
      </c>
      <c r="D11" s="79">
        <f>IF($A11="","",SUMIFS(Werkregels!$P$3:$P$602,Werkregels!$C$3:$C$602,$A11,Werkregels!$Q$3:$Q$602,"Nog factureren"))</f>
        <v/>
      </c>
      <c r="E11" s="79">
        <f>IF($A11="","",SUMIFS(Werkregels!$P$3:$P$602,Werkregels!$C$3:$C$602,$A11,Werkregels!$Q$3:$Q$602,"Concept in HERO"))</f>
        <v/>
      </c>
      <c r="F11" s="79">
        <f>IF($A11="","",SUMIFS(Werkregels!$P$3:$P$602,Werkregels!$C$3:$C$602,$A11,Werkregels!$Q$3:$Q$602,"Verstuurd"))</f>
        <v/>
      </c>
    </row>
    <row r="12" ht="15" customHeight="1" s="42">
      <c r="A12" s="63" t="n"/>
      <c r="B12" s="56">
        <f>IF($A12="","",COUNTIFS(Werkregels!$C$3:$C$602,$A12,Werkregels!$Q$3:$Q$602,"Nog factureren")+COUNTIFS(Werkregels!$C$3:$C$602,$A12,Werkregels!$Q$3:$Q$602,"Check nodig"))</f>
        <v/>
      </c>
      <c r="C12" s="61">
        <f>IF($A12="","",SUMIFS(Werkregels!$I$3:$I$602,Werkregels!$C$3:$C$602,$A12,Werkregels!$Q$3:$Q$602,"Nog factureren")+SUMIFS(Werkregels!$I$3:$I$602,Werkregels!$C$3:$C$602,$A12,Werkregels!$Q$3:$Q$602,"Check nodig"))</f>
        <v/>
      </c>
      <c r="D12" s="70">
        <f>IF($A12="","",SUMIFS(Werkregels!$P$3:$P$602,Werkregels!$C$3:$C$602,$A12,Werkregels!$Q$3:$Q$602,"Nog factureren"))</f>
        <v/>
      </c>
      <c r="E12" s="70">
        <f>IF($A12="","",SUMIFS(Werkregels!$P$3:$P$602,Werkregels!$C$3:$C$602,$A12,Werkregels!$Q$3:$Q$602,"Concept in HERO"))</f>
        <v/>
      </c>
      <c r="F12" s="70">
        <f>IF($A12="","",SUMIFS(Werkregels!$P$3:$P$602,Werkregels!$C$3:$C$602,$A12,Werkregels!$Q$3:$Q$602,"Verstuurd"))</f>
        <v/>
      </c>
    </row>
    <row r="13" ht="15" customHeight="1" s="42">
      <c r="A13" s="76" t="n"/>
      <c r="B13" s="77">
        <f>IF($A13="","",COUNTIFS(Werkregels!$C$3:$C$602,$A13,Werkregels!$Q$3:$Q$602,"Nog factureren")+COUNTIFS(Werkregels!$C$3:$C$602,$A13,Werkregels!$Q$3:$Q$602,"Check nodig"))</f>
        <v/>
      </c>
      <c r="C13" s="78">
        <f>IF($A13="","",SUMIFS(Werkregels!$I$3:$I$602,Werkregels!$C$3:$C$602,$A13,Werkregels!$Q$3:$Q$602,"Nog factureren")+SUMIFS(Werkregels!$I$3:$I$602,Werkregels!$C$3:$C$602,$A13,Werkregels!$Q$3:$Q$602,"Check nodig"))</f>
        <v/>
      </c>
      <c r="D13" s="79">
        <f>IF($A13="","",SUMIFS(Werkregels!$P$3:$P$602,Werkregels!$C$3:$C$602,$A13,Werkregels!$Q$3:$Q$602,"Nog factureren"))</f>
        <v/>
      </c>
      <c r="E13" s="79">
        <f>IF($A13="","",SUMIFS(Werkregels!$P$3:$P$602,Werkregels!$C$3:$C$602,$A13,Werkregels!$Q$3:$Q$602,"Concept in HERO"))</f>
        <v/>
      </c>
      <c r="F13" s="79">
        <f>IF($A13="","",SUMIFS(Werkregels!$P$3:$P$602,Werkregels!$C$3:$C$602,$A13,Werkregels!$Q$3:$Q$602,"Verstuurd"))</f>
        <v/>
      </c>
    </row>
    <row r="14" ht="15" customHeight="1" s="42">
      <c r="A14" s="63" t="n"/>
      <c r="B14" s="56">
        <f>IF($A14="","",COUNTIFS(Werkregels!$C$3:$C$602,$A14,Werkregels!$Q$3:$Q$602,"Nog factureren")+COUNTIFS(Werkregels!$C$3:$C$602,$A14,Werkregels!$Q$3:$Q$602,"Check nodig"))</f>
        <v/>
      </c>
      <c r="C14" s="61">
        <f>IF($A14="","",SUMIFS(Werkregels!$I$3:$I$602,Werkregels!$C$3:$C$602,$A14,Werkregels!$Q$3:$Q$602,"Nog factureren")+SUMIFS(Werkregels!$I$3:$I$602,Werkregels!$C$3:$C$602,$A14,Werkregels!$Q$3:$Q$602,"Check nodig"))</f>
        <v/>
      </c>
      <c r="D14" s="70">
        <f>IF($A14="","",SUMIFS(Werkregels!$P$3:$P$602,Werkregels!$C$3:$C$602,$A14,Werkregels!$Q$3:$Q$602,"Nog factureren"))</f>
        <v/>
      </c>
      <c r="E14" s="70">
        <f>IF($A14="","",SUMIFS(Werkregels!$P$3:$P$602,Werkregels!$C$3:$C$602,$A14,Werkregels!$Q$3:$Q$602,"Concept in HERO"))</f>
        <v/>
      </c>
      <c r="F14" s="70">
        <f>IF($A14="","",SUMIFS(Werkregels!$P$3:$P$602,Werkregels!$C$3:$C$602,$A14,Werkregels!$Q$3:$Q$602,"Verstuurd"))</f>
        <v/>
      </c>
    </row>
    <row r="15" ht="15" customHeight="1" s="42">
      <c r="A15" s="76" t="n"/>
      <c r="B15" s="77">
        <f>IF($A15="","",COUNTIFS(Werkregels!$C$3:$C$602,$A15,Werkregels!$Q$3:$Q$602,"Nog factureren")+COUNTIFS(Werkregels!$C$3:$C$602,$A15,Werkregels!$Q$3:$Q$602,"Check nodig"))</f>
        <v/>
      </c>
      <c r="C15" s="78">
        <f>IF($A15="","",SUMIFS(Werkregels!$I$3:$I$602,Werkregels!$C$3:$C$602,$A15,Werkregels!$Q$3:$Q$602,"Nog factureren")+SUMIFS(Werkregels!$I$3:$I$602,Werkregels!$C$3:$C$602,$A15,Werkregels!$Q$3:$Q$602,"Check nodig"))</f>
        <v/>
      </c>
      <c r="D15" s="79">
        <f>IF($A15="","",SUMIFS(Werkregels!$P$3:$P$602,Werkregels!$C$3:$C$602,$A15,Werkregels!$Q$3:$Q$602,"Nog factureren"))</f>
        <v/>
      </c>
      <c r="E15" s="79">
        <f>IF($A15="","",SUMIFS(Werkregels!$P$3:$P$602,Werkregels!$C$3:$C$602,$A15,Werkregels!$Q$3:$Q$602,"Concept in HERO"))</f>
        <v/>
      </c>
      <c r="F15" s="79">
        <f>IF($A15="","",SUMIFS(Werkregels!$P$3:$P$602,Werkregels!$C$3:$C$602,$A15,Werkregels!$Q$3:$Q$602,"Verstuurd"))</f>
        <v/>
      </c>
    </row>
    <row r="16" ht="15" customHeight="1" s="42">
      <c r="A16" s="63" t="n"/>
      <c r="B16" s="56">
        <f>IF($A16="","",COUNTIFS(Werkregels!$C$3:$C$602,$A16,Werkregels!$Q$3:$Q$602,"Nog factureren")+COUNTIFS(Werkregels!$C$3:$C$602,$A16,Werkregels!$Q$3:$Q$602,"Check nodig"))</f>
        <v/>
      </c>
      <c r="C16" s="61">
        <f>IF($A16="","",SUMIFS(Werkregels!$I$3:$I$602,Werkregels!$C$3:$C$602,$A16,Werkregels!$Q$3:$Q$602,"Nog factureren")+SUMIFS(Werkregels!$I$3:$I$602,Werkregels!$C$3:$C$602,$A16,Werkregels!$Q$3:$Q$602,"Check nodig"))</f>
        <v/>
      </c>
      <c r="D16" s="70">
        <f>IF($A16="","",SUMIFS(Werkregels!$P$3:$P$602,Werkregels!$C$3:$C$602,$A16,Werkregels!$Q$3:$Q$602,"Nog factureren"))</f>
        <v/>
      </c>
      <c r="E16" s="70">
        <f>IF($A16="","",SUMIFS(Werkregels!$P$3:$P$602,Werkregels!$C$3:$C$602,$A16,Werkregels!$Q$3:$Q$602,"Concept in HERO"))</f>
        <v/>
      </c>
      <c r="F16" s="70">
        <f>IF($A16="","",SUMIFS(Werkregels!$P$3:$P$602,Werkregels!$C$3:$C$602,$A16,Werkregels!$Q$3:$Q$602,"Verstuurd"))</f>
        <v/>
      </c>
    </row>
    <row r="17" ht="15" customHeight="1" s="42">
      <c r="A17" s="76" t="n"/>
      <c r="B17" s="77">
        <f>IF($A17="","",COUNTIFS(Werkregels!$C$3:$C$602,$A17,Werkregels!$Q$3:$Q$602,"Nog factureren")+COUNTIFS(Werkregels!$C$3:$C$602,$A17,Werkregels!$Q$3:$Q$602,"Check nodig"))</f>
        <v/>
      </c>
      <c r="C17" s="78">
        <f>IF($A17="","",SUMIFS(Werkregels!$I$3:$I$602,Werkregels!$C$3:$C$602,$A17,Werkregels!$Q$3:$Q$602,"Nog factureren")+SUMIFS(Werkregels!$I$3:$I$602,Werkregels!$C$3:$C$602,$A17,Werkregels!$Q$3:$Q$602,"Check nodig"))</f>
        <v/>
      </c>
      <c r="D17" s="79">
        <f>IF($A17="","",SUMIFS(Werkregels!$P$3:$P$602,Werkregels!$C$3:$C$602,$A17,Werkregels!$Q$3:$Q$602,"Nog factureren"))</f>
        <v/>
      </c>
      <c r="E17" s="79">
        <f>IF($A17="","",SUMIFS(Werkregels!$P$3:$P$602,Werkregels!$C$3:$C$602,$A17,Werkregels!$Q$3:$Q$602,"Concept in HERO"))</f>
        <v/>
      </c>
      <c r="F17" s="79">
        <f>IF($A17="","",SUMIFS(Werkregels!$P$3:$P$602,Werkregels!$C$3:$C$602,$A17,Werkregels!$Q$3:$Q$602,"Verstuurd"))</f>
        <v/>
      </c>
    </row>
    <row r="18" ht="15" customHeight="1" s="42">
      <c r="A18" s="63" t="n"/>
      <c r="B18" s="56">
        <f>IF($A18="","",COUNTIFS(Werkregels!$C$3:$C$602,$A18,Werkregels!$Q$3:$Q$602,"Nog factureren")+COUNTIFS(Werkregels!$C$3:$C$602,$A18,Werkregels!$Q$3:$Q$602,"Check nodig"))</f>
        <v/>
      </c>
      <c r="C18" s="61">
        <f>IF($A18="","",SUMIFS(Werkregels!$I$3:$I$602,Werkregels!$C$3:$C$602,$A18,Werkregels!$Q$3:$Q$602,"Nog factureren")+SUMIFS(Werkregels!$I$3:$I$602,Werkregels!$C$3:$C$602,$A18,Werkregels!$Q$3:$Q$602,"Check nodig"))</f>
        <v/>
      </c>
      <c r="D18" s="70">
        <f>IF($A18="","",SUMIFS(Werkregels!$P$3:$P$602,Werkregels!$C$3:$C$602,$A18,Werkregels!$Q$3:$Q$602,"Nog factureren"))</f>
        <v/>
      </c>
      <c r="E18" s="70">
        <f>IF($A18="","",SUMIFS(Werkregels!$P$3:$P$602,Werkregels!$C$3:$C$602,$A18,Werkregels!$Q$3:$Q$602,"Concept in HERO"))</f>
        <v/>
      </c>
      <c r="F18" s="70">
        <f>IF($A18="","",SUMIFS(Werkregels!$P$3:$P$602,Werkregels!$C$3:$C$602,$A18,Werkregels!$Q$3:$Q$602,"Verstuurd"))</f>
        <v/>
      </c>
    </row>
    <row r="19" ht="15" customHeight="1" s="42">
      <c r="A19" s="76" t="n"/>
      <c r="B19" s="77">
        <f>IF($A19="","",COUNTIFS(Werkregels!$C$3:$C$602,$A19,Werkregels!$Q$3:$Q$602,"Nog factureren")+COUNTIFS(Werkregels!$C$3:$C$602,$A19,Werkregels!$Q$3:$Q$602,"Check nodig"))</f>
        <v/>
      </c>
      <c r="C19" s="78">
        <f>IF($A19="","",SUMIFS(Werkregels!$I$3:$I$602,Werkregels!$C$3:$C$602,$A19,Werkregels!$Q$3:$Q$602,"Nog factureren")+SUMIFS(Werkregels!$I$3:$I$602,Werkregels!$C$3:$C$602,$A19,Werkregels!$Q$3:$Q$602,"Check nodig"))</f>
        <v/>
      </c>
      <c r="D19" s="79">
        <f>IF($A19="","",SUMIFS(Werkregels!$P$3:$P$602,Werkregels!$C$3:$C$602,$A19,Werkregels!$Q$3:$Q$602,"Nog factureren"))</f>
        <v/>
      </c>
      <c r="E19" s="79">
        <f>IF($A19="","",SUMIFS(Werkregels!$P$3:$P$602,Werkregels!$C$3:$C$602,$A19,Werkregels!$Q$3:$Q$602,"Concept in HERO"))</f>
        <v/>
      </c>
      <c r="F19" s="79">
        <f>IF($A19="","",SUMIFS(Werkregels!$P$3:$P$602,Werkregels!$C$3:$C$602,$A19,Werkregels!$Q$3:$Q$602,"Verstuurd"))</f>
        <v/>
      </c>
    </row>
    <row r="20" ht="15" customHeight="1" s="42">
      <c r="A20" s="63" t="n"/>
      <c r="B20" s="56">
        <f>IF($A20="","",COUNTIFS(Werkregels!$C$3:$C$602,$A20,Werkregels!$Q$3:$Q$602,"Nog factureren")+COUNTIFS(Werkregels!$C$3:$C$602,$A20,Werkregels!$Q$3:$Q$602,"Check nodig"))</f>
        <v/>
      </c>
      <c r="C20" s="61">
        <f>IF($A20="","",SUMIFS(Werkregels!$I$3:$I$602,Werkregels!$C$3:$C$602,$A20,Werkregels!$Q$3:$Q$602,"Nog factureren")+SUMIFS(Werkregels!$I$3:$I$602,Werkregels!$C$3:$C$602,$A20,Werkregels!$Q$3:$Q$602,"Check nodig"))</f>
        <v/>
      </c>
      <c r="D20" s="70">
        <f>IF($A20="","",SUMIFS(Werkregels!$P$3:$P$602,Werkregels!$C$3:$C$602,$A20,Werkregels!$Q$3:$Q$602,"Nog factureren"))</f>
        <v/>
      </c>
      <c r="E20" s="70">
        <f>IF($A20="","",SUMIFS(Werkregels!$P$3:$P$602,Werkregels!$C$3:$C$602,$A20,Werkregels!$Q$3:$Q$602,"Concept in HERO"))</f>
        <v/>
      </c>
      <c r="F20" s="70">
        <f>IF($A20="","",SUMIFS(Werkregels!$P$3:$P$602,Werkregels!$C$3:$C$602,$A20,Werkregels!$Q$3:$Q$602,"Verstuurd"))</f>
        <v/>
      </c>
    </row>
    <row r="21" ht="15" customHeight="1" s="42">
      <c r="A21" s="76" t="n"/>
      <c r="B21" s="77">
        <f>IF($A21="","",COUNTIFS(Werkregels!$C$3:$C$602,$A21,Werkregels!$Q$3:$Q$602,"Nog factureren")+COUNTIFS(Werkregels!$C$3:$C$602,$A21,Werkregels!$Q$3:$Q$602,"Check nodig"))</f>
        <v/>
      </c>
      <c r="C21" s="78">
        <f>IF($A21="","",SUMIFS(Werkregels!$I$3:$I$602,Werkregels!$C$3:$C$602,$A21,Werkregels!$Q$3:$Q$602,"Nog factureren")+SUMIFS(Werkregels!$I$3:$I$602,Werkregels!$C$3:$C$602,$A21,Werkregels!$Q$3:$Q$602,"Check nodig"))</f>
        <v/>
      </c>
      <c r="D21" s="79">
        <f>IF($A21="","",SUMIFS(Werkregels!$P$3:$P$602,Werkregels!$C$3:$C$602,$A21,Werkregels!$Q$3:$Q$602,"Nog factureren"))</f>
        <v/>
      </c>
      <c r="E21" s="79">
        <f>IF($A21="","",SUMIFS(Werkregels!$P$3:$P$602,Werkregels!$C$3:$C$602,$A21,Werkregels!$Q$3:$Q$602,"Concept in HERO"))</f>
        <v/>
      </c>
      <c r="F21" s="79">
        <f>IF($A21="","",SUMIFS(Werkregels!$P$3:$P$602,Werkregels!$C$3:$C$602,$A21,Werkregels!$Q$3:$Q$602,"Verstuurd"))</f>
        <v/>
      </c>
    </row>
    <row r="22" ht="15" customHeight="1" s="42">
      <c r="A22" s="63" t="n"/>
      <c r="B22" s="56">
        <f>IF($A22="","",COUNTIFS(Werkregels!$C$3:$C$602,$A22,Werkregels!$Q$3:$Q$602,"Nog factureren")+COUNTIFS(Werkregels!$C$3:$C$602,$A22,Werkregels!$Q$3:$Q$602,"Check nodig"))</f>
        <v/>
      </c>
      <c r="C22" s="61">
        <f>IF($A22="","",SUMIFS(Werkregels!$I$3:$I$602,Werkregels!$C$3:$C$602,$A22,Werkregels!$Q$3:$Q$602,"Nog factureren")+SUMIFS(Werkregels!$I$3:$I$602,Werkregels!$C$3:$C$602,$A22,Werkregels!$Q$3:$Q$602,"Check nodig"))</f>
        <v/>
      </c>
      <c r="D22" s="70">
        <f>IF($A22="","",SUMIFS(Werkregels!$P$3:$P$602,Werkregels!$C$3:$C$602,$A22,Werkregels!$Q$3:$Q$602,"Nog factureren"))</f>
        <v/>
      </c>
      <c r="E22" s="70">
        <f>IF($A22="","",SUMIFS(Werkregels!$P$3:$P$602,Werkregels!$C$3:$C$602,$A22,Werkregels!$Q$3:$Q$602,"Concept in HERO"))</f>
        <v/>
      </c>
      <c r="F22" s="70">
        <f>IF($A22="","",SUMIFS(Werkregels!$P$3:$P$602,Werkregels!$C$3:$C$602,$A22,Werkregels!$Q$3:$Q$602,"Verstuurd"))</f>
        <v/>
      </c>
    </row>
    <row r="23" ht="15" customHeight="1" s="42">
      <c r="A23" s="76" t="n"/>
      <c r="B23" s="77">
        <f>IF($A23="","",COUNTIFS(Werkregels!$C$3:$C$602,$A23,Werkregels!$Q$3:$Q$602,"Nog factureren")+COUNTIFS(Werkregels!$C$3:$C$602,$A23,Werkregels!$Q$3:$Q$602,"Check nodig"))</f>
        <v/>
      </c>
      <c r="C23" s="78">
        <f>IF($A23="","",SUMIFS(Werkregels!$I$3:$I$602,Werkregels!$C$3:$C$602,$A23,Werkregels!$Q$3:$Q$602,"Nog factureren")+SUMIFS(Werkregels!$I$3:$I$602,Werkregels!$C$3:$C$602,$A23,Werkregels!$Q$3:$Q$602,"Check nodig"))</f>
        <v/>
      </c>
      <c r="D23" s="79">
        <f>IF($A23="","",SUMIFS(Werkregels!$P$3:$P$602,Werkregels!$C$3:$C$602,$A23,Werkregels!$Q$3:$Q$602,"Nog factureren"))</f>
        <v/>
      </c>
      <c r="E23" s="79">
        <f>IF($A23="","",SUMIFS(Werkregels!$P$3:$P$602,Werkregels!$C$3:$C$602,$A23,Werkregels!$Q$3:$Q$602,"Concept in HERO"))</f>
        <v/>
      </c>
      <c r="F23" s="79">
        <f>IF($A23="","",SUMIFS(Werkregels!$P$3:$P$602,Werkregels!$C$3:$C$602,$A23,Werkregels!$Q$3:$Q$602,"Verstuurd"))</f>
        <v/>
      </c>
    </row>
    <row r="24" ht="15" customHeight="1" s="42">
      <c r="A24" s="63" t="n"/>
      <c r="B24" s="56">
        <f>IF($A24="","",COUNTIFS(Werkregels!$C$3:$C$602,$A24,Werkregels!$Q$3:$Q$602,"Nog factureren")+COUNTIFS(Werkregels!$C$3:$C$602,$A24,Werkregels!$Q$3:$Q$602,"Check nodig"))</f>
        <v/>
      </c>
      <c r="C24" s="61">
        <f>IF($A24="","",SUMIFS(Werkregels!$I$3:$I$602,Werkregels!$C$3:$C$602,$A24,Werkregels!$Q$3:$Q$602,"Nog factureren")+SUMIFS(Werkregels!$I$3:$I$602,Werkregels!$C$3:$C$602,$A24,Werkregels!$Q$3:$Q$602,"Check nodig"))</f>
        <v/>
      </c>
      <c r="D24" s="70">
        <f>IF($A24="","",SUMIFS(Werkregels!$P$3:$P$602,Werkregels!$C$3:$C$602,$A24,Werkregels!$Q$3:$Q$602,"Nog factureren"))</f>
        <v/>
      </c>
      <c r="E24" s="70">
        <f>IF($A24="","",SUMIFS(Werkregels!$P$3:$P$602,Werkregels!$C$3:$C$602,$A24,Werkregels!$Q$3:$Q$602,"Concept in HERO"))</f>
        <v/>
      </c>
      <c r="F24" s="70">
        <f>IF($A24="","",SUMIFS(Werkregels!$P$3:$P$602,Werkregels!$C$3:$C$602,$A24,Werkregels!$Q$3:$Q$602,"Verstuurd"))</f>
        <v/>
      </c>
    </row>
    <row r="25" ht="15" customHeight="1" s="42">
      <c r="A25" s="76" t="n"/>
      <c r="B25" s="77">
        <f>IF($A25="","",COUNTIFS(Werkregels!$C$3:$C$602,$A25,Werkregels!$Q$3:$Q$602,"Nog factureren")+COUNTIFS(Werkregels!$C$3:$C$602,$A25,Werkregels!$Q$3:$Q$602,"Check nodig"))</f>
        <v/>
      </c>
      <c r="C25" s="78">
        <f>IF($A25="","",SUMIFS(Werkregels!$I$3:$I$602,Werkregels!$C$3:$C$602,$A25,Werkregels!$Q$3:$Q$602,"Nog factureren")+SUMIFS(Werkregels!$I$3:$I$602,Werkregels!$C$3:$C$602,$A25,Werkregels!$Q$3:$Q$602,"Check nodig"))</f>
        <v/>
      </c>
      <c r="D25" s="79">
        <f>IF($A25="","",SUMIFS(Werkregels!$P$3:$P$602,Werkregels!$C$3:$C$602,$A25,Werkregels!$Q$3:$Q$602,"Nog factureren"))</f>
        <v/>
      </c>
      <c r="E25" s="79">
        <f>IF($A25="","",SUMIFS(Werkregels!$P$3:$P$602,Werkregels!$C$3:$C$602,$A25,Werkregels!$Q$3:$Q$602,"Concept in HERO"))</f>
        <v/>
      </c>
      <c r="F25" s="79">
        <f>IF($A25="","",SUMIFS(Werkregels!$P$3:$P$602,Werkregels!$C$3:$C$602,$A25,Werkregels!$Q$3:$Q$602,"Verstuurd"))</f>
        <v/>
      </c>
    </row>
    <row r="26" ht="15" customHeight="1" s="42">
      <c r="A26" s="63" t="n"/>
      <c r="B26" s="56">
        <f>IF($A26="","",COUNTIFS(Werkregels!$C$3:$C$602,$A26,Werkregels!$Q$3:$Q$602,"Nog factureren")+COUNTIFS(Werkregels!$C$3:$C$602,$A26,Werkregels!$Q$3:$Q$602,"Check nodig"))</f>
        <v/>
      </c>
      <c r="C26" s="61">
        <f>IF($A26="","",SUMIFS(Werkregels!$I$3:$I$602,Werkregels!$C$3:$C$602,$A26,Werkregels!$Q$3:$Q$602,"Nog factureren")+SUMIFS(Werkregels!$I$3:$I$602,Werkregels!$C$3:$C$602,$A26,Werkregels!$Q$3:$Q$602,"Check nodig"))</f>
        <v/>
      </c>
      <c r="D26" s="70">
        <f>IF($A26="","",SUMIFS(Werkregels!$P$3:$P$602,Werkregels!$C$3:$C$602,$A26,Werkregels!$Q$3:$Q$602,"Nog factureren"))</f>
        <v/>
      </c>
      <c r="E26" s="70">
        <f>IF($A26="","",SUMIFS(Werkregels!$P$3:$P$602,Werkregels!$C$3:$C$602,$A26,Werkregels!$Q$3:$Q$602,"Concept in HERO"))</f>
        <v/>
      </c>
      <c r="F26" s="70">
        <f>IF($A26="","",SUMIFS(Werkregels!$P$3:$P$602,Werkregels!$C$3:$C$602,$A26,Werkregels!$Q$3:$Q$602,"Verstuurd"))</f>
        <v/>
      </c>
    </row>
    <row r="27" ht="15" customHeight="1" s="42">
      <c r="A27" s="76" t="n"/>
      <c r="B27" s="77">
        <f>IF($A27="","",COUNTIFS(Werkregels!$C$3:$C$602,$A27,Werkregels!$Q$3:$Q$602,"Nog factureren")+COUNTIFS(Werkregels!$C$3:$C$602,$A27,Werkregels!$Q$3:$Q$602,"Check nodig"))</f>
        <v/>
      </c>
      <c r="C27" s="78">
        <f>IF($A27="","",SUMIFS(Werkregels!$I$3:$I$602,Werkregels!$C$3:$C$602,$A27,Werkregels!$Q$3:$Q$602,"Nog factureren")+SUMIFS(Werkregels!$I$3:$I$602,Werkregels!$C$3:$C$602,$A27,Werkregels!$Q$3:$Q$602,"Check nodig"))</f>
        <v/>
      </c>
      <c r="D27" s="79">
        <f>IF($A27="","",SUMIFS(Werkregels!$P$3:$P$602,Werkregels!$C$3:$C$602,$A27,Werkregels!$Q$3:$Q$602,"Nog factureren"))</f>
        <v/>
      </c>
      <c r="E27" s="79">
        <f>IF($A27="","",SUMIFS(Werkregels!$P$3:$P$602,Werkregels!$C$3:$C$602,$A27,Werkregels!$Q$3:$Q$602,"Concept in HERO"))</f>
        <v/>
      </c>
      <c r="F27" s="79">
        <f>IF($A27="","",SUMIFS(Werkregels!$P$3:$P$602,Werkregels!$C$3:$C$602,$A27,Werkregels!$Q$3:$Q$602,"Verstuurd"))</f>
        <v/>
      </c>
    </row>
    <row r="28" ht="15" customHeight="1" s="42">
      <c r="A28" s="63" t="n"/>
      <c r="B28" s="56">
        <f>IF($A28="","",COUNTIFS(Werkregels!$C$3:$C$602,$A28,Werkregels!$Q$3:$Q$602,"Nog factureren")+COUNTIFS(Werkregels!$C$3:$C$602,$A28,Werkregels!$Q$3:$Q$602,"Check nodig"))</f>
        <v/>
      </c>
      <c r="C28" s="61">
        <f>IF($A28="","",SUMIFS(Werkregels!$I$3:$I$602,Werkregels!$C$3:$C$602,$A28,Werkregels!$Q$3:$Q$602,"Nog factureren")+SUMIFS(Werkregels!$I$3:$I$602,Werkregels!$C$3:$C$602,$A28,Werkregels!$Q$3:$Q$602,"Check nodig"))</f>
        <v/>
      </c>
      <c r="D28" s="70">
        <f>IF($A28="","",SUMIFS(Werkregels!$P$3:$P$602,Werkregels!$C$3:$C$602,$A28,Werkregels!$Q$3:$Q$602,"Nog factureren"))</f>
        <v/>
      </c>
      <c r="E28" s="70">
        <f>IF($A28="","",SUMIFS(Werkregels!$P$3:$P$602,Werkregels!$C$3:$C$602,$A28,Werkregels!$Q$3:$Q$602,"Concept in HERO"))</f>
        <v/>
      </c>
      <c r="F28" s="70">
        <f>IF($A28="","",SUMIFS(Werkregels!$P$3:$P$602,Werkregels!$C$3:$C$602,$A28,Werkregels!$Q$3:$Q$602,"Verstuurd"))</f>
        <v/>
      </c>
    </row>
    <row r="29" ht="15" customHeight="1" s="42">
      <c r="A29" s="76" t="n"/>
      <c r="B29" s="77">
        <f>IF($A29="","",COUNTIFS(Werkregels!$C$3:$C$602,$A29,Werkregels!$Q$3:$Q$602,"Nog factureren")+COUNTIFS(Werkregels!$C$3:$C$602,$A29,Werkregels!$Q$3:$Q$602,"Check nodig"))</f>
        <v/>
      </c>
      <c r="C29" s="78">
        <f>IF($A29="","",SUMIFS(Werkregels!$I$3:$I$602,Werkregels!$C$3:$C$602,$A29,Werkregels!$Q$3:$Q$602,"Nog factureren")+SUMIFS(Werkregels!$I$3:$I$602,Werkregels!$C$3:$C$602,$A29,Werkregels!$Q$3:$Q$602,"Check nodig"))</f>
        <v/>
      </c>
      <c r="D29" s="79">
        <f>IF($A29="","",SUMIFS(Werkregels!$P$3:$P$602,Werkregels!$C$3:$C$602,$A29,Werkregels!$Q$3:$Q$602,"Nog factureren"))</f>
        <v/>
      </c>
      <c r="E29" s="79">
        <f>IF($A29="","",SUMIFS(Werkregels!$P$3:$P$602,Werkregels!$C$3:$C$602,$A29,Werkregels!$Q$3:$Q$602,"Concept in HERO"))</f>
        <v/>
      </c>
      <c r="F29" s="79">
        <f>IF($A29="","",SUMIFS(Werkregels!$P$3:$P$602,Werkregels!$C$3:$C$602,$A29,Werkregels!$Q$3:$Q$602,"Verstuurd"))</f>
        <v/>
      </c>
    </row>
    <row r="30" ht="15" customHeight="1" s="42">
      <c r="A30" s="63" t="n"/>
      <c r="B30" s="56">
        <f>IF($A30="","",COUNTIFS(Werkregels!$C$3:$C$602,$A30,Werkregels!$Q$3:$Q$602,"Nog factureren")+COUNTIFS(Werkregels!$C$3:$C$602,$A30,Werkregels!$Q$3:$Q$602,"Check nodig"))</f>
        <v/>
      </c>
      <c r="C30" s="61">
        <f>IF($A30="","",SUMIFS(Werkregels!$I$3:$I$602,Werkregels!$C$3:$C$602,$A30,Werkregels!$Q$3:$Q$602,"Nog factureren")+SUMIFS(Werkregels!$I$3:$I$602,Werkregels!$C$3:$C$602,$A30,Werkregels!$Q$3:$Q$602,"Check nodig"))</f>
        <v/>
      </c>
      <c r="D30" s="70">
        <f>IF($A30="","",SUMIFS(Werkregels!$P$3:$P$602,Werkregels!$C$3:$C$602,$A30,Werkregels!$Q$3:$Q$602,"Nog factureren"))</f>
        <v/>
      </c>
      <c r="E30" s="70">
        <f>IF($A30="","",SUMIFS(Werkregels!$P$3:$P$602,Werkregels!$C$3:$C$602,$A30,Werkregels!$Q$3:$Q$602,"Concept in HERO"))</f>
        <v/>
      </c>
      <c r="F30" s="70">
        <f>IF($A30="","",SUMIFS(Werkregels!$P$3:$P$602,Werkregels!$C$3:$C$602,$A30,Werkregels!$Q$3:$Q$602,"Verstuurd"))</f>
        <v/>
      </c>
    </row>
    <row r="31" ht="15" customHeight="1" s="42">
      <c r="A31" s="76" t="n"/>
      <c r="B31" s="77">
        <f>IF($A31="","",COUNTIFS(Werkregels!$C$3:$C$602,$A31,Werkregels!$Q$3:$Q$602,"Nog factureren")+COUNTIFS(Werkregels!$C$3:$C$602,$A31,Werkregels!$Q$3:$Q$602,"Check nodig"))</f>
        <v/>
      </c>
      <c r="C31" s="78">
        <f>IF($A31="","",SUMIFS(Werkregels!$I$3:$I$602,Werkregels!$C$3:$C$602,$A31,Werkregels!$Q$3:$Q$602,"Nog factureren")+SUMIFS(Werkregels!$I$3:$I$602,Werkregels!$C$3:$C$602,$A31,Werkregels!$Q$3:$Q$602,"Check nodig"))</f>
        <v/>
      </c>
      <c r="D31" s="79">
        <f>IF($A31="","",SUMIFS(Werkregels!$P$3:$P$602,Werkregels!$C$3:$C$602,$A31,Werkregels!$Q$3:$Q$602,"Nog factureren"))</f>
        <v/>
      </c>
      <c r="E31" s="79">
        <f>IF($A31="","",SUMIFS(Werkregels!$P$3:$P$602,Werkregels!$C$3:$C$602,$A31,Werkregels!$Q$3:$Q$602,"Concept in HERO"))</f>
        <v/>
      </c>
      <c r="F31" s="79">
        <f>IF($A31="","",SUMIFS(Werkregels!$P$3:$P$602,Werkregels!$C$3:$C$602,$A31,Werkregels!$Q$3:$Q$602,"Verstuurd"))</f>
        <v/>
      </c>
    </row>
    <row r="32" ht="15" customHeight="1" s="42">
      <c r="A32" s="63" t="n"/>
      <c r="B32" s="56">
        <f>IF($A32="","",COUNTIFS(Werkregels!$C$3:$C$602,$A32,Werkregels!$Q$3:$Q$602,"Nog factureren")+COUNTIFS(Werkregels!$C$3:$C$602,$A32,Werkregels!$Q$3:$Q$602,"Check nodig"))</f>
        <v/>
      </c>
      <c r="C32" s="61">
        <f>IF($A32="","",SUMIFS(Werkregels!$I$3:$I$602,Werkregels!$C$3:$C$602,$A32,Werkregels!$Q$3:$Q$602,"Nog factureren")+SUMIFS(Werkregels!$I$3:$I$602,Werkregels!$C$3:$C$602,$A32,Werkregels!$Q$3:$Q$602,"Check nodig"))</f>
        <v/>
      </c>
      <c r="D32" s="70">
        <f>IF($A32="","",SUMIFS(Werkregels!$P$3:$P$602,Werkregels!$C$3:$C$602,$A32,Werkregels!$Q$3:$Q$602,"Nog factureren"))</f>
        <v/>
      </c>
      <c r="E32" s="70">
        <f>IF($A32="","",SUMIFS(Werkregels!$P$3:$P$602,Werkregels!$C$3:$C$602,$A32,Werkregels!$Q$3:$Q$602,"Concept in HERO"))</f>
        <v/>
      </c>
      <c r="F32" s="70">
        <f>IF($A32="","",SUMIFS(Werkregels!$P$3:$P$602,Werkregels!$C$3:$C$602,$A32,Werkregels!$Q$3:$Q$602,"Verstuurd"))</f>
        <v/>
      </c>
    </row>
    <row r="33" ht="15" customHeight="1" s="42">
      <c r="A33" s="76" t="n"/>
      <c r="B33" s="77">
        <f>IF($A33="","",COUNTIFS(Werkregels!$C$3:$C$602,$A33,Werkregels!$Q$3:$Q$602,"Nog factureren")+COUNTIFS(Werkregels!$C$3:$C$602,$A33,Werkregels!$Q$3:$Q$602,"Check nodig"))</f>
        <v/>
      </c>
      <c r="C33" s="78">
        <f>IF($A33="","",SUMIFS(Werkregels!$I$3:$I$602,Werkregels!$C$3:$C$602,$A33,Werkregels!$Q$3:$Q$602,"Nog factureren")+SUMIFS(Werkregels!$I$3:$I$602,Werkregels!$C$3:$C$602,$A33,Werkregels!$Q$3:$Q$602,"Check nodig"))</f>
        <v/>
      </c>
      <c r="D33" s="79">
        <f>IF($A33="","",SUMIFS(Werkregels!$P$3:$P$602,Werkregels!$C$3:$C$602,$A33,Werkregels!$Q$3:$Q$602,"Nog factureren"))</f>
        <v/>
      </c>
      <c r="E33" s="79">
        <f>IF($A33="","",SUMIFS(Werkregels!$P$3:$P$602,Werkregels!$C$3:$C$602,$A33,Werkregels!$Q$3:$Q$602,"Concept in HERO"))</f>
        <v/>
      </c>
      <c r="F33" s="79">
        <f>IF($A33="","",SUMIFS(Werkregels!$P$3:$P$602,Werkregels!$C$3:$C$602,$A33,Werkregels!$Q$3:$Q$602,"Verstuurd"))</f>
        <v/>
      </c>
    </row>
    <row r="34" ht="15" customHeight="1" s="42">
      <c r="A34" s="63" t="n"/>
      <c r="B34" s="56">
        <f>IF($A34="","",COUNTIFS(Werkregels!$C$3:$C$602,$A34,Werkregels!$Q$3:$Q$602,"Nog factureren")+COUNTIFS(Werkregels!$C$3:$C$602,$A34,Werkregels!$Q$3:$Q$602,"Check nodig"))</f>
        <v/>
      </c>
      <c r="C34" s="61">
        <f>IF($A34="","",SUMIFS(Werkregels!$I$3:$I$602,Werkregels!$C$3:$C$602,$A34,Werkregels!$Q$3:$Q$602,"Nog factureren")+SUMIFS(Werkregels!$I$3:$I$602,Werkregels!$C$3:$C$602,$A34,Werkregels!$Q$3:$Q$602,"Check nodig"))</f>
        <v/>
      </c>
      <c r="D34" s="70">
        <f>IF($A34="","",SUMIFS(Werkregels!$P$3:$P$602,Werkregels!$C$3:$C$602,$A34,Werkregels!$Q$3:$Q$602,"Nog factureren"))</f>
        <v/>
      </c>
      <c r="E34" s="70">
        <f>IF($A34="","",SUMIFS(Werkregels!$P$3:$P$602,Werkregels!$C$3:$C$602,$A34,Werkregels!$Q$3:$Q$602,"Concept in HERO"))</f>
        <v/>
      </c>
      <c r="F34" s="70">
        <f>IF($A34="","",SUMIFS(Werkregels!$P$3:$P$602,Werkregels!$C$3:$C$602,$A34,Werkregels!$Q$3:$Q$602,"Verstuurd"))</f>
        <v/>
      </c>
    </row>
    <row r="35" ht="15" customHeight="1" s="42">
      <c r="A35" s="76" t="n"/>
      <c r="B35" s="77">
        <f>IF($A35="","",COUNTIFS(Werkregels!$C$3:$C$602,$A35,Werkregels!$Q$3:$Q$602,"Nog factureren")+COUNTIFS(Werkregels!$C$3:$C$602,$A35,Werkregels!$Q$3:$Q$602,"Check nodig"))</f>
        <v/>
      </c>
      <c r="C35" s="78">
        <f>IF($A35="","",SUMIFS(Werkregels!$I$3:$I$602,Werkregels!$C$3:$C$602,$A35,Werkregels!$Q$3:$Q$602,"Nog factureren")+SUMIFS(Werkregels!$I$3:$I$602,Werkregels!$C$3:$C$602,$A35,Werkregels!$Q$3:$Q$602,"Check nodig"))</f>
        <v/>
      </c>
      <c r="D35" s="79">
        <f>IF($A35="","",SUMIFS(Werkregels!$P$3:$P$602,Werkregels!$C$3:$C$602,$A35,Werkregels!$Q$3:$Q$602,"Nog factureren"))</f>
        <v/>
      </c>
      <c r="E35" s="79">
        <f>IF($A35="","",SUMIFS(Werkregels!$P$3:$P$602,Werkregels!$C$3:$C$602,$A35,Werkregels!$Q$3:$Q$602,"Concept in HERO"))</f>
        <v/>
      </c>
      <c r="F35" s="79">
        <f>IF($A35="","",SUMIFS(Werkregels!$P$3:$P$602,Werkregels!$C$3:$C$602,$A35,Werkregels!$Q$3:$Q$602,"Verstuurd"))</f>
        <v/>
      </c>
    </row>
    <row r="36" ht="15" customHeight="1" s="42">
      <c r="A36" s="63" t="n"/>
      <c r="B36" s="56">
        <f>IF($A36="","",COUNTIFS(Werkregels!$C$3:$C$602,$A36,Werkregels!$Q$3:$Q$602,"Nog factureren")+COUNTIFS(Werkregels!$C$3:$C$602,$A36,Werkregels!$Q$3:$Q$602,"Check nodig"))</f>
        <v/>
      </c>
      <c r="C36" s="61">
        <f>IF($A36="","",SUMIFS(Werkregels!$I$3:$I$602,Werkregels!$C$3:$C$602,$A36,Werkregels!$Q$3:$Q$602,"Nog factureren")+SUMIFS(Werkregels!$I$3:$I$602,Werkregels!$C$3:$C$602,$A36,Werkregels!$Q$3:$Q$602,"Check nodig"))</f>
        <v/>
      </c>
      <c r="D36" s="70">
        <f>IF($A36="","",SUMIFS(Werkregels!$P$3:$P$602,Werkregels!$C$3:$C$602,$A36,Werkregels!$Q$3:$Q$602,"Nog factureren"))</f>
        <v/>
      </c>
      <c r="E36" s="70">
        <f>IF($A36="","",SUMIFS(Werkregels!$P$3:$P$602,Werkregels!$C$3:$C$602,$A36,Werkregels!$Q$3:$Q$602,"Concept in HERO"))</f>
        <v/>
      </c>
      <c r="F36" s="70">
        <f>IF($A36="","",SUMIFS(Werkregels!$P$3:$P$602,Werkregels!$C$3:$C$602,$A36,Werkregels!$Q$3:$Q$602,"Verstuurd"))</f>
        <v/>
      </c>
    </row>
    <row r="37" ht="15" customHeight="1" s="42">
      <c r="A37" s="76" t="n"/>
      <c r="B37" s="77">
        <f>IF($A37="","",COUNTIFS(Werkregels!$C$3:$C$602,$A37,Werkregels!$Q$3:$Q$602,"Nog factureren")+COUNTIFS(Werkregels!$C$3:$C$602,$A37,Werkregels!$Q$3:$Q$602,"Check nodig"))</f>
        <v/>
      </c>
      <c r="C37" s="78">
        <f>IF($A37="","",SUMIFS(Werkregels!$I$3:$I$602,Werkregels!$C$3:$C$602,$A37,Werkregels!$Q$3:$Q$602,"Nog factureren")+SUMIFS(Werkregels!$I$3:$I$602,Werkregels!$C$3:$C$602,$A37,Werkregels!$Q$3:$Q$602,"Check nodig"))</f>
        <v/>
      </c>
      <c r="D37" s="79">
        <f>IF($A37="","",SUMIFS(Werkregels!$P$3:$P$602,Werkregels!$C$3:$C$602,$A37,Werkregels!$Q$3:$Q$602,"Nog factureren"))</f>
        <v/>
      </c>
      <c r="E37" s="79">
        <f>IF($A37="","",SUMIFS(Werkregels!$P$3:$P$602,Werkregels!$C$3:$C$602,$A37,Werkregels!$Q$3:$Q$602,"Concept in HERO"))</f>
        <v/>
      </c>
      <c r="F37" s="79">
        <f>IF($A37="","",SUMIFS(Werkregels!$P$3:$P$602,Werkregels!$C$3:$C$602,$A37,Werkregels!$Q$3:$Q$602,"Verstuurd"))</f>
        <v/>
      </c>
    </row>
    <row r="38" ht="15" customHeight="1" s="42">
      <c r="A38" s="63" t="n"/>
      <c r="B38" s="56">
        <f>IF($A38="","",COUNTIFS(Werkregels!$C$3:$C$602,$A38,Werkregels!$Q$3:$Q$602,"Nog factureren")+COUNTIFS(Werkregels!$C$3:$C$602,$A38,Werkregels!$Q$3:$Q$602,"Check nodig"))</f>
        <v/>
      </c>
      <c r="C38" s="61">
        <f>IF($A38="","",SUMIFS(Werkregels!$I$3:$I$602,Werkregels!$C$3:$C$602,$A38,Werkregels!$Q$3:$Q$602,"Nog factureren")+SUMIFS(Werkregels!$I$3:$I$602,Werkregels!$C$3:$C$602,$A38,Werkregels!$Q$3:$Q$602,"Check nodig"))</f>
        <v/>
      </c>
      <c r="D38" s="70">
        <f>IF($A38="","",SUMIFS(Werkregels!$P$3:$P$602,Werkregels!$C$3:$C$602,$A38,Werkregels!$Q$3:$Q$602,"Nog factureren"))</f>
        <v/>
      </c>
      <c r="E38" s="70">
        <f>IF($A38="","",SUMIFS(Werkregels!$P$3:$P$602,Werkregels!$C$3:$C$602,$A38,Werkregels!$Q$3:$Q$602,"Concept in HERO"))</f>
        <v/>
      </c>
      <c r="F38" s="70">
        <f>IF($A38="","",SUMIFS(Werkregels!$P$3:$P$602,Werkregels!$C$3:$C$602,$A38,Werkregels!$Q$3:$Q$602,"Verstuurd"))</f>
        <v/>
      </c>
    </row>
    <row r="39" ht="15" customHeight="1" s="42">
      <c r="A39" s="76" t="n"/>
      <c r="B39" s="77">
        <f>IF($A39="","",COUNTIFS(Werkregels!$C$3:$C$602,$A39,Werkregels!$Q$3:$Q$602,"Nog factureren")+COUNTIFS(Werkregels!$C$3:$C$602,$A39,Werkregels!$Q$3:$Q$602,"Check nodig"))</f>
        <v/>
      </c>
      <c r="C39" s="78">
        <f>IF($A39="","",SUMIFS(Werkregels!$I$3:$I$602,Werkregels!$C$3:$C$602,$A39,Werkregels!$Q$3:$Q$602,"Nog factureren")+SUMIFS(Werkregels!$I$3:$I$602,Werkregels!$C$3:$C$602,$A39,Werkregels!$Q$3:$Q$602,"Check nodig"))</f>
        <v/>
      </c>
      <c r="D39" s="79">
        <f>IF($A39="","",SUMIFS(Werkregels!$P$3:$P$602,Werkregels!$C$3:$C$602,$A39,Werkregels!$Q$3:$Q$602,"Nog factureren"))</f>
        <v/>
      </c>
      <c r="E39" s="79">
        <f>IF($A39="","",SUMIFS(Werkregels!$P$3:$P$602,Werkregels!$C$3:$C$602,$A39,Werkregels!$Q$3:$Q$602,"Concept in HERO"))</f>
        <v/>
      </c>
      <c r="F39" s="79">
        <f>IF($A39="","",SUMIFS(Werkregels!$P$3:$P$602,Werkregels!$C$3:$C$602,$A39,Werkregels!$Q$3:$Q$602,"Verstuurd"))</f>
        <v/>
      </c>
    </row>
    <row r="40" ht="15" customHeight="1" s="42">
      <c r="A40" s="63" t="n"/>
      <c r="B40" s="56">
        <f>IF($A40="","",COUNTIFS(Werkregels!$C$3:$C$602,$A40,Werkregels!$Q$3:$Q$602,"Nog factureren")+COUNTIFS(Werkregels!$C$3:$C$602,$A40,Werkregels!$Q$3:$Q$602,"Check nodig"))</f>
        <v/>
      </c>
      <c r="C40" s="61">
        <f>IF($A40="","",SUMIFS(Werkregels!$I$3:$I$602,Werkregels!$C$3:$C$602,$A40,Werkregels!$Q$3:$Q$602,"Nog factureren")+SUMIFS(Werkregels!$I$3:$I$602,Werkregels!$C$3:$C$602,$A40,Werkregels!$Q$3:$Q$602,"Check nodig"))</f>
        <v/>
      </c>
      <c r="D40" s="70">
        <f>IF($A40="","",SUMIFS(Werkregels!$P$3:$P$602,Werkregels!$C$3:$C$602,$A40,Werkregels!$Q$3:$Q$602,"Nog factureren"))</f>
        <v/>
      </c>
      <c r="E40" s="70">
        <f>IF($A40="","",SUMIFS(Werkregels!$P$3:$P$602,Werkregels!$C$3:$C$602,$A40,Werkregels!$Q$3:$Q$602,"Concept in HERO"))</f>
        <v/>
      </c>
      <c r="F40" s="70">
        <f>IF($A40="","",SUMIFS(Werkregels!$P$3:$P$602,Werkregels!$C$3:$C$602,$A40,Werkregels!$Q$3:$Q$602,"Verstuurd"))</f>
        <v/>
      </c>
    </row>
    <row r="41" ht="15" customHeight="1" s="42">
      <c r="A41" s="76" t="n"/>
      <c r="B41" s="77">
        <f>IF($A41="","",COUNTIFS(Werkregels!$C$3:$C$602,$A41,Werkregels!$Q$3:$Q$602,"Nog factureren")+COUNTIFS(Werkregels!$C$3:$C$602,$A41,Werkregels!$Q$3:$Q$602,"Check nodig"))</f>
        <v/>
      </c>
      <c r="C41" s="78">
        <f>IF($A41="","",SUMIFS(Werkregels!$I$3:$I$602,Werkregels!$C$3:$C$602,$A41,Werkregels!$Q$3:$Q$602,"Nog factureren")+SUMIFS(Werkregels!$I$3:$I$602,Werkregels!$C$3:$C$602,$A41,Werkregels!$Q$3:$Q$602,"Check nodig"))</f>
        <v/>
      </c>
      <c r="D41" s="79">
        <f>IF($A41="","",SUMIFS(Werkregels!$P$3:$P$602,Werkregels!$C$3:$C$602,$A41,Werkregels!$Q$3:$Q$602,"Nog factureren"))</f>
        <v/>
      </c>
      <c r="E41" s="79">
        <f>IF($A41="","",SUMIFS(Werkregels!$P$3:$P$602,Werkregels!$C$3:$C$602,$A41,Werkregels!$Q$3:$Q$602,"Concept in HERO"))</f>
        <v/>
      </c>
      <c r="F41" s="79">
        <f>IF($A41="","",SUMIFS(Werkregels!$P$3:$P$602,Werkregels!$C$3:$C$602,$A41,Werkregels!$Q$3:$Q$602,"Verstuurd"))</f>
        <v/>
      </c>
    </row>
    <row r="42" ht="15" customHeight="1" s="42">
      <c r="A42" s="63" t="n"/>
      <c r="B42" s="56">
        <f>IF($A42="","",COUNTIFS(Werkregels!$C$3:$C$602,$A42,Werkregels!$Q$3:$Q$602,"Nog factureren")+COUNTIFS(Werkregels!$C$3:$C$602,$A42,Werkregels!$Q$3:$Q$602,"Check nodig"))</f>
        <v/>
      </c>
      <c r="C42" s="61">
        <f>IF($A42="","",SUMIFS(Werkregels!$I$3:$I$602,Werkregels!$C$3:$C$602,$A42,Werkregels!$Q$3:$Q$602,"Nog factureren")+SUMIFS(Werkregels!$I$3:$I$602,Werkregels!$C$3:$C$602,$A42,Werkregels!$Q$3:$Q$602,"Check nodig"))</f>
        <v/>
      </c>
      <c r="D42" s="70">
        <f>IF($A42="","",SUMIFS(Werkregels!$P$3:$P$602,Werkregels!$C$3:$C$602,$A42,Werkregels!$Q$3:$Q$602,"Nog factureren"))</f>
        <v/>
      </c>
      <c r="E42" s="70">
        <f>IF($A42="","",SUMIFS(Werkregels!$P$3:$P$602,Werkregels!$C$3:$C$602,$A42,Werkregels!$Q$3:$Q$602,"Concept in HERO"))</f>
        <v/>
      </c>
      <c r="F42" s="70">
        <f>IF($A42="","",SUMIFS(Werkregels!$P$3:$P$602,Werkregels!$C$3:$C$602,$A42,Werkregels!$Q$3:$Q$602,"Verstuurd"))</f>
        <v/>
      </c>
    </row>
    <row r="43" ht="15" customHeight="1" s="42">
      <c r="A43" s="76" t="n"/>
      <c r="B43" s="77">
        <f>IF($A43="","",COUNTIFS(Werkregels!$C$3:$C$602,$A43,Werkregels!$Q$3:$Q$602,"Nog factureren")+COUNTIFS(Werkregels!$C$3:$C$602,$A43,Werkregels!$Q$3:$Q$602,"Check nodig"))</f>
        <v/>
      </c>
      <c r="C43" s="78">
        <f>IF($A43="","",SUMIFS(Werkregels!$I$3:$I$602,Werkregels!$C$3:$C$602,$A43,Werkregels!$Q$3:$Q$602,"Nog factureren")+SUMIFS(Werkregels!$I$3:$I$602,Werkregels!$C$3:$C$602,$A43,Werkregels!$Q$3:$Q$602,"Check nodig"))</f>
        <v/>
      </c>
      <c r="D43" s="79">
        <f>IF($A43="","",SUMIFS(Werkregels!$P$3:$P$602,Werkregels!$C$3:$C$602,$A43,Werkregels!$Q$3:$Q$602,"Nog factureren"))</f>
        <v/>
      </c>
      <c r="E43" s="79">
        <f>IF($A43="","",SUMIFS(Werkregels!$P$3:$P$602,Werkregels!$C$3:$C$602,$A43,Werkregels!$Q$3:$Q$602,"Concept in HERO"))</f>
        <v/>
      </c>
      <c r="F43" s="79">
        <f>IF($A43="","",SUMIFS(Werkregels!$P$3:$P$602,Werkregels!$C$3:$C$602,$A43,Werkregels!$Q$3:$Q$602,"Verstuurd"))</f>
        <v/>
      </c>
    </row>
    <row r="44" ht="15" customHeight="1" s="42">
      <c r="A44" s="63" t="n"/>
      <c r="B44" s="56">
        <f>IF($A44="","",COUNTIFS(Werkregels!$C$3:$C$602,$A44,Werkregels!$Q$3:$Q$602,"Nog factureren")+COUNTIFS(Werkregels!$C$3:$C$602,$A44,Werkregels!$Q$3:$Q$602,"Check nodig"))</f>
        <v/>
      </c>
      <c r="C44" s="61">
        <f>IF($A44="","",SUMIFS(Werkregels!$I$3:$I$602,Werkregels!$C$3:$C$602,$A44,Werkregels!$Q$3:$Q$602,"Nog factureren")+SUMIFS(Werkregels!$I$3:$I$602,Werkregels!$C$3:$C$602,$A44,Werkregels!$Q$3:$Q$602,"Check nodig"))</f>
        <v/>
      </c>
      <c r="D44" s="70">
        <f>IF($A44="","",SUMIFS(Werkregels!$P$3:$P$602,Werkregels!$C$3:$C$602,$A44,Werkregels!$Q$3:$Q$602,"Nog factureren"))</f>
        <v/>
      </c>
      <c r="E44" s="70">
        <f>IF($A44="","",SUMIFS(Werkregels!$P$3:$P$602,Werkregels!$C$3:$C$602,$A44,Werkregels!$Q$3:$Q$602,"Concept in HERO"))</f>
        <v/>
      </c>
      <c r="F44" s="70">
        <f>IF($A44="","",SUMIFS(Werkregels!$P$3:$P$602,Werkregels!$C$3:$C$602,$A44,Werkregels!$Q$3:$Q$602,"Verstuurd"))</f>
        <v/>
      </c>
    </row>
    <row r="45" ht="15" customHeight="1" s="42">
      <c r="A45" s="76" t="n"/>
      <c r="B45" s="77">
        <f>IF($A45="","",COUNTIFS(Werkregels!$C$3:$C$602,$A45,Werkregels!$Q$3:$Q$602,"Nog factureren")+COUNTIFS(Werkregels!$C$3:$C$602,$A45,Werkregels!$Q$3:$Q$602,"Check nodig"))</f>
        <v/>
      </c>
      <c r="C45" s="78">
        <f>IF($A45="","",SUMIFS(Werkregels!$I$3:$I$602,Werkregels!$C$3:$C$602,$A45,Werkregels!$Q$3:$Q$602,"Nog factureren")+SUMIFS(Werkregels!$I$3:$I$602,Werkregels!$C$3:$C$602,$A45,Werkregels!$Q$3:$Q$602,"Check nodig"))</f>
        <v/>
      </c>
      <c r="D45" s="79">
        <f>IF($A45="","",SUMIFS(Werkregels!$P$3:$P$602,Werkregels!$C$3:$C$602,$A45,Werkregels!$Q$3:$Q$602,"Nog factureren"))</f>
        <v/>
      </c>
      <c r="E45" s="79">
        <f>IF($A45="","",SUMIFS(Werkregels!$P$3:$P$602,Werkregels!$C$3:$C$602,$A45,Werkregels!$Q$3:$Q$602,"Concept in HERO"))</f>
        <v/>
      </c>
      <c r="F45" s="79">
        <f>IF($A45="","",SUMIFS(Werkregels!$P$3:$P$602,Werkregels!$C$3:$C$602,$A45,Werkregels!$Q$3:$Q$602,"Verstuurd"))</f>
        <v/>
      </c>
    </row>
    <row r="46" ht="15" customHeight="1" s="42">
      <c r="A46" s="63" t="n"/>
      <c r="B46" s="56">
        <f>IF($A46="","",COUNTIFS(Werkregels!$C$3:$C$602,$A46,Werkregels!$Q$3:$Q$602,"Nog factureren")+COUNTIFS(Werkregels!$C$3:$C$602,$A46,Werkregels!$Q$3:$Q$602,"Check nodig"))</f>
        <v/>
      </c>
      <c r="C46" s="61">
        <f>IF($A46="","",SUMIFS(Werkregels!$I$3:$I$602,Werkregels!$C$3:$C$602,$A46,Werkregels!$Q$3:$Q$602,"Nog factureren")+SUMIFS(Werkregels!$I$3:$I$602,Werkregels!$C$3:$C$602,$A46,Werkregels!$Q$3:$Q$602,"Check nodig"))</f>
        <v/>
      </c>
      <c r="D46" s="70">
        <f>IF($A46="","",SUMIFS(Werkregels!$P$3:$P$602,Werkregels!$C$3:$C$602,$A46,Werkregels!$Q$3:$Q$602,"Nog factureren"))</f>
        <v/>
      </c>
      <c r="E46" s="70">
        <f>IF($A46="","",SUMIFS(Werkregels!$P$3:$P$602,Werkregels!$C$3:$C$602,$A46,Werkregels!$Q$3:$Q$602,"Concept in HERO"))</f>
        <v/>
      </c>
      <c r="F46" s="70">
        <f>IF($A46="","",SUMIFS(Werkregels!$P$3:$P$602,Werkregels!$C$3:$C$602,$A46,Werkregels!$Q$3:$Q$602,"Verstuurd"))</f>
        <v/>
      </c>
    </row>
    <row r="47" ht="15" customHeight="1" s="42">
      <c r="A47" s="76" t="n"/>
      <c r="B47" s="77">
        <f>IF($A47="","",COUNTIFS(Werkregels!$C$3:$C$602,$A47,Werkregels!$Q$3:$Q$602,"Nog factureren")+COUNTIFS(Werkregels!$C$3:$C$602,$A47,Werkregels!$Q$3:$Q$602,"Check nodig"))</f>
        <v/>
      </c>
      <c r="C47" s="78">
        <f>IF($A47="","",SUMIFS(Werkregels!$I$3:$I$602,Werkregels!$C$3:$C$602,$A47,Werkregels!$Q$3:$Q$602,"Nog factureren")+SUMIFS(Werkregels!$I$3:$I$602,Werkregels!$C$3:$C$602,$A47,Werkregels!$Q$3:$Q$602,"Check nodig"))</f>
        <v/>
      </c>
      <c r="D47" s="79">
        <f>IF($A47="","",SUMIFS(Werkregels!$P$3:$P$602,Werkregels!$C$3:$C$602,$A47,Werkregels!$Q$3:$Q$602,"Nog factureren"))</f>
        <v/>
      </c>
      <c r="E47" s="79">
        <f>IF($A47="","",SUMIFS(Werkregels!$P$3:$P$602,Werkregels!$C$3:$C$602,$A47,Werkregels!$Q$3:$Q$602,"Concept in HERO"))</f>
        <v/>
      </c>
      <c r="F47" s="79">
        <f>IF($A47="","",SUMIFS(Werkregels!$P$3:$P$602,Werkregels!$C$3:$C$602,$A47,Werkregels!$Q$3:$Q$602,"Verstuurd"))</f>
        <v/>
      </c>
    </row>
    <row r="48" ht="15" customHeight="1" s="42">
      <c r="A48" s="63" t="n"/>
      <c r="B48" s="56">
        <f>IF($A48="","",COUNTIFS(Werkregels!$C$3:$C$602,$A48,Werkregels!$Q$3:$Q$602,"Nog factureren")+COUNTIFS(Werkregels!$C$3:$C$602,$A48,Werkregels!$Q$3:$Q$602,"Check nodig"))</f>
        <v/>
      </c>
      <c r="C48" s="61">
        <f>IF($A48="","",SUMIFS(Werkregels!$I$3:$I$602,Werkregels!$C$3:$C$602,$A48,Werkregels!$Q$3:$Q$602,"Nog factureren")+SUMIFS(Werkregels!$I$3:$I$602,Werkregels!$C$3:$C$602,$A48,Werkregels!$Q$3:$Q$602,"Check nodig"))</f>
        <v/>
      </c>
      <c r="D48" s="70">
        <f>IF($A48="","",SUMIFS(Werkregels!$P$3:$P$602,Werkregels!$C$3:$C$602,$A48,Werkregels!$Q$3:$Q$602,"Nog factureren"))</f>
        <v/>
      </c>
      <c r="E48" s="70">
        <f>IF($A48="","",SUMIFS(Werkregels!$P$3:$P$602,Werkregels!$C$3:$C$602,$A48,Werkregels!$Q$3:$Q$602,"Concept in HERO"))</f>
        <v/>
      </c>
      <c r="F48" s="70">
        <f>IF($A48="","",SUMIFS(Werkregels!$P$3:$P$602,Werkregels!$C$3:$C$602,$A48,Werkregels!$Q$3:$Q$602,"Verstuurd"))</f>
        <v/>
      </c>
    </row>
    <row r="49" ht="15" customHeight="1" s="42">
      <c r="A49" s="76" t="n"/>
      <c r="B49" s="77">
        <f>IF($A49="","",COUNTIFS(Werkregels!$C$3:$C$602,$A49,Werkregels!$Q$3:$Q$602,"Nog factureren")+COUNTIFS(Werkregels!$C$3:$C$602,$A49,Werkregels!$Q$3:$Q$602,"Check nodig"))</f>
        <v/>
      </c>
      <c r="C49" s="78">
        <f>IF($A49="","",SUMIFS(Werkregels!$I$3:$I$602,Werkregels!$C$3:$C$602,$A49,Werkregels!$Q$3:$Q$602,"Nog factureren")+SUMIFS(Werkregels!$I$3:$I$602,Werkregels!$C$3:$C$602,$A49,Werkregels!$Q$3:$Q$602,"Check nodig"))</f>
        <v/>
      </c>
      <c r="D49" s="79">
        <f>IF($A49="","",SUMIFS(Werkregels!$P$3:$P$602,Werkregels!$C$3:$C$602,$A49,Werkregels!$Q$3:$Q$602,"Nog factureren"))</f>
        <v/>
      </c>
      <c r="E49" s="79">
        <f>IF($A49="","",SUMIFS(Werkregels!$P$3:$P$602,Werkregels!$C$3:$C$602,$A49,Werkregels!$Q$3:$Q$602,"Concept in HERO"))</f>
        <v/>
      </c>
      <c r="F49" s="79">
        <f>IF($A49="","",SUMIFS(Werkregels!$P$3:$P$602,Werkregels!$C$3:$C$602,$A49,Werkregels!$Q$3:$Q$602,"Verstuurd"))</f>
        <v/>
      </c>
    </row>
    <row r="50" ht="15" customHeight="1" s="42">
      <c r="A50" s="63" t="n"/>
      <c r="B50" s="56">
        <f>IF($A50="","",COUNTIFS(Werkregels!$C$3:$C$602,$A50,Werkregels!$Q$3:$Q$602,"Nog factureren")+COUNTIFS(Werkregels!$C$3:$C$602,$A50,Werkregels!$Q$3:$Q$602,"Check nodig"))</f>
        <v/>
      </c>
      <c r="C50" s="61">
        <f>IF($A50="","",SUMIFS(Werkregels!$I$3:$I$602,Werkregels!$C$3:$C$602,$A50,Werkregels!$Q$3:$Q$602,"Nog factureren")+SUMIFS(Werkregels!$I$3:$I$602,Werkregels!$C$3:$C$602,$A50,Werkregels!$Q$3:$Q$602,"Check nodig"))</f>
        <v/>
      </c>
      <c r="D50" s="70">
        <f>IF($A50="","",SUMIFS(Werkregels!$P$3:$P$602,Werkregels!$C$3:$C$602,$A50,Werkregels!$Q$3:$Q$602,"Nog factureren"))</f>
        <v/>
      </c>
      <c r="E50" s="70">
        <f>IF($A50="","",SUMIFS(Werkregels!$P$3:$P$602,Werkregels!$C$3:$C$602,$A50,Werkregels!$Q$3:$Q$602,"Concept in HERO"))</f>
        <v/>
      </c>
      <c r="F50" s="70">
        <f>IF($A50="","",SUMIFS(Werkregels!$P$3:$P$602,Werkregels!$C$3:$C$602,$A50,Werkregels!$Q$3:$Q$602,"Verstuurd"))</f>
        <v/>
      </c>
    </row>
    <row r="51" ht="15" customHeight="1" s="42">
      <c r="A51" s="76" t="n"/>
      <c r="B51" s="77">
        <f>IF($A51="","",COUNTIFS(Werkregels!$C$3:$C$602,$A51,Werkregels!$Q$3:$Q$602,"Nog factureren")+COUNTIFS(Werkregels!$C$3:$C$602,$A51,Werkregels!$Q$3:$Q$602,"Check nodig"))</f>
        <v/>
      </c>
      <c r="C51" s="78">
        <f>IF($A51="","",SUMIFS(Werkregels!$I$3:$I$602,Werkregels!$C$3:$C$602,$A51,Werkregels!$Q$3:$Q$602,"Nog factureren")+SUMIFS(Werkregels!$I$3:$I$602,Werkregels!$C$3:$C$602,$A51,Werkregels!$Q$3:$Q$602,"Check nodig"))</f>
        <v/>
      </c>
      <c r="D51" s="79">
        <f>IF($A51="","",SUMIFS(Werkregels!$P$3:$P$602,Werkregels!$C$3:$C$602,$A51,Werkregels!$Q$3:$Q$602,"Nog factureren"))</f>
        <v/>
      </c>
      <c r="E51" s="79">
        <f>IF($A51="","",SUMIFS(Werkregels!$P$3:$P$602,Werkregels!$C$3:$C$602,$A51,Werkregels!$Q$3:$Q$602,"Concept in HERO"))</f>
        <v/>
      </c>
      <c r="F51" s="79">
        <f>IF($A51="","",SUMIFS(Werkregels!$P$3:$P$602,Werkregels!$C$3:$C$602,$A51,Werkregels!$Q$3:$Q$602,"Verstuurd"))</f>
        <v/>
      </c>
    </row>
    <row r="52" ht="15" customHeight="1" s="42">
      <c r="A52" s="63" t="n"/>
      <c r="B52" s="56">
        <f>IF($A52="","",COUNTIFS(Werkregels!$C$3:$C$602,$A52,Werkregels!$Q$3:$Q$602,"Nog factureren")+COUNTIFS(Werkregels!$C$3:$C$602,$A52,Werkregels!$Q$3:$Q$602,"Check nodig"))</f>
        <v/>
      </c>
      <c r="C52" s="61">
        <f>IF($A52="","",SUMIFS(Werkregels!$I$3:$I$602,Werkregels!$C$3:$C$602,$A52,Werkregels!$Q$3:$Q$602,"Nog factureren")+SUMIFS(Werkregels!$I$3:$I$602,Werkregels!$C$3:$C$602,$A52,Werkregels!$Q$3:$Q$602,"Check nodig"))</f>
        <v/>
      </c>
      <c r="D52" s="70">
        <f>IF($A52="","",SUMIFS(Werkregels!$P$3:$P$602,Werkregels!$C$3:$C$602,$A52,Werkregels!$Q$3:$Q$602,"Nog factureren"))</f>
        <v/>
      </c>
      <c r="E52" s="70">
        <f>IF($A52="","",SUMIFS(Werkregels!$P$3:$P$602,Werkregels!$C$3:$C$602,$A52,Werkregels!$Q$3:$Q$602,"Concept in HERO"))</f>
        <v/>
      </c>
      <c r="F52" s="70">
        <f>IF($A52="","",SUMIFS(Werkregels!$P$3:$P$602,Werkregels!$C$3:$C$602,$A52,Werkregels!$Q$3:$Q$602,"Verstuurd"))</f>
        <v/>
      </c>
    </row>
    <row r="53" ht="15" customHeight="1" s="42">
      <c r="A53" s="76" t="n"/>
      <c r="B53" s="77">
        <f>IF($A53="","",COUNTIFS(Werkregels!$C$3:$C$602,$A53,Werkregels!$Q$3:$Q$602,"Nog factureren")+COUNTIFS(Werkregels!$C$3:$C$602,$A53,Werkregels!$Q$3:$Q$602,"Check nodig"))</f>
        <v/>
      </c>
      <c r="C53" s="78">
        <f>IF($A53="","",SUMIFS(Werkregels!$I$3:$I$602,Werkregels!$C$3:$C$602,$A53,Werkregels!$Q$3:$Q$602,"Nog factureren")+SUMIFS(Werkregels!$I$3:$I$602,Werkregels!$C$3:$C$602,$A53,Werkregels!$Q$3:$Q$602,"Check nodig"))</f>
        <v/>
      </c>
      <c r="D53" s="79">
        <f>IF($A53="","",SUMIFS(Werkregels!$P$3:$P$602,Werkregels!$C$3:$C$602,$A53,Werkregels!$Q$3:$Q$602,"Nog factureren"))</f>
        <v/>
      </c>
      <c r="E53" s="79">
        <f>IF($A53="","",SUMIFS(Werkregels!$P$3:$P$602,Werkregels!$C$3:$C$602,$A53,Werkregels!$Q$3:$Q$602,"Concept in HERO"))</f>
        <v/>
      </c>
      <c r="F53" s="79">
        <f>IF($A53="","",SUMIFS(Werkregels!$P$3:$P$602,Werkregels!$C$3:$C$602,$A53,Werkregels!$Q$3:$Q$602,"Verstuurd"))</f>
        <v/>
      </c>
    </row>
    <row r="54" ht="15" customHeight="1" s="42">
      <c r="A54" s="63" t="n"/>
      <c r="B54" s="56">
        <f>IF($A54="","",COUNTIFS(Werkregels!$C$3:$C$602,$A54,Werkregels!$Q$3:$Q$602,"Nog factureren")+COUNTIFS(Werkregels!$C$3:$C$602,$A54,Werkregels!$Q$3:$Q$602,"Check nodig"))</f>
        <v/>
      </c>
      <c r="C54" s="61">
        <f>IF($A54="","",SUMIFS(Werkregels!$I$3:$I$602,Werkregels!$C$3:$C$602,$A54,Werkregels!$Q$3:$Q$602,"Nog factureren")+SUMIFS(Werkregels!$I$3:$I$602,Werkregels!$C$3:$C$602,$A54,Werkregels!$Q$3:$Q$602,"Check nodig"))</f>
        <v/>
      </c>
      <c r="D54" s="70">
        <f>IF($A54="","",SUMIFS(Werkregels!$P$3:$P$602,Werkregels!$C$3:$C$602,$A54,Werkregels!$Q$3:$Q$602,"Nog factureren"))</f>
        <v/>
      </c>
      <c r="E54" s="70">
        <f>IF($A54="","",SUMIFS(Werkregels!$P$3:$P$602,Werkregels!$C$3:$C$602,$A54,Werkregels!$Q$3:$Q$602,"Concept in HERO"))</f>
        <v/>
      </c>
      <c r="F54" s="70">
        <f>IF($A54="","",SUMIFS(Werkregels!$P$3:$P$602,Werkregels!$C$3:$C$602,$A54,Werkregels!$Q$3:$Q$602,"Verstuurd"))</f>
        <v/>
      </c>
    </row>
    <row r="55" ht="15" customHeight="1" s="42">
      <c r="A55" s="76" t="n"/>
      <c r="B55" s="77">
        <f>IF($A55="","",COUNTIFS(Werkregels!$C$3:$C$602,$A55,Werkregels!$Q$3:$Q$602,"Nog factureren")+COUNTIFS(Werkregels!$C$3:$C$602,$A55,Werkregels!$Q$3:$Q$602,"Check nodig"))</f>
        <v/>
      </c>
      <c r="C55" s="78">
        <f>IF($A55="","",SUMIFS(Werkregels!$I$3:$I$602,Werkregels!$C$3:$C$602,$A55,Werkregels!$Q$3:$Q$602,"Nog factureren")+SUMIFS(Werkregels!$I$3:$I$602,Werkregels!$C$3:$C$602,$A55,Werkregels!$Q$3:$Q$602,"Check nodig"))</f>
        <v/>
      </c>
      <c r="D55" s="79">
        <f>IF($A55="","",SUMIFS(Werkregels!$P$3:$P$602,Werkregels!$C$3:$C$602,$A55,Werkregels!$Q$3:$Q$602,"Nog factureren"))</f>
        <v/>
      </c>
      <c r="E55" s="79">
        <f>IF($A55="","",SUMIFS(Werkregels!$P$3:$P$602,Werkregels!$C$3:$C$602,$A55,Werkregels!$Q$3:$Q$602,"Concept in HERO"))</f>
        <v/>
      </c>
      <c r="F55" s="79">
        <f>IF($A55="","",SUMIFS(Werkregels!$P$3:$P$602,Werkregels!$C$3:$C$602,$A55,Werkregels!$Q$3:$Q$602,"Verstuurd"))</f>
        <v/>
      </c>
    </row>
    <row r="56" ht="15" customHeight="1" s="42">
      <c r="A56" s="63" t="n"/>
      <c r="B56" s="56">
        <f>IF($A56="","",COUNTIFS(Werkregels!$C$3:$C$602,$A56,Werkregels!$Q$3:$Q$602,"Nog factureren")+COUNTIFS(Werkregels!$C$3:$C$602,$A56,Werkregels!$Q$3:$Q$602,"Check nodig"))</f>
        <v/>
      </c>
      <c r="C56" s="61">
        <f>IF($A56="","",SUMIFS(Werkregels!$I$3:$I$602,Werkregels!$C$3:$C$602,$A56,Werkregels!$Q$3:$Q$602,"Nog factureren")+SUMIFS(Werkregels!$I$3:$I$602,Werkregels!$C$3:$C$602,$A56,Werkregels!$Q$3:$Q$602,"Check nodig"))</f>
        <v/>
      </c>
      <c r="D56" s="70">
        <f>IF($A56="","",SUMIFS(Werkregels!$P$3:$P$602,Werkregels!$C$3:$C$602,$A56,Werkregels!$Q$3:$Q$602,"Nog factureren"))</f>
        <v/>
      </c>
      <c r="E56" s="70">
        <f>IF($A56="","",SUMIFS(Werkregels!$P$3:$P$602,Werkregels!$C$3:$C$602,$A56,Werkregels!$Q$3:$Q$602,"Concept in HERO"))</f>
        <v/>
      </c>
      <c r="F56" s="70">
        <f>IF($A56="","",SUMIFS(Werkregels!$P$3:$P$602,Werkregels!$C$3:$C$602,$A56,Werkregels!$Q$3:$Q$602,"Verstuurd"))</f>
        <v/>
      </c>
    </row>
    <row r="57" ht="15" customHeight="1" s="42">
      <c r="A57" s="76" t="n"/>
      <c r="B57" s="77">
        <f>IF($A57="","",COUNTIFS(Werkregels!$C$3:$C$602,$A57,Werkregels!$Q$3:$Q$602,"Nog factureren")+COUNTIFS(Werkregels!$C$3:$C$602,$A57,Werkregels!$Q$3:$Q$602,"Check nodig"))</f>
        <v/>
      </c>
      <c r="C57" s="78">
        <f>IF($A57="","",SUMIFS(Werkregels!$I$3:$I$602,Werkregels!$C$3:$C$602,$A57,Werkregels!$Q$3:$Q$602,"Nog factureren")+SUMIFS(Werkregels!$I$3:$I$602,Werkregels!$C$3:$C$602,$A57,Werkregels!$Q$3:$Q$602,"Check nodig"))</f>
        <v/>
      </c>
      <c r="D57" s="79">
        <f>IF($A57="","",SUMIFS(Werkregels!$P$3:$P$602,Werkregels!$C$3:$C$602,$A57,Werkregels!$Q$3:$Q$602,"Nog factureren"))</f>
        <v/>
      </c>
      <c r="E57" s="79">
        <f>IF($A57="","",SUMIFS(Werkregels!$P$3:$P$602,Werkregels!$C$3:$C$602,$A57,Werkregels!$Q$3:$Q$602,"Concept in HERO"))</f>
        <v/>
      </c>
      <c r="F57" s="79">
        <f>IF($A57="","",SUMIFS(Werkregels!$P$3:$P$602,Werkregels!$C$3:$C$602,$A57,Werkregels!$Q$3:$Q$602,"Verstuurd"))</f>
        <v/>
      </c>
    </row>
    <row r="58" ht="15" customHeight="1" s="42">
      <c r="A58" s="63" t="n"/>
      <c r="B58" s="56">
        <f>IF($A58="","",COUNTIFS(Werkregels!$C$3:$C$602,$A58,Werkregels!$Q$3:$Q$602,"Nog factureren")+COUNTIFS(Werkregels!$C$3:$C$602,$A58,Werkregels!$Q$3:$Q$602,"Check nodig"))</f>
        <v/>
      </c>
      <c r="C58" s="61">
        <f>IF($A58="","",SUMIFS(Werkregels!$I$3:$I$602,Werkregels!$C$3:$C$602,$A58,Werkregels!$Q$3:$Q$602,"Nog factureren")+SUMIFS(Werkregels!$I$3:$I$602,Werkregels!$C$3:$C$602,$A58,Werkregels!$Q$3:$Q$602,"Check nodig"))</f>
        <v/>
      </c>
      <c r="D58" s="70">
        <f>IF($A58="","",SUMIFS(Werkregels!$P$3:$P$602,Werkregels!$C$3:$C$602,$A58,Werkregels!$Q$3:$Q$602,"Nog factureren"))</f>
        <v/>
      </c>
      <c r="E58" s="70">
        <f>IF($A58="","",SUMIFS(Werkregels!$P$3:$P$602,Werkregels!$C$3:$C$602,$A58,Werkregels!$Q$3:$Q$602,"Concept in HERO"))</f>
        <v/>
      </c>
      <c r="F58" s="70">
        <f>IF($A58="","",SUMIFS(Werkregels!$P$3:$P$602,Werkregels!$C$3:$C$602,$A58,Werkregels!$Q$3:$Q$602,"Verstuurd"))</f>
        <v/>
      </c>
    </row>
    <row r="59" ht="15" customHeight="1" s="42">
      <c r="A59" s="76" t="n"/>
      <c r="B59" s="77">
        <f>IF($A59="","",COUNTIFS(Werkregels!$C$3:$C$602,$A59,Werkregels!$Q$3:$Q$602,"Nog factureren")+COUNTIFS(Werkregels!$C$3:$C$602,$A59,Werkregels!$Q$3:$Q$602,"Check nodig"))</f>
        <v/>
      </c>
      <c r="C59" s="78">
        <f>IF($A59="","",SUMIFS(Werkregels!$I$3:$I$602,Werkregels!$C$3:$C$602,$A59,Werkregels!$Q$3:$Q$602,"Nog factureren")+SUMIFS(Werkregels!$I$3:$I$602,Werkregels!$C$3:$C$602,$A59,Werkregels!$Q$3:$Q$602,"Check nodig"))</f>
        <v/>
      </c>
      <c r="D59" s="79">
        <f>IF($A59="","",SUMIFS(Werkregels!$P$3:$P$602,Werkregels!$C$3:$C$602,$A59,Werkregels!$Q$3:$Q$602,"Nog factureren"))</f>
        <v/>
      </c>
      <c r="E59" s="79">
        <f>IF($A59="","",SUMIFS(Werkregels!$P$3:$P$602,Werkregels!$C$3:$C$602,$A59,Werkregels!$Q$3:$Q$602,"Concept in HERO"))</f>
        <v/>
      </c>
      <c r="F59" s="79">
        <f>IF($A59="","",SUMIFS(Werkregels!$P$3:$P$602,Werkregels!$C$3:$C$602,$A59,Werkregels!$Q$3:$Q$602,"Verstuurd"))</f>
        <v/>
      </c>
    </row>
    <row r="60" ht="15" customHeight="1" s="42">
      <c r="A60" s="63" t="n"/>
      <c r="B60" s="56">
        <f>IF($A60="","",COUNTIFS(Werkregels!$C$3:$C$602,$A60,Werkregels!$Q$3:$Q$602,"Nog factureren")+COUNTIFS(Werkregels!$C$3:$C$602,$A60,Werkregels!$Q$3:$Q$602,"Check nodig"))</f>
        <v/>
      </c>
      <c r="C60" s="61">
        <f>IF($A60="","",SUMIFS(Werkregels!$I$3:$I$602,Werkregels!$C$3:$C$602,$A60,Werkregels!$Q$3:$Q$602,"Nog factureren")+SUMIFS(Werkregels!$I$3:$I$602,Werkregels!$C$3:$C$602,$A60,Werkregels!$Q$3:$Q$602,"Check nodig"))</f>
        <v/>
      </c>
      <c r="D60" s="70">
        <f>IF($A60="","",SUMIFS(Werkregels!$P$3:$P$602,Werkregels!$C$3:$C$602,$A60,Werkregels!$Q$3:$Q$602,"Nog factureren"))</f>
        <v/>
      </c>
      <c r="E60" s="70">
        <f>IF($A60="","",SUMIFS(Werkregels!$P$3:$P$602,Werkregels!$C$3:$C$602,$A60,Werkregels!$Q$3:$Q$602,"Concept in HERO"))</f>
        <v/>
      </c>
      <c r="F60" s="70">
        <f>IF($A60="","",SUMIFS(Werkregels!$P$3:$P$602,Werkregels!$C$3:$C$602,$A60,Werkregels!$Q$3:$Q$602,"Verstuurd"))</f>
        <v/>
      </c>
    </row>
    <row r="61" ht="15" customHeight="1" s="42">
      <c r="A61" s="76" t="n"/>
      <c r="B61" s="77">
        <f>IF($A61="","",COUNTIFS(Werkregels!$C$3:$C$602,$A61,Werkregels!$Q$3:$Q$602,"Nog factureren")+COUNTIFS(Werkregels!$C$3:$C$602,$A61,Werkregels!$Q$3:$Q$602,"Check nodig"))</f>
        <v/>
      </c>
      <c r="C61" s="78">
        <f>IF($A61="","",SUMIFS(Werkregels!$I$3:$I$602,Werkregels!$C$3:$C$602,$A61,Werkregels!$Q$3:$Q$602,"Nog factureren")+SUMIFS(Werkregels!$I$3:$I$602,Werkregels!$C$3:$C$602,$A61,Werkregels!$Q$3:$Q$602,"Check nodig"))</f>
        <v/>
      </c>
      <c r="D61" s="79">
        <f>IF($A61="","",SUMIFS(Werkregels!$P$3:$P$602,Werkregels!$C$3:$C$602,$A61,Werkregels!$Q$3:$Q$602,"Nog factureren"))</f>
        <v/>
      </c>
      <c r="E61" s="79">
        <f>IF($A61="","",SUMIFS(Werkregels!$P$3:$P$602,Werkregels!$C$3:$C$602,$A61,Werkregels!$Q$3:$Q$602,"Concept in HERO"))</f>
        <v/>
      </c>
      <c r="F61" s="79">
        <f>IF($A61="","",SUMIFS(Werkregels!$P$3:$P$602,Werkregels!$C$3:$C$602,$A61,Werkregels!$Q$3:$Q$602,"Verstuurd"))</f>
        <v/>
      </c>
    </row>
    <row r="62" ht="15" customHeight="1" s="42">
      <c r="A62" s="63" t="n"/>
      <c r="B62" s="56">
        <f>IF($A62="","",COUNTIFS(Werkregels!$C$3:$C$602,$A62,Werkregels!$Q$3:$Q$602,"Nog factureren")+COUNTIFS(Werkregels!$C$3:$C$602,$A62,Werkregels!$Q$3:$Q$602,"Check nodig"))</f>
        <v/>
      </c>
      <c r="C62" s="61">
        <f>IF($A62="","",SUMIFS(Werkregels!$I$3:$I$602,Werkregels!$C$3:$C$602,$A62,Werkregels!$Q$3:$Q$602,"Nog factureren")+SUMIFS(Werkregels!$I$3:$I$602,Werkregels!$C$3:$C$602,$A62,Werkregels!$Q$3:$Q$602,"Check nodig"))</f>
        <v/>
      </c>
      <c r="D62" s="70">
        <f>IF($A62="","",SUMIFS(Werkregels!$P$3:$P$602,Werkregels!$C$3:$C$602,$A62,Werkregels!$Q$3:$Q$602,"Nog factureren"))</f>
        <v/>
      </c>
      <c r="E62" s="70">
        <f>IF($A62="","",SUMIFS(Werkregels!$P$3:$P$602,Werkregels!$C$3:$C$602,$A62,Werkregels!$Q$3:$Q$602,"Concept in HERO"))</f>
        <v/>
      </c>
      <c r="F62" s="70">
        <f>IF($A62="","",SUMIFS(Werkregels!$P$3:$P$602,Werkregels!$C$3:$C$602,$A62,Werkregels!$Q$3:$Q$602,"Verstuurd"))</f>
        <v/>
      </c>
    </row>
    <row r="63" ht="15" customHeight="1" s="42">
      <c r="A63" s="76" t="n"/>
      <c r="B63" s="77">
        <f>IF($A63="","",COUNTIFS(Werkregels!$C$3:$C$602,$A63,Werkregels!$Q$3:$Q$602,"Nog factureren")+COUNTIFS(Werkregels!$C$3:$C$602,$A63,Werkregels!$Q$3:$Q$602,"Check nodig"))</f>
        <v/>
      </c>
      <c r="C63" s="78">
        <f>IF($A63="","",SUMIFS(Werkregels!$I$3:$I$602,Werkregels!$C$3:$C$602,$A63,Werkregels!$Q$3:$Q$602,"Nog factureren")+SUMIFS(Werkregels!$I$3:$I$602,Werkregels!$C$3:$C$602,$A63,Werkregels!$Q$3:$Q$602,"Check nodig"))</f>
        <v/>
      </c>
      <c r="D63" s="79">
        <f>IF($A63="","",SUMIFS(Werkregels!$P$3:$P$602,Werkregels!$C$3:$C$602,$A63,Werkregels!$Q$3:$Q$602,"Nog factureren"))</f>
        <v/>
      </c>
      <c r="E63" s="79">
        <f>IF($A63="","",SUMIFS(Werkregels!$P$3:$P$602,Werkregels!$C$3:$C$602,$A63,Werkregels!$Q$3:$Q$602,"Concept in HERO"))</f>
        <v/>
      </c>
      <c r="F63" s="79">
        <f>IF($A63="","",SUMIFS(Werkregels!$P$3:$P$602,Werkregels!$C$3:$C$602,$A63,Werkregels!$Q$3:$Q$602,"Verstuurd"))</f>
        <v/>
      </c>
    </row>
    <row r="64" ht="15" customHeight="1" s="42">
      <c r="A64" s="63" t="n"/>
      <c r="B64" s="56">
        <f>IF($A64="","",COUNTIFS(Werkregels!$C$3:$C$602,$A64,Werkregels!$Q$3:$Q$602,"Nog factureren")+COUNTIFS(Werkregels!$C$3:$C$602,$A64,Werkregels!$Q$3:$Q$602,"Check nodig"))</f>
        <v/>
      </c>
      <c r="C64" s="61">
        <f>IF($A64="","",SUMIFS(Werkregels!$I$3:$I$602,Werkregels!$C$3:$C$602,$A64,Werkregels!$Q$3:$Q$602,"Nog factureren")+SUMIFS(Werkregels!$I$3:$I$602,Werkregels!$C$3:$C$602,$A64,Werkregels!$Q$3:$Q$602,"Check nodig"))</f>
        <v/>
      </c>
      <c r="D64" s="70">
        <f>IF($A64="","",SUMIFS(Werkregels!$P$3:$P$602,Werkregels!$C$3:$C$602,$A64,Werkregels!$Q$3:$Q$602,"Nog factureren"))</f>
        <v/>
      </c>
      <c r="E64" s="70">
        <f>IF($A64="","",SUMIFS(Werkregels!$P$3:$P$602,Werkregels!$C$3:$C$602,$A64,Werkregels!$Q$3:$Q$602,"Concept in HERO"))</f>
        <v/>
      </c>
      <c r="F64" s="70">
        <f>IF($A64="","",SUMIFS(Werkregels!$P$3:$P$602,Werkregels!$C$3:$C$602,$A64,Werkregels!$Q$3:$Q$602,"Verstuurd"))</f>
        <v/>
      </c>
    </row>
    <row r="65" ht="15" customHeight="1" s="42">
      <c r="A65" s="76" t="n"/>
      <c r="B65" s="77">
        <f>IF($A65="","",COUNTIFS(Werkregels!$C$3:$C$602,$A65,Werkregels!$Q$3:$Q$602,"Nog factureren")+COUNTIFS(Werkregels!$C$3:$C$602,$A65,Werkregels!$Q$3:$Q$602,"Check nodig"))</f>
        <v/>
      </c>
      <c r="C65" s="78">
        <f>IF($A65="","",SUMIFS(Werkregels!$I$3:$I$602,Werkregels!$C$3:$C$602,$A65,Werkregels!$Q$3:$Q$602,"Nog factureren")+SUMIFS(Werkregels!$I$3:$I$602,Werkregels!$C$3:$C$602,$A65,Werkregels!$Q$3:$Q$602,"Check nodig"))</f>
        <v/>
      </c>
      <c r="D65" s="79">
        <f>IF($A65="","",SUMIFS(Werkregels!$P$3:$P$602,Werkregels!$C$3:$C$602,$A65,Werkregels!$Q$3:$Q$602,"Nog factureren"))</f>
        <v/>
      </c>
      <c r="E65" s="79">
        <f>IF($A65="","",SUMIFS(Werkregels!$P$3:$P$602,Werkregels!$C$3:$C$602,$A65,Werkregels!$Q$3:$Q$602,"Concept in HERO"))</f>
        <v/>
      </c>
      <c r="F65" s="79">
        <f>IF($A65="","",SUMIFS(Werkregels!$P$3:$P$602,Werkregels!$C$3:$C$602,$A65,Werkregels!$Q$3:$Q$602,"Verstuurd"))</f>
        <v/>
      </c>
    </row>
    <row r="66" ht="15" customHeight="1" s="42">
      <c r="A66" s="63" t="n"/>
      <c r="B66" s="56">
        <f>IF($A66="","",COUNTIFS(Werkregels!$C$3:$C$602,$A66,Werkregels!$Q$3:$Q$602,"Nog factureren")+COUNTIFS(Werkregels!$C$3:$C$602,$A66,Werkregels!$Q$3:$Q$602,"Check nodig"))</f>
        <v/>
      </c>
      <c r="C66" s="61">
        <f>IF($A66="","",SUMIFS(Werkregels!$I$3:$I$602,Werkregels!$C$3:$C$602,$A66,Werkregels!$Q$3:$Q$602,"Nog factureren")+SUMIFS(Werkregels!$I$3:$I$602,Werkregels!$C$3:$C$602,$A66,Werkregels!$Q$3:$Q$602,"Check nodig"))</f>
        <v/>
      </c>
      <c r="D66" s="70">
        <f>IF($A66="","",SUMIFS(Werkregels!$P$3:$P$602,Werkregels!$C$3:$C$602,$A66,Werkregels!$Q$3:$Q$602,"Nog factureren"))</f>
        <v/>
      </c>
      <c r="E66" s="70">
        <f>IF($A66="","",SUMIFS(Werkregels!$P$3:$P$602,Werkregels!$C$3:$C$602,$A66,Werkregels!$Q$3:$Q$602,"Concept in HERO"))</f>
        <v/>
      </c>
      <c r="F66" s="70">
        <f>IF($A66="","",SUMIFS(Werkregels!$P$3:$P$602,Werkregels!$C$3:$C$602,$A66,Werkregels!$Q$3:$Q$602,"Verstuurd"))</f>
        <v/>
      </c>
    </row>
    <row r="67" ht="15" customHeight="1" s="42">
      <c r="A67" s="76" t="n"/>
      <c r="B67" s="77">
        <f>IF($A67="","",COUNTIFS(Werkregels!$C$3:$C$602,$A67,Werkregels!$Q$3:$Q$602,"Nog factureren")+COUNTIFS(Werkregels!$C$3:$C$602,$A67,Werkregels!$Q$3:$Q$602,"Check nodig"))</f>
        <v/>
      </c>
      <c r="C67" s="78">
        <f>IF($A67="","",SUMIFS(Werkregels!$I$3:$I$602,Werkregels!$C$3:$C$602,$A67,Werkregels!$Q$3:$Q$602,"Nog factureren")+SUMIFS(Werkregels!$I$3:$I$602,Werkregels!$C$3:$C$602,$A67,Werkregels!$Q$3:$Q$602,"Check nodig"))</f>
        <v/>
      </c>
      <c r="D67" s="79">
        <f>IF($A67="","",SUMIFS(Werkregels!$P$3:$P$602,Werkregels!$C$3:$C$602,$A67,Werkregels!$Q$3:$Q$602,"Nog factureren"))</f>
        <v/>
      </c>
      <c r="E67" s="79">
        <f>IF($A67="","",SUMIFS(Werkregels!$P$3:$P$602,Werkregels!$C$3:$C$602,$A67,Werkregels!$Q$3:$Q$602,"Concept in HERO"))</f>
        <v/>
      </c>
      <c r="F67" s="79">
        <f>IF($A67="","",SUMIFS(Werkregels!$P$3:$P$602,Werkregels!$C$3:$C$602,$A67,Werkregels!$Q$3:$Q$602,"Verstuurd"))</f>
        <v/>
      </c>
    </row>
    <row r="68" ht="15" customHeight="1" s="42">
      <c r="A68" s="63" t="n"/>
      <c r="B68" s="56">
        <f>IF($A68="","",COUNTIFS(Werkregels!$C$3:$C$602,$A68,Werkregels!$Q$3:$Q$602,"Nog factureren")+COUNTIFS(Werkregels!$C$3:$C$602,$A68,Werkregels!$Q$3:$Q$602,"Check nodig"))</f>
        <v/>
      </c>
      <c r="C68" s="61">
        <f>IF($A68="","",SUMIFS(Werkregels!$I$3:$I$602,Werkregels!$C$3:$C$602,$A68,Werkregels!$Q$3:$Q$602,"Nog factureren")+SUMIFS(Werkregels!$I$3:$I$602,Werkregels!$C$3:$C$602,$A68,Werkregels!$Q$3:$Q$602,"Check nodig"))</f>
        <v/>
      </c>
      <c r="D68" s="70">
        <f>IF($A68="","",SUMIFS(Werkregels!$P$3:$P$602,Werkregels!$C$3:$C$602,$A68,Werkregels!$Q$3:$Q$602,"Nog factureren"))</f>
        <v/>
      </c>
      <c r="E68" s="70">
        <f>IF($A68="","",SUMIFS(Werkregels!$P$3:$P$602,Werkregels!$C$3:$C$602,$A68,Werkregels!$Q$3:$Q$602,"Concept in HERO"))</f>
        <v/>
      </c>
      <c r="F68" s="70">
        <f>IF($A68="","",SUMIFS(Werkregels!$P$3:$P$602,Werkregels!$C$3:$C$602,$A68,Werkregels!$Q$3:$Q$602,"Verstuurd"))</f>
        <v/>
      </c>
    </row>
    <row r="69" ht="15" customHeight="1" s="42">
      <c r="A69" s="76" t="n"/>
      <c r="B69" s="77">
        <f>IF($A69="","",COUNTIFS(Werkregels!$C$3:$C$602,$A69,Werkregels!$Q$3:$Q$602,"Nog factureren")+COUNTIFS(Werkregels!$C$3:$C$602,$A69,Werkregels!$Q$3:$Q$602,"Check nodig"))</f>
        <v/>
      </c>
      <c r="C69" s="78">
        <f>IF($A69="","",SUMIFS(Werkregels!$I$3:$I$602,Werkregels!$C$3:$C$602,$A69,Werkregels!$Q$3:$Q$602,"Nog factureren")+SUMIFS(Werkregels!$I$3:$I$602,Werkregels!$C$3:$C$602,$A69,Werkregels!$Q$3:$Q$602,"Check nodig"))</f>
        <v/>
      </c>
      <c r="D69" s="79">
        <f>IF($A69="","",SUMIFS(Werkregels!$P$3:$P$602,Werkregels!$C$3:$C$602,$A69,Werkregels!$Q$3:$Q$602,"Nog factureren"))</f>
        <v/>
      </c>
      <c r="E69" s="79">
        <f>IF($A69="","",SUMIFS(Werkregels!$P$3:$P$602,Werkregels!$C$3:$C$602,$A69,Werkregels!$Q$3:$Q$602,"Concept in HERO"))</f>
        <v/>
      </c>
      <c r="F69" s="79">
        <f>IF($A69="","",SUMIFS(Werkregels!$P$3:$P$602,Werkregels!$C$3:$C$602,$A69,Werkregels!$Q$3:$Q$602,"Verstuurd"))</f>
        <v/>
      </c>
    </row>
    <row r="70" ht="15" customHeight="1" s="42">
      <c r="A70" s="63" t="n"/>
      <c r="B70" s="56">
        <f>IF($A70="","",COUNTIFS(Werkregels!$C$3:$C$602,$A70,Werkregels!$Q$3:$Q$602,"Nog factureren")+COUNTIFS(Werkregels!$C$3:$C$602,$A70,Werkregels!$Q$3:$Q$602,"Check nodig"))</f>
        <v/>
      </c>
      <c r="C70" s="61">
        <f>IF($A70="","",SUMIFS(Werkregels!$I$3:$I$602,Werkregels!$C$3:$C$602,$A70,Werkregels!$Q$3:$Q$602,"Nog factureren")+SUMIFS(Werkregels!$I$3:$I$602,Werkregels!$C$3:$C$602,$A70,Werkregels!$Q$3:$Q$602,"Check nodig"))</f>
        <v/>
      </c>
      <c r="D70" s="70">
        <f>IF($A70="","",SUMIFS(Werkregels!$P$3:$P$602,Werkregels!$C$3:$C$602,$A70,Werkregels!$Q$3:$Q$602,"Nog factureren"))</f>
        <v/>
      </c>
      <c r="E70" s="70">
        <f>IF($A70="","",SUMIFS(Werkregels!$P$3:$P$602,Werkregels!$C$3:$C$602,$A70,Werkregels!$Q$3:$Q$602,"Concept in HERO"))</f>
        <v/>
      </c>
      <c r="F70" s="70">
        <f>IF($A70="","",SUMIFS(Werkregels!$P$3:$P$602,Werkregels!$C$3:$C$602,$A70,Werkregels!$Q$3:$Q$602,"Verstuurd"))</f>
        <v/>
      </c>
    </row>
    <row r="71" ht="15" customHeight="1" s="42">
      <c r="A71" s="76" t="n"/>
      <c r="B71" s="77">
        <f>IF($A71="","",COUNTIFS(Werkregels!$C$3:$C$602,$A71,Werkregels!$Q$3:$Q$602,"Nog factureren")+COUNTIFS(Werkregels!$C$3:$C$602,$A71,Werkregels!$Q$3:$Q$602,"Check nodig"))</f>
        <v/>
      </c>
      <c r="C71" s="78">
        <f>IF($A71="","",SUMIFS(Werkregels!$I$3:$I$602,Werkregels!$C$3:$C$602,$A71,Werkregels!$Q$3:$Q$602,"Nog factureren")+SUMIFS(Werkregels!$I$3:$I$602,Werkregels!$C$3:$C$602,$A71,Werkregels!$Q$3:$Q$602,"Check nodig"))</f>
        <v/>
      </c>
      <c r="D71" s="79">
        <f>IF($A71="","",SUMIFS(Werkregels!$P$3:$P$602,Werkregels!$C$3:$C$602,$A71,Werkregels!$Q$3:$Q$602,"Nog factureren"))</f>
        <v/>
      </c>
      <c r="E71" s="79">
        <f>IF($A71="","",SUMIFS(Werkregels!$P$3:$P$602,Werkregels!$C$3:$C$602,$A71,Werkregels!$Q$3:$Q$602,"Concept in HERO"))</f>
        <v/>
      </c>
      <c r="F71" s="79">
        <f>IF($A71="","",SUMIFS(Werkregels!$P$3:$P$602,Werkregels!$C$3:$C$602,$A71,Werkregels!$Q$3:$Q$602,"Verstuurd"))</f>
        <v/>
      </c>
    </row>
    <row r="72" ht="15" customHeight="1" s="42">
      <c r="A72" s="63" t="n"/>
      <c r="B72" s="56">
        <f>IF($A72="","",COUNTIFS(Werkregels!$C$3:$C$602,$A72,Werkregels!$Q$3:$Q$602,"Nog factureren")+COUNTIFS(Werkregels!$C$3:$C$602,$A72,Werkregels!$Q$3:$Q$602,"Check nodig"))</f>
        <v/>
      </c>
      <c r="C72" s="61">
        <f>IF($A72="","",SUMIFS(Werkregels!$I$3:$I$602,Werkregels!$C$3:$C$602,$A72,Werkregels!$Q$3:$Q$602,"Nog factureren")+SUMIFS(Werkregels!$I$3:$I$602,Werkregels!$C$3:$C$602,$A72,Werkregels!$Q$3:$Q$602,"Check nodig"))</f>
        <v/>
      </c>
      <c r="D72" s="70">
        <f>IF($A72="","",SUMIFS(Werkregels!$P$3:$P$602,Werkregels!$C$3:$C$602,$A72,Werkregels!$Q$3:$Q$602,"Nog factureren"))</f>
        <v/>
      </c>
      <c r="E72" s="70">
        <f>IF($A72="","",SUMIFS(Werkregels!$P$3:$P$602,Werkregels!$C$3:$C$602,$A72,Werkregels!$Q$3:$Q$602,"Concept in HERO"))</f>
        <v/>
      </c>
      <c r="F72" s="70">
        <f>IF($A72="","",SUMIFS(Werkregels!$P$3:$P$602,Werkregels!$C$3:$C$602,$A72,Werkregels!$Q$3:$Q$602,"Verstuurd"))</f>
        <v/>
      </c>
    </row>
    <row r="73" ht="15" customHeight="1" s="42">
      <c r="A73" s="76" t="n"/>
      <c r="B73" s="77">
        <f>IF($A73="","",COUNTIFS(Werkregels!$C$3:$C$602,$A73,Werkregels!$Q$3:$Q$602,"Nog factureren")+COUNTIFS(Werkregels!$C$3:$C$602,$A73,Werkregels!$Q$3:$Q$602,"Check nodig"))</f>
        <v/>
      </c>
      <c r="C73" s="78">
        <f>IF($A73="","",SUMIFS(Werkregels!$I$3:$I$602,Werkregels!$C$3:$C$602,$A73,Werkregels!$Q$3:$Q$602,"Nog factureren")+SUMIFS(Werkregels!$I$3:$I$602,Werkregels!$C$3:$C$602,$A73,Werkregels!$Q$3:$Q$602,"Check nodig"))</f>
        <v/>
      </c>
      <c r="D73" s="79">
        <f>IF($A73="","",SUMIFS(Werkregels!$P$3:$P$602,Werkregels!$C$3:$C$602,$A73,Werkregels!$Q$3:$Q$602,"Nog factureren"))</f>
        <v/>
      </c>
      <c r="E73" s="79">
        <f>IF($A73="","",SUMIFS(Werkregels!$P$3:$P$602,Werkregels!$C$3:$C$602,$A73,Werkregels!$Q$3:$Q$602,"Concept in HERO"))</f>
        <v/>
      </c>
      <c r="F73" s="79">
        <f>IF($A73="","",SUMIFS(Werkregels!$P$3:$P$602,Werkregels!$C$3:$C$602,$A73,Werkregels!$Q$3:$Q$602,"Verstuurd"))</f>
        <v/>
      </c>
    </row>
    <row r="74" ht="15" customHeight="1" s="42">
      <c r="A74" s="63" t="n"/>
      <c r="B74" s="56">
        <f>IF($A74="","",COUNTIFS(Werkregels!$C$3:$C$602,$A74,Werkregels!$Q$3:$Q$602,"Nog factureren")+COUNTIFS(Werkregels!$C$3:$C$602,$A74,Werkregels!$Q$3:$Q$602,"Check nodig"))</f>
        <v/>
      </c>
      <c r="C74" s="61">
        <f>IF($A74="","",SUMIFS(Werkregels!$I$3:$I$602,Werkregels!$C$3:$C$602,$A74,Werkregels!$Q$3:$Q$602,"Nog factureren")+SUMIFS(Werkregels!$I$3:$I$602,Werkregels!$C$3:$C$602,$A74,Werkregels!$Q$3:$Q$602,"Check nodig"))</f>
        <v/>
      </c>
      <c r="D74" s="70">
        <f>IF($A74="","",SUMIFS(Werkregels!$P$3:$P$602,Werkregels!$C$3:$C$602,$A74,Werkregels!$Q$3:$Q$602,"Nog factureren"))</f>
        <v/>
      </c>
      <c r="E74" s="70">
        <f>IF($A74="","",SUMIFS(Werkregels!$P$3:$P$602,Werkregels!$C$3:$C$602,$A74,Werkregels!$Q$3:$Q$602,"Concept in HERO"))</f>
        <v/>
      </c>
      <c r="F74" s="70">
        <f>IF($A74="","",SUMIFS(Werkregels!$P$3:$P$602,Werkregels!$C$3:$C$602,$A74,Werkregels!$Q$3:$Q$602,"Verstuurd"))</f>
        <v/>
      </c>
    </row>
    <row r="75" ht="15" customHeight="1" s="42">
      <c r="A75" s="76" t="n"/>
      <c r="B75" s="77">
        <f>IF($A75="","",COUNTIFS(Werkregels!$C$3:$C$602,$A75,Werkregels!$Q$3:$Q$602,"Nog factureren")+COUNTIFS(Werkregels!$C$3:$C$602,$A75,Werkregels!$Q$3:$Q$602,"Check nodig"))</f>
        <v/>
      </c>
      <c r="C75" s="78">
        <f>IF($A75="","",SUMIFS(Werkregels!$I$3:$I$602,Werkregels!$C$3:$C$602,$A75,Werkregels!$Q$3:$Q$602,"Nog factureren")+SUMIFS(Werkregels!$I$3:$I$602,Werkregels!$C$3:$C$602,$A75,Werkregels!$Q$3:$Q$602,"Check nodig"))</f>
        <v/>
      </c>
      <c r="D75" s="79">
        <f>IF($A75="","",SUMIFS(Werkregels!$P$3:$P$602,Werkregels!$C$3:$C$602,$A75,Werkregels!$Q$3:$Q$602,"Nog factureren"))</f>
        <v/>
      </c>
      <c r="E75" s="79">
        <f>IF($A75="","",SUMIFS(Werkregels!$P$3:$P$602,Werkregels!$C$3:$C$602,$A75,Werkregels!$Q$3:$Q$602,"Concept in HERO"))</f>
        <v/>
      </c>
      <c r="F75" s="79">
        <f>IF($A75="","",SUMIFS(Werkregels!$P$3:$P$602,Werkregels!$C$3:$C$602,$A75,Werkregels!$Q$3:$Q$602,"Verstuurd"))</f>
        <v/>
      </c>
    </row>
    <row r="76" ht="15" customHeight="1" s="42">
      <c r="A76" s="63" t="n"/>
      <c r="B76" s="56">
        <f>IF($A76="","",COUNTIFS(Werkregels!$C$3:$C$602,$A76,Werkregels!$Q$3:$Q$602,"Nog factureren")+COUNTIFS(Werkregels!$C$3:$C$602,$A76,Werkregels!$Q$3:$Q$602,"Check nodig"))</f>
        <v/>
      </c>
      <c r="C76" s="61">
        <f>IF($A76="","",SUMIFS(Werkregels!$I$3:$I$602,Werkregels!$C$3:$C$602,$A76,Werkregels!$Q$3:$Q$602,"Nog factureren")+SUMIFS(Werkregels!$I$3:$I$602,Werkregels!$C$3:$C$602,$A76,Werkregels!$Q$3:$Q$602,"Check nodig"))</f>
        <v/>
      </c>
      <c r="D76" s="70">
        <f>IF($A76="","",SUMIFS(Werkregels!$P$3:$P$602,Werkregels!$C$3:$C$602,$A76,Werkregels!$Q$3:$Q$602,"Nog factureren"))</f>
        <v/>
      </c>
      <c r="E76" s="70">
        <f>IF($A76="","",SUMIFS(Werkregels!$P$3:$P$602,Werkregels!$C$3:$C$602,$A76,Werkregels!$Q$3:$Q$602,"Concept in HERO"))</f>
        <v/>
      </c>
      <c r="F76" s="70">
        <f>IF($A76="","",SUMIFS(Werkregels!$P$3:$P$602,Werkregels!$C$3:$C$602,$A76,Werkregels!$Q$3:$Q$602,"Verstuurd"))</f>
        <v/>
      </c>
    </row>
    <row r="77" ht="15" customHeight="1" s="42">
      <c r="A77" s="76" t="n"/>
      <c r="B77" s="77">
        <f>IF($A77="","",COUNTIFS(Werkregels!$C$3:$C$602,$A77,Werkregels!$Q$3:$Q$602,"Nog factureren")+COUNTIFS(Werkregels!$C$3:$C$602,$A77,Werkregels!$Q$3:$Q$602,"Check nodig"))</f>
        <v/>
      </c>
      <c r="C77" s="78">
        <f>IF($A77="","",SUMIFS(Werkregels!$I$3:$I$602,Werkregels!$C$3:$C$602,$A77,Werkregels!$Q$3:$Q$602,"Nog factureren")+SUMIFS(Werkregels!$I$3:$I$602,Werkregels!$C$3:$C$602,$A77,Werkregels!$Q$3:$Q$602,"Check nodig"))</f>
        <v/>
      </c>
      <c r="D77" s="79">
        <f>IF($A77="","",SUMIFS(Werkregels!$P$3:$P$602,Werkregels!$C$3:$C$602,$A77,Werkregels!$Q$3:$Q$602,"Nog factureren"))</f>
        <v/>
      </c>
      <c r="E77" s="79">
        <f>IF($A77="","",SUMIFS(Werkregels!$P$3:$P$602,Werkregels!$C$3:$C$602,$A77,Werkregels!$Q$3:$Q$602,"Concept in HERO"))</f>
        <v/>
      </c>
      <c r="F77" s="79">
        <f>IF($A77="","",SUMIFS(Werkregels!$P$3:$P$602,Werkregels!$C$3:$C$602,$A77,Werkregels!$Q$3:$Q$602,"Verstuurd"))</f>
        <v/>
      </c>
    </row>
    <row r="78" ht="15" customHeight="1" s="42">
      <c r="A78" s="63" t="n"/>
      <c r="B78" s="56">
        <f>IF($A78="","",COUNTIFS(Werkregels!$C$3:$C$602,$A78,Werkregels!$Q$3:$Q$602,"Nog factureren")+COUNTIFS(Werkregels!$C$3:$C$602,$A78,Werkregels!$Q$3:$Q$602,"Check nodig"))</f>
        <v/>
      </c>
      <c r="C78" s="61">
        <f>IF($A78="","",SUMIFS(Werkregels!$I$3:$I$602,Werkregels!$C$3:$C$602,$A78,Werkregels!$Q$3:$Q$602,"Nog factureren")+SUMIFS(Werkregels!$I$3:$I$602,Werkregels!$C$3:$C$602,$A78,Werkregels!$Q$3:$Q$602,"Check nodig"))</f>
        <v/>
      </c>
      <c r="D78" s="70">
        <f>IF($A78="","",SUMIFS(Werkregels!$P$3:$P$602,Werkregels!$C$3:$C$602,$A78,Werkregels!$Q$3:$Q$602,"Nog factureren"))</f>
        <v/>
      </c>
      <c r="E78" s="70">
        <f>IF($A78="","",SUMIFS(Werkregels!$P$3:$P$602,Werkregels!$C$3:$C$602,$A78,Werkregels!$Q$3:$Q$602,"Concept in HERO"))</f>
        <v/>
      </c>
      <c r="F78" s="70">
        <f>IF($A78="","",SUMIFS(Werkregels!$P$3:$P$602,Werkregels!$C$3:$C$602,$A78,Werkregels!$Q$3:$Q$602,"Verstuurd"))</f>
        <v/>
      </c>
    </row>
    <row r="79" ht="15" customHeight="1" s="42">
      <c r="A79" s="76" t="n"/>
      <c r="B79" s="77">
        <f>IF($A79="","",COUNTIFS(Werkregels!$C$3:$C$602,$A79,Werkregels!$Q$3:$Q$602,"Nog factureren")+COUNTIFS(Werkregels!$C$3:$C$602,$A79,Werkregels!$Q$3:$Q$602,"Check nodig"))</f>
        <v/>
      </c>
      <c r="C79" s="78">
        <f>IF($A79="","",SUMIFS(Werkregels!$I$3:$I$602,Werkregels!$C$3:$C$602,$A79,Werkregels!$Q$3:$Q$602,"Nog factureren")+SUMIFS(Werkregels!$I$3:$I$602,Werkregels!$C$3:$C$602,$A79,Werkregels!$Q$3:$Q$602,"Check nodig"))</f>
        <v/>
      </c>
      <c r="D79" s="79">
        <f>IF($A79="","",SUMIFS(Werkregels!$P$3:$P$602,Werkregels!$C$3:$C$602,$A79,Werkregels!$Q$3:$Q$602,"Nog factureren"))</f>
        <v/>
      </c>
      <c r="E79" s="79">
        <f>IF($A79="","",SUMIFS(Werkregels!$P$3:$P$602,Werkregels!$C$3:$C$602,$A79,Werkregels!$Q$3:$Q$602,"Concept in HERO"))</f>
        <v/>
      </c>
      <c r="F79" s="79">
        <f>IF($A79="","",SUMIFS(Werkregels!$P$3:$P$602,Werkregels!$C$3:$C$602,$A79,Werkregels!$Q$3:$Q$602,"Verstuurd"))</f>
        <v/>
      </c>
    </row>
    <row r="80" ht="15" customHeight="1" s="42">
      <c r="A80" s="63" t="n"/>
      <c r="B80" s="56">
        <f>IF($A80="","",COUNTIFS(Werkregels!$C$3:$C$602,$A80,Werkregels!$Q$3:$Q$602,"Nog factureren")+COUNTIFS(Werkregels!$C$3:$C$602,$A80,Werkregels!$Q$3:$Q$602,"Check nodig"))</f>
        <v/>
      </c>
      <c r="C80" s="61">
        <f>IF($A80="","",SUMIFS(Werkregels!$I$3:$I$602,Werkregels!$C$3:$C$602,$A80,Werkregels!$Q$3:$Q$602,"Nog factureren")+SUMIFS(Werkregels!$I$3:$I$602,Werkregels!$C$3:$C$602,$A80,Werkregels!$Q$3:$Q$602,"Check nodig"))</f>
        <v/>
      </c>
      <c r="D80" s="70">
        <f>IF($A80="","",SUMIFS(Werkregels!$P$3:$P$602,Werkregels!$C$3:$C$602,$A80,Werkregels!$Q$3:$Q$602,"Nog factureren"))</f>
        <v/>
      </c>
      <c r="E80" s="70">
        <f>IF($A80="","",SUMIFS(Werkregels!$P$3:$P$602,Werkregels!$C$3:$C$602,$A80,Werkregels!$Q$3:$Q$602,"Concept in HERO"))</f>
        <v/>
      </c>
      <c r="F80" s="70">
        <f>IF($A80="","",SUMIFS(Werkregels!$P$3:$P$602,Werkregels!$C$3:$C$602,$A80,Werkregels!$Q$3:$Q$602,"Verstuurd"))</f>
        <v/>
      </c>
    </row>
    <row r="81" ht="15" customHeight="1" s="42">
      <c r="A81" s="76" t="n"/>
      <c r="B81" s="77">
        <f>IF($A81="","",COUNTIFS(Werkregels!$C$3:$C$602,$A81,Werkregels!$Q$3:$Q$602,"Nog factureren")+COUNTIFS(Werkregels!$C$3:$C$602,$A81,Werkregels!$Q$3:$Q$602,"Check nodig"))</f>
        <v/>
      </c>
      <c r="C81" s="78">
        <f>IF($A81="","",SUMIFS(Werkregels!$I$3:$I$602,Werkregels!$C$3:$C$602,$A81,Werkregels!$Q$3:$Q$602,"Nog factureren")+SUMIFS(Werkregels!$I$3:$I$602,Werkregels!$C$3:$C$602,$A81,Werkregels!$Q$3:$Q$602,"Check nodig"))</f>
        <v/>
      </c>
      <c r="D81" s="79">
        <f>IF($A81="","",SUMIFS(Werkregels!$P$3:$P$602,Werkregels!$C$3:$C$602,$A81,Werkregels!$Q$3:$Q$602,"Nog factureren"))</f>
        <v/>
      </c>
      <c r="E81" s="79">
        <f>IF($A81="","",SUMIFS(Werkregels!$P$3:$P$602,Werkregels!$C$3:$C$602,$A81,Werkregels!$Q$3:$Q$602,"Concept in HERO"))</f>
        <v/>
      </c>
      <c r="F81" s="79">
        <f>IF($A81="","",SUMIFS(Werkregels!$P$3:$P$602,Werkregels!$C$3:$C$602,$A81,Werkregels!$Q$3:$Q$602,"Verstuurd"))</f>
        <v/>
      </c>
    </row>
    <row r="82" ht="15" customHeight="1" s="42">
      <c r="A82" s="63" t="n"/>
      <c r="B82" s="56">
        <f>IF($A82="","",COUNTIFS(Werkregels!$C$3:$C$602,$A82,Werkregels!$Q$3:$Q$602,"Nog factureren")+COUNTIFS(Werkregels!$C$3:$C$602,$A82,Werkregels!$Q$3:$Q$602,"Check nodig"))</f>
        <v/>
      </c>
      <c r="C82" s="61">
        <f>IF($A82="","",SUMIFS(Werkregels!$I$3:$I$602,Werkregels!$C$3:$C$602,$A82,Werkregels!$Q$3:$Q$602,"Nog factureren")+SUMIFS(Werkregels!$I$3:$I$602,Werkregels!$C$3:$C$602,$A82,Werkregels!$Q$3:$Q$602,"Check nodig"))</f>
        <v/>
      </c>
      <c r="D82" s="70">
        <f>IF($A82="","",SUMIFS(Werkregels!$P$3:$P$602,Werkregels!$C$3:$C$602,$A82,Werkregels!$Q$3:$Q$602,"Nog factureren"))</f>
        <v/>
      </c>
      <c r="E82" s="70">
        <f>IF($A82="","",SUMIFS(Werkregels!$P$3:$P$602,Werkregels!$C$3:$C$602,$A82,Werkregels!$Q$3:$Q$602,"Concept in HERO"))</f>
        <v/>
      </c>
      <c r="F82" s="70">
        <f>IF($A82="","",SUMIFS(Werkregels!$P$3:$P$602,Werkregels!$C$3:$C$602,$A82,Werkregels!$Q$3:$Q$602,"Verstuurd"))</f>
        <v/>
      </c>
    </row>
    <row r="83" ht="15" customHeight="1" s="42">
      <c r="A83" s="76" t="n"/>
      <c r="B83" s="77">
        <f>IF($A83="","",COUNTIFS(Werkregels!$C$3:$C$602,$A83,Werkregels!$Q$3:$Q$602,"Nog factureren")+COUNTIFS(Werkregels!$C$3:$C$602,$A83,Werkregels!$Q$3:$Q$602,"Check nodig"))</f>
        <v/>
      </c>
      <c r="C83" s="78">
        <f>IF($A83="","",SUMIFS(Werkregels!$I$3:$I$602,Werkregels!$C$3:$C$602,$A83,Werkregels!$Q$3:$Q$602,"Nog factureren")+SUMIFS(Werkregels!$I$3:$I$602,Werkregels!$C$3:$C$602,$A83,Werkregels!$Q$3:$Q$602,"Check nodig"))</f>
        <v/>
      </c>
      <c r="D83" s="79">
        <f>IF($A83="","",SUMIFS(Werkregels!$P$3:$P$602,Werkregels!$C$3:$C$602,$A83,Werkregels!$Q$3:$Q$602,"Nog factureren"))</f>
        <v/>
      </c>
      <c r="E83" s="79">
        <f>IF($A83="","",SUMIFS(Werkregels!$P$3:$P$602,Werkregels!$C$3:$C$602,$A83,Werkregels!$Q$3:$Q$602,"Concept in HERO"))</f>
        <v/>
      </c>
      <c r="F83" s="79">
        <f>IF($A83="","",SUMIFS(Werkregels!$P$3:$P$602,Werkregels!$C$3:$C$602,$A83,Werkregels!$Q$3:$Q$602,"Verstuurd"))</f>
        <v/>
      </c>
    </row>
    <row r="84" ht="15" customHeight="1" s="42">
      <c r="A84" s="63" t="n"/>
      <c r="B84" s="56">
        <f>IF($A84="","",COUNTIFS(Werkregels!$C$3:$C$602,$A84,Werkregels!$Q$3:$Q$602,"Nog factureren")+COUNTIFS(Werkregels!$C$3:$C$602,$A84,Werkregels!$Q$3:$Q$602,"Check nodig"))</f>
        <v/>
      </c>
      <c r="C84" s="61">
        <f>IF($A84="","",SUMIFS(Werkregels!$I$3:$I$602,Werkregels!$C$3:$C$602,$A84,Werkregels!$Q$3:$Q$602,"Nog factureren")+SUMIFS(Werkregels!$I$3:$I$602,Werkregels!$C$3:$C$602,$A84,Werkregels!$Q$3:$Q$602,"Check nodig"))</f>
        <v/>
      </c>
      <c r="D84" s="70">
        <f>IF($A84="","",SUMIFS(Werkregels!$P$3:$P$602,Werkregels!$C$3:$C$602,$A84,Werkregels!$Q$3:$Q$602,"Nog factureren"))</f>
        <v/>
      </c>
      <c r="E84" s="70">
        <f>IF($A84="","",SUMIFS(Werkregels!$P$3:$P$602,Werkregels!$C$3:$C$602,$A84,Werkregels!$Q$3:$Q$602,"Concept in HERO"))</f>
        <v/>
      </c>
      <c r="F84" s="70">
        <f>IF($A84="","",SUMIFS(Werkregels!$P$3:$P$602,Werkregels!$C$3:$C$602,$A84,Werkregels!$Q$3:$Q$602,"Verstuurd"))</f>
        <v/>
      </c>
    </row>
    <row r="85" ht="15" customHeight="1" s="42">
      <c r="A85" s="76" t="n"/>
      <c r="B85" s="77">
        <f>IF($A85="","",COUNTIFS(Werkregels!$C$3:$C$602,$A85,Werkregels!$Q$3:$Q$602,"Nog factureren")+COUNTIFS(Werkregels!$C$3:$C$602,$A85,Werkregels!$Q$3:$Q$602,"Check nodig"))</f>
        <v/>
      </c>
      <c r="C85" s="78">
        <f>IF($A85="","",SUMIFS(Werkregels!$I$3:$I$602,Werkregels!$C$3:$C$602,$A85,Werkregels!$Q$3:$Q$602,"Nog factureren")+SUMIFS(Werkregels!$I$3:$I$602,Werkregels!$C$3:$C$602,$A85,Werkregels!$Q$3:$Q$602,"Check nodig"))</f>
        <v/>
      </c>
      <c r="D85" s="79">
        <f>IF($A85="","",SUMIFS(Werkregels!$P$3:$P$602,Werkregels!$C$3:$C$602,$A85,Werkregels!$Q$3:$Q$602,"Nog factureren"))</f>
        <v/>
      </c>
      <c r="E85" s="79">
        <f>IF($A85="","",SUMIFS(Werkregels!$P$3:$P$602,Werkregels!$C$3:$C$602,$A85,Werkregels!$Q$3:$Q$602,"Concept in HERO"))</f>
        <v/>
      </c>
      <c r="F85" s="79">
        <f>IF($A85="","",SUMIFS(Werkregels!$P$3:$P$602,Werkregels!$C$3:$C$602,$A85,Werkregels!$Q$3:$Q$602,"Verstuurd"))</f>
        <v/>
      </c>
    </row>
    <row r="86" ht="15" customHeight="1" s="42">
      <c r="A86" s="63" t="n"/>
      <c r="B86" s="56">
        <f>IF($A86="","",COUNTIFS(Werkregels!$C$3:$C$602,$A86,Werkregels!$Q$3:$Q$602,"Nog factureren")+COUNTIFS(Werkregels!$C$3:$C$602,$A86,Werkregels!$Q$3:$Q$602,"Check nodig"))</f>
        <v/>
      </c>
      <c r="C86" s="61">
        <f>IF($A86="","",SUMIFS(Werkregels!$I$3:$I$602,Werkregels!$C$3:$C$602,$A86,Werkregels!$Q$3:$Q$602,"Nog factureren")+SUMIFS(Werkregels!$I$3:$I$602,Werkregels!$C$3:$C$602,$A86,Werkregels!$Q$3:$Q$602,"Check nodig"))</f>
        <v/>
      </c>
      <c r="D86" s="70">
        <f>IF($A86="","",SUMIFS(Werkregels!$P$3:$P$602,Werkregels!$C$3:$C$602,$A86,Werkregels!$Q$3:$Q$602,"Nog factureren"))</f>
        <v/>
      </c>
      <c r="E86" s="70">
        <f>IF($A86="","",SUMIFS(Werkregels!$P$3:$P$602,Werkregels!$C$3:$C$602,$A86,Werkregels!$Q$3:$Q$602,"Concept in HERO"))</f>
        <v/>
      </c>
      <c r="F86" s="70">
        <f>IF($A86="","",SUMIFS(Werkregels!$P$3:$P$602,Werkregels!$C$3:$C$602,$A86,Werkregels!$Q$3:$Q$602,"Verstuurd"))</f>
        <v/>
      </c>
    </row>
    <row r="87" ht="15" customHeight="1" s="42">
      <c r="A87" s="76" t="n"/>
      <c r="B87" s="77">
        <f>IF($A87="","",COUNTIFS(Werkregels!$C$3:$C$602,$A87,Werkregels!$Q$3:$Q$602,"Nog factureren")+COUNTIFS(Werkregels!$C$3:$C$602,$A87,Werkregels!$Q$3:$Q$602,"Check nodig"))</f>
        <v/>
      </c>
      <c r="C87" s="78">
        <f>IF($A87="","",SUMIFS(Werkregels!$I$3:$I$602,Werkregels!$C$3:$C$602,$A87,Werkregels!$Q$3:$Q$602,"Nog factureren")+SUMIFS(Werkregels!$I$3:$I$602,Werkregels!$C$3:$C$602,$A87,Werkregels!$Q$3:$Q$602,"Check nodig"))</f>
        <v/>
      </c>
      <c r="D87" s="79">
        <f>IF($A87="","",SUMIFS(Werkregels!$P$3:$P$602,Werkregels!$C$3:$C$602,$A87,Werkregels!$Q$3:$Q$602,"Nog factureren"))</f>
        <v/>
      </c>
      <c r="E87" s="79">
        <f>IF($A87="","",SUMIFS(Werkregels!$P$3:$P$602,Werkregels!$C$3:$C$602,$A87,Werkregels!$Q$3:$Q$602,"Concept in HERO"))</f>
        <v/>
      </c>
      <c r="F87" s="79">
        <f>IF($A87="","",SUMIFS(Werkregels!$P$3:$P$602,Werkregels!$C$3:$C$602,$A87,Werkregels!$Q$3:$Q$602,"Verstuurd"))</f>
        <v/>
      </c>
    </row>
    <row r="88" ht="15" customHeight="1" s="42">
      <c r="A88" s="63" t="n"/>
      <c r="B88" s="56">
        <f>IF($A88="","",COUNTIFS(Werkregels!$C$3:$C$602,$A88,Werkregels!$Q$3:$Q$602,"Nog factureren")+COUNTIFS(Werkregels!$C$3:$C$602,$A88,Werkregels!$Q$3:$Q$602,"Check nodig"))</f>
        <v/>
      </c>
      <c r="C88" s="61">
        <f>IF($A88="","",SUMIFS(Werkregels!$I$3:$I$602,Werkregels!$C$3:$C$602,$A88,Werkregels!$Q$3:$Q$602,"Nog factureren")+SUMIFS(Werkregels!$I$3:$I$602,Werkregels!$C$3:$C$602,$A88,Werkregels!$Q$3:$Q$602,"Check nodig"))</f>
        <v/>
      </c>
      <c r="D88" s="70">
        <f>IF($A88="","",SUMIFS(Werkregels!$P$3:$P$602,Werkregels!$C$3:$C$602,$A88,Werkregels!$Q$3:$Q$602,"Nog factureren"))</f>
        <v/>
      </c>
      <c r="E88" s="70">
        <f>IF($A88="","",SUMIFS(Werkregels!$P$3:$P$602,Werkregels!$C$3:$C$602,$A88,Werkregels!$Q$3:$Q$602,"Concept in HERO"))</f>
        <v/>
      </c>
      <c r="F88" s="70">
        <f>IF($A88="","",SUMIFS(Werkregels!$P$3:$P$602,Werkregels!$C$3:$C$602,$A88,Werkregels!$Q$3:$Q$602,"Verstuurd"))</f>
        <v/>
      </c>
    </row>
    <row r="89" ht="15" customHeight="1" s="42">
      <c r="A89" s="76" t="n"/>
      <c r="B89" s="77">
        <f>IF($A89="","",COUNTIFS(Werkregels!$C$3:$C$602,$A89,Werkregels!$Q$3:$Q$602,"Nog factureren")+COUNTIFS(Werkregels!$C$3:$C$602,$A89,Werkregels!$Q$3:$Q$602,"Check nodig"))</f>
        <v/>
      </c>
      <c r="C89" s="78">
        <f>IF($A89="","",SUMIFS(Werkregels!$I$3:$I$602,Werkregels!$C$3:$C$602,$A89,Werkregels!$Q$3:$Q$602,"Nog factureren")+SUMIFS(Werkregels!$I$3:$I$602,Werkregels!$C$3:$C$602,$A89,Werkregels!$Q$3:$Q$602,"Check nodig"))</f>
        <v/>
      </c>
      <c r="D89" s="79">
        <f>IF($A89="","",SUMIFS(Werkregels!$P$3:$P$602,Werkregels!$C$3:$C$602,$A89,Werkregels!$Q$3:$Q$602,"Nog factureren"))</f>
        <v/>
      </c>
      <c r="E89" s="79">
        <f>IF($A89="","",SUMIFS(Werkregels!$P$3:$P$602,Werkregels!$C$3:$C$602,$A89,Werkregels!$Q$3:$Q$602,"Concept in HERO"))</f>
        <v/>
      </c>
      <c r="F89" s="79">
        <f>IF($A89="","",SUMIFS(Werkregels!$P$3:$P$602,Werkregels!$C$3:$C$602,$A89,Werkregels!$Q$3:$Q$602,"Verstuurd"))</f>
        <v/>
      </c>
    </row>
    <row r="90" ht="15" customHeight="1" s="42">
      <c r="A90" s="63" t="n"/>
      <c r="B90" s="56">
        <f>IF($A90="","",COUNTIFS(Werkregels!$C$3:$C$602,$A90,Werkregels!$Q$3:$Q$602,"Nog factureren")+COUNTIFS(Werkregels!$C$3:$C$602,$A90,Werkregels!$Q$3:$Q$602,"Check nodig"))</f>
        <v/>
      </c>
      <c r="C90" s="61">
        <f>IF($A90="","",SUMIFS(Werkregels!$I$3:$I$602,Werkregels!$C$3:$C$602,$A90,Werkregels!$Q$3:$Q$602,"Nog factureren")+SUMIFS(Werkregels!$I$3:$I$602,Werkregels!$C$3:$C$602,$A90,Werkregels!$Q$3:$Q$602,"Check nodig"))</f>
        <v/>
      </c>
      <c r="D90" s="70">
        <f>IF($A90="","",SUMIFS(Werkregels!$P$3:$P$602,Werkregels!$C$3:$C$602,$A90,Werkregels!$Q$3:$Q$602,"Nog factureren"))</f>
        <v/>
      </c>
      <c r="E90" s="70">
        <f>IF($A90="","",SUMIFS(Werkregels!$P$3:$P$602,Werkregels!$C$3:$C$602,$A90,Werkregels!$Q$3:$Q$602,"Concept in HERO"))</f>
        <v/>
      </c>
      <c r="F90" s="70">
        <f>IF($A90="","",SUMIFS(Werkregels!$P$3:$P$602,Werkregels!$C$3:$C$602,$A90,Werkregels!$Q$3:$Q$602,"Verstuurd"))</f>
        <v/>
      </c>
    </row>
    <row r="91" ht="15" customHeight="1" s="42">
      <c r="A91" s="76" t="n"/>
      <c r="B91" s="77">
        <f>IF($A91="","",COUNTIFS(Werkregels!$C$3:$C$602,$A91,Werkregels!$Q$3:$Q$602,"Nog factureren")+COUNTIFS(Werkregels!$C$3:$C$602,$A91,Werkregels!$Q$3:$Q$602,"Check nodig"))</f>
        <v/>
      </c>
      <c r="C91" s="78">
        <f>IF($A91="","",SUMIFS(Werkregels!$I$3:$I$602,Werkregels!$C$3:$C$602,$A91,Werkregels!$Q$3:$Q$602,"Nog factureren")+SUMIFS(Werkregels!$I$3:$I$602,Werkregels!$C$3:$C$602,$A91,Werkregels!$Q$3:$Q$602,"Check nodig"))</f>
        <v/>
      </c>
      <c r="D91" s="79">
        <f>IF($A91="","",SUMIFS(Werkregels!$P$3:$P$602,Werkregels!$C$3:$C$602,$A91,Werkregels!$Q$3:$Q$602,"Nog factureren"))</f>
        <v/>
      </c>
      <c r="E91" s="79">
        <f>IF($A91="","",SUMIFS(Werkregels!$P$3:$P$602,Werkregels!$C$3:$C$602,$A91,Werkregels!$Q$3:$Q$602,"Concept in HERO"))</f>
        <v/>
      </c>
      <c r="F91" s="79">
        <f>IF($A91="","",SUMIFS(Werkregels!$P$3:$P$602,Werkregels!$C$3:$C$602,$A91,Werkregels!$Q$3:$Q$602,"Verstuurd"))</f>
        <v/>
      </c>
    </row>
    <row r="92" ht="15" customHeight="1" s="42">
      <c r="A92" s="63" t="n"/>
      <c r="B92" s="56">
        <f>IF($A92="","",COUNTIFS(Werkregels!$C$3:$C$602,$A92,Werkregels!$Q$3:$Q$602,"Nog factureren")+COUNTIFS(Werkregels!$C$3:$C$602,$A92,Werkregels!$Q$3:$Q$602,"Check nodig"))</f>
        <v/>
      </c>
      <c r="C92" s="61">
        <f>IF($A92="","",SUMIFS(Werkregels!$I$3:$I$602,Werkregels!$C$3:$C$602,$A92,Werkregels!$Q$3:$Q$602,"Nog factureren")+SUMIFS(Werkregels!$I$3:$I$602,Werkregels!$C$3:$C$602,$A92,Werkregels!$Q$3:$Q$602,"Check nodig"))</f>
        <v/>
      </c>
      <c r="D92" s="70">
        <f>IF($A92="","",SUMIFS(Werkregels!$P$3:$P$602,Werkregels!$C$3:$C$602,$A92,Werkregels!$Q$3:$Q$602,"Nog factureren"))</f>
        <v/>
      </c>
      <c r="E92" s="70">
        <f>IF($A92="","",SUMIFS(Werkregels!$P$3:$P$602,Werkregels!$C$3:$C$602,$A92,Werkregels!$Q$3:$Q$602,"Concept in HERO"))</f>
        <v/>
      </c>
      <c r="F92" s="70">
        <f>IF($A92="","",SUMIFS(Werkregels!$P$3:$P$602,Werkregels!$C$3:$C$602,$A92,Werkregels!$Q$3:$Q$602,"Verstuurd"))</f>
        <v/>
      </c>
    </row>
    <row r="93" ht="15" customHeight="1" s="42">
      <c r="A93" s="76" t="n"/>
      <c r="B93" s="77">
        <f>IF($A93="","",COUNTIFS(Werkregels!$C$3:$C$602,$A93,Werkregels!$Q$3:$Q$602,"Nog factureren")+COUNTIFS(Werkregels!$C$3:$C$602,$A93,Werkregels!$Q$3:$Q$602,"Check nodig"))</f>
        <v/>
      </c>
      <c r="C93" s="78">
        <f>IF($A93="","",SUMIFS(Werkregels!$I$3:$I$602,Werkregels!$C$3:$C$602,$A93,Werkregels!$Q$3:$Q$602,"Nog factureren")+SUMIFS(Werkregels!$I$3:$I$602,Werkregels!$C$3:$C$602,$A93,Werkregels!$Q$3:$Q$602,"Check nodig"))</f>
        <v/>
      </c>
      <c r="D93" s="79">
        <f>IF($A93="","",SUMIFS(Werkregels!$P$3:$P$602,Werkregels!$C$3:$C$602,$A93,Werkregels!$Q$3:$Q$602,"Nog factureren"))</f>
        <v/>
      </c>
      <c r="E93" s="79">
        <f>IF($A93="","",SUMIFS(Werkregels!$P$3:$P$602,Werkregels!$C$3:$C$602,$A93,Werkregels!$Q$3:$Q$602,"Concept in HERO"))</f>
        <v/>
      </c>
      <c r="F93" s="79">
        <f>IF($A93="","",SUMIFS(Werkregels!$P$3:$P$602,Werkregels!$C$3:$C$602,$A93,Werkregels!$Q$3:$Q$602,"Verstuurd"))</f>
        <v/>
      </c>
    </row>
    <row r="94" ht="15" customHeight="1" s="42">
      <c r="A94" s="63" t="n"/>
      <c r="B94" s="56">
        <f>IF($A94="","",COUNTIFS(Werkregels!$C$3:$C$602,$A94,Werkregels!$Q$3:$Q$602,"Nog factureren")+COUNTIFS(Werkregels!$C$3:$C$602,$A94,Werkregels!$Q$3:$Q$602,"Check nodig"))</f>
        <v/>
      </c>
      <c r="C94" s="61">
        <f>IF($A94="","",SUMIFS(Werkregels!$I$3:$I$602,Werkregels!$C$3:$C$602,$A94,Werkregels!$Q$3:$Q$602,"Nog factureren")+SUMIFS(Werkregels!$I$3:$I$602,Werkregels!$C$3:$C$602,$A94,Werkregels!$Q$3:$Q$602,"Check nodig"))</f>
        <v/>
      </c>
      <c r="D94" s="70">
        <f>IF($A94="","",SUMIFS(Werkregels!$P$3:$P$602,Werkregels!$C$3:$C$602,$A94,Werkregels!$Q$3:$Q$602,"Nog factureren"))</f>
        <v/>
      </c>
      <c r="E94" s="70">
        <f>IF($A94="","",SUMIFS(Werkregels!$P$3:$P$602,Werkregels!$C$3:$C$602,$A94,Werkregels!$Q$3:$Q$602,"Concept in HERO"))</f>
        <v/>
      </c>
      <c r="F94" s="70">
        <f>IF($A94="","",SUMIFS(Werkregels!$P$3:$P$602,Werkregels!$C$3:$C$602,$A94,Werkregels!$Q$3:$Q$602,"Verstuurd"))</f>
        <v/>
      </c>
    </row>
    <row r="95" ht="15" customHeight="1" s="42">
      <c r="A95" s="76" t="n"/>
      <c r="B95" s="77">
        <f>IF($A95="","",COUNTIFS(Werkregels!$C$3:$C$602,$A95,Werkregels!$Q$3:$Q$602,"Nog factureren")+COUNTIFS(Werkregels!$C$3:$C$602,$A95,Werkregels!$Q$3:$Q$602,"Check nodig"))</f>
        <v/>
      </c>
      <c r="C95" s="78">
        <f>IF($A95="","",SUMIFS(Werkregels!$I$3:$I$602,Werkregels!$C$3:$C$602,$A95,Werkregels!$Q$3:$Q$602,"Nog factureren")+SUMIFS(Werkregels!$I$3:$I$602,Werkregels!$C$3:$C$602,$A95,Werkregels!$Q$3:$Q$602,"Check nodig"))</f>
        <v/>
      </c>
      <c r="D95" s="79">
        <f>IF($A95="","",SUMIFS(Werkregels!$P$3:$P$602,Werkregels!$C$3:$C$602,$A95,Werkregels!$Q$3:$Q$602,"Nog factureren"))</f>
        <v/>
      </c>
      <c r="E95" s="79">
        <f>IF($A95="","",SUMIFS(Werkregels!$P$3:$P$602,Werkregels!$C$3:$C$602,$A95,Werkregels!$Q$3:$Q$602,"Concept in HERO"))</f>
        <v/>
      </c>
      <c r="F95" s="79">
        <f>IF($A95="","",SUMIFS(Werkregels!$P$3:$P$602,Werkregels!$C$3:$C$602,$A95,Werkregels!$Q$3:$Q$602,"Verstuurd"))</f>
        <v/>
      </c>
    </row>
    <row r="96" ht="15" customHeight="1" s="42">
      <c r="A96" s="63" t="n"/>
      <c r="B96" s="56">
        <f>IF($A96="","",COUNTIFS(Werkregels!$C$3:$C$602,$A96,Werkregels!$Q$3:$Q$602,"Nog factureren")+COUNTIFS(Werkregels!$C$3:$C$602,$A96,Werkregels!$Q$3:$Q$602,"Check nodig"))</f>
        <v/>
      </c>
      <c r="C96" s="61">
        <f>IF($A96="","",SUMIFS(Werkregels!$I$3:$I$602,Werkregels!$C$3:$C$602,$A96,Werkregels!$Q$3:$Q$602,"Nog factureren")+SUMIFS(Werkregels!$I$3:$I$602,Werkregels!$C$3:$C$602,$A96,Werkregels!$Q$3:$Q$602,"Check nodig"))</f>
        <v/>
      </c>
      <c r="D96" s="70">
        <f>IF($A96="","",SUMIFS(Werkregels!$P$3:$P$602,Werkregels!$C$3:$C$602,$A96,Werkregels!$Q$3:$Q$602,"Nog factureren"))</f>
        <v/>
      </c>
      <c r="E96" s="70">
        <f>IF($A96="","",SUMIFS(Werkregels!$P$3:$P$602,Werkregels!$C$3:$C$602,$A96,Werkregels!$Q$3:$Q$602,"Concept in HERO"))</f>
        <v/>
      </c>
      <c r="F96" s="70">
        <f>IF($A96="","",SUMIFS(Werkregels!$P$3:$P$602,Werkregels!$C$3:$C$602,$A96,Werkregels!$Q$3:$Q$602,"Verstuurd"))</f>
        <v/>
      </c>
    </row>
    <row r="97" ht="15" customHeight="1" s="42">
      <c r="A97" s="76" t="n"/>
      <c r="B97" s="77">
        <f>IF($A97="","",COUNTIFS(Werkregels!$C$3:$C$602,$A97,Werkregels!$Q$3:$Q$602,"Nog factureren")+COUNTIFS(Werkregels!$C$3:$C$602,$A97,Werkregels!$Q$3:$Q$602,"Check nodig"))</f>
        <v/>
      </c>
      <c r="C97" s="78">
        <f>IF($A97="","",SUMIFS(Werkregels!$I$3:$I$602,Werkregels!$C$3:$C$602,$A97,Werkregels!$Q$3:$Q$602,"Nog factureren")+SUMIFS(Werkregels!$I$3:$I$602,Werkregels!$C$3:$C$602,$A97,Werkregels!$Q$3:$Q$602,"Check nodig"))</f>
        <v/>
      </c>
      <c r="D97" s="79">
        <f>IF($A97="","",SUMIFS(Werkregels!$P$3:$P$602,Werkregels!$C$3:$C$602,$A97,Werkregels!$Q$3:$Q$602,"Nog factureren"))</f>
        <v/>
      </c>
      <c r="E97" s="79">
        <f>IF($A97="","",SUMIFS(Werkregels!$P$3:$P$602,Werkregels!$C$3:$C$602,$A97,Werkregels!$Q$3:$Q$602,"Concept in HERO"))</f>
        <v/>
      </c>
      <c r="F97" s="79">
        <f>IF($A97="","",SUMIFS(Werkregels!$P$3:$P$602,Werkregels!$C$3:$C$602,$A97,Werkregels!$Q$3:$Q$602,"Verstuurd"))</f>
        <v/>
      </c>
    </row>
    <row r="98" ht="15" customHeight="1" s="42">
      <c r="A98" s="63" t="n"/>
      <c r="B98" s="56">
        <f>IF($A98="","",COUNTIFS(Werkregels!$C$3:$C$602,$A98,Werkregels!$Q$3:$Q$602,"Nog factureren")+COUNTIFS(Werkregels!$C$3:$C$602,$A98,Werkregels!$Q$3:$Q$602,"Check nodig"))</f>
        <v/>
      </c>
      <c r="C98" s="61">
        <f>IF($A98="","",SUMIFS(Werkregels!$I$3:$I$602,Werkregels!$C$3:$C$602,$A98,Werkregels!$Q$3:$Q$602,"Nog factureren")+SUMIFS(Werkregels!$I$3:$I$602,Werkregels!$C$3:$C$602,$A98,Werkregels!$Q$3:$Q$602,"Check nodig"))</f>
        <v/>
      </c>
      <c r="D98" s="70">
        <f>IF($A98="","",SUMIFS(Werkregels!$P$3:$P$602,Werkregels!$C$3:$C$602,$A98,Werkregels!$Q$3:$Q$602,"Nog factureren"))</f>
        <v/>
      </c>
      <c r="E98" s="70">
        <f>IF($A98="","",SUMIFS(Werkregels!$P$3:$P$602,Werkregels!$C$3:$C$602,$A98,Werkregels!$Q$3:$Q$602,"Concept in HERO"))</f>
        <v/>
      </c>
      <c r="F98" s="70">
        <f>IF($A98="","",SUMIFS(Werkregels!$P$3:$P$602,Werkregels!$C$3:$C$602,$A98,Werkregels!$Q$3:$Q$602,"Verstuurd"))</f>
        <v/>
      </c>
    </row>
    <row r="99" ht="15" customHeight="1" s="42">
      <c r="A99" s="76" t="n"/>
      <c r="B99" s="77">
        <f>IF($A99="","",COUNTIFS(Werkregels!$C$3:$C$602,$A99,Werkregels!$Q$3:$Q$602,"Nog factureren")+COUNTIFS(Werkregels!$C$3:$C$602,$A99,Werkregels!$Q$3:$Q$602,"Check nodig"))</f>
        <v/>
      </c>
      <c r="C99" s="78">
        <f>IF($A99="","",SUMIFS(Werkregels!$I$3:$I$602,Werkregels!$C$3:$C$602,$A99,Werkregels!$Q$3:$Q$602,"Nog factureren")+SUMIFS(Werkregels!$I$3:$I$602,Werkregels!$C$3:$C$602,$A99,Werkregels!$Q$3:$Q$602,"Check nodig"))</f>
        <v/>
      </c>
      <c r="D99" s="79">
        <f>IF($A99="","",SUMIFS(Werkregels!$P$3:$P$602,Werkregels!$C$3:$C$602,$A99,Werkregels!$Q$3:$Q$602,"Nog factureren"))</f>
        <v/>
      </c>
      <c r="E99" s="79">
        <f>IF($A99="","",SUMIFS(Werkregels!$P$3:$P$602,Werkregels!$C$3:$C$602,$A99,Werkregels!$Q$3:$Q$602,"Concept in HERO"))</f>
        <v/>
      </c>
      <c r="F99" s="79">
        <f>IF($A99="","",SUMIFS(Werkregels!$P$3:$P$602,Werkregels!$C$3:$C$602,$A99,Werkregels!$Q$3:$Q$602,"Verstuurd"))</f>
        <v/>
      </c>
    </row>
    <row r="100" ht="15" customHeight="1" s="42">
      <c r="A100" s="63" t="n"/>
      <c r="B100" s="56">
        <f>IF($A100="","",COUNTIFS(Werkregels!$C$3:$C$602,$A100,Werkregels!$Q$3:$Q$602,"Nog factureren")+COUNTIFS(Werkregels!$C$3:$C$602,$A100,Werkregels!$Q$3:$Q$602,"Check nodig"))</f>
        <v/>
      </c>
      <c r="C100" s="61">
        <f>IF($A100="","",SUMIFS(Werkregels!$I$3:$I$602,Werkregels!$C$3:$C$602,$A100,Werkregels!$Q$3:$Q$602,"Nog factureren")+SUMIFS(Werkregels!$I$3:$I$602,Werkregels!$C$3:$C$602,$A100,Werkregels!$Q$3:$Q$602,"Check nodig"))</f>
        <v/>
      </c>
      <c r="D100" s="70">
        <f>IF($A100="","",SUMIFS(Werkregels!$P$3:$P$602,Werkregels!$C$3:$C$602,$A100,Werkregels!$Q$3:$Q$602,"Nog factureren"))</f>
        <v/>
      </c>
      <c r="E100" s="70">
        <f>IF($A100="","",SUMIFS(Werkregels!$P$3:$P$602,Werkregels!$C$3:$C$602,$A100,Werkregels!$Q$3:$Q$602,"Concept in HERO"))</f>
        <v/>
      </c>
      <c r="F100" s="70">
        <f>IF($A100="","",SUMIFS(Werkregels!$P$3:$P$602,Werkregels!$C$3:$C$602,$A100,Werkregels!$Q$3:$Q$602,"Verstuurd"))</f>
        <v/>
      </c>
    </row>
    <row r="101" ht="15" customHeight="1" s="42">
      <c r="A101" s="76" t="n"/>
      <c r="B101" s="77">
        <f>IF($A101="","",COUNTIFS(Werkregels!$C$3:$C$602,$A101,Werkregels!$Q$3:$Q$602,"Nog factureren")+COUNTIFS(Werkregels!$C$3:$C$602,$A101,Werkregels!$Q$3:$Q$602,"Check nodig"))</f>
        <v/>
      </c>
      <c r="C101" s="78">
        <f>IF($A101="","",SUMIFS(Werkregels!$I$3:$I$602,Werkregels!$C$3:$C$602,$A101,Werkregels!$Q$3:$Q$602,"Nog factureren")+SUMIFS(Werkregels!$I$3:$I$602,Werkregels!$C$3:$C$602,$A101,Werkregels!$Q$3:$Q$602,"Check nodig"))</f>
        <v/>
      </c>
      <c r="D101" s="79">
        <f>IF($A101="","",SUMIFS(Werkregels!$P$3:$P$602,Werkregels!$C$3:$C$602,$A101,Werkregels!$Q$3:$Q$602,"Nog factureren"))</f>
        <v/>
      </c>
      <c r="E101" s="79">
        <f>IF($A101="","",SUMIFS(Werkregels!$P$3:$P$602,Werkregels!$C$3:$C$602,$A101,Werkregels!$Q$3:$Q$602,"Concept in HERO"))</f>
        <v/>
      </c>
      <c r="F101" s="79">
        <f>IF($A101="","",SUMIFS(Werkregels!$P$3:$P$602,Werkregels!$C$3:$C$602,$A101,Werkregels!$Q$3:$Q$602,"Verstuurd"))</f>
        <v/>
      </c>
    </row>
    <row r="102" ht="15" customHeight="1" s="42">
      <c r="A102" s="63" t="n"/>
      <c r="B102" s="56">
        <f>IF($A102="","",COUNTIFS(Werkregels!$C$3:$C$602,$A102,Werkregels!$Q$3:$Q$602,"Nog factureren")+COUNTIFS(Werkregels!$C$3:$C$602,$A102,Werkregels!$Q$3:$Q$602,"Check nodig"))</f>
        <v/>
      </c>
      <c r="C102" s="61">
        <f>IF($A102="","",SUMIFS(Werkregels!$I$3:$I$602,Werkregels!$C$3:$C$602,$A102,Werkregels!$Q$3:$Q$602,"Nog factureren")+SUMIFS(Werkregels!$I$3:$I$602,Werkregels!$C$3:$C$602,$A102,Werkregels!$Q$3:$Q$602,"Check nodig"))</f>
        <v/>
      </c>
      <c r="D102" s="70">
        <f>IF($A102="","",SUMIFS(Werkregels!$P$3:$P$602,Werkregels!$C$3:$C$602,$A102,Werkregels!$Q$3:$Q$602,"Nog factureren"))</f>
        <v/>
      </c>
      <c r="E102" s="70">
        <f>IF($A102="","",SUMIFS(Werkregels!$P$3:$P$602,Werkregels!$C$3:$C$602,$A102,Werkregels!$Q$3:$Q$602,"Concept in HERO"))</f>
        <v/>
      </c>
      <c r="F102" s="70">
        <f>IF($A102="","",SUMIFS(Werkregels!$P$3:$P$602,Werkregels!$C$3:$C$602,$A102,Werkregels!$Q$3:$Q$602,"Verstuurd"))</f>
        <v/>
      </c>
    </row>
    <row r="103" ht="15" customHeight="1" s="42">
      <c r="A103" s="76" t="n"/>
      <c r="B103" s="77">
        <f>IF($A103="","",COUNTIFS(Werkregels!$C$3:$C$602,$A103,Werkregels!$Q$3:$Q$602,"Nog factureren")+COUNTIFS(Werkregels!$C$3:$C$602,$A103,Werkregels!$Q$3:$Q$602,"Check nodig"))</f>
        <v/>
      </c>
      <c r="C103" s="78">
        <f>IF($A103="","",SUMIFS(Werkregels!$I$3:$I$602,Werkregels!$C$3:$C$602,$A103,Werkregels!$Q$3:$Q$602,"Nog factureren")+SUMIFS(Werkregels!$I$3:$I$602,Werkregels!$C$3:$C$602,$A103,Werkregels!$Q$3:$Q$602,"Check nodig"))</f>
        <v/>
      </c>
      <c r="D103" s="79">
        <f>IF($A103="","",SUMIFS(Werkregels!$P$3:$P$602,Werkregels!$C$3:$C$602,$A103,Werkregels!$Q$3:$Q$602,"Nog factureren"))</f>
        <v/>
      </c>
      <c r="E103" s="79">
        <f>IF($A103="","",SUMIFS(Werkregels!$P$3:$P$602,Werkregels!$C$3:$C$602,$A103,Werkregels!$Q$3:$Q$602,"Concept in HERO"))</f>
        <v/>
      </c>
      <c r="F103" s="79">
        <f>IF($A103="","",SUMIFS(Werkregels!$P$3:$P$602,Werkregels!$C$3:$C$602,$A103,Werkregels!$Q$3:$Q$602,"Verstuurd"))</f>
        <v/>
      </c>
    </row>
    <row r="104" ht="15" customHeight="1" s="42">
      <c r="A104" s="63" t="n"/>
      <c r="B104" s="56">
        <f>IF($A104="","",COUNTIFS(Werkregels!$C$3:$C$602,$A104,Werkregels!$Q$3:$Q$602,"Nog factureren")+COUNTIFS(Werkregels!$C$3:$C$602,$A104,Werkregels!$Q$3:$Q$602,"Check nodig"))</f>
        <v/>
      </c>
      <c r="C104" s="61">
        <f>IF($A104="","",SUMIFS(Werkregels!$I$3:$I$602,Werkregels!$C$3:$C$602,$A104,Werkregels!$Q$3:$Q$602,"Nog factureren")+SUMIFS(Werkregels!$I$3:$I$602,Werkregels!$C$3:$C$602,$A104,Werkregels!$Q$3:$Q$602,"Check nodig"))</f>
        <v/>
      </c>
      <c r="D104" s="70">
        <f>IF($A104="","",SUMIFS(Werkregels!$P$3:$P$602,Werkregels!$C$3:$C$602,$A104,Werkregels!$Q$3:$Q$602,"Nog factureren"))</f>
        <v/>
      </c>
      <c r="E104" s="70">
        <f>IF($A104="","",SUMIFS(Werkregels!$P$3:$P$602,Werkregels!$C$3:$C$602,$A104,Werkregels!$Q$3:$Q$602,"Concept in HERO"))</f>
        <v/>
      </c>
      <c r="F104" s="70">
        <f>IF($A104="","",SUMIFS(Werkregels!$P$3:$P$602,Werkregels!$C$3:$C$602,$A104,Werkregels!$Q$3:$Q$602,"Verstuurd"))</f>
        <v/>
      </c>
    </row>
    <row r="105" ht="15" customHeight="1" s="42">
      <c r="A105" s="76" t="n"/>
      <c r="B105" s="77">
        <f>IF($A105="","",COUNTIFS(Werkregels!$C$3:$C$602,$A105,Werkregels!$Q$3:$Q$602,"Nog factureren")+COUNTIFS(Werkregels!$C$3:$C$602,$A105,Werkregels!$Q$3:$Q$602,"Check nodig"))</f>
        <v/>
      </c>
      <c r="C105" s="78">
        <f>IF($A105="","",SUMIFS(Werkregels!$I$3:$I$602,Werkregels!$C$3:$C$602,$A105,Werkregels!$Q$3:$Q$602,"Nog factureren")+SUMIFS(Werkregels!$I$3:$I$602,Werkregels!$C$3:$C$602,$A105,Werkregels!$Q$3:$Q$602,"Check nodig"))</f>
        <v/>
      </c>
      <c r="D105" s="79">
        <f>IF($A105="","",SUMIFS(Werkregels!$P$3:$P$602,Werkregels!$C$3:$C$602,$A105,Werkregels!$Q$3:$Q$602,"Nog factureren"))</f>
        <v/>
      </c>
      <c r="E105" s="79">
        <f>IF($A105="","",SUMIFS(Werkregels!$P$3:$P$602,Werkregels!$C$3:$C$602,$A105,Werkregels!$Q$3:$Q$602,"Concept in HERO"))</f>
        <v/>
      </c>
      <c r="F105" s="79">
        <f>IF($A105="","",SUMIFS(Werkregels!$P$3:$P$602,Werkregels!$C$3:$C$602,$A105,Werkregels!$Q$3:$Q$602,"Verstuurd"))</f>
        <v/>
      </c>
    </row>
    <row r="106" ht="15" customHeight="1" s="42">
      <c r="A106" s="63" t="n"/>
      <c r="B106" s="56">
        <f>IF($A106="","",COUNTIFS(Werkregels!$C$3:$C$602,$A106,Werkregels!$Q$3:$Q$602,"Nog factureren")+COUNTIFS(Werkregels!$C$3:$C$602,$A106,Werkregels!$Q$3:$Q$602,"Check nodig"))</f>
        <v/>
      </c>
      <c r="C106" s="61">
        <f>IF($A106="","",SUMIFS(Werkregels!$I$3:$I$602,Werkregels!$C$3:$C$602,$A106,Werkregels!$Q$3:$Q$602,"Nog factureren")+SUMIFS(Werkregels!$I$3:$I$602,Werkregels!$C$3:$C$602,$A106,Werkregels!$Q$3:$Q$602,"Check nodig"))</f>
        <v/>
      </c>
      <c r="D106" s="70">
        <f>IF($A106="","",SUMIFS(Werkregels!$P$3:$P$602,Werkregels!$C$3:$C$602,$A106,Werkregels!$Q$3:$Q$602,"Nog factureren"))</f>
        <v/>
      </c>
      <c r="E106" s="70">
        <f>IF($A106="","",SUMIFS(Werkregels!$P$3:$P$602,Werkregels!$C$3:$C$602,$A106,Werkregels!$Q$3:$Q$602,"Concept in HERO"))</f>
        <v/>
      </c>
      <c r="F106" s="70">
        <f>IF($A106="","",SUMIFS(Werkregels!$P$3:$P$602,Werkregels!$C$3:$C$602,$A106,Werkregels!$Q$3:$Q$602,"Verstuurd"))</f>
        <v/>
      </c>
    </row>
    <row r="107" ht="15" customHeight="1" s="42">
      <c r="A107" s="76" t="n"/>
      <c r="B107" s="77">
        <f>IF($A107="","",COUNTIFS(Werkregels!$C$3:$C$602,$A107,Werkregels!$Q$3:$Q$602,"Nog factureren")+COUNTIFS(Werkregels!$C$3:$C$602,$A107,Werkregels!$Q$3:$Q$602,"Check nodig"))</f>
        <v/>
      </c>
      <c r="C107" s="78">
        <f>IF($A107="","",SUMIFS(Werkregels!$I$3:$I$602,Werkregels!$C$3:$C$602,$A107,Werkregels!$Q$3:$Q$602,"Nog factureren")+SUMIFS(Werkregels!$I$3:$I$602,Werkregels!$C$3:$C$602,$A107,Werkregels!$Q$3:$Q$602,"Check nodig"))</f>
        <v/>
      </c>
      <c r="D107" s="79">
        <f>IF($A107="","",SUMIFS(Werkregels!$P$3:$P$602,Werkregels!$C$3:$C$602,$A107,Werkregels!$Q$3:$Q$602,"Nog factureren"))</f>
        <v/>
      </c>
      <c r="E107" s="79">
        <f>IF($A107="","",SUMIFS(Werkregels!$P$3:$P$602,Werkregels!$C$3:$C$602,$A107,Werkregels!$Q$3:$Q$602,"Concept in HERO"))</f>
        <v/>
      </c>
      <c r="F107" s="79">
        <f>IF($A107="","",SUMIFS(Werkregels!$P$3:$P$602,Werkregels!$C$3:$C$602,$A107,Werkregels!$Q$3:$Q$602,"Verstuurd"))</f>
        <v/>
      </c>
    </row>
    <row r="108" ht="15" customHeight="1" s="42">
      <c r="A108" s="63" t="n"/>
      <c r="B108" s="56">
        <f>IF($A108="","",COUNTIFS(Werkregels!$C$3:$C$602,$A108,Werkregels!$Q$3:$Q$602,"Nog factureren")+COUNTIFS(Werkregels!$C$3:$C$602,$A108,Werkregels!$Q$3:$Q$602,"Check nodig"))</f>
        <v/>
      </c>
      <c r="C108" s="61">
        <f>IF($A108="","",SUMIFS(Werkregels!$I$3:$I$602,Werkregels!$C$3:$C$602,$A108,Werkregels!$Q$3:$Q$602,"Nog factureren")+SUMIFS(Werkregels!$I$3:$I$602,Werkregels!$C$3:$C$602,$A108,Werkregels!$Q$3:$Q$602,"Check nodig"))</f>
        <v/>
      </c>
      <c r="D108" s="70">
        <f>IF($A108="","",SUMIFS(Werkregels!$P$3:$P$602,Werkregels!$C$3:$C$602,$A108,Werkregels!$Q$3:$Q$602,"Nog factureren"))</f>
        <v/>
      </c>
      <c r="E108" s="70">
        <f>IF($A108="","",SUMIFS(Werkregels!$P$3:$P$602,Werkregels!$C$3:$C$602,$A108,Werkregels!$Q$3:$Q$602,"Concept in HERO"))</f>
        <v/>
      </c>
      <c r="F108" s="70">
        <f>IF($A108="","",SUMIFS(Werkregels!$P$3:$P$602,Werkregels!$C$3:$C$602,$A108,Werkregels!$Q$3:$Q$602,"Verstuurd"))</f>
        <v/>
      </c>
    </row>
    <row r="109" ht="15" customHeight="1" s="42">
      <c r="A109" s="76" t="n"/>
      <c r="B109" s="77">
        <f>IF($A109="","",COUNTIFS(Werkregels!$C$3:$C$602,$A109,Werkregels!$Q$3:$Q$602,"Nog factureren")+COUNTIFS(Werkregels!$C$3:$C$602,$A109,Werkregels!$Q$3:$Q$602,"Check nodig"))</f>
        <v/>
      </c>
      <c r="C109" s="78">
        <f>IF($A109="","",SUMIFS(Werkregels!$I$3:$I$602,Werkregels!$C$3:$C$602,$A109,Werkregels!$Q$3:$Q$602,"Nog factureren")+SUMIFS(Werkregels!$I$3:$I$602,Werkregels!$C$3:$C$602,$A109,Werkregels!$Q$3:$Q$602,"Check nodig"))</f>
        <v/>
      </c>
      <c r="D109" s="79">
        <f>IF($A109="","",SUMIFS(Werkregels!$P$3:$P$602,Werkregels!$C$3:$C$602,$A109,Werkregels!$Q$3:$Q$602,"Nog factureren"))</f>
        <v/>
      </c>
      <c r="E109" s="79">
        <f>IF($A109="","",SUMIFS(Werkregels!$P$3:$P$602,Werkregels!$C$3:$C$602,$A109,Werkregels!$Q$3:$Q$602,"Concept in HERO"))</f>
        <v/>
      </c>
      <c r="F109" s="79">
        <f>IF($A109="","",SUMIFS(Werkregels!$P$3:$P$602,Werkregels!$C$3:$C$602,$A109,Werkregels!$Q$3:$Q$602,"Verstuurd"))</f>
        <v/>
      </c>
    </row>
    <row r="110" ht="15" customHeight="1" s="42">
      <c r="A110" s="63" t="n"/>
      <c r="B110" s="56">
        <f>IF($A110="","",COUNTIFS(Werkregels!$C$3:$C$602,$A110,Werkregels!$Q$3:$Q$602,"Nog factureren")+COUNTIFS(Werkregels!$C$3:$C$602,$A110,Werkregels!$Q$3:$Q$602,"Check nodig"))</f>
        <v/>
      </c>
      <c r="C110" s="61">
        <f>IF($A110="","",SUMIFS(Werkregels!$I$3:$I$602,Werkregels!$C$3:$C$602,$A110,Werkregels!$Q$3:$Q$602,"Nog factureren")+SUMIFS(Werkregels!$I$3:$I$602,Werkregels!$C$3:$C$602,$A110,Werkregels!$Q$3:$Q$602,"Check nodig"))</f>
        <v/>
      </c>
      <c r="D110" s="70">
        <f>IF($A110="","",SUMIFS(Werkregels!$P$3:$P$602,Werkregels!$C$3:$C$602,$A110,Werkregels!$Q$3:$Q$602,"Nog factureren"))</f>
        <v/>
      </c>
      <c r="E110" s="70">
        <f>IF($A110="","",SUMIFS(Werkregels!$P$3:$P$602,Werkregels!$C$3:$C$602,$A110,Werkregels!$Q$3:$Q$602,"Concept in HERO"))</f>
        <v/>
      </c>
      <c r="F110" s="70">
        <f>IF($A110="","",SUMIFS(Werkregels!$P$3:$P$602,Werkregels!$C$3:$C$602,$A110,Werkregels!$Q$3:$Q$602,"Verstuurd"))</f>
        <v/>
      </c>
    </row>
    <row r="111" ht="15" customHeight="1" s="42">
      <c r="A111" s="76" t="n"/>
      <c r="B111" s="77">
        <f>IF($A111="","",COUNTIFS(Werkregels!$C$3:$C$602,$A111,Werkregels!$Q$3:$Q$602,"Nog factureren")+COUNTIFS(Werkregels!$C$3:$C$602,$A111,Werkregels!$Q$3:$Q$602,"Check nodig"))</f>
        <v/>
      </c>
      <c r="C111" s="78">
        <f>IF($A111="","",SUMIFS(Werkregels!$I$3:$I$602,Werkregels!$C$3:$C$602,$A111,Werkregels!$Q$3:$Q$602,"Nog factureren")+SUMIFS(Werkregels!$I$3:$I$602,Werkregels!$C$3:$C$602,$A111,Werkregels!$Q$3:$Q$602,"Check nodig"))</f>
        <v/>
      </c>
      <c r="D111" s="79">
        <f>IF($A111="","",SUMIFS(Werkregels!$P$3:$P$602,Werkregels!$C$3:$C$602,$A111,Werkregels!$Q$3:$Q$602,"Nog factureren"))</f>
        <v/>
      </c>
      <c r="E111" s="79">
        <f>IF($A111="","",SUMIFS(Werkregels!$P$3:$P$602,Werkregels!$C$3:$C$602,$A111,Werkregels!$Q$3:$Q$602,"Concept in HERO"))</f>
        <v/>
      </c>
      <c r="F111" s="79">
        <f>IF($A111="","",SUMIFS(Werkregels!$P$3:$P$602,Werkregels!$C$3:$C$602,$A111,Werkregels!$Q$3:$Q$602,"Verstuurd"))</f>
        <v/>
      </c>
    </row>
    <row r="112" ht="15" customHeight="1" s="42">
      <c r="A112" s="63" t="n"/>
      <c r="B112" s="56">
        <f>IF($A112="","",COUNTIFS(Werkregels!$C$3:$C$602,$A112,Werkregels!$Q$3:$Q$602,"Nog factureren")+COUNTIFS(Werkregels!$C$3:$C$602,$A112,Werkregels!$Q$3:$Q$602,"Check nodig"))</f>
        <v/>
      </c>
      <c r="C112" s="61">
        <f>IF($A112="","",SUMIFS(Werkregels!$I$3:$I$602,Werkregels!$C$3:$C$602,$A112,Werkregels!$Q$3:$Q$602,"Nog factureren")+SUMIFS(Werkregels!$I$3:$I$602,Werkregels!$C$3:$C$602,$A112,Werkregels!$Q$3:$Q$602,"Check nodig"))</f>
        <v/>
      </c>
      <c r="D112" s="70">
        <f>IF($A112="","",SUMIFS(Werkregels!$P$3:$P$602,Werkregels!$C$3:$C$602,$A112,Werkregels!$Q$3:$Q$602,"Nog factureren"))</f>
        <v/>
      </c>
      <c r="E112" s="70">
        <f>IF($A112="","",SUMIFS(Werkregels!$P$3:$P$602,Werkregels!$C$3:$C$602,$A112,Werkregels!$Q$3:$Q$602,"Concept in HERO"))</f>
        <v/>
      </c>
      <c r="F112" s="70">
        <f>IF($A112="","",SUMIFS(Werkregels!$P$3:$P$602,Werkregels!$C$3:$C$602,$A112,Werkregels!$Q$3:$Q$602,"Verstuurd"))</f>
        <v/>
      </c>
    </row>
    <row r="113" ht="15" customHeight="1" s="42">
      <c r="A113" s="76" t="n"/>
      <c r="B113" s="77">
        <f>IF($A113="","",COUNTIFS(Werkregels!$C$3:$C$602,$A113,Werkregels!$Q$3:$Q$602,"Nog factureren")+COUNTIFS(Werkregels!$C$3:$C$602,$A113,Werkregels!$Q$3:$Q$602,"Check nodig"))</f>
        <v/>
      </c>
      <c r="C113" s="78">
        <f>IF($A113="","",SUMIFS(Werkregels!$I$3:$I$602,Werkregels!$C$3:$C$602,$A113,Werkregels!$Q$3:$Q$602,"Nog factureren")+SUMIFS(Werkregels!$I$3:$I$602,Werkregels!$C$3:$C$602,$A113,Werkregels!$Q$3:$Q$602,"Check nodig"))</f>
        <v/>
      </c>
      <c r="D113" s="79">
        <f>IF($A113="","",SUMIFS(Werkregels!$P$3:$P$602,Werkregels!$C$3:$C$602,$A113,Werkregels!$Q$3:$Q$602,"Nog factureren"))</f>
        <v/>
      </c>
      <c r="E113" s="79">
        <f>IF($A113="","",SUMIFS(Werkregels!$P$3:$P$602,Werkregels!$C$3:$C$602,$A113,Werkregels!$Q$3:$Q$602,"Concept in HERO"))</f>
        <v/>
      </c>
      <c r="F113" s="79">
        <f>IF($A113="","",SUMIFS(Werkregels!$P$3:$P$602,Werkregels!$C$3:$C$602,$A113,Werkregels!$Q$3:$Q$602,"Verstuurd"))</f>
        <v/>
      </c>
    </row>
    <row r="114" ht="15" customHeight="1" s="42">
      <c r="A114" s="63" t="n"/>
      <c r="B114" s="56">
        <f>IF($A114="","",COUNTIFS(Werkregels!$C$3:$C$602,$A114,Werkregels!$Q$3:$Q$602,"Nog factureren")+COUNTIFS(Werkregels!$C$3:$C$602,$A114,Werkregels!$Q$3:$Q$602,"Check nodig"))</f>
        <v/>
      </c>
      <c r="C114" s="61">
        <f>IF($A114="","",SUMIFS(Werkregels!$I$3:$I$602,Werkregels!$C$3:$C$602,$A114,Werkregels!$Q$3:$Q$602,"Nog factureren")+SUMIFS(Werkregels!$I$3:$I$602,Werkregels!$C$3:$C$602,$A114,Werkregels!$Q$3:$Q$602,"Check nodig"))</f>
        <v/>
      </c>
      <c r="D114" s="70">
        <f>IF($A114="","",SUMIFS(Werkregels!$P$3:$P$602,Werkregels!$C$3:$C$602,$A114,Werkregels!$Q$3:$Q$602,"Nog factureren"))</f>
        <v/>
      </c>
      <c r="E114" s="70">
        <f>IF($A114="","",SUMIFS(Werkregels!$P$3:$P$602,Werkregels!$C$3:$C$602,$A114,Werkregels!$Q$3:$Q$602,"Concept in HERO"))</f>
        <v/>
      </c>
      <c r="F114" s="70">
        <f>IF($A114="","",SUMIFS(Werkregels!$P$3:$P$602,Werkregels!$C$3:$C$602,$A114,Werkregels!$Q$3:$Q$602,"Verstuurd"))</f>
        <v/>
      </c>
    </row>
    <row r="115" ht="15" customHeight="1" s="42">
      <c r="A115" s="76" t="n"/>
      <c r="B115" s="77">
        <f>IF($A115="","",COUNTIFS(Werkregels!$C$3:$C$602,$A115,Werkregels!$Q$3:$Q$602,"Nog factureren")+COUNTIFS(Werkregels!$C$3:$C$602,$A115,Werkregels!$Q$3:$Q$602,"Check nodig"))</f>
        <v/>
      </c>
      <c r="C115" s="78">
        <f>IF($A115="","",SUMIFS(Werkregels!$I$3:$I$602,Werkregels!$C$3:$C$602,$A115,Werkregels!$Q$3:$Q$602,"Nog factureren")+SUMIFS(Werkregels!$I$3:$I$602,Werkregels!$C$3:$C$602,$A115,Werkregels!$Q$3:$Q$602,"Check nodig"))</f>
        <v/>
      </c>
      <c r="D115" s="79">
        <f>IF($A115="","",SUMIFS(Werkregels!$P$3:$P$602,Werkregels!$C$3:$C$602,$A115,Werkregels!$Q$3:$Q$602,"Nog factureren"))</f>
        <v/>
      </c>
      <c r="E115" s="79">
        <f>IF($A115="","",SUMIFS(Werkregels!$P$3:$P$602,Werkregels!$C$3:$C$602,$A115,Werkregels!$Q$3:$Q$602,"Concept in HERO"))</f>
        <v/>
      </c>
      <c r="F115" s="79">
        <f>IF($A115="","",SUMIFS(Werkregels!$P$3:$P$602,Werkregels!$C$3:$C$602,$A115,Werkregels!$Q$3:$Q$602,"Verstuurd"))</f>
        <v/>
      </c>
    </row>
    <row r="116" ht="15" customHeight="1" s="42">
      <c r="A116" s="63" t="n"/>
      <c r="B116" s="56">
        <f>IF($A116="","",COUNTIFS(Werkregels!$C$3:$C$602,$A116,Werkregels!$Q$3:$Q$602,"Nog factureren")+COUNTIFS(Werkregels!$C$3:$C$602,$A116,Werkregels!$Q$3:$Q$602,"Check nodig"))</f>
        <v/>
      </c>
      <c r="C116" s="61">
        <f>IF($A116="","",SUMIFS(Werkregels!$I$3:$I$602,Werkregels!$C$3:$C$602,$A116,Werkregels!$Q$3:$Q$602,"Nog factureren")+SUMIFS(Werkregels!$I$3:$I$602,Werkregels!$C$3:$C$602,$A116,Werkregels!$Q$3:$Q$602,"Check nodig"))</f>
        <v/>
      </c>
      <c r="D116" s="70">
        <f>IF($A116="","",SUMIFS(Werkregels!$P$3:$P$602,Werkregels!$C$3:$C$602,$A116,Werkregels!$Q$3:$Q$602,"Nog factureren"))</f>
        <v/>
      </c>
      <c r="E116" s="70">
        <f>IF($A116="","",SUMIFS(Werkregels!$P$3:$P$602,Werkregels!$C$3:$C$602,$A116,Werkregels!$Q$3:$Q$602,"Concept in HERO"))</f>
        <v/>
      </c>
      <c r="F116" s="70">
        <f>IF($A116="","",SUMIFS(Werkregels!$P$3:$P$602,Werkregels!$C$3:$C$602,$A116,Werkregels!$Q$3:$Q$602,"Verstuurd"))</f>
        <v/>
      </c>
    </row>
    <row r="117" ht="15" customHeight="1" s="42">
      <c r="A117" s="76" t="n"/>
      <c r="B117" s="77">
        <f>IF($A117="","",COUNTIFS(Werkregels!$C$3:$C$602,$A117,Werkregels!$Q$3:$Q$602,"Nog factureren")+COUNTIFS(Werkregels!$C$3:$C$602,$A117,Werkregels!$Q$3:$Q$602,"Check nodig"))</f>
        <v/>
      </c>
      <c r="C117" s="78">
        <f>IF($A117="","",SUMIFS(Werkregels!$I$3:$I$602,Werkregels!$C$3:$C$602,$A117,Werkregels!$Q$3:$Q$602,"Nog factureren")+SUMIFS(Werkregels!$I$3:$I$602,Werkregels!$C$3:$C$602,$A117,Werkregels!$Q$3:$Q$602,"Check nodig"))</f>
        <v/>
      </c>
      <c r="D117" s="79">
        <f>IF($A117="","",SUMIFS(Werkregels!$P$3:$P$602,Werkregels!$C$3:$C$602,$A117,Werkregels!$Q$3:$Q$602,"Nog factureren"))</f>
        <v/>
      </c>
      <c r="E117" s="79">
        <f>IF($A117="","",SUMIFS(Werkregels!$P$3:$P$602,Werkregels!$C$3:$C$602,$A117,Werkregels!$Q$3:$Q$602,"Concept in HERO"))</f>
        <v/>
      </c>
      <c r="F117" s="79">
        <f>IF($A117="","",SUMIFS(Werkregels!$P$3:$P$602,Werkregels!$C$3:$C$602,$A117,Werkregels!$Q$3:$Q$602,"Verstuurd"))</f>
        <v/>
      </c>
    </row>
    <row r="118" ht="15" customHeight="1" s="42">
      <c r="A118" s="63" t="n"/>
      <c r="B118" s="56">
        <f>IF($A118="","",COUNTIFS(Werkregels!$C$3:$C$602,$A118,Werkregels!$Q$3:$Q$602,"Nog factureren")+COUNTIFS(Werkregels!$C$3:$C$602,$A118,Werkregels!$Q$3:$Q$602,"Check nodig"))</f>
        <v/>
      </c>
      <c r="C118" s="61">
        <f>IF($A118="","",SUMIFS(Werkregels!$I$3:$I$602,Werkregels!$C$3:$C$602,$A118,Werkregels!$Q$3:$Q$602,"Nog factureren")+SUMIFS(Werkregels!$I$3:$I$602,Werkregels!$C$3:$C$602,$A118,Werkregels!$Q$3:$Q$602,"Check nodig"))</f>
        <v/>
      </c>
      <c r="D118" s="70">
        <f>IF($A118="","",SUMIFS(Werkregels!$P$3:$P$602,Werkregels!$C$3:$C$602,$A118,Werkregels!$Q$3:$Q$602,"Nog factureren"))</f>
        <v/>
      </c>
      <c r="E118" s="70">
        <f>IF($A118="","",SUMIFS(Werkregels!$P$3:$P$602,Werkregels!$C$3:$C$602,$A118,Werkregels!$Q$3:$Q$602,"Concept in HERO"))</f>
        <v/>
      </c>
      <c r="F118" s="70">
        <f>IF($A118="","",SUMIFS(Werkregels!$P$3:$P$602,Werkregels!$C$3:$C$602,$A118,Werkregels!$Q$3:$Q$602,"Verstuurd"))</f>
        <v/>
      </c>
    </row>
    <row r="119" ht="15" customHeight="1" s="42">
      <c r="A119" s="76" t="n"/>
      <c r="B119" s="77">
        <f>IF($A119="","",COUNTIFS(Werkregels!$C$3:$C$602,$A119,Werkregels!$Q$3:$Q$602,"Nog factureren")+COUNTIFS(Werkregels!$C$3:$C$602,$A119,Werkregels!$Q$3:$Q$602,"Check nodig"))</f>
        <v/>
      </c>
      <c r="C119" s="78">
        <f>IF($A119="","",SUMIFS(Werkregels!$I$3:$I$602,Werkregels!$C$3:$C$602,$A119,Werkregels!$Q$3:$Q$602,"Nog factureren")+SUMIFS(Werkregels!$I$3:$I$602,Werkregels!$C$3:$C$602,$A119,Werkregels!$Q$3:$Q$602,"Check nodig"))</f>
        <v/>
      </c>
      <c r="D119" s="79">
        <f>IF($A119="","",SUMIFS(Werkregels!$P$3:$P$602,Werkregels!$C$3:$C$602,$A119,Werkregels!$Q$3:$Q$602,"Nog factureren"))</f>
        <v/>
      </c>
      <c r="E119" s="79">
        <f>IF($A119="","",SUMIFS(Werkregels!$P$3:$P$602,Werkregels!$C$3:$C$602,$A119,Werkregels!$Q$3:$Q$602,"Concept in HERO"))</f>
        <v/>
      </c>
      <c r="F119" s="79">
        <f>IF($A119="","",SUMIFS(Werkregels!$P$3:$P$602,Werkregels!$C$3:$C$602,$A119,Werkregels!$Q$3:$Q$602,"Verstuurd"))</f>
        <v/>
      </c>
    </row>
    <row r="120" ht="15" customHeight="1" s="42">
      <c r="A120" s="63" t="n"/>
      <c r="B120" s="56">
        <f>IF($A120="","",COUNTIFS(Werkregels!$C$3:$C$602,$A120,Werkregels!$Q$3:$Q$602,"Nog factureren")+COUNTIFS(Werkregels!$C$3:$C$602,$A120,Werkregels!$Q$3:$Q$602,"Check nodig"))</f>
        <v/>
      </c>
      <c r="C120" s="61">
        <f>IF($A120="","",SUMIFS(Werkregels!$I$3:$I$602,Werkregels!$C$3:$C$602,$A120,Werkregels!$Q$3:$Q$602,"Nog factureren")+SUMIFS(Werkregels!$I$3:$I$602,Werkregels!$C$3:$C$602,$A120,Werkregels!$Q$3:$Q$602,"Check nodig"))</f>
        <v/>
      </c>
      <c r="D120" s="70">
        <f>IF($A120="","",SUMIFS(Werkregels!$P$3:$P$602,Werkregels!$C$3:$C$602,$A120,Werkregels!$Q$3:$Q$602,"Nog factureren"))</f>
        <v/>
      </c>
      <c r="E120" s="70">
        <f>IF($A120="","",SUMIFS(Werkregels!$P$3:$P$602,Werkregels!$C$3:$C$602,$A120,Werkregels!$Q$3:$Q$602,"Concept in HERO"))</f>
        <v/>
      </c>
      <c r="F120" s="70">
        <f>IF($A120="","",SUMIFS(Werkregels!$P$3:$P$602,Werkregels!$C$3:$C$602,$A120,Werkregels!$Q$3:$Q$602,"Verstuurd"))</f>
        <v/>
      </c>
    </row>
    <row r="121" ht="15" customHeight="1" s="42">
      <c r="A121" s="76" t="n"/>
      <c r="B121" s="77">
        <f>IF($A121="","",COUNTIFS(Werkregels!$C$3:$C$602,$A121,Werkregels!$Q$3:$Q$602,"Nog factureren")+COUNTIFS(Werkregels!$C$3:$C$602,$A121,Werkregels!$Q$3:$Q$602,"Check nodig"))</f>
        <v/>
      </c>
      <c r="C121" s="78">
        <f>IF($A121="","",SUMIFS(Werkregels!$I$3:$I$602,Werkregels!$C$3:$C$602,$A121,Werkregels!$Q$3:$Q$602,"Nog factureren")+SUMIFS(Werkregels!$I$3:$I$602,Werkregels!$C$3:$C$602,$A121,Werkregels!$Q$3:$Q$602,"Check nodig"))</f>
        <v/>
      </c>
      <c r="D121" s="79">
        <f>IF($A121="","",SUMIFS(Werkregels!$P$3:$P$602,Werkregels!$C$3:$C$602,$A121,Werkregels!$Q$3:$Q$602,"Nog factureren"))</f>
        <v/>
      </c>
      <c r="E121" s="79">
        <f>IF($A121="","",SUMIFS(Werkregels!$P$3:$P$602,Werkregels!$C$3:$C$602,$A121,Werkregels!$Q$3:$Q$602,"Concept in HERO"))</f>
        <v/>
      </c>
      <c r="F121" s="79">
        <f>IF($A121="","",SUMIFS(Werkregels!$P$3:$P$602,Werkregels!$C$3:$C$602,$A121,Werkregels!$Q$3:$Q$602,"Verstuurd"))</f>
        <v/>
      </c>
    </row>
    <row r="122" ht="15" customHeight="1" s="42">
      <c r="A122" s="63" t="n"/>
      <c r="B122" s="56">
        <f>IF($A122="","",COUNTIFS(Werkregels!$C$3:$C$602,$A122,Werkregels!$Q$3:$Q$602,"Nog factureren")+COUNTIFS(Werkregels!$C$3:$C$602,$A122,Werkregels!$Q$3:$Q$602,"Check nodig"))</f>
        <v/>
      </c>
      <c r="C122" s="61">
        <f>IF($A122="","",SUMIFS(Werkregels!$I$3:$I$602,Werkregels!$C$3:$C$602,$A122,Werkregels!$Q$3:$Q$602,"Nog factureren")+SUMIFS(Werkregels!$I$3:$I$602,Werkregels!$C$3:$C$602,$A122,Werkregels!$Q$3:$Q$602,"Check nodig"))</f>
        <v/>
      </c>
      <c r="D122" s="70">
        <f>IF($A122="","",SUMIFS(Werkregels!$P$3:$P$602,Werkregels!$C$3:$C$602,$A122,Werkregels!$Q$3:$Q$602,"Nog factureren"))</f>
        <v/>
      </c>
      <c r="E122" s="70">
        <f>IF($A122="","",SUMIFS(Werkregels!$P$3:$P$602,Werkregels!$C$3:$C$602,$A122,Werkregels!$Q$3:$Q$602,"Concept in HERO"))</f>
        <v/>
      </c>
      <c r="F122" s="70">
        <f>IF($A122="","",SUMIFS(Werkregels!$P$3:$P$602,Werkregels!$C$3:$C$602,$A122,Werkregels!$Q$3:$Q$602,"Verstuurd"))</f>
        <v/>
      </c>
    </row>
    <row r="123" ht="15" customHeight="1" s="42">
      <c r="A123" s="76" t="n"/>
      <c r="B123" s="77">
        <f>IF($A123="","",COUNTIFS(Werkregels!$C$3:$C$602,$A123,Werkregels!$Q$3:$Q$602,"Nog factureren")+COUNTIFS(Werkregels!$C$3:$C$602,$A123,Werkregels!$Q$3:$Q$602,"Check nodig"))</f>
        <v/>
      </c>
      <c r="C123" s="78">
        <f>IF($A123="","",SUMIFS(Werkregels!$I$3:$I$602,Werkregels!$C$3:$C$602,$A123,Werkregels!$Q$3:$Q$602,"Nog factureren")+SUMIFS(Werkregels!$I$3:$I$602,Werkregels!$C$3:$C$602,$A123,Werkregels!$Q$3:$Q$602,"Check nodig"))</f>
        <v/>
      </c>
      <c r="D123" s="79">
        <f>IF($A123="","",SUMIFS(Werkregels!$P$3:$P$602,Werkregels!$C$3:$C$602,$A123,Werkregels!$Q$3:$Q$602,"Nog factureren"))</f>
        <v/>
      </c>
      <c r="E123" s="79">
        <f>IF($A123="","",SUMIFS(Werkregels!$P$3:$P$602,Werkregels!$C$3:$C$602,$A123,Werkregels!$Q$3:$Q$602,"Concept in HERO"))</f>
        <v/>
      </c>
      <c r="F123" s="79">
        <f>IF($A123="","",SUMIFS(Werkregels!$P$3:$P$602,Werkregels!$C$3:$C$602,$A123,Werkregels!$Q$3:$Q$602,"Verstuurd"))</f>
        <v/>
      </c>
    </row>
    <row r="124" ht="15" customHeight="1" s="42">
      <c r="A124" s="63" t="n"/>
      <c r="B124" s="56">
        <f>IF($A124="","",COUNTIFS(Werkregels!$C$3:$C$602,$A124,Werkregels!$Q$3:$Q$602,"Nog factureren")+COUNTIFS(Werkregels!$C$3:$C$602,$A124,Werkregels!$Q$3:$Q$602,"Check nodig"))</f>
        <v/>
      </c>
      <c r="C124" s="61">
        <f>IF($A124="","",SUMIFS(Werkregels!$I$3:$I$602,Werkregels!$C$3:$C$602,$A124,Werkregels!$Q$3:$Q$602,"Nog factureren")+SUMIFS(Werkregels!$I$3:$I$602,Werkregels!$C$3:$C$602,$A124,Werkregels!$Q$3:$Q$602,"Check nodig"))</f>
        <v/>
      </c>
      <c r="D124" s="70">
        <f>IF($A124="","",SUMIFS(Werkregels!$P$3:$P$602,Werkregels!$C$3:$C$602,$A124,Werkregels!$Q$3:$Q$602,"Nog factureren"))</f>
        <v/>
      </c>
      <c r="E124" s="70">
        <f>IF($A124="","",SUMIFS(Werkregels!$P$3:$P$602,Werkregels!$C$3:$C$602,$A124,Werkregels!$Q$3:$Q$602,"Concept in HERO"))</f>
        <v/>
      </c>
      <c r="F124" s="70">
        <f>IF($A124="","",SUMIFS(Werkregels!$P$3:$P$602,Werkregels!$C$3:$C$602,$A124,Werkregels!$Q$3:$Q$602,"Verstuurd"))</f>
        <v/>
      </c>
    </row>
    <row r="125" ht="15" customHeight="1" s="42">
      <c r="A125" s="76" t="n"/>
      <c r="B125" s="77">
        <f>IF($A125="","",COUNTIFS(Werkregels!$C$3:$C$602,$A125,Werkregels!$Q$3:$Q$602,"Nog factureren")+COUNTIFS(Werkregels!$C$3:$C$602,$A125,Werkregels!$Q$3:$Q$602,"Check nodig"))</f>
        <v/>
      </c>
      <c r="C125" s="78">
        <f>IF($A125="","",SUMIFS(Werkregels!$I$3:$I$602,Werkregels!$C$3:$C$602,$A125,Werkregels!$Q$3:$Q$602,"Nog factureren")+SUMIFS(Werkregels!$I$3:$I$602,Werkregels!$C$3:$C$602,$A125,Werkregels!$Q$3:$Q$602,"Check nodig"))</f>
        <v/>
      </c>
      <c r="D125" s="79">
        <f>IF($A125="","",SUMIFS(Werkregels!$P$3:$P$602,Werkregels!$C$3:$C$602,$A125,Werkregels!$Q$3:$Q$602,"Nog factureren"))</f>
        <v/>
      </c>
      <c r="E125" s="79">
        <f>IF($A125="","",SUMIFS(Werkregels!$P$3:$P$602,Werkregels!$C$3:$C$602,$A125,Werkregels!$Q$3:$Q$602,"Concept in HERO"))</f>
        <v/>
      </c>
      <c r="F125" s="79">
        <f>IF($A125="","",SUMIFS(Werkregels!$P$3:$P$602,Werkregels!$C$3:$C$602,$A125,Werkregels!$Q$3:$Q$602,"Verstuurd"))</f>
        <v/>
      </c>
    </row>
    <row r="126" ht="15" customHeight="1" s="42">
      <c r="A126" s="63" t="n"/>
      <c r="B126" s="56">
        <f>IF($A126="","",COUNTIFS(Werkregels!$C$3:$C$602,$A126,Werkregels!$Q$3:$Q$602,"Nog factureren")+COUNTIFS(Werkregels!$C$3:$C$602,$A126,Werkregels!$Q$3:$Q$602,"Check nodig"))</f>
        <v/>
      </c>
      <c r="C126" s="61">
        <f>IF($A126="","",SUMIFS(Werkregels!$I$3:$I$602,Werkregels!$C$3:$C$602,$A126,Werkregels!$Q$3:$Q$602,"Nog factureren")+SUMIFS(Werkregels!$I$3:$I$602,Werkregels!$C$3:$C$602,$A126,Werkregels!$Q$3:$Q$602,"Check nodig"))</f>
        <v/>
      </c>
      <c r="D126" s="70">
        <f>IF($A126="","",SUMIFS(Werkregels!$P$3:$P$602,Werkregels!$C$3:$C$602,$A126,Werkregels!$Q$3:$Q$602,"Nog factureren"))</f>
        <v/>
      </c>
      <c r="E126" s="70">
        <f>IF($A126="","",SUMIFS(Werkregels!$P$3:$P$602,Werkregels!$C$3:$C$602,$A126,Werkregels!$Q$3:$Q$602,"Concept in HERO"))</f>
        <v/>
      </c>
      <c r="F126" s="70">
        <f>IF($A126="","",SUMIFS(Werkregels!$P$3:$P$602,Werkregels!$C$3:$C$602,$A126,Werkregels!$Q$3:$Q$602,"Verstuurd"))</f>
        <v/>
      </c>
    </row>
    <row r="127" ht="15" customHeight="1" s="42">
      <c r="A127" s="76" t="n"/>
      <c r="B127" s="77">
        <f>IF($A127="","",COUNTIFS(Werkregels!$C$3:$C$602,$A127,Werkregels!$Q$3:$Q$602,"Nog factureren")+COUNTIFS(Werkregels!$C$3:$C$602,$A127,Werkregels!$Q$3:$Q$602,"Check nodig"))</f>
        <v/>
      </c>
      <c r="C127" s="78">
        <f>IF($A127="","",SUMIFS(Werkregels!$I$3:$I$602,Werkregels!$C$3:$C$602,$A127,Werkregels!$Q$3:$Q$602,"Nog factureren")+SUMIFS(Werkregels!$I$3:$I$602,Werkregels!$C$3:$C$602,$A127,Werkregels!$Q$3:$Q$602,"Check nodig"))</f>
        <v/>
      </c>
      <c r="D127" s="79">
        <f>IF($A127="","",SUMIFS(Werkregels!$P$3:$P$602,Werkregels!$C$3:$C$602,$A127,Werkregels!$Q$3:$Q$602,"Nog factureren"))</f>
        <v/>
      </c>
      <c r="E127" s="79">
        <f>IF($A127="","",SUMIFS(Werkregels!$P$3:$P$602,Werkregels!$C$3:$C$602,$A127,Werkregels!$Q$3:$Q$602,"Concept in HERO"))</f>
        <v/>
      </c>
      <c r="F127" s="79">
        <f>IF($A127="","",SUMIFS(Werkregels!$P$3:$P$602,Werkregels!$C$3:$C$602,$A127,Werkregels!$Q$3:$Q$602,"Verstuurd"))</f>
        <v/>
      </c>
    </row>
    <row r="128" ht="15" customHeight="1" s="42">
      <c r="A128" s="63" t="n"/>
      <c r="B128" s="56">
        <f>IF($A128="","",COUNTIFS(Werkregels!$C$3:$C$602,$A128,Werkregels!$Q$3:$Q$602,"Nog factureren")+COUNTIFS(Werkregels!$C$3:$C$602,$A128,Werkregels!$Q$3:$Q$602,"Check nodig"))</f>
        <v/>
      </c>
      <c r="C128" s="61">
        <f>IF($A128="","",SUMIFS(Werkregels!$I$3:$I$602,Werkregels!$C$3:$C$602,$A128,Werkregels!$Q$3:$Q$602,"Nog factureren")+SUMIFS(Werkregels!$I$3:$I$602,Werkregels!$C$3:$C$602,$A128,Werkregels!$Q$3:$Q$602,"Check nodig"))</f>
        <v/>
      </c>
      <c r="D128" s="70">
        <f>IF($A128="","",SUMIFS(Werkregels!$P$3:$P$602,Werkregels!$C$3:$C$602,$A128,Werkregels!$Q$3:$Q$602,"Nog factureren"))</f>
        <v/>
      </c>
      <c r="E128" s="70">
        <f>IF($A128="","",SUMIFS(Werkregels!$P$3:$P$602,Werkregels!$C$3:$C$602,$A128,Werkregels!$Q$3:$Q$602,"Concept in HERO"))</f>
        <v/>
      </c>
      <c r="F128" s="70">
        <f>IF($A128="","",SUMIFS(Werkregels!$P$3:$P$602,Werkregels!$C$3:$C$602,$A128,Werkregels!$Q$3:$Q$602,"Verstuurd"))</f>
        <v/>
      </c>
    </row>
    <row r="129" ht="15" customHeight="1" s="42">
      <c r="A129" s="76" t="n"/>
      <c r="B129" s="77">
        <f>IF($A129="","",COUNTIFS(Werkregels!$C$3:$C$602,$A129,Werkregels!$Q$3:$Q$602,"Nog factureren")+COUNTIFS(Werkregels!$C$3:$C$602,$A129,Werkregels!$Q$3:$Q$602,"Check nodig"))</f>
        <v/>
      </c>
      <c r="C129" s="78">
        <f>IF($A129="","",SUMIFS(Werkregels!$I$3:$I$602,Werkregels!$C$3:$C$602,$A129,Werkregels!$Q$3:$Q$602,"Nog factureren")+SUMIFS(Werkregels!$I$3:$I$602,Werkregels!$C$3:$C$602,$A129,Werkregels!$Q$3:$Q$602,"Check nodig"))</f>
        <v/>
      </c>
      <c r="D129" s="79">
        <f>IF($A129="","",SUMIFS(Werkregels!$P$3:$P$602,Werkregels!$C$3:$C$602,$A129,Werkregels!$Q$3:$Q$602,"Nog factureren"))</f>
        <v/>
      </c>
      <c r="E129" s="79">
        <f>IF($A129="","",SUMIFS(Werkregels!$P$3:$P$602,Werkregels!$C$3:$C$602,$A129,Werkregels!$Q$3:$Q$602,"Concept in HERO"))</f>
        <v/>
      </c>
      <c r="F129" s="79">
        <f>IF($A129="","",SUMIFS(Werkregels!$P$3:$P$602,Werkregels!$C$3:$C$602,$A129,Werkregels!$Q$3:$Q$602,"Verstuurd"))</f>
        <v/>
      </c>
    </row>
    <row r="130" ht="15" customHeight="1" s="42">
      <c r="A130" s="63" t="n"/>
      <c r="B130" s="56">
        <f>IF($A130="","",COUNTIFS(Werkregels!$C$3:$C$602,$A130,Werkregels!$Q$3:$Q$602,"Nog factureren")+COUNTIFS(Werkregels!$C$3:$C$602,$A130,Werkregels!$Q$3:$Q$602,"Check nodig"))</f>
        <v/>
      </c>
      <c r="C130" s="61">
        <f>IF($A130="","",SUMIFS(Werkregels!$I$3:$I$602,Werkregels!$C$3:$C$602,$A130,Werkregels!$Q$3:$Q$602,"Nog factureren")+SUMIFS(Werkregels!$I$3:$I$602,Werkregels!$C$3:$C$602,$A130,Werkregels!$Q$3:$Q$602,"Check nodig"))</f>
        <v/>
      </c>
      <c r="D130" s="70">
        <f>IF($A130="","",SUMIFS(Werkregels!$P$3:$P$602,Werkregels!$C$3:$C$602,$A130,Werkregels!$Q$3:$Q$602,"Nog factureren"))</f>
        <v/>
      </c>
      <c r="E130" s="70">
        <f>IF($A130="","",SUMIFS(Werkregels!$P$3:$P$602,Werkregels!$C$3:$C$602,$A130,Werkregels!$Q$3:$Q$602,"Concept in HERO"))</f>
        <v/>
      </c>
      <c r="F130" s="70">
        <f>IF($A130="","",SUMIFS(Werkregels!$P$3:$P$602,Werkregels!$C$3:$C$602,$A130,Werkregels!$Q$3:$Q$602,"Verstuurd"))</f>
        <v/>
      </c>
    </row>
    <row r="131" ht="15" customHeight="1" s="42">
      <c r="A131" s="76" t="n"/>
      <c r="B131" s="77">
        <f>IF($A131="","",COUNTIFS(Werkregels!$C$3:$C$602,$A131,Werkregels!$Q$3:$Q$602,"Nog factureren")+COUNTIFS(Werkregels!$C$3:$C$602,$A131,Werkregels!$Q$3:$Q$602,"Check nodig"))</f>
        <v/>
      </c>
      <c r="C131" s="78">
        <f>IF($A131="","",SUMIFS(Werkregels!$I$3:$I$602,Werkregels!$C$3:$C$602,$A131,Werkregels!$Q$3:$Q$602,"Nog factureren")+SUMIFS(Werkregels!$I$3:$I$602,Werkregels!$C$3:$C$602,$A131,Werkregels!$Q$3:$Q$602,"Check nodig"))</f>
        <v/>
      </c>
      <c r="D131" s="79">
        <f>IF($A131="","",SUMIFS(Werkregels!$P$3:$P$602,Werkregels!$C$3:$C$602,$A131,Werkregels!$Q$3:$Q$602,"Nog factureren"))</f>
        <v/>
      </c>
      <c r="E131" s="79">
        <f>IF($A131="","",SUMIFS(Werkregels!$P$3:$P$602,Werkregels!$C$3:$C$602,$A131,Werkregels!$Q$3:$Q$602,"Concept in HERO"))</f>
        <v/>
      </c>
      <c r="F131" s="79">
        <f>IF($A131="","",SUMIFS(Werkregels!$P$3:$P$602,Werkregels!$C$3:$C$602,$A131,Werkregels!$Q$3:$Q$602,"Verstuurd"))</f>
        <v/>
      </c>
    </row>
    <row r="132" ht="15" customHeight="1" s="42">
      <c r="A132" s="63" t="n"/>
      <c r="B132" s="56">
        <f>IF($A132="","",COUNTIFS(Werkregels!$C$3:$C$602,$A132,Werkregels!$Q$3:$Q$602,"Nog factureren")+COUNTIFS(Werkregels!$C$3:$C$602,$A132,Werkregels!$Q$3:$Q$602,"Check nodig"))</f>
        <v/>
      </c>
      <c r="C132" s="61">
        <f>IF($A132="","",SUMIFS(Werkregels!$I$3:$I$602,Werkregels!$C$3:$C$602,$A132,Werkregels!$Q$3:$Q$602,"Nog factureren")+SUMIFS(Werkregels!$I$3:$I$602,Werkregels!$C$3:$C$602,$A132,Werkregels!$Q$3:$Q$602,"Check nodig"))</f>
        <v/>
      </c>
      <c r="D132" s="70">
        <f>IF($A132="","",SUMIFS(Werkregels!$P$3:$P$602,Werkregels!$C$3:$C$602,$A132,Werkregels!$Q$3:$Q$602,"Nog factureren"))</f>
        <v/>
      </c>
      <c r="E132" s="70">
        <f>IF($A132="","",SUMIFS(Werkregels!$P$3:$P$602,Werkregels!$C$3:$C$602,$A132,Werkregels!$Q$3:$Q$602,"Concept in HERO"))</f>
        <v/>
      </c>
      <c r="F132" s="70">
        <f>IF($A132="","",SUMIFS(Werkregels!$P$3:$P$602,Werkregels!$C$3:$C$602,$A132,Werkregels!$Q$3:$Q$602,"Verstuurd"))</f>
        <v/>
      </c>
    </row>
    <row r="133" ht="15" customHeight="1" s="42">
      <c r="A133" s="76" t="n"/>
      <c r="B133" s="77">
        <f>IF($A133="","",COUNTIFS(Werkregels!$C$3:$C$602,$A133,Werkregels!$Q$3:$Q$602,"Nog factureren")+COUNTIFS(Werkregels!$C$3:$C$602,$A133,Werkregels!$Q$3:$Q$602,"Check nodig"))</f>
        <v/>
      </c>
      <c r="C133" s="78">
        <f>IF($A133="","",SUMIFS(Werkregels!$I$3:$I$602,Werkregels!$C$3:$C$602,$A133,Werkregels!$Q$3:$Q$602,"Nog factureren")+SUMIFS(Werkregels!$I$3:$I$602,Werkregels!$C$3:$C$602,$A133,Werkregels!$Q$3:$Q$602,"Check nodig"))</f>
        <v/>
      </c>
      <c r="D133" s="79">
        <f>IF($A133="","",SUMIFS(Werkregels!$P$3:$P$602,Werkregels!$C$3:$C$602,$A133,Werkregels!$Q$3:$Q$602,"Nog factureren"))</f>
        <v/>
      </c>
      <c r="E133" s="79">
        <f>IF($A133="","",SUMIFS(Werkregels!$P$3:$P$602,Werkregels!$C$3:$C$602,$A133,Werkregels!$Q$3:$Q$602,"Concept in HERO"))</f>
        <v/>
      </c>
      <c r="F133" s="79">
        <f>IF($A133="","",SUMIFS(Werkregels!$P$3:$P$602,Werkregels!$C$3:$C$602,$A133,Werkregels!$Q$3:$Q$602,"Verstuurd"))</f>
        <v/>
      </c>
    </row>
    <row r="134" ht="15" customHeight="1" s="42">
      <c r="A134" s="63" t="n"/>
      <c r="B134" s="56">
        <f>IF($A134="","",COUNTIFS(Werkregels!$C$3:$C$602,$A134,Werkregels!$Q$3:$Q$602,"Nog factureren")+COUNTIFS(Werkregels!$C$3:$C$602,$A134,Werkregels!$Q$3:$Q$602,"Check nodig"))</f>
        <v/>
      </c>
      <c r="C134" s="61">
        <f>IF($A134="","",SUMIFS(Werkregels!$I$3:$I$602,Werkregels!$C$3:$C$602,$A134,Werkregels!$Q$3:$Q$602,"Nog factureren")+SUMIFS(Werkregels!$I$3:$I$602,Werkregels!$C$3:$C$602,$A134,Werkregels!$Q$3:$Q$602,"Check nodig"))</f>
        <v/>
      </c>
      <c r="D134" s="70">
        <f>IF($A134="","",SUMIFS(Werkregels!$P$3:$P$602,Werkregels!$C$3:$C$602,$A134,Werkregels!$Q$3:$Q$602,"Nog factureren"))</f>
        <v/>
      </c>
      <c r="E134" s="70">
        <f>IF($A134="","",SUMIFS(Werkregels!$P$3:$P$602,Werkregels!$C$3:$C$602,$A134,Werkregels!$Q$3:$Q$602,"Concept in HERO"))</f>
        <v/>
      </c>
      <c r="F134" s="70">
        <f>IF($A134="","",SUMIFS(Werkregels!$P$3:$P$602,Werkregels!$C$3:$C$602,$A134,Werkregels!$Q$3:$Q$602,"Verstuurd"))</f>
        <v/>
      </c>
    </row>
    <row r="135" ht="15" customHeight="1" s="42">
      <c r="A135" s="76" t="n"/>
      <c r="B135" s="77">
        <f>IF($A135="","",COUNTIFS(Werkregels!$C$3:$C$602,$A135,Werkregels!$Q$3:$Q$602,"Nog factureren")+COUNTIFS(Werkregels!$C$3:$C$602,$A135,Werkregels!$Q$3:$Q$602,"Check nodig"))</f>
        <v/>
      </c>
      <c r="C135" s="78">
        <f>IF($A135="","",SUMIFS(Werkregels!$I$3:$I$602,Werkregels!$C$3:$C$602,$A135,Werkregels!$Q$3:$Q$602,"Nog factureren")+SUMIFS(Werkregels!$I$3:$I$602,Werkregels!$C$3:$C$602,$A135,Werkregels!$Q$3:$Q$602,"Check nodig"))</f>
        <v/>
      </c>
      <c r="D135" s="79">
        <f>IF($A135="","",SUMIFS(Werkregels!$P$3:$P$602,Werkregels!$C$3:$C$602,$A135,Werkregels!$Q$3:$Q$602,"Nog factureren"))</f>
        <v/>
      </c>
      <c r="E135" s="79">
        <f>IF($A135="","",SUMIFS(Werkregels!$P$3:$P$602,Werkregels!$C$3:$C$602,$A135,Werkregels!$Q$3:$Q$602,"Concept in HERO"))</f>
        <v/>
      </c>
      <c r="F135" s="79">
        <f>IF($A135="","",SUMIFS(Werkregels!$P$3:$P$602,Werkregels!$C$3:$C$602,$A135,Werkregels!$Q$3:$Q$602,"Verstuurd"))</f>
        <v/>
      </c>
    </row>
    <row r="136" ht="15" customHeight="1" s="42">
      <c r="A136" s="63" t="n"/>
      <c r="B136" s="56">
        <f>IF($A136="","",COUNTIFS(Werkregels!$C$3:$C$602,$A136,Werkregels!$Q$3:$Q$602,"Nog factureren")+COUNTIFS(Werkregels!$C$3:$C$602,$A136,Werkregels!$Q$3:$Q$602,"Check nodig"))</f>
        <v/>
      </c>
      <c r="C136" s="61">
        <f>IF($A136="","",SUMIFS(Werkregels!$I$3:$I$602,Werkregels!$C$3:$C$602,$A136,Werkregels!$Q$3:$Q$602,"Nog factureren")+SUMIFS(Werkregels!$I$3:$I$602,Werkregels!$C$3:$C$602,$A136,Werkregels!$Q$3:$Q$602,"Check nodig"))</f>
        <v/>
      </c>
      <c r="D136" s="70">
        <f>IF($A136="","",SUMIFS(Werkregels!$P$3:$P$602,Werkregels!$C$3:$C$602,$A136,Werkregels!$Q$3:$Q$602,"Nog factureren"))</f>
        <v/>
      </c>
      <c r="E136" s="70">
        <f>IF($A136="","",SUMIFS(Werkregels!$P$3:$P$602,Werkregels!$C$3:$C$602,$A136,Werkregels!$Q$3:$Q$602,"Concept in HERO"))</f>
        <v/>
      </c>
      <c r="F136" s="70">
        <f>IF($A136="","",SUMIFS(Werkregels!$P$3:$P$602,Werkregels!$C$3:$C$602,$A136,Werkregels!$Q$3:$Q$602,"Verstuurd"))</f>
        <v/>
      </c>
    </row>
    <row r="137" ht="15" customHeight="1" s="42">
      <c r="A137" s="76" t="n"/>
      <c r="B137" s="77">
        <f>IF($A137="","",COUNTIFS(Werkregels!$C$3:$C$602,$A137,Werkregels!$Q$3:$Q$602,"Nog factureren")+COUNTIFS(Werkregels!$C$3:$C$602,$A137,Werkregels!$Q$3:$Q$602,"Check nodig"))</f>
        <v/>
      </c>
      <c r="C137" s="78">
        <f>IF($A137="","",SUMIFS(Werkregels!$I$3:$I$602,Werkregels!$C$3:$C$602,$A137,Werkregels!$Q$3:$Q$602,"Nog factureren")+SUMIFS(Werkregels!$I$3:$I$602,Werkregels!$C$3:$C$602,$A137,Werkregels!$Q$3:$Q$602,"Check nodig"))</f>
        <v/>
      </c>
      <c r="D137" s="79">
        <f>IF($A137="","",SUMIFS(Werkregels!$P$3:$P$602,Werkregels!$C$3:$C$602,$A137,Werkregels!$Q$3:$Q$602,"Nog factureren"))</f>
        <v/>
      </c>
      <c r="E137" s="79">
        <f>IF($A137="","",SUMIFS(Werkregels!$P$3:$P$602,Werkregels!$C$3:$C$602,$A137,Werkregels!$Q$3:$Q$602,"Concept in HERO"))</f>
        <v/>
      </c>
      <c r="F137" s="79">
        <f>IF($A137="","",SUMIFS(Werkregels!$P$3:$P$602,Werkregels!$C$3:$C$602,$A137,Werkregels!$Q$3:$Q$602,"Verstuurd"))</f>
        <v/>
      </c>
    </row>
    <row r="138" ht="15" customHeight="1" s="42">
      <c r="A138" s="63" t="n"/>
      <c r="B138" s="56">
        <f>IF($A138="","",COUNTIFS(Werkregels!$C$3:$C$602,$A138,Werkregels!$Q$3:$Q$602,"Nog factureren")+COUNTIFS(Werkregels!$C$3:$C$602,$A138,Werkregels!$Q$3:$Q$602,"Check nodig"))</f>
        <v/>
      </c>
      <c r="C138" s="61">
        <f>IF($A138="","",SUMIFS(Werkregels!$I$3:$I$602,Werkregels!$C$3:$C$602,$A138,Werkregels!$Q$3:$Q$602,"Nog factureren")+SUMIFS(Werkregels!$I$3:$I$602,Werkregels!$C$3:$C$602,$A138,Werkregels!$Q$3:$Q$602,"Check nodig"))</f>
        <v/>
      </c>
      <c r="D138" s="70">
        <f>IF($A138="","",SUMIFS(Werkregels!$P$3:$P$602,Werkregels!$C$3:$C$602,$A138,Werkregels!$Q$3:$Q$602,"Nog factureren"))</f>
        <v/>
      </c>
      <c r="E138" s="70">
        <f>IF($A138="","",SUMIFS(Werkregels!$P$3:$P$602,Werkregels!$C$3:$C$602,$A138,Werkregels!$Q$3:$Q$602,"Concept in HERO"))</f>
        <v/>
      </c>
      <c r="F138" s="70">
        <f>IF($A138="","",SUMIFS(Werkregels!$P$3:$P$602,Werkregels!$C$3:$C$602,$A138,Werkregels!$Q$3:$Q$602,"Verstuurd"))</f>
        <v/>
      </c>
    </row>
    <row r="139" ht="15" customHeight="1" s="42">
      <c r="A139" s="76" t="n"/>
      <c r="B139" s="77">
        <f>IF($A139="","",COUNTIFS(Werkregels!$C$3:$C$602,$A139,Werkregels!$Q$3:$Q$602,"Nog factureren")+COUNTIFS(Werkregels!$C$3:$C$602,$A139,Werkregels!$Q$3:$Q$602,"Check nodig"))</f>
        <v/>
      </c>
      <c r="C139" s="78">
        <f>IF($A139="","",SUMIFS(Werkregels!$I$3:$I$602,Werkregels!$C$3:$C$602,$A139,Werkregels!$Q$3:$Q$602,"Nog factureren")+SUMIFS(Werkregels!$I$3:$I$602,Werkregels!$C$3:$C$602,$A139,Werkregels!$Q$3:$Q$602,"Check nodig"))</f>
        <v/>
      </c>
      <c r="D139" s="79">
        <f>IF($A139="","",SUMIFS(Werkregels!$P$3:$P$602,Werkregels!$C$3:$C$602,$A139,Werkregels!$Q$3:$Q$602,"Nog factureren"))</f>
        <v/>
      </c>
      <c r="E139" s="79">
        <f>IF($A139="","",SUMIFS(Werkregels!$P$3:$P$602,Werkregels!$C$3:$C$602,$A139,Werkregels!$Q$3:$Q$602,"Concept in HERO"))</f>
        <v/>
      </c>
      <c r="F139" s="79">
        <f>IF($A139="","",SUMIFS(Werkregels!$P$3:$P$602,Werkregels!$C$3:$C$602,$A139,Werkregels!$Q$3:$Q$602,"Verstuurd"))</f>
        <v/>
      </c>
    </row>
    <row r="140" ht="15" customHeight="1" s="42">
      <c r="A140" s="63" t="n"/>
      <c r="B140" s="56">
        <f>IF($A140="","",COUNTIFS(Werkregels!$C$3:$C$602,$A140,Werkregels!$Q$3:$Q$602,"Nog factureren")+COUNTIFS(Werkregels!$C$3:$C$602,$A140,Werkregels!$Q$3:$Q$602,"Check nodig"))</f>
        <v/>
      </c>
      <c r="C140" s="61">
        <f>IF($A140="","",SUMIFS(Werkregels!$I$3:$I$602,Werkregels!$C$3:$C$602,$A140,Werkregels!$Q$3:$Q$602,"Nog factureren")+SUMIFS(Werkregels!$I$3:$I$602,Werkregels!$C$3:$C$602,$A140,Werkregels!$Q$3:$Q$602,"Check nodig"))</f>
        <v/>
      </c>
      <c r="D140" s="70">
        <f>IF($A140="","",SUMIFS(Werkregels!$P$3:$P$602,Werkregels!$C$3:$C$602,$A140,Werkregels!$Q$3:$Q$602,"Nog factureren"))</f>
        <v/>
      </c>
      <c r="E140" s="70">
        <f>IF($A140="","",SUMIFS(Werkregels!$P$3:$P$602,Werkregels!$C$3:$C$602,$A140,Werkregels!$Q$3:$Q$602,"Concept in HERO"))</f>
        <v/>
      </c>
      <c r="F140" s="70">
        <f>IF($A140="","",SUMIFS(Werkregels!$P$3:$P$602,Werkregels!$C$3:$C$602,$A140,Werkregels!$Q$3:$Q$602,"Verstuurd"))</f>
        <v/>
      </c>
    </row>
    <row r="141" ht="15" customHeight="1" s="42">
      <c r="A141" s="76" t="n"/>
      <c r="B141" s="77">
        <f>IF($A141="","",COUNTIFS(Werkregels!$C$3:$C$602,$A141,Werkregels!$Q$3:$Q$602,"Nog factureren")+COUNTIFS(Werkregels!$C$3:$C$602,$A141,Werkregels!$Q$3:$Q$602,"Check nodig"))</f>
        <v/>
      </c>
      <c r="C141" s="78">
        <f>IF($A141="","",SUMIFS(Werkregels!$I$3:$I$602,Werkregels!$C$3:$C$602,$A141,Werkregels!$Q$3:$Q$602,"Nog factureren")+SUMIFS(Werkregels!$I$3:$I$602,Werkregels!$C$3:$C$602,$A141,Werkregels!$Q$3:$Q$602,"Check nodig"))</f>
        <v/>
      </c>
      <c r="D141" s="79">
        <f>IF($A141="","",SUMIFS(Werkregels!$P$3:$P$602,Werkregels!$C$3:$C$602,$A141,Werkregels!$Q$3:$Q$602,"Nog factureren"))</f>
        <v/>
      </c>
      <c r="E141" s="79">
        <f>IF($A141="","",SUMIFS(Werkregels!$P$3:$P$602,Werkregels!$C$3:$C$602,$A141,Werkregels!$Q$3:$Q$602,"Concept in HERO"))</f>
        <v/>
      </c>
      <c r="F141" s="79">
        <f>IF($A141="","",SUMIFS(Werkregels!$P$3:$P$602,Werkregels!$C$3:$C$602,$A141,Werkregels!$Q$3:$Q$602,"Verstuurd"))</f>
        <v/>
      </c>
    </row>
    <row r="142" ht="15" customHeight="1" s="42">
      <c r="A142" s="63" t="n"/>
      <c r="B142" s="56">
        <f>IF($A142="","",COUNTIFS(Werkregels!$C$3:$C$602,$A142,Werkregels!$Q$3:$Q$602,"Nog factureren")+COUNTIFS(Werkregels!$C$3:$C$602,$A142,Werkregels!$Q$3:$Q$602,"Check nodig"))</f>
        <v/>
      </c>
      <c r="C142" s="61">
        <f>IF($A142="","",SUMIFS(Werkregels!$I$3:$I$602,Werkregels!$C$3:$C$602,$A142,Werkregels!$Q$3:$Q$602,"Nog factureren")+SUMIFS(Werkregels!$I$3:$I$602,Werkregels!$C$3:$C$602,$A142,Werkregels!$Q$3:$Q$602,"Check nodig"))</f>
        <v/>
      </c>
      <c r="D142" s="70">
        <f>IF($A142="","",SUMIFS(Werkregels!$P$3:$P$602,Werkregels!$C$3:$C$602,$A142,Werkregels!$Q$3:$Q$602,"Nog factureren"))</f>
        <v/>
      </c>
      <c r="E142" s="70">
        <f>IF($A142="","",SUMIFS(Werkregels!$P$3:$P$602,Werkregels!$C$3:$C$602,$A142,Werkregels!$Q$3:$Q$602,"Concept in HERO"))</f>
        <v/>
      </c>
      <c r="F142" s="70">
        <f>IF($A142="","",SUMIFS(Werkregels!$P$3:$P$602,Werkregels!$C$3:$C$602,$A142,Werkregels!$Q$3:$Q$602,"Verstuurd"))</f>
        <v/>
      </c>
    </row>
    <row r="143" ht="15" customHeight="1" s="42">
      <c r="A143" s="76" t="n"/>
      <c r="B143" s="77">
        <f>IF($A143="","",COUNTIFS(Werkregels!$C$3:$C$602,$A143,Werkregels!$Q$3:$Q$602,"Nog factureren")+COUNTIFS(Werkregels!$C$3:$C$602,$A143,Werkregels!$Q$3:$Q$602,"Check nodig"))</f>
        <v/>
      </c>
      <c r="C143" s="78">
        <f>IF($A143="","",SUMIFS(Werkregels!$I$3:$I$602,Werkregels!$C$3:$C$602,$A143,Werkregels!$Q$3:$Q$602,"Nog factureren")+SUMIFS(Werkregels!$I$3:$I$602,Werkregels!$C$3:$C$602,$A143,Werkregels!$Q$3:$Q$602,"Check nodig"))</f>
        <v/>
      </c>
      <c r="D143" s="79">
        <f>IF($A143="","",SUMIFS(Werkregels!$P$3:$P$602,Werkregels!$C$3:$C$602,$A143,Werkregels!$Q$3:$Q$602,"Nog factureren"))</f>
        <v/>
      </c>
      <c r="E143" s="79">
        <f>IF($A143="","",SUMIFS(Werkregels!$P$3:$P$602,Werkregels!$C$3:$C$602,$A143,Werkregels!$Q$3:$Q$602,"Concept in HERO"))</f>
        <v/>
      </c>
      <c r="F143" s="79">
        <f>IF($A143="","",SUMIFS(Werkregels!$P$3:$P$602,Werkregels!$C$3:$C$602,$A143,Werkregels!$Q$3:$Q$602,"Verstuurd"))</f>
        <v/>
      </c>
    </row>
    <row r="144" ht="15" customHeight="1" s="42">
      <c r="A144" s="63" t="n"/>
      <c r="B144" s="56">
        <f>IF($A144="","",COUNTIFS(Werkregels!$C$3:$C$602,$A144,Werkregels!$Q$3:$Q$602,"Nog factureren")+COUNTIFS(Werkregels!$C$3:$C$602,$A144,Werkregels!$Q$3:$Q$602,"Check nodig"))</f>
        <v/>
      </c>
      <c r="C144" s="61">
        <f>IF($A144="","",SUMIFS(Werkregels!$I$3:$I$602,Werkregels!$C$3:$C$602,$A144,Werkregels!$Q$3:$Q$602,"Nog factureren")+SUMIFS(Werkregels!$I$3:$I$602,Werkregels!$C$3:$C$602,$A144,Werkregels!$Q$3:$Q$602,"Check nodig"))</f>
        <v/>
      </c>
      <c r="D144" s="70">
        <f>IF($A144="","",SUMIFS(Werkregels!$P$3:$P$602,Werkregels!$C$3:$C$602,$A144,Werkregels!$Q$3:$Q$602,"Nog factureren"))</f>
        <v/>
      </c>
      <c r="E144" s="70">
        <f>IF($A144="","",SUMIFS(Werkregels!$P$3:$P$602,Werkregels!$C$3:$C$602,$A144,Werkregels!$Q$3:$Q$602,"Concept in HERO"))</f>
        <v/>
      </c>
      <c r="F144" s="70">
        <f>IF($A144="","",SUMIFS(Werkregels!$P$3:$P$602,Werkregels!$C$3:$C$602,$A144,Werkregels!$Q$3:$Q$602,"Verstuurd"))</f>
        <v/>
      </c>
    </row>
    <row r="145" ht="15" customHeight="1" s="42">
      <c r="A145" s="76" t="n"/>
      <c r="B145" s="77">
        <f>IF($A145="","",COUNTIFS(Werkregels!$C$3:$C$602,$A145,Werkregels!$Q$3:$Q$602,"Nog factureren")+COUNTIFS(Werkregels!$C$3:$C$602,$A145,Werkregels!$Q$3:$Q$602,"Check nodig"))</f>
        <v/>
      </c>
      <c r="C145" s="78">
        <f>IF($A145="","",SUMIFS(Werkregels!$I$3:$I$602,Werkregels!$C$3:$C$602,$A145,Werkregels!$Q$3:$Q$602,"Nog factureren")+SUMIFS(Werkregels!$I$3:$I$602,Werkregels!$C$3:$C$602,$A145,Werkregels!$Q$3:$Q$602,"Check nodig"))</f>
        <v/>
      </c>
      <c r="D145" s="79">
        <f>IF($A145="","",SUMIFS(Werkregels!$P$3:$P$602,Werkregels!$C$3:$C$602,$A145,Werkregels!$Q$3:$Q$602,"Nog factureren"))</f>
        <v/>
      </c>
      <c r="E145" s="79">
        <f>IF($A145="","",SUMIFS(Werkregels!$P$3:$P$602,Werkregels!$C$3:$C$602,$A145,Werkregels!$Q$3:$Q$602,"Concept in HERO"))</f>
        <v/>
      </c>
      <c r="F145" s="79">
        <f>IF($A145="","",SUMIFS(Werkregels!$P$3:$P$602,Werkregels!$C$3:$C$602,$A145,Werkregels!$Q$3:$Q$602,"Verstuurd"))</f>
        <v/>
      </c>
    </row>
    <row r="146" ht="15" customHeight="1" s="42">
      <c r="A146" s="63" t="n"/>
      <c r="B146" s="56">
        <f>IF($A146="","",COUNTIFS(Werkregels!$C$3:$C$602,$A146,Werkregels!$Q$3:$Q$602,"Nog factureren")+COUNTIFS(Werkregels!$C$3:$C$602,$A146,Werkregels!$Q$3:$Q$602,"Check nodig"))</f>
        <v/>
      </c>
      <c r="C146" s="61">
        <f>IF($A146="","",SUMIFS(Werkregels!$I$3:$I$602,Werkregels!$C$3:$C$602,$A146,Werkregels!$Q$3:$Q$602,"Nog factureren")+SUMIFS(Werkregels!$I$3:$I$602,Werkregels!$C$3:$C$602,$A146,Werkregels!$Q$3:$Q$602,"Check nodig"))</f>
        <v/>
      </c>
      <c r="D146" s="70">
        <f>IF($A146="","",SUMIFS(Werkregels!$P$3:$P$602,Werkregels!$C$3:$C$602,$A146,Werkregels!$Q$3:$Q$602,"Nog factureren"))</f>
        <v/>
      </c>
      <c r="E146" s="70">
        <f>IF($A146="","",SUMIFS(Werkregels!$P$3:$P$602,Werkregels!$C$3:$C$602,$A146,Werkregels!$Q$3:$Q$602,"Concept in HERO"))</f>
        <v/>
      </c>
      <c r="F146" s="70">
        <f>IF($A146="","",SUMIFS(Werkregels!$P$3:$P$602,Werkregels!$C$3:$C$602,$A146,Werkregels!$Q$3:$Q$602,"Verstuurd"))</f>
        <v/>
      </c>
    </row>
    <row r="147" ht="15" customHeight="1" s="42">
      <c r="A147" s="76" t="n"/>
      <c r="B147" s="77">
        <f>IF($A147="","",COUNTIFS(Werkregels!$C$3:$C$602,$A147,Werkregels!$Q$3:$Q$602,"Nog factureren")+COUNTIFS(Werkregels!$C$3:$C$602,$A147,Werkregels!$Q$3:$Q$602,"Check nodig"))</f>
        <v/>
      </c>
      <c r="C147" s="78">
        <f>IF($A147="","",SUMIFS(Werkregels!$I$3:$I$602,Werkregels!$C$3:$C$602,$A147,Werkregels!$Q$3:$Q$602,"Nog factureren")+SUMIFS(Werkregels!$I$3:$I$602,Werkregels!$C$3:$C$602,$A147,Werkregels!$Q$3:$Q$602,"Check nodig"))</f>
        <v/>
      </c>
      <c r="D147" s="79">
        <f>IF($A147="","",SUMIFS(Werkregels!$P$3:$P$602,Werkregels!$C$3:$C$602,$A147,Werkregels!$Q$3:$Q$602,"Nog factureren"))</f>
        <v/>
      </c>
      <c r="E147" s="79">
        <f>IF($A147="","",SUMIFS(Werkregels!$P$3:$P$602,Werkregels!$C$3:$C$602,$A147,Werkregels!$Q$3:$Q$602,"Concept in HERO"))</f>
        <v/>
      </c>
      <c r="F147" s="79">
        <f>IF($A147="","",SUMIFS(Werkregels!$P$3:$P$602,Werkregels!$C$3:$C$602,$A147,Werkregels!$Q$3:$Q$602,"Verstuurd"))</f>
        <v/>
      </c>
    </row>
    <row r="148" ht="15" customHeight="1" s="42">
      <c r="A148" s="63" t="n"/>
      <c r="B148" s="56">
        <f>IF($A148="","",COUNTIFS(Werkregels!$C$3:$C$602,$A148,Werkregels!$Q$3:$Q$602,"Nog factureren")+COUNTIFS(Werkregels!$C$3:$C$602,$A148,Werkregels!$Q$3:$Q$602,"Check nodig"))</f>
        <v/>
      </c>
      <c r="C148" s="61">
        <f>IF($A148="","",SUMIFS(Werkregels!$I$3:$I$602,Werkregels!$C$3:$C$602,$A148,Werkregels!$Q$3:$Q$602,"Nog factureren")+SUMIFS(Werkregels!$I$3:$I$602,Werkregels!$C$3:$C$602,$A148,Werkregels!$Q$3:$Q$602,"Check nodig"))</f>
        <v/>
      </c>
      <c r="D148" s="70">
        <f>IF($A148="","",SUMIFS(Werkregels!$P$3:$P$602,Werkregels!$C$3:$C$602,$A148,Werkregels!$Q$3:$Q$602,"Nog factureren"))</f>
        <v/>
      </c>
      <c r="E148" s="70">
        <f>IF($A148="","",SUMIFS(Werkregels!$P$3:$P$602,Werkregels!$C$3:$C$602,$A148,Werkregels!$Q$3:$Q$602,"Concept in HERO"))</f>
        <v/>
      </c>
      <c r="F148" s="70">
        <f>IF($A148="","",SUMIFS(Werkregels!$P$3:$P$602,Werkregels!$C$3:$C$602,$A148,Werkregels!$Q$3:$Q$602,"Verstuurd"))</f>
        <v/>
      </c>
    </row>
    <row r="149" ht="15" customHeight="1" s="42">
      <c r="A149" s="76" t="n"/>
      <c r="B149" s="77">
        <f>IF($A149="","",COUNTIFS(Werkregels!$C$3:$C$602,$A149,Werkregels!$Q$3:$Q$602,"Nog factureren")+COUNTIFS(Werkregels!$C$3:$C$602,$A149,Werkregels!$Q$3:$Q$602,"Check nodig"))</f>
        <v/>
      </c>
      <c r="C149" s="78">
        <f>IF($A149="","",SUMIFS(Werkregels!$I$3:$I$602,Werkregels!$C$3:$C$602,$A149,Werkregels!$Q$3:$Q$602,"Nog factureren")+SUMIFS(Werkregels!$I$3:$I$602,Werkregels!$C$3:$C$602,$A149,Werkregels!$Q$3:$Q$602,"Check nodig"))</f>
        <v/>
      </c>
      <c r="D149" s="79">
        <f>IF($A149="","",SUMIFS(Werkregels!$P$3:$P$602,Werkregels!$C$3:$C$602,$A149,Werkregels!$Q$3:$Q$602,"Nog factureren"))</f>
        <v/>
      </c>
      <c r="E149" s="79">
        <f>IF($A149="","",SUMIFS(Werkregels!$P$3:$P$602,Werkregels!$C$3:$C$602,$A149,Werkregels!$Q$3:$Q$602,"Concept in HERO"))</f>
        <v/>
      </c>
      <c r="F149" s="79">
        <f>IF($A149="","",SUMIFS(Werkregels!$P$3:$P$602,Werkregels!$C$3:$C$602,$A149,Werkregels!$Q$3:$Q$602,"Verstuurd"))</f>
        <v/>
      </c>
    </row>
    <row r="150" ht="15" customHeight="1" s="42">
      <c r="A150" s="63" t="n"/>
      <c r="B150" s="56">
        <f>IF($A150="","",COUNTIFS(Werkregels!$C$3:$C$602,$A150,Werkregels!$Q$3:$Q$602,"Nog factureren")+COUNTIFS(Werkregels!$C$3:$C$602,$A150,Werkregels!$Q$3:$Q$602,"Check nodig"))</f>
        <v/>
      </c>
      <c r="C150" s="61">
        <f>IF($A150="","",SUMIFS(Werkregels!$I$3:$I$602,Werkregels!$C$3:$C$602,$A150,Werkregels!$Q$3:$Q$602,"Nog factureren")+SUMIFS(Werkregels!$I$3:$I$602,Werkregels!$C$3:$C$602,$A150,Werkregels!$Q$3:$Q$602,"Check nodig"))</f>
        <v/>
      </c>
      <c r="D150" s="70">
        <f>IF($A150="","",SUMIFS(Werkregels!$P$3:$P$602,Werkregels!$C$3:$C$602,$A150,Werkregels!$Q$3:$Q$602,"Nog factureren"))</f>
        <v/>
      </c>
      <c r="E150" s="70">
        <f>IF($A150="","",SUMIFS(Werkregels!$P$3:$P$602,Werkregels!$C$3:$C$602,$A150,Werkregels!$Q$3:$Q$602,"Concept in HERO"))</f>
        <v/>
      </c>
      <c r="F150" s="70">
        <f>IF($A150="","",SUMIFS(Werkregels!$P$3:$P$602,Werkregels!$C$3:$C$602,$A150,Werkregels!$Q$3:$Q$602,"Verstuurd"))</f>
        <v/>
      </c>
    </row>
    <row r="151" ht="15" customHeight="1" s="42">
      <c r="A151" s="76" t="n"/>
      <c r="B151" s="77">
        <f>IF($A151="","",COUNTIFS(Werkregels!$C$3:$C$602,$A151,Werkregels!$Q$3:$Q$602,"Nog factureren")+COUNTIFS(Werkregels!$C$3:$C$602,$A151,Werkregels!$Q$3:$Q$602,"Check nodig"))</f>
        <v/>
      </c>
      <c r="C151" s="78">
        <f>IF($A151="","",SUMIFS(Werkregels!$I$3:$I$602,Werkregels!$C$3:$C$602,$A151,Werkregels!$Q$3:$Q$602,"Nog factureren")+SUMIFS(Werkregels!$I$3:$I$602,Werkregels!$C$3:$C$602,$A151,Werkregels!$Q$3:$Q$602,"Check nodig"))</f>
        <v/>
      </c>
      <c r="D151" s="79">
        <f>IF($A151="","",SUMIFS(Werkregels!$P$3:$P$602,Werkregels!$C$3:$C$602,$A151,Werkregels!$Q$3:$Q$602,"Nog factureren"))</f>
        <v/>
      </c>
      <c r="E151" s="79">
        <f>IF($A151="","",SUMIFS(Werkregels!$P$3:$P$602,Werkregels!$C$3:$C$602,$A151,Werkregels!$Q$3:$Q$602,"Concept in HERO"))</f>
        <v/>
      </c>
      <c r="F151" s="79">
        <f>IF($A151="","",SUMIFS(Werkregels!$P$3:$P$602,Werkregels!$C$3:$C$602,$A151,Werkregels!$Q$3:$Q$602,"Verstuurd"))</f>
        <v/>
      </c>
    </row>
    <row r="152" ht="15" customHeight="1" s="42">
      <c r="A152" s="63" t="n"/>
      <c r="B152" s="56">
        <f>IF($A152="","",COUNTIFS(Werkregels!$C$3:$C$602,$A152,Werkregels!$Q$3:$Q$602,"Nog factureren")+COUNTIFS(Werkregels!$C$3:$C$602,$A152,Werkregels!$Q$3:$Q$602,"Check nodig"))</f>
        <v/>
      </c>
      <c r="C152" s="61">
        <f>IF($A152="","",SUMIFS(Werkregels!$I$3:$I$602,Werkregels!$C$3:$C$602,$A152,Werkregels!$Q$3:$Q$602,"Nog factureren")+SUMIFS(Werkregels!$I$3:$I$602,Werkregels!$C$3:$C$602,$A152,Werkregels!$Q$3:$Q$602,"Check nodig"))</f>
        <v/>
      </c>
      <c r="D152" s="70">
        <f>IF($A152="","",SUMIFS(Werkregels!$P$3:$P$602,Werkregels!$C$3:$C$602,$A152,Werkregels!$Q$3:$Q$602,"Nog factureren"))</f>
        <v/>
      </c>
      <c r="E152" s="70">
        <f>IF($A152="","",SUMIFS(Werkregels!$P$3:$P$602,Werkregels!$C$3:$C$602,$A152,Werkregels!$Q$3:$Q$602,"Concept in HERO"))</f>
        <v/>
      </c>
      <c r="F152" s="70">
        <f>IF($A152="","",SUMIFS(Werkregels!$P$3:$P$602,Werkregels!$C$3:$C$602,$A152,Werkregels!$Q$3:$Q$602,"Verstuurd"))</f>
        <v/>
      </c>
    </row>
    <row r="153" ht="15" customHeight="1" s="42">
      <c r="A153" s="76" t="n"/>
      <c r="B153" s="77">
        <f>IF($A153="","",COUNTIFS(Werkregels!$C$3:$C$602,$A153,Werkregels!$Q$3:$Q$602,"Nog factureren")+COUNTIFS(Werkregels!$C$3:$C$602,$A153,Werkregels!$Q$3:$Q$602,"Check nodig"))</f>
        <v/>
      </c>
      <c r="C153" s="78">
        <f>IF($A153="","",SUMIFS(Werkregels!$I$3:$I$602,Werkregels!$C$3:$C$602,$A153,Werkregels!$Q$3:$Q$602,"Nog factureren")+SUMIFS(Werkregels!$I$3:$I$602,Werkregels!$C$3:$C$602,$A153,Werkregels!$Q$3:$Q$602,"Check nodig"))</f>
        <v/>
      </c>
      <c r="D153" s="79">
        <f>IF($A153="","",SUMIFS(Werkregels!$P$3:$P$602,Werkregels!$C$3:$C$602,$A153,Werkregels!$Q$3:$Q$602,"Nog factureren"))</f>
        <v/>
      </c>
      <c r="E153" s="79">
        <f>IF($A153="","",SUMIFS(Werkregels!$P$3:$P$602,Werkregels!$C$3:$C$602,$A153,Werkregels!$Q$3:$Q$602,"Concept in HERO"))</f>
        <v/>
      </c>
      <c r="F153" s="79">
        <f>IF($A153="","",SUMIFS(Werkregels!$P$3:$P$602,Werkregels!$C$3:$C$602,$A153,Werkregels!$Q$3:$Q$602,"Verstuurd"))</f>
        <v/>
      </c>
    </row>
    <row r="154" ht="15" customHeight="1" s="42">
      <c r="A154" s="63" t="n"/>
      <c r="B154" s="56">
        <f>IF($A154="","",COUNTIFS(Werkregels!$C$3:$C$602,$A154,Werkregels!$Q$3:$Q$602,"Nog factureren")+COUNTIFS(Werkregels!$C$3:$C$602,$A154,Werkregels!$Q$3:$Q$602,"Check nodig"))</f>
        <v/>
      </c>
      <c r="C154" s="61">
        <f>IF($A154="","",SUMIFS(Werkregels!$I$3:$I$602,Werkregels!$C$3:$C$602,$A154,Werkregels!$Q$3:$Q$602,"Nog factureren")+SUMIFS(Werkregels!$I$3:$I$602,Werkregels!$C$3:$C$602,$A154,Werkregels!$Q$3:$Q$602,"Check nodig"))</f>
        <v/>
      </c>
      <c r="D154" s="70">
        <f>IF($A154="","",SUMIFS(Werkregels!$P$3:$P$602,Werkregels!$C$3:$C$602,$A154,Werkregels!$Q$3:$Q$602,"Nog factureren"))</f>
        <v/>
      </c>
      <c r="E154" s="70">
        <f>IF($A154="","",SUMIFS(Werkregels!$P$3:$P$602,Werkregels!$C$3:$C$602,$A154,Werkregels!$Q$3:$Q$602,"Concept in HERO"))</f>
        <v/>
      </c>
      <c r="F154" s="70">
        <f>IF($A154="","",SUMIFS(Werkregels!$P$3:$P$602,Werkregels!$C$3:$C$602,$A154,Werkregels!$Q$3:$Q$602,"Verstuurd"))</f>
        <v/>
      </c>
    </row>
    <row r="155" ht="15" customHeight="1" s="42">
      <c r="A155" s="76" t="n"/>
      <c r="B155" s="77">
        <f>IF($A155="","",COUNTIFS(Werkregels!$C$3:$C$602,$A155,Werkregels!$Q$3:$Q$602,"Nog factureren")+COUNTIFS(Werkregels!$C$3:$C$602,$A155,Werkregels!$Q$3:$Q$602,"Check nodig"))</f>
        <v/>
      </c>
      <c r="C155" s="78">
        <f>IF($A155="","",SUMIFS(Werkregels!$I$3:$I$602,Werkregels!$C$3:$C$602,$A155,Werkregels!$Q$3:$Q$602,"Nog factureren")+SUMIFS(Werkregels!$I$3:$I$602,Werkregels!$C$3:$C$602,$A155,Werkregels!$Q$3:$Q$602,"Check nodig"))</f>
        <v/>
      </c>
      <c r="D155" s="79">
        <f>IF($A155="","",SUMIFS(Werkregels!$P$3:$P$602,Werkregels!$C$3:$C$602,$A155,Werkregels!$Q$3:$Q$602,"Nog factureren"))</f>
        <v/>
      </c>
      <c r="E155" s="79">
        <f>IF($A155="","",SUMIFS(Werkregels!$P$3:$P$602,Werkregels!$C$3:$C$602,$A155,Werkregels!$Q$3:$Q$602,"Concept in HERO"))</f>
        <v/>
      </c>
      <c r="F155" s="79">
        <f>IF($A155="","",SUMIFS(Werkregels!$P$3:$P$602,Werkregels!$C$3:$C$602,$A155,Werkregels!$Q$3:$Q$602,"Verstuurd"))</f>
        <v/>
      </c>
    </row>
    <row r="156" ht="15" customHeight="1" s="42">
      <c r="A156" s="63" t="n"/>
      <c r="B156" s="56">
        <f>IF($A156="","",COUNTIFS(Werkregels!$C$3:$C$602,$A156,Werkregels!$Q$3:$Q$602,"Nog factureren")+COUNTIFS(Werkregels!$C$3:$C$602,$A156,Werkregels!$Q$3:$Q$602,"Check nodig"))</f>
        <v/>
      </c>
      <c r="C156" s="61">
        <f>IF($A156="","",SUMIFS(Werkregels!$I$3:$I$602,Werkregels!$C$3:$C$602,$A156,Werkregels!$Q$3:$Q$602,"Nog factureren")+SUMIFS(Werkregels!$I$3:$I$602,Werkregels!$C$3:$C$602,$A156,Werkregels!$Q$3:$Q$602,"Check nodig"))</f>
        <v/>
      </c>
      <c r="D156" s="70">
        <f>IF($A156="","",SUMIFS(Werkregels!$P$3:$P$602,Werkregels!$C$3:$C$602,$A156,Werkregels!$Q$3:$Q$602,"Nog factureren"))</f>
        <v/>
      </c>
      <c r="E156" s="70">
        <f>IF($A156="","",SUMIFS(Werkregels!$P$3:$P$602,Werkregels!$C$3:$C$602,$A156,Werkregels!$Q$3:$Q$602,"Concept in HERO"))</f>
        <v/>
      </c>
      <c r="F156" s="70">
        <f>IF($A156="","",SUMIFS(Werkregels!$P$3:$P$602,Werkregels!$C$3:$C$602,$A156,Werkregels!$Q$3:$Q$602,"Verstuurd"))</f>
        <v/>
      </c>
    </row>
    <row r="157" ht="15" customHeight="1" s="42">
      <c r="A157" s="47" t="inlineStr">
        <is>
          <t>Totaal</t>
        </is>
      </c>
      <c r="B157" s="80">
        <f>SUM(B7:B156)</f>
        <v/>
      </c>
      <c r="C157" s="81">
        <f>SUM(C7:C156)</f>
        <v/>
      </c>
      <c r="D157" s="82">
        <f>SUM(D7:D156)</f>
        <v/>
      </c>
      <c r="E157" s="82">
        <f>SUM(E7:E156)</f>
        <v/>
      </c>
      <c r="F157" s="82">
        <f>SUM(F7:F156)</f>
        <v/>
      </c>
    </row>
    <row r="159" ht="15" customHeight="1" s="42">
      <c r="A159" s="47">
        <f>IF(ROUND(D157+E157+F157,2)=ROUND(A4+C4+E4,2),"Overzicht compleet: alle werkregels vallen onder een klant in deze lijst","LET OP: verschil van "&amp;TEXT(ROUND(A4+C4+E4-(D157+E157+F157),2),"€ #,##0.00")&amp;" - er ontbreekt een klant in kolom A")</f>
        <v/>
      </c>
    </row>
    <row r="160" ht="15" customHeight="1" s="42">
      <c r="A160" s="47">
        <f>IF(COUNTA(Werkregels!C603:C20000)+COUNTA(Registraties!E3005:E20000)+COUNTA(A158,A161:A2000)=0,"Bereikcontrole: OK - alle data valt binnen de formulerijen","LET OP: er staat data buiten het rekenbereik (Registraties &gt; rij 3004, Werkregels &gt; rij 602 of klanten &gt; rij 156) - die telt NIET mee")</f>
        <v/>
      </c>
    </row>
  </sheetData>
  <mergeCells count="5">
    <mergeCell ref="A160:F160"/>
    <mergeCell ref="A159:F159"/>
    <mergeCell ref="C3:D3"/>
    <mergeCell ref="A3:B3"/>
    <mergeCell ref="E3:F3"/>
  </mergeCells>
  <conditionalFormatting sqref="A159">
    <cfRule type="expression" rank="0" priority="2" equalAverage="0" aboveAverage="0" dxfId="7" text="" percent="0" bottom="0">
      <formula>LEFT(A159,6)="LET OP"</formula>
    </cfRule>
    <cfRule type="expression" rank="0" priority="3" equalAverage="0" aboveAverage="0" dxfId="5" text="" percent="0" bottom="0">
      <formula>LEFT(A159,9)="Overzicht"</formula>
    </cfRule>
  </conditionalFormatting>
  <conditionalFormatting sqref="A160">
    <cfRule type="expression" rank="0" priority="4" equalAverage="0" aboveAverage="0" dxfId="7" text="" percent="0" bottom="0">
      <formula>LEFT(A160,6)="LET OP"</formula>
    </cfRule>
    <cfRule type="expression" rank="0" priority="5" equalAverage="0" aboveAverage="0" dxfId="5" text="" percent="0" bottom="0">
      <formula>LEFT(A160,14)="Bereikcontrole"</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2026-07-30T00:05:42Z</dcterms:created>
  <dcterms:modified xmlns:dcterms="http://purl.org/dc/terms/" xmlns:xsi="http://www.w3.org/2001/XMLSchema-instance" xsi:type="dcterms:W3CDTF">2026-07-30T01:04:38Z</dcterms:modified>
  <cp:revision>0</cp:revision>
</cp:coreProperties>
</file>