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Uitle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Klant x maand" sheetId="4" state="visible" r:id="rId4"/>
    <sheet xmlns:r="http://schemas.openxmlformats.org/officeDocument/2006/relationships" name="Medewerker x maand" sheetId="5" state="visible" r:id="rId5"/>
    <sheet xmlns:r="http://schemas.openxmlformats.org/officeDocument/2006/relationships" name="Segmenten" sheetId="6" state="visible" r:id="rId6"/>
  </sheets>
  <definedNames>
    <definedName name="_xlnm._FilterDatabase" localSheetId="1" hidden="1">'Data'!$A$1:$H$25001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\-mm\-yyyy"/>
    <numFmt numFmtId="165" formatCode="hh:mm"/>
    <numFmt numFmtId="166" formatCode="#,##0.0"/>
    <numFmt numFmtId="167" formatCode="&quot;€ &quot;#,##0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5E20"/>
      <sz val="16"/>
    </font>
    <font>
      <name val="Arial"/>
      <charset val="1"/>
      <family val="0"/>
      <sz val="10"/>
    </font>
    <font>
      <name val="Arial"/>
      <charset val="1"/>
      <family val="0"/>
      <b val="1"/>
      <color rgb="FF1B5E20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B5E20"/>
      <sz val="15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FF"/>
      <sz val="13"/>
    </font>
    <font>
      <name val="Arial"/>
      <charset val="1"/>
      <family val="0"/>
      <b val="1"/>
      <color rgb="FF1B5E20"/>
      <sz val="11"/>
    </font>
    <font>
      <name val="Arial"/>
      <charset val="1"/>
      <family val="0"/>
      <b val="1"/>
      <sz val="13"/>
    </font>
    <font>
      <name val="Arial"/>
      <charset val="1"/>
      <family val="0"/>
      <b val="1"/>
      <color rgb="FF1B5E20"/>
      <sz val="13"/>
    </font>
    <font>
      <name val="Arial"/>
      <charset val="1"/>
      <family val="0"/>
      <i val="1"/>
      <sz val="9"/>
    </font>
    <font>
      <name val="Arial"/>
      <charset val="1"/>
      <family val="0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1B5E20"/>
        <bgColor rgb="FF333333"/>
      </patternFill>
    </fill>
    <fill>
      <patternFill patternType="solid">
        <fgColor rgb="FFC8E6C9"/>
        <bgColor rgb="FFCCCCCC"/>
      </patternFill>
    </fill>
    <fill>
      <patternFill patternType="solid">
        <fgColor rgb="FFF5F5F5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1B5E2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" fontId="10" fillId="0" borderId="0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9" fontId="12" fillId="0" borderId="0" applyAlignment="1" pivotButton="0" quotePrefix="0" xfId="0">
      <alignment horizontal="general" vertical="bottom"/>
    </xf>
    <xf numFmtId="166" fontId="5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1" applyAlignment="1" applyProtection="1" pivotButton="0" quotePrefix="0" xfId="0">
      <alignment horizontal="general" vertical="bottom"/>
      <protection locked="0" hidden="0"/>
    </xf>
    <xf numFmtId="166" fontId="5" fillId="4" borderId="1" applyAlignment="1" pivotButton="0" quotePrefix="0" xfId="0">
      <alignment horizontal="general" vertical="bottom"/>
    </xf>
    <xf numFmtId="167" fontId="15" fillId="0" borderId="1" applyAlignment="1" applyProtection="1" pivotButton="0" quotePrefix="0" xfId="0">
      <alignment horizontal="general" vertical="bottom"/>
      <protection locked="0" hidden="0"/>
    </xf>
    <xf numFmtId="167" fontId="5" fillId="0" borderId="1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167" fontId="9" fillId="0" borderId="2" applyAlignment="1" pivotButton="0" quotePrefix="0" xfId="0">
      <alignment horizontal="general" vertical="bottom"/>
    </xf>
    <xf numFmtId="9" fontId="5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" fontId="10" fillId="0" borderId="0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9" fontId="12" fillId="0" borderId="0" applyAlignment="1" pivotButton="0" quotePrefix="0" xfId="0">
      <alignment horizontal="general" vertical="bottom"/>
    </xf>
    <xf numFmtId="166" fontId="5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1" applyAlignment="1" applyProtection="1" pivotButton="0" quotePrefix="0" xfId="0">
      <alignment horizontal="general" vertical="bottom"/>
      <protection locked="0" hidden="0"/>
    </xf>
    <xf numFmtId="166" fontId="5" fillId="4" borderId="1" applyAlignment="1" pivotButton="0" quotePrefix="0" xfId="0">
      <alignment horizontal="general" vertical="bottom"/>
    </xf>
    <xf numFmtId="167" fontId="15" fillId="0" borderId="1" applyAlignment="1" applyProtection="1" pivotButton="0" quotePrefix="0" xfId="0">
      <alignment horizontal="general" vertical="bottom"/>
      <protection locked="0" hidden="0"/>
    </xf>
    <xf numFmtId="167" fontId="5" fillId="0" borderId="1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167" fontId="9" fillId="0" borderId="2" applyAlignment="1" pivotButton="0" quotePrefix="0" xfId="0">
      <alignment horizontal="general" vertical="bottom"/>
    </xf>
    <xf numFmtId="9" fontId="5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B5E2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B71C1C"/>
        <sz val="10"/>
      </font>
      <fill>
        <patternFill>
          <bgColor rgb="FFFFCDD2"/>
        </patternFill>
      </fill>
    </dxf>
    <dxf>
      <font>
        <name val="Arial"/>
        <charset val="1"/>
        <family val="0"/>
        <b val="1"/>
        <color rgb="FF1B5E20"/>
        <sz val="10"/>
      </font>
      <fill>
        <patternFill>
          <bgColor rgb="FFC8E6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1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9" min="1" max="1"/>
    <col width="112" customWidth="1" style="29" min="2" max="2"/>
  </cols>
  <sheetData>
    <row r="2" ht="19.7" customHeight="1" s="30">
      <c r="B2" s="31" t="inlineStr">
        <is>
          <t>Jaarrapportage uren — Top Tuinen</t>
        </is>
      </c>
    </row>
    <row r="4" ht="39" customHeight="1" s="30">
      <c r="B4" s="32" t="inlineStr">
        <is>
          <t>Wat is dit — Het jaaroverzicht van alle geregistreerde uren: per klant, per medewerker en per segment, met de verdeling factureerbaar versus intern. Dit is een rapportage — géén werkdocument. Facturen en statussen blijven in de maandelijkse facturatiesheet en HERO.</t>
        </is>
      </c>
    </row>
    <row r="6" ht="15" customHeight="1" s="30">
      <c r="B6" s="33" t="inlineStr">
        <is>
          <t>Zo werkt het</t>
        </is>
      </c>
    </row>
    <row r="7" ht="51.75" customHeight="1" s="30">
      <c r="B7" s="32" t="inlineStr">
        <is>
          <t>Data — Eén platte tabel met alle registraties van het jaar (ruimte voor 25.000 regels): datum, medewerker, klant, segment, omschrijving, van, tot en uren. Alleen waarden, geen formules — daardoor blijft het snel, ook bij een volledig jaar met 15 man. De uren-kolom is verplicht en moet een getal zijn (de app levert die mee).</t>
        </is>
      </c>
    </row>
    <row r="8" ht="25.5" customHeight="1" s="30">
      <c r="B8" s="32" t="inlineStr">
        <is>
          <t>Dashboard — Kies bovenaan het jaar. Daaronder: jaartotalen, de verdeling factureerbaar / pauze / reistijd / laden+lossen / overig, het verloop per maand en de vier controles.</t>
        </is>
      </c>
    </row>
    <row r="9" ht="25.5" customHeight="1" s="30">
      <c r="B9" s="32" t="inlineStr">
        <is>
          <t>Klant x maand — Facturabele uren per klant per maand, met jaartotaal. Vul (eenmalig) het uurtarief in voor een omzet-indicatie — die geldt alleen voor uurklanten; vaste-prijsomzet staat in HERO.</t>
        </is>
      </c>
    </row>
    <row r="10" ht="25.5" customHeight="1" s="30">
      <c r="B10" s="32" t="inlineStr">
        <is>
          <t>Medewerker x maand — Totaal geregistreerde uren per medewerker per maand, plus per jaar: factureerbaar, reistijd en het percentage factureerbaar.</t>
        </is>
      </c>
    </row>
    <row r="11" ht="15" customHeight="1" s="30">
      <c r="B11" s="32" t="inlineStr">
        <is>
          <t>Segmenten — Uren per segment per maand — hier zie je in één blik waar de niet-factureerbare tijd zit.</t>
        </is>
      </c>
    </row>
    <row r="13" ht="15" customHeight="1" s="30">
      <c r="B13" s="33" t="inlineStr">
        <is>
          <t>Waar moet je kijken</t>
        </is>
      </c>
    </row>
    <row r="14" ht="51.75" customHeight="1" s="30">
      <c r="B14" s="32" t="inlineStr">
        <is>
          <t>Dashboard, blok CONTROLES — Vier regels die allemaal groen moeten zijn: (1) bereik — geen data onder rij 25.001, (2) jaar — geen registraties buiten het gekozen jaar, (3) klantdekking — alle facturabele uren vallen onder een klant in de klantmatrix, (4) medewerkerdekking — alle uren vallen onder een medewerker in de matrix. Eén rode regel = het rapport is niet compleet en de melding zegt wat er mist.</t>
        </is>
      </c>
    </row>
    <row r="16" ht="15" customHeight="1" s="30">
      <c r="B16" s="33" t="inlineStr">
        <is>
          <t>Spelregels</t>
        </is>
      </c>
    </row>
    <row r="17" ht="25.5" customHeight="1" s="30">
      <c r="B17" s="32" t="inlineStr">
        <is>
          <t>Segmenten — Werken, Pauze, Reistijd, Laden, Lossen, Teammeeting, Onderhoud materiaal, Anders. Alleen "Werken" telt als factureerbaar.</t>
        </is>
      </c>
    </row>
    <row r="18" ht="25.5" customHeight="1" s="30">
      <c r="B18" s="32" t="inlineStr">
        <is>
          <t>Namen — Klant- en medewerkernamen exact hetzelfde schrijven als in de app; de matrices koppelen op de letterlijke naam.</t>
        </is>
      </c>
    </row>
    <row r="19" ht="25.5" customHeight="1" s="30">
      <c r="B19" s="32" t="inlineStr">
        <is>
          <t>Blauw/zwart — Blauwe cellen zijn invoer (jaar, klantenlijst, tarieven, medewerkerlijst). Zwart = formule, vergrendeld zonder wachtwoord.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9" min="1" max="1"/>
    <col width="20" customWidth="1" style="29" min="2" max="2"/>
    <col width="28" customWidth="1" style="29" min="3" max="3"/>
    <col width="18" customWidth="1" style="29" min="4" max="4"/>
    <col width="26" customWidth="1" style="29" min="5" max="5"/>
    <col width="8" customWidth="1" style="29" min="6" max="8"/>
  </cols>
  <sheetData>
    <row r="1" ht="15" customHeight="1" s="30">
      <c r="A1" s="34" t="inlineStr">
        <is>
          <t>Datum</t>
        </is>
      </c>
      <c r="B1" s="34" t="inlineStr">
        <is>
          <t>Medewerker</t>
        </is>
      </c>
      <c r="C1" s="34" t="inlineStr">
        <is>
          <t>Klant</t>
        </is>
      </c>
      <c r="D1" s="34" t="inlineStr">
        <is>
          <t>Segment</t>
        </is>
      </c>
      <c r="E1" s="34" t="inlineStr">
        <is>
          <t>Omschrijving</t>
        </is>
      </c>
      <c r="F1" s="34" t="inlineStr">
        <is>
          <t>Van</t>
        </is>
      </c>
      <c r="G1" s="34" t="inlineStr">
        <is>
          <t>Tot</t>
        </is>
      </c>
      <c r="H1" s="34" t="inlineStr">
        <is>
          <t>Uren</t>
        </is>
      </c>
    </row>
    <row r="2" ht="15" customHeight="1" s="30">
      <c r="A2" s="35" t="n"/>
      <c r="F2" s="36" t="n"/>
      <c r="G2" s="36" t="n"/>
      <c r="H2" s="37" t="n"/>
    </row>
    <row r="3" ht="15" customHeight="1" s="30">
      <c r="A3" s="35" t="n"/>
      <c r="F3" s="36" t="n"/>
      <c r="G3" s="36" t="n"/>
      <c r="H3" s="37" t="n"/>
    </row>
    <row r="4" ht="15" customHeight="1" s="30">
      <c r="A4" s="35" t="n"/>
      <c r="F4" s="36" t="n"/>
      <c r="G4" s="36" t="n"/>
      <c r="H4" s="37" t="n"/>
    </row>
    <row r="5" ht="15" customHeight="1" s="30">
      <c r="A5" s="35" t="n"/>
      <c r="F5" s="36" t="n"/>
      <c r="G5" s="36" t="n"/>
      <c r="H5" s="37" t="n"/>
    </row>
    <row r="6" ht="15" customHeight="1" s="30">
      <c r="A6" s="35" t="n"/>
      <c r="F6" s="36" t="n"/>
      <c r="G6" s="36" t="n"/>
      <c r="H6" s="37" t="n"/>
    </row>
    <row r="7" ht="15" customHeight="1" s="30">
      <c r="A7" s="35" t="n"/>
      <c r="F7" s="36" t="n"/>
      <c r="G7" s="36" t="n"/>
      <c r="H7" s="37" t="n"/>
    </row>
    <row r="8" ht="15" customHeight="1" s="30">
      <c r="A8" s="35" t="n"/>
      <c r="F8" s="36" t="n"/>
      <c r="G8" s="36" t="n"/>
      <c r="H8" s="37" t="n"/>
    </row>
    <row r="9" ht="15" customHeight="1" s="30">
      <c r="A9" s="35" t="n"/>
      <c r="F9" s="36" t="n"/>
      <c r="G9" s="36" t="n"/>
      <c r="H9" s="37" t="n"/>
    </row>
    <row r="10" ht="15" customHeight="1" s="30">
      <c r="A10" s="35" t="n"/>
      <c r="F10" s="36" t="n"/>
      <c r="G10" s="36" t="n"/>
      <c r="H10" s="37" t="n"/>
    </row>
    <row r="11" ht="15" customHeight="1" s="30">
      <c r="A11" s="35" t="n"/>
      <c r="F11" s="36" t="n"/>
      <c r="G11" s="36" t="n"/>
      <c r="H11" s="37" t="n"/>
    </row>
    <row r="12" ht="15" customHeight="1" s="30">
      <c r="A12" s="35" t="n"/>
      <c r="F12" s="36" t="n"/>
      <c r="G12" s="36" t="n"/>
      <c r="H12" s="37" t="n"/>
    </row>
    <row r="13" ht="15" customHeight="1" s="30">
      <c r="A13" s="35" t="n"/>
      <c r="F13" s="36" t="n"/>
      <c r="G13" s="36" t="n"/>
      <c r="H13" s="37" t="n"/>
    </row>
    <row r="14" ht="15" customHeight="1" s="30">
      <c r="A14" s="35" t="n"/>
      <c r="F14" s="36" t="n"/>
      <c r="G14" s="36" t="n"/>
      <c r="H14" s="37" t="n"/>
    </row>
    <row r="15" ht="15" customHeight="1" s="30">
      <c r="A15" s="35" t="n"/>
      <c r="F15" s="36" t="n"/>
      <c r="G15" s="36" t="n"/>
      <c r="H15" s="37" t="n"/>
    </row>
    <row r="16" ht="15" customHeight="1" s="30">
      <c r="A16" s="35" t="n"/>
      <c r="F16" s="36" t="n"/>
      <c r="G16" s="36" t="n"/>
      <c r="H16" s="37" t="n"/>
    </row>
    <row r="17" ht="15" customHeight="1" s="30">
      <c r="A17" s="35" t="n"/>
      <c r="F17" s="36" t="n"/>
      <c r="G17" s="36" t="n"/>
      <c r="H17" s="37" t="n"/>
    </row>
    <row r="18" ht="15" customHeight="1" s="30">
      <c r="A18" s="35" t="n"/>
      <c r="F18" s="36" t="n"/>
      <c r="G18" s="36" t="n"/>
      <c r="H18" s="37" t="n"/>
    </row>
    <row r="19" ht="15" customHeight="1" s="30">
      <c r="A19" s="35" t="n"/>
      <c r="F19" s="36" t="n"/>
      <c r="G19" s="36" t="n"/>
      <c r="H19" s="37" t="n"/>
    </row>
    <row r="20" ht="15" customHeight="1" s="30">
      <c r="A20" s="35" t="n"/>
      <c r="F20" s="36" t="n"/>
      <c r="G20" s="36" t="n"/>
      <c r="H20" s="37" t="n"/>
    </row>
    <row r="21" ht="15" customHeight="1" s="30">
      <c r="A21" s="35" t="n"/>
      <c r="F21" s="36" t="n"/>
      <c r="G21" s="36" t="n"/>
      <c r="H21" s="37" t="n"/>
    </row>
    <row r="22" ht="15" customHeight="1" s="30">
      <c r="A22" s="35" t="n"/>
      <c r="F22" s="36" t="n"/>
      <c r="G22" s="36" t="n"/>
      <c r="H22" s="37" t="n"/>
    </row>
    <row r="23" ht="15" customHeight="1" s="30">
      <c r="A23" s="35" t="n"/>
      <c r="F23" s="36" t="n"/>
      <c r="G23" s="36" t="n"/>
      <c r="H23" s="37" t="n"/>
    </row>
    <row r="24" ht="15" customHeight="1" s="30">
      <c r="A24" s="35" t="n"/>
      <c r="F24" s="36" t="n"/>
      <c r="G24" s="36" t="n"/>
      <c r="H24" s="37" t="n"/>
    </row>
    <row r="25" ht="15" customHeight="1" s="30">
      <c r="A25" s="35" t="n"/>
      <c r="F25" s="36" t="n"/>
      <c r="G25" s="36" t="n"/>
      <c r="H25" s="37" t="n"/>
    </row>
    <row r="26" ht="15" customHeight="1" s="30">
      <c r="A26" s="35" t="n"/>
      <c r="F26" s="36" t="n"/>
      <c r="G26" s="36" t="n"/>
      <c r="H26" s="37" t="n"/>
    </row>
    <row r="27" ht="15" customHeight="1" s="30">
      <c r="A27" s="35" t="n"/>
      <c r="F27" s="36" t="n"/>
      <c r="G27" s="36" t="n"/>
      <c r="H27" s="37" t="n"/>
    </row>
    <row r="28" ht="15" customHeight="1" s="30">
      <c r="A28" s="35" t="n"/>
      <c r="F28" s="36" t="n"/>
      <c r="G28" s="36" t="n"/>
      <c r="H28" s="37" t="n"/>
    </row>
    <row r="29" ht="15" customHeight="1" s="30">
      <c r="A29" s="35" t="n"/>
      <c r="F29" s="36" t="n"/>
      <c r="G29" s="36" t="n"/>
      <c r="H29" s="37" t="n"/>
    </row>
    <row r="30" ht="15" customHeight="1" s="30">
      <c r="A30" s="35" t="n"/>
      <c r="F30" s="36" t="n"/>
      <c r="G30" s="36" t="n"/>
      <c r="H30" s="37" t="n"/>
    </row>
    <row r="31" ht="15" customHeight="1" s="30">
      <c r="A31" s="35" t="n"/>
      <c r="F31" s="36" t="n"/>
      <c r="G31" s="36" t="n"/>
      <c r="H31" s="37" t="n"/>
    </row>
    <row r="32" ht="15" customHeight="1" s="30">
      <c r="A32" s="35" t="n"/>
      <c r="F32" s="36" t="n"/>
      <c r="G32" s="36" t="n"/>
      <c r="H32" s="37" t="n"/>
    </row>
    <row r="33" ht="15" customHeight="1" s="30">
      <c r="A33" s="35" t="n"/>
      <c r="F33" s="36" t="n"/>
      <c r="G33" s="36" t="n"/>
      <c r="H33" s="37" t="n"/>
    </row>
    <row r="34" ht="15" customHeight="1" s="30">
      <c r="A34" s="35" t="n"/>
      <c r="F34" s="36" t="n"/>
      <c r="G34" s="36" t="n"/>
      <c r="H34" s="37" t="n"/>
    </row>
    <row r="35" ht="15" customHeight="1" s="30">
      <c r="A35" s="35" t="n"/>
      <c r="F35" s="36" t="n"/>
      <c r="G35" s="36" t="n"/>
      <c r="H35" s="37" t="n"/>
    </row>
    <row r="36" ht="15" customHeight="1" s="30">
      <c r="A36" s="35" t="n"/>
      <c r="F36" s="36" t="n"/>
      <c r="G36" s="36" t="n"/>
      <c r="H36" s="37" t="n"/>
    </row>
    <row r="37" ht="15" customHeight="1" s="30">
      <c r="A37" s="35" t="n"/>
      <c r="F37" s="36" t="n"/>
      <c r="G37" s="36" t="n"/>
      <c r="H37" s="37" t="n"/>
    </row>
    <row r="38" ht="15" customHeight="1" s="30">
      <c r="A38" s="35" t="n"/>
      <c r="F38" s="36" t="n"/>
      <c r="G38" s="36" t="n"/>
      <c r="H38" s="37" t="n"/>
    </row>
    <row r="39" ht="15" customHeight="1" s="30">
      <c r="A39" s="35" t="n"/>
      <c r="F39" s="36" t="n"/>
      <c r="G39" s="36" t="n"/>
      <c r="H39" s="37" t="n"/>
    </row>
    <row r="40" ht="15" customHeight="1" s="30">
      <c r="A40" s="35" t="n"/>
      <c r="F40" s="36" t="n"/>
      <c r="G40" s="36" t="n"/>
      <c r="H40" s="37" t="n"/>
    </row>
    <row r="41" ht="15" customHeight="1" s="30">
      <c r="A41" s="35" t="n"/>
      <c r="F41" s="36" t="n"/>
      <c r="G41" s="36" t="n"/>
      <c r="H41" s="37" t="n"/>
    </row>
    <row r="42" ht="15" customHeight="1" s="30">
      <c r="A42" s="35" t="n"/>
      <c r="F42" s="36" t="n"/>
      <c r="G42" s="36" t="n"/>
      <c r="H42" s="37" t="n"/>
    </row>
    <row r="43" ht="15" customHeight="1" s="30">
      <c r="A43" s="35" t="n"/>
      <c r="F43" s="36" t="n"/>
      <c r="G43" s="36" t="n"/>
      <c r="H43" s="37" t="n"/>
    </row>
    <row r="44" ht="15" customHeight="1" s="30">
      <c r="A44" s="35" t="n"/>
      <c r="F44" s="36" t="n"/>
      <c r="G44" s="36" t="n"/>
      <c r="H44" s="37" t="n"/>
    </row>
    <row r="45" ht="15" customHeight="1" s="30">
      <c r="A45" s="35" t="n"/>
      <c r="F45" s="36" t="n"/>
      <c r="G45" s="36" t="n"/>
      <c r="H45" s="37" t="n"/>
    </row>
    <row r="46" ht="15" customHeight="1" s="30">
      <c r="A46" s="35" t="n"/>
      <c r="F46" s="36" t="n"/>
      <c r="G46" s="36" t="n"/>
      <c r="H46" s="37" t="n"/>
    </row>
    <row r="47" ht="15" customHeight="1" s="30">
      <c r="A47" s="35" t="n"/>
      <c r="F47" s="36" t="n"/>
      <c r="G47" s="36" t="n"/>
      <c r="H47" s="37" t="n"/>
    </row>
    <row r="48" ht="15" customHeight="1" s="30">
      <c r="A48" s="35" t="n"/>
      <c r="F48" s="36" t="n"/>
      <c r="G48" s="36" t="n"/>
      <c r="H48" s="37" t="n"/>
    </row>
    <row r="49" ht="15" customHeight="1" s="30">
      <c r="A49" s="35" t="n"/>
      <c r="F49" s="36" t="n"/>
      <c r="G49" s="36" t="n"/>
      <c r="H49" s="37" t="n"/>
    </row>
    <row r="50" ht="15" customHeight="1" s="30">
      <c r="A50" s="35" t="n"/>
      <c r="F50" s="36" t="n"/>
      <c r="G50" s="36" t="n"/>
      <c r="H50" s="37" t="n"/>
    </row>
    <row r="51" ht="15" customHeight="1" s="30">
      <c r="A51" s="35" t="n"/>
      <c r="F51" s="36" t="n"/>
      <c r="G51" s="36" t="n"/>
      <c r="H51" s="37" t="n"/>
    </row>
    <row r="52" ht="15" customHeight="1" s="30">
      <c r="A52" s="35" t="n"/>
      <c r="F52" s="36" t="n"/>
      <c r="G52" s="36" t="n"/>
      <c r="H52" s="37" t="n"/>
    </row>
    <row r="53" ht="15" customHeight="1" s="30">
      <c r="A53" s="35" t="n"/>
      <c r="F53" s="36" t="n"/>
      <c r="G53" s="36" t="n"/>
      <c r="H53" s="37" t="n"/>
    </row>
    <row r="54" ht="15" customHeight="1" s="30">
      <c r="A54" s="35" t="n"/>
      <c r="F54" s="36" t="n"/>
      <c r="G54" s="36" t="n"/>
      <c r="H54" s="37" t="n"/>
    </row>
    <row r="55" ht="15" customHeight="1" s="30">
      <c r="A55" s="35" t="n"/>
      <c r="F55" s="36" t="n"/>
      <c r="G55" s="36" t="n"/>
      <c r="H55" s="37" t="n"/>
    </row>
    <row r="56" ht="15" customHeight="1" s="30">
      <c r="A56" s="35" t="n"/>
      <c r="F56" s="36" t="n"/>
      <c r="G56" s="36" t="n"/>
      <c r="H56" s="37" t="n"/>
    </row>
    <row r="57" ht="15" customHeight="1" s="30">
      <c r="A57" s="35" t="n"/>
      <c r="F57" s="36" t="n"/>
      <c r="G57" s="36" t="n"/>
      <c r="H57" s="37" t="n"/>
    </row>
    <row r="58" ht="15" customHeight="1" s="30">
      <c r="A58" s="35" t="n"/>
      <c r="F58" s="36" t="n"/>
      <c r="G58" s="36" t="n"/>
      <c r="H58" s="37" t="n"/>
    </row>
    <row r="59" ht="15" customHeight="1" s="30">
      <c r="A59" s="35" t="n"/>
      <c r="F59" s="36" t="n"/>
      <c r="G59" s="36" t="n"/>
      <c r="H59" s="37" t="n"/>
    </row>
    <row r="60" ht="15" customHeight="1" s="30">
      <c r="A60" s="35" t="n"/>
      <c r="F60" s="36" t="n"/>
      <c r="G60" s="36" t="n"/>
      <c r="H60" s="37" t="n"/>
    </row>
    <row r="61" ht="15" customHeight="1" s="30">
      <c r="A61" s="35" t="n"/>
      <c r="F61" s="36" t="n"/>
      <c r="G61" s="36" t="n"/>
      <c r="H61" s="37" t="n"/>
    </row>
  </sheetData>
  <autoFilter ref="A1:H25001"/>
  <dataValidations count="1">
    <dataValidation sqref="D2:D25001" showDropDown="0" showInputMessage="0" showErrorMessage="0" allowBlank="1" type="list" errorStyle="stop" operator="between">
      <formula1>"Werken,Pauze,Reistijd,Laden,Lossen,Teammeeting,Onderhoud materiaal,Anders"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9" min="1" max="1"/>
    <col width="9" customWidth="1" style="29" min="2" max="14"/>
  </cols>
  <sheetData>
    <row r="1" ht="18.55" customHeight="1" s="30">
      <c r="A1" s="38" t="inlineStr">
        <is>
          <t>Jaarrapportage — Top Tuinen</t>
        </is>
      </c>
    </row>
    <row r="2" ht="16.15" customHeight="1" s="30">
      <c r="A2" s="39" t="inlineStr">
        <is>
          <t>Jaar:</t>
        </is>
      </c>
      <c r="B2" s="40" t="n">
        <v>2026</v>
      </c>
    </row>
    <row r="4" ht="15" customHeight="1" s="30">
      <c r="A4" s="41" t="inlineStr">
        <is>
          <t>JAARTOTALEN</t>
        </is>
      </c>
    </row>
    <row r="5" ht="15" customHeight="1" s="30">
      <c r="B5" s="39" t="inlineStr">
        <is>
          <t>Totaal uren</t>
        </is>
      </c>
      <c r="D5" s="42" t="inlineStr">
        <is>
          <t>Factureerbaar (Werken)</t>
        </is>
      </c>
      <c r="F5" s="39" t="inlineStr">
        <is>
          <t>Pauze</t>
        </is>
      </c>
      <c r="H5" s="39" t="inlineStr">
        <is>
          <t>Reistijd</t>
        </is>
      </c>
      <c r="J5" s="39" t="inlineStr">
        <is>
          <t>Laden + Lossen</t>
        </is>
      </c>
      <c r="L5" s="39" t="inlineStr">
        <is>
          <t>Overig intern</t>
        </is>
      </c>
      <c r="N5" s="42" t="inlineStr">
        <is>
          <t>% factureerbaar</t>
        </is>
      </c>
    </row>
    <row r="6" ht="16.15" customHeight="1" s="30">
      <c r="B6" s="43">
        <f>SUMIFS(Data!$H$2:$H$25001,Data!$A$2:$A$25001,"&gt;="&amp;DATE(Dashboard!$B$2,1,1)&amp;"",Data!$A$2:$A$25001,"&lt;"&amp;DATE(Dashboard!$B$2+1,1,1)&amp;"")</f>
        <v/>
      </c>
      <c r="D6" s="43">
        <f>SUMIFS(Data!$H$2:$H$25001,Data!$D$2:$D$25001,"Werken",Data!$A$2:$A$25001,"&gt;="&amp;DATE(Dashboard!$B$2,1,1)&amp;"",Data!$A$2:$A$25001,"&lt;"&amp;DATE(Dashboard!$B$2+1,1,1)&amp;"")</f>
        <v/>
      </c>
      <c r="F6" s="43">
        <f>SUMIFS(Data!$H$2:$H$25001,Data!$D$2:$D$25001,"Pauze",Data!$A$2:$A$25001,"&gt;="&amp;DATE(Dashboard!$B$2,1,1)&amp;"",Data!$A$2:$A$25001,"&lt;"&amp;DATE(Dashboard!$B$2+1,1,1)&amp;"")</f>
        <v/>
      </c>
      <c r="H6" s="43">
        <f>SUMIFS(Data!$H$2:$H$25001,Data!$D$2:$D$25001,"Reistijd",Data!$A$2:$A$25001,"&gt;="&amp;DATE(Dashboard!$B$2,1,1)&amp;"",Data!$A$2:$A$25001,"&lt;"&amp;DATE(Dashboard!$B$2+1,1,1)&amp;"")</f>
        <v/>
      </c>
      <c r="J6" s="43">
        <f>SUMIFS(Data!$H$2:$H$25001,Data!$D$2:$D$25001,"Laden",Data!$A$2:$A$25001,"&gt;="&amp;DATE(Dashboard!$B$2,1,1)&amp;"",Data!$A$2:$A$25001,"&lt;"&amp;DATE(Dashboard!$B$2+1,1,1)&amp;"")+SUMIFS(Data!$H$2:$H$25001,Data!$D$2:$D$25001,"Lossen",Data!$A$2:$A$25001,"&gt;="&amp;DATE(Dashboard!$B$2,1,1)&amp;"",Data!$A$2:$A$25001,"&lt;"&amp;DATE(Dashboard!$B$2+1,1,1)&amp;"")</f>
        <v/>
      </c>
      <c r="L6" s="43">
        <f>B6-D6-F6-H6-J6</f>
        <v/>
      </c>
      <c r="N6" s="44">
        <f>IF(B6=0,"",D6/B6)</f>
        <v/>
      </c>
    </row>
    <row r="9" ht="15" customHeight="1" s="30">
      <c r="A9" s="41" t="inlineStr">
        <is>
          <t>PER MAAND</t>
        </is>
      </c>
    </row>
    <row r="10" ht="15" customHeight="1" s="30">
      <c r="A10" s="34" t="n"/>
      <c r="B10" s="34" t="inlineStr">
        <is>
          <t>jan</t>
        </is>
      </c>
      <c r="C10" s="34" t="inlineStr">
        <is>
          <t>feb</t>
        </is>
      </c>
      <c r="D10" s="34" t="inlineStr">
        <is>
          <t>mrt</t>
        </is>
      </c>
      <c r="E10" s="34" t="inlineStr">
        <is>
          <t>apr</t>
        </is>
      </c>
      <c r="F10" s="34" t="inlineStr">
        <is>
          <t>mei</t>
        </is>
      </c>
      <c r="G10" s="34" t="inlineStr">
        <is>
          <t>jun</t>
        </is>
      </c>
      <c r="H10" s="34" t="inlineStr">
        <is>
          <t>jul</t>
        </is>
      </c>
      <c r="I10" s="34" t="inlineStr">
        <is>
          <t>aug</t>
        </is>
      </c>
      <c r="J10" s="34" t="inlineStr">
        <is>
          <t>sep</t>
        </is>
      </c>
      <c r="K10" s="34" t="inlineStr">
        <is>
          <t>okt</t>
        </is>
      </c>
      <c r="L10" s="34" t="inlineStr">
        <is>
          <t>nov</t>
        </is>
      </c>
      <c r="M10" s="34" t="inlineStr">
        <is>
          <t>dec</t>
        </is>
      </c>
      <c r="N10" s="34" t="inlineStr">
        <is>
          <t>Jaar</t>
        </is>
      </c>
    </row>
    <row r="11" ht="15" customHeight="1" s="30">
      <c r="A11" s="39" t="inlineStr">
        <is>
          <t>Totaal uren</t>
        </is>
      </c>
      <c r="B11" s="45">
        <f>SUMIFS(Data!$H$2:$H$25001,Data!$A$2:$A$25001,"&gt;="&amp;DATE(Dashboard!$B$2,1,1)&amp;"",Data!$A$2:$A$25001,"&lt;"&amp;DATE(Dashboard!$B$2,1+1,1)&amp;"")</f>
        <v/>
      </c>
      <c r="C11" s="45">
        <f>SUMIFS(Data!$H$2:$H$25001,Data!$A$2:$A$25001,"&gt;="&amp;DATE(Dashboard!$B$2,2,1)&amp;"",Data!$A$2:$A$25001,"&lt;"&amp;DATE(Dashboard!$B$2,2+1,1)&amp;"")</f>
        <v/>
      </c>
      <c r="D11" s="45">
        <f>SUMIFS(Data!$H$2:$H$25001,Data!$A$2:$A$25001,"&gt;="&amp;DATE(Dashboard!$B$2,3,1)&amp;"",Data!$A$2:$A$25001,"&lt;"&amp;DATE(Dashboard!$B$2,3+1,1)&amp;"")</f>
        <v/>
      </c>
      <c r="E11" s="45">
        <f>SUMIFS(Data!$H$2:$H$25001,Data!$A$2:$A$25001,"&gt;="&amp;DATE(Dashboard!$B$2,4,1)&amp;"",Data!$A$2:$A$25001,"&lt;"&amp;DATE(Dashboard!$B$2,4+1,1)&amp;"")</f>
        <v/>
      </c>
      <c r="F11" s="45">
        <f>SUMIFS(Data!$H$2:$H$25001,Data!$A$2:$A$25001,"&gt;="&amp;DATE(Dashboard!$B$2,5,1)&amp;"",Data!$A$2:$A$25001,"&lt;"&amp;DATE(Dashboard!$B$2,5+1,1)&amp;"")</f>
        <v/>
      </c>
      <c r="G11" s="45">
        <f>SUMIFS(Data!$H$2:$H$25001,Data!$A$2:$A$25001,"&gt;="&amp;DATE(Dashboard!$B$2,6,1)&amp;"",Data!$A$2:$A$25001,"&lt;"&amp;DATE(Dashboard!$B$2,6+1,1)&amp;"")</f>
        <v/>
      </c>
      <c r="H11" s="45">
        <f>SUMIFS(Data!$H$2:$H$25001,Data!$A$2:$A$25001,"&gt;="&amp;DATE(Dashboard!$B$2,7,1)&amp;"",Data!$A$2:$A$25001,"&lt;"&amp;DATE(Dashboard!$B$2,7+1,1)&amp;"")</f>
        <v/>
      </c>
      <c r="I11" s="45">
        <f>SUMIFS(Data!$H$2:$H$25001,Data!$A$2:$A$25001,"&gt;="&amp;DATE(Dashboard!$B$2,8,1)&amp;"",Data!$A$2:$A$25001,"&lt;"&amp;DATE(Dashboard!$B$2,8+1,1)&amp;"")</f>
        <v/>
      </c>
      <c r="J11" s="45">
        <f>SUMIFS(Data!$H$2:$H$25001,Data!$A$2:$A$25001,"&gt;="&amp;DATE(Dashboard!$B$2,9,1)&amp;"",Data!$A$2:$A$25001,"&lt;"&amp;DATE(Dashboard!$B$2,9+1,1)&amp;"")</f>
        <v/>
      </c>
      <c r="K11" s="45">
        <f>SUMIFS(Data!$H$2:$H$25001,Data!$A$2:$A$25001,"&gt;="&amp;DATE(Dashboard!$B$2,10,1)&amp;"",Data!$A$2:$A$25001,"&lt;"&amp;DATE(Dashboard!$B$2,10+1,1)&amp;"")</f>
        <v/>
      </c>
      <c r="L11" s="45">
        <f>SUMIFS(Data!$H$2:$H$25001,Data!$A$2:$A$25001,"&gt;="&amp;DATE(Dashboard!$B$2,11,1)&amp;"",Data!$A$2:$A$25001,"&lt;"&amp;DATE(Dashboard!$B$2,11+1,1)&amp;"")</f>
        <v/>
      </c>
      <c r="M11" s="45">
        <f>SUMIFS(Data!$H$2:$H$25001,Data!$A$2:$A$25001,"&gt;="&amp;DATE(Dashboard!$B$2,12,1)&amp;"",Data!$A$2:$A$25001,"&lt;"&amp;DATE(Dashboard!$B$2,12+1,1)&amp;"")</f>
        <v/>
      </c>
      <c r="N11" s="46">
        <f>SUM(B11:M11)</f>
        <v/>
      </c>
    </row>
    <row r="12" ht="15" customHeight="1" s="30">
      <c r="A12" s="39" t="inlineStr">
        <is>
          <t>Factureerbaar</t>
        </is>
      </c>
      <c r="B12" s="45">
        <f>SUMIFS(Data!$H$2:$H$25001,Data!$D$2:$D$25001,"Werken",Data!$A$2:$A$25001,"&gt;="&amp;DATE(Dashboard!$B$2,1,1)&amp;"",Data!$A$2:$A$25001,"&lt;"&amp;DATE(Dashboard!$B$2,1+1,1)&amp;"")</f>
        <v/>
      </c>
      <c r="C12" s="45">
        <f>SUMIFS(Data!$H$2:$H$25001,Data!$D$2:$D$25001,"Werken",Data!$A$2:$A$25001,"&gt;="&amp;DATE(Dashboard!$B$2,2,1)&amp;"",Data!$A$2:$A$25001,"&lt;"&amp;DATE(Dashboard!$B$2,2+1,1)&amp;"")</f>
        <v/>
      </c>
      <c r="D12" s="45">
        <f>SUMIFS(Data!$H$2:$H$25001,Data!$D$2:$D$25001,"Werken",Data!$A$2:$A$25001,"&gt;="&amp;DATE(Dashboard!$B$2,3,1)&amp;"",Data!$A$2:$A$25001,"&lt;"&amp;DATE(Dashboard!$B$2,3+1,1)&amp;"")</f>
        <v/>
      </c>
      <c r="E12" s="45">
        <f>SUMIFS(Data!$H$2:$H$25001,Data!$D$2:$D$25001,"Werken",Data!$A$2:$A$25001,"&gt;="&amp;DATE(Dashboard!$B$2,4,1)&amp;"",Data!$A$2:$A$25001,"&lt;"&amp;DATE(Dashboard!$B$2,4+1,1)&amp;"")</f>
        <v/>
      </c>
      <c r="F12" s="45">
        <f>SUMIFS(Data!$H$2:$H$25001,Data!$D$2:$D$25001,"Werken",Data!$A$2:$A$25001,"&gt;="&amp;DATE(Dashboard!$B$2,5,1)&amp;"",Data!$A$2:$A$25001,"&lt;"&amp;DATE(Dashboard!$B$2,5+1,1)&amp;"")</f>
        <v/>
      </c>
      <c r="G12" s="45">
        <f>SUMIFS(Data!$H$2:$H$25001,Data!$D$2:$D$25001,"Werken",Data!$A$2:$A$25001,"&gt;="&amp;DATE(Dashboard!$B$2,6,1)&amp;"",Data!$A$2:$A$25001,"&lt;"&amp;DATE(Dashboard!$B$2,6+1,1)&amp;"")</f>
        <v/>
      </c>
      <c r="H12" s="45">
        <f>SUMIFS(Data!$H$2:$H$25001,Data!$D$2:$D$25001,"Werken",Data!$A$2:$A$25001,"&gt;="&amp;DATE(Dashboard!$B$2,7,1)&amp;"",Data!$A$2:$A$25001,"&lt;"&amp;DATE(Dashboard!$B$2,7+1,1)&amp;"")</f>
        <v/>
      </c>
      <c r="I12" s="45">
        <f>SUMIFS(Data!$H$2:$H$25001,Data!$D$2:$D$25001,"Werken",Data!$A$2:$A$25001,"&gt;="&amp;DATE(Dashboard!$B$2,8,1)&amp;"",Data!$A$2:$A$25001,"&lt;"&amp;DATE(Dashboard!$B$2,8+1,1)&amp;"")</f>
        <v/>
      </c>
      <c r="J12" s="45">
        <f>SUMIFS(Data!$H$2:$H$25001,Data!$D$2:$D$25001,"Werken",Data!$A$2:$A$25001,"&gt;="&amp;DATE(Dashboard!$B$2,9,1)&amp;"",Data!$A$2:$A$25001,"&lt;"&amp;DATE(Dashboard!$B$2,9+1,1)&amp;"")</f>
        <v/>
      </c>
      <c r="K12" s="45">
        <f>SUMIFS(Data!$H$2:$H$25001,Data!$D$2:$D$25001,"Werken",Data!$A$2:$A$25001,"&gt;="&amp;DATE(Dashboard!$B$2,10,1)&amp;"",Data!$A$2:$A$25001,"&lt;"&amp;DATE(Dashboard!$B$2,10+1,1)&amp;"")</f>
        <v/>
      </c>
      <c r="L12" s="45">
        <f>SUMIFS(Data!$H$2:$H$25001,Data!$D$2:$D$25001,"Werken",Data!$A$2:$A$25001,"&gt;="&amp;DATE(Dashboard!$B$2,11,1)&amp;"",Data!$A$2:$A$25001,"&lt;"&amp;DATE(Dashboard!$B$2,11+1,1)&amp;"")</f>
        <v/>
      </c>
      <c r="M12" s="45">
        <f>SUMIFS(Data!$H$2:$H$25001,Data!$D$2:$D$25001,"Werken",Data!$A$2:$A$25001,"&gt;="&amp;DATE(Dashboard!$B$2,12,1)&amp;"",Data!$A$2:$A$25001,"&lt;"&amp;DATE(Dashboard!$B$2,12+1,1)&amp;"")</f>
        <v/>
      </c>
      <c r="N12" s="46">
        <f>SUM(B12:M12)</f>
        <v/>
      </c>
    </row>
    <row r="13" ht="15" customHeight="1" s="30">
      <c r="A13" s="39" t="inlineStr">
        <is>
          <t>Intern</t>
        </is>
      </c>
      <c r="B13" s="45">
        <f>B11-B12</f>
        <v/>
      </c>
      <c r="C13" s="45">
        <f>C11-C12</f>
        <v/>
      </c>
      <c r="D13" s="45">
        <f>D11-D12</f>
        <v/>
      </c>
      <c r="E13" s="45">
        <f>E11-E12</f>
        <v/>
      </c>
      <c r="F13" s="45">
        <f>F11-F12</f>
        <v/>
      </c>
      <c r="G13" s="45">
        <f>G11-G12</f>
        <v/>
      </c>
      <c r="H13" s="45">
        <f>H11-H12</f>
        <v/>
      </c>
      <c r="I13" s="45">
        <f>I11-I12</f>
        <v/>
      </c>
      <c r="J13" s="45">
        <f>J11-J12</f>
        <v/>
      </c>
      <c r="K13" s="45">
        <f>K11-K12</f>
        <v/>
      </c>
      <c r="L13" s="45">
        <f>L11-L12</f>
        <v/>
      </c>
      <c r="M13" s="45">
        <f>M11-M12</f>
        <v/>
      </c>
      <c r="N13" s="46">
        <f>SUM(B13:M13)</f>
        <v/>
      </c>
    </row>
    <row r="16" ht="15" customHeight="1" s="30">
      <c r="A16" s="41" t="inlineStr">
        <is>
          <t>CONTROLES</t>
        </is>
      </c>
    </row>
    <row r="17" ht="15" customHeight="1" s="30">
      <c r="A17" s="39">
        <f>IF(COUNTA(Data!A25002:A40000)+COUNTA(Data!D25002:D40000)=0,"OK - alle data binnen bereik (t/m rij 25001)","LET OP: data onder rij 25001 telt NIET mee")</f>
        <v/>
      </c>
    </row>
    <row r="18" ht="15" customHeight="1" s="30">
      <c r="A18" s="39">
        <f>IF(SUMPRODUCT((Data!A2:A25001&lt;&gt;"")*1)-COUNTIFS(Data!$A$2:$A$25001,"&gt;="&amp;DATE(Dashboard!$B$2,1,1)&amp;"",Data!$A$2:$A$25001,"&lt;"&amp;DATE(Dashboard!$B$2+1,1,1)&amp;"")=0,"OK - alle registraties vallen in "&amp;Dashboard!$B$2,"LET OP: "&amp;(SUMPRODUCT((Data!A2:A25001&lt;&gt;"")*1)-COUNTIFS(Data!$A$2:$A$25001,"&gt;="&amp;DATE(Dashboard!$B$2,1,1)&amp;"",Data!$A$2:$A$25001,"&lt;"&amp;DATE(Dashboard!$B$2+1,1,1)&amp;""))&amp;" registratie(s) buiten "&amp;Dashboard!$B$2)</f>
        <v/>
      </c>
    </row>
    <row r="19" ht="15" customHeight="1" s="30">
      <c r="A19" s="39">
        <f>IF(ROUND(SUMIFS(Data!$H$2:$H$25001,Data!$D$2:$D$25001,"Werken",Data!$A$2:$A$25001,"&gt;="&amp;DATE(Dashboard!$B$2,1,1)&amp;"",Data!$A$2:$A$25001,"&lt;"&amp;DATE(Dashboard!$B$2+1,1,1)&amp;"")-SUM('Klant x maand'!N7:N156),2)=0,"OK - alle facturabele uren vallen onder een klant in de klantmatrix","LET OP: "&amp;TEXT(SUMIFS(Data!$H$2:$H$25001,Data!$D$2:$D$25001,"Werken",Data!$A$2:$A$25001,"&gt;="&amp;DATE(Dashboard!$B$2,1,1)&amp;"",Data!$A$2:$A$25001,"&lt;"&amp;DATE(Dashboard!$B$2+1,1,1)&amp;"")-SUM('Klant x maand'!N7:N156),"0,00")&amp;" facturabele uren zonder klant in de matrix")</f>
        <v/>
      </c>
    </row>
    <row r="20" ht="15" customHeight="1" s="30">
      <c r="A20" s="39">
        <f>IF(ROUND(SUMIFS(Data!$H$2:$H$25001,Data!$A$2:$A$25001,"&gt;="&amp;DATE(Dashboard!$B$2,1,1)&amp;"",Data!$A$2:$A$25001,"&lt;"&amp;DATE(Dashboard!$B$2+1,1,1)&amp;"")-SUM('Medewerker x maand'!N7:N31),2)=0,"OK - alle uren vallen onder een medewerker in de matrix","LET OP: "&amp;TEXT(SUMIFS(Data!$H$2:$H$25001,Data!$A$2:$A$25001,"&gt;="&amp;DATE(Dashboard!$B$2,1,1)&amp;"",Data!$A$2:$A$25001,"&lt;"&amp;DATE(Dashboard!$B$2+1,1,1)&amp;"")-SUM('Medewerker x maand'!N7:N31),"0,00")&amp;" uren zonder medewerker in de matrix")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mergeCells count="4">
    <mergeCell ref="A17:N17"/>
    <mergeCell ref="A18:N18"/>
    <mergeCell ref="A20:N20"/>
    <mergeCell ref="A19:N19"/>
  </mergeCells>
  <conditionalFormatting sqref="A17">
    <cfRule type="expression" rank="0" priority="2" equalAverage="0" aboveAverage="0" dxfId="4" text="" percent="0" bottom="0">
      <formula>LEFT(A17,6)="LET OP"</formula>
    </cfRule>
    <cfRule type="expression" rank="0" priority="3" equalAverage="0" aboveAverage="0" dxfId="5" text="" percent="0" bottom="0">
      <formula>LEFT(A17,2)="OK"</formula>
    </cfRule>
  </conditionalFormatting>
  <conditionalFormatting sqref="A18">
    <cfRule type="expression" rank="0" priority="4" equalAverage="0" aboveAverage="0" dxfId="4" text="" percent="0" bottom="0">
      <formula>LEFT(A18,6)="LET OP"</formula>
    </cfRule>
    <cfRule type="expression" rank="0" priority="5" equalAverage="0" aboveAverage="0" dxfId="5" text="" percent="0" bottom="0">
      <formula>LEFT(A18,2)="OK"</formula>
    </cfRule>
  </conditionalFormatting>
  <conditionalFormatting sqref="A19">
    <cfRule type="expression" rank="0" priority="6" equalAverage="0" aboveAverage="0" dxfId="4" text="" percent="0" bottom="0">
      <formula>LEFT(A19,6)="LET OP"</formula>
    </cfRule>
    <cfRule type="expression" rank="0" priority="7" equalAverage="0" aboveAverage="0" dxfId="5" text="" percent="0" bottom="0">
      <formula>LEFT(A19,2)="OK"</formula>
    </cfRule>
  </conditionalFormatting>
  <conditionalFormatting sqref="A20">
    <cfRule type="expression" rank="0" priority="8" equalAverage="0" aboveAverage="0" dxfId="4" text="" percent="0" bottom="0">
      <formula>LEFT(A20,6)="LET OP"</formula>
    </cfRule>
    <cfRule type="expression" rank="0" priority="9" equalAverage="0" aboveAverage="0" dxfId="5" text="" percent="0" bottom="0">
      <formula>LEFT(A20,2)="OK"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1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28" customWidth="1" style="29" min="1" max="1"/>
    <col width="8" customWidth="1" style="29" min="2" max="14"/>
    <col width="10" customWidth="1" style="29" min="15" max="15"/>
    <col width="14" customWidth="1" style="29" min="16" max="16"/>
  </cols>
  <sheetData>
    <row r="1" ht="16.15" customHeight="1" s="30">
      <c r="A1" s="47" t="inlineStr">
        <is>
          <t>Facturabele uren per klant per maand</t>
        </is>
      </c>
    </row>
    <row r="2" ht="15" customHeight="1" s="30">
      <c r="A2" s="48" t="inlineStr">
        <is>
          <t>Alleen segment "Werken". Klantnamen exact zoals in de app. Uurtarief invullen = omzet-indicatie (alleen uurklanten).</t>
        </is>
      </c>
    </row>
    <row r="6" ht="15" customHeight="1" s="30">
      <c r="A6" s="34" t="inlineStr">
        <is>
          <t>Klant</t>
        </is>
      </c>
      <c r="B6" s="34" t="inlineStr">
        <is>
          <t>jan</t>
        </is>
      </c>
      <c r="C6" s="34" t="inlineStr">
        <is>
          <t>feb</t>
        </is>
      </c>
      <c r="D6" s="34" t="inlineStr">
        <is>
          <t>mrt</t>
        </is>
      </c>
      <c r="E6" s="34" t="inlineStr">
        <is>
          <t>apr</t>
        </is>
      </c>
      <c r="F6" s="34" t="inlineStr">
        <is>
          <t>mei</t>
        </is>
      </c>
      <c r="G6" s="34" t="inlineStr">
        <is>
          <t>jun</t>
        </is>
      </c>
      <c r="H6" s="34" t="inlineStr">
        <is>
          <t>jul</t>
        </is>
      </c>
      <c r="I6" s="34" t="inlineStr">
        <is>
          <t>aug</t>
        </is>
      </c>
      <c r="J6" s="34" t="inlineStr">
        <is>
          <t>sep</t>
        </is>
      </c>
      <c r="K6" s="34" t="inlineStr">
        <is>
          <t>okt</t>
        </is>
      </c>
      <c r="L6" s="34" t="inlineStr">
        <is>
          <t>nov</t>
        </is>
      </c>
      <c r="M6" s="34" t="inlineStr">
        <is>
          <t>dec</t>
        </is>
      </c>
      <c r="N6" s="34" t="inlineStr">
        <is>
          <t>Jaar</t>
        </is>
      </c>
      <c r="O6" s="34" t="inlineStr">
        <is>
          <t>Uurtarief</t>
        </is>
      </c>
      <c r="P6" s="34" t="inlineStr">
        <is>
          <t>Omzet-indicatie</t>
        </is>
      </c>
    </row>
    <row r="7" ht="15" customHeight="1" s="30">
      <c r="A7" s="49" t="n"/>
      <c r="B7" s="50">
        <f>IF($A7="","",SUMIFS(Data!$H$2:$H$25001,Data!$C$2:$C$25001,$A7,Data!$D$2:$D$25001,"Werken",Data!$A$2:$A$25001,"&gt;="&amp;DATE(Dashboard!$B$2,1,1)&amp;"",Data!$A$2:$A$25001,"&lt;"&amp;DATE(Dashboard!$B$2,1+1,1)&amp;""))</f>
        <v/>
      </c>
      <c r="C7" s="50">
        <f>IF($A7="","",SUMIFS(Data!$H$2:$H$25001,Data!$C$2:$C$25001,$A7,Data!$D$2:$D$25001,"Werken",Data!$A$2:$A$25001,"&gt;="&amp;DATE(Dashboard!$B$2,2,1)&amp;"",Data!$A$2:$A$25001,"&lt;"&amp;DATE(Dashboard!$B$2,2+1,1)&amp;""))</f>
        <v/>
      </c>
      <c r="D7" s="50">
        <f>IF($A7="","",SUMIFS(Data!$H$2:$H$25001,Data!$C$2:$C$25001,$A7,Data!$D$2:$D$25001,"Werken",Data!$A$2:$A$25001,"&gt;="&amp;DATE(Dashboard!$B$2,3,1)&amp;"",Data!$A$2:$A$25001,"&lt;"&amp;DATE(Dashboard!$B$2,3+1,1)&amp;""))</f>
        <v/>
      </c>
      <c r="E7" s="50">
        <f>IF($A7="","",SUMIFS(Data!$H$2:$H$25001,Data!$C$2:$C$25001,$A7,Data!$D$2:$D$25001,"Werken",Data!$A$2:$A$25001,"&gt;="&amp;DATE(Dashboard!$B$2,4,1)&amp;"",Data!$A$2:$A$25001,"&lt;"&amp;DATE(Dashboard!$B$2,4+1,1)&amp;""))</f>
        <v/>
      </c>
      <c r="F7" s="50">
        <f>IF($A7="","",SUMIFS(Data!$H$2:$H$25001,Data!$C$2:$C$25001,$A7,Data!$D$2:$D$25001,"Werken",Data!$A$2:$A$25001,"&gt;="&amp;DATE(Dashboard!$B$2,5,1)&amp;"",Data!$A$2:$A$25001,"&lt;"&amp;DATE(Dashboard!$B$2,5+1,1)&amp;""))</f>
        <v/>
      </c>
      <c r="G7" s="50">
        <f>IF($A7="","",SUMIFS(Data!$H$2:$H$25001,Data!$C$2:$C$25001,$A7,Data!$D$2:$D$25001,"Werken",Data!$A$2:$A$25001,"&gt;="&amp;DATE(Dashboard!$B$2,6,1)&amp;"",Data!$A$2:$A$25001,"&lt;"&amp;DATE(Dashboard!$B$2,6+1,1)&amp;""))</f>
        <v/>
      </c>
      <c r="H7" s="50">
        <f>IF($A7="","",SUMIFS(Data!$H$2:$H$25001,Data!$C$2:$C$25001,$A7,Data!$D$2:$D$25001,"Werken",Data!$A$2:$A$25001,"&gt;="&amp;DATE(Dashboard!$B$2,7,1)&amp;"",Data!$A$2:$A$25001,"&lt;"&amp;DATE(Dashboard!$B$2,7+1,1)&amp;""))</f>
        <v/>
      </c>
      <c r="I7" s="50">
        <f>IF($A7="","",SUMIFS(Data!$H$2:$H$25001,Data!$C$2:$C$25001,$A7,Data!$D$2:$D$25001,"Werken",Data!$A$2:$A$25001,"&gt;="&amp;DATE(Dashboard!$B$2,8,1)&amp;"",Data!$A$2:$A$25001,"&lt;"&amp;DATE(Dashboard!$B$2,8+1,1)&amp;""))</f>
        <v/>
      </c>
      <c r="J7" s="50">
        <f>IF($A7="","",SUMIFS(Data!$H$2:$H$25001,Data!$C$2:$C$25001,$A7,Data!$D$2:$D$25001,"Werken",Data!$A$2:$A$25001,"&gt;="&amp;DATE(Dashboard!$B$2,9,1)&amp;"",Data!$A$2:$A$25001,"&lt;"&amp;DATE(Dashboard!$B$2,9+1,1)&amp;""))</f>
        <v/>
      </c>
      <c r="K7" s="50">
        <f>IF($A7="","",SUMIFS(Data!$H$2:$H$25001,Data!$C$2:$C$25001,$A7,Data!$D$2:$D$25001,"Werken",Data!$A$2:$A$25001,"&gt;="&amp;DATE(Dashboard!$B$2,10,1)&amp;"",Data!$A$2:$A$25001,"&lt;"&amp;DATE(Dashboard!$B$2,10+1,1)&amp;""))</f>
        <v/>
      </c>
      <c r="L7" s="50">
        <f>IF($A7="","",SUMIFS(Data!$H$2:$H$25001,Data!$C$2:$C$25001,$A7,Data!$D$2:$D$25001,"Werken",Data!$A$2:$A$25001,"&gt;="&amp;DATE(Dashboard!$B$2,11,1)&amp;"",Data!$A$2:$A$25001,"&lt;"&amp;DATE(Dashboard!$B$2,11+1,1)&amp;""))</f>
        <v/>
      </c>
      <c r="M7" s="50">
        <f>IF($A7="","",SUMIFS(Data!$H$2:$H$25001,Data!$C$2:$C$25001,$A7,Data!$D$2:$D$25001,"Werken",Data!$A$2:$A$25001,"&gt;="&amp;DATE(Dashboard!$B$2,12,1)&amp;"",Data!$A$2:$A$25001,"&lt;"&amp;DATE(Dashboard!$B$2,12+1,1)&amp;""))</f>
        <v/>
      </c>
      <c r="N7" s="46">
        <f>IF($A7="","",SUM(B7:M7))</f>
        <v/>
      </c>
      <c r="O7" s="51" t="n"/>
      <c r="P7" s="52">
        <f>IF(OR($A7="",O7=""),"",N7*O7)</f>
        <v/>
      </c>
    </row>
    <row r="8" ht="15" customHeight="1" s="30">
      <c r="A8" s="49" t="n"/>
      <c r="B8" s="45">
        <f>IF($A8="","",SUMIFS(Data!$H$2:$H$25001,Data!$C$2:$C$25001,$A8,Data!$D$2:$D$25001,"Werken",Data!$A$2:$A$25001,"&gt;="&amp;DATE(Dashboard!$B$2,1,1)&amp;"",Data!$A$2:$A$25001,"&lt;"&amp;DATE(Dashboard!$B$2,1+1,1)&amp;""))</f>
        <v/>
      </c>
      <c r="C8" s="45">
        <f>IF($A8="","",SUMIFS(Data!$H$2:$H$25001,Data!$C$2:$C$25001,$A8,Data!$D$2:$D$25001,"Werken",Data!$A$2:$A$25001,"&gt;="&amp;DATE(Dashboard!$B$2,2,1)&amp;"",Data!$A$2:$A$25001,"&lt;"&amp;DATE(Dashboard!$B$2,2+1,1)&amp;""))</f>
        <v/>
      </c>
      <c r="D8" s="45">
        <f>IF($A8="","",SUMIFS(Data!$H$2:$H$25001,Data!$C$2:$C$25001,$A8,Data!$D$2:$D$25001,"Werken",Data!$A$2:$A$25001,"&gt;="&amp;DATE(Dashboard!$B$2,3,1)&amp;"",Data!$A$2:$A$25001,"&lt;"&amp;DATE(Dashboard!$B$2,3+1,1)&amp;""))</f>
        <v/>
      </c>
      <c r="E8" s="45">
        <f>IF($A8="","",SUMIFS(Data!$H$2:$H$25001,Data!$C$2:$C$25001,$A8,Data!$D$2:$D$25001,"Werken",Data!$A$2:$A$25001,"&gt;="&amp;DATE(Dashboard!$B$2,4,1)&amp;"",Data!$A$2:$A$25001,"&lt;"&amp;DATE(Dashboard!$B$2,4+1,1)&amp;""))</f>
        <v/>
      </c>
      <c r="F8" s="45">
        <f>IF($A8="","",SUMIFS(Data!$H$2:$H$25001,Data!$C$2:$C$25001,$A8,Data!$D$2:$D$25001,"Werken",Data!$A$2:$A$25001,"&gt;="&amp;DATE(Dashboard!$B$2,5,1)&amp;"",Data!$A$2:$A$25001,"&lt;"&amp;DATE(Dashboard!$B$2,5+1,1)&amp;""))</f>
        <v/>
      </c>
      <c r="G8" s="45">
        <f>IF($A8="","",SUMIFS(Data!$H$2:$H$25001,Data!$C$2:$C$25001,$A8,Data!$D$2:$D$25001,"Werken",Data!$A$2:$A$25001,"&gt;="&amp;DATE(Dashboard!$B$2,6,1)&amp;"",Data!$A$2:$A$25001,"&lt;"&amp;DATE(Dashboard!$B$2,6+1,1)&amp;""))</f>
        <v/>
      </c>
      <c r="H8" s="45">
        <f>IF($A8="","",SUMIFS(Data!$H$2:$H$25001,Data!$C$2:$C$25001,$A8,Data!$D$2:$D$25001,"Werken",Data!$A$2:$A$25001,"&gt;="&amp;DATE(Dashboard!$B$2,7,1)&amp;"",Data!$A$2:$A$25001,"&lt;"&amp;DATE(Dashboard!$B$2,7+1,1)&amp;""))</f>
        <v/>
      </c>
      <c r="I8" s="45">
        <f>IF($A8="","",SUMIFS(Data!$H$2:$H$25001,Data!$C$2:$C$25001,$A8,Data!$D$2:$D$25001,"Werken",Data!$A$2:$A$25001,"&gt;="&amp;DATE(Dashboard!$B$2,8,1)&amp;"",Data!$A$2:$A$25001,"&lt;"&amp;DATE(Dashboard!$B$2,8+1,1)&amp;""))</f>
        <v/>
      </c>
      <c r="J8" s="45">
        <f>IF($A8="","",SUMIFS(Data!$H$2:$H$25001,Data!$C$2:$C$25001,$A8,Data!$D$2:$D$25001,"Werken",Data!$A$2:$A$25001,"&gt;="&amp;DATE(Dashboard!$B$2,9,1)&amp;"",Data!$A$2:$A$25001,"&lt;"&amp;DATE(Dashboard!$B$2,9+1,1)&amp;""))</f>
        <v/>
      </c>
      <c r="K8" s="45">
        <f>IF($A8="","",SUMIFS(Data!$H$2:$H$25001,Data!$C$2:$C$25001,$A8,Data!$D$2:$D$25001,"Werken",Data!$A$2:$A$25001,"&gt;="&amp;DATE(Dashboard!$B$2,10,1)&amp;"",Data!$A$2:$A$25001,"&lt;"&amp;DATE(Dashboard!$B$2,10+1,1)&amp;""))</f>
        <v/>
      </c>
      <c r="L8" s="45">
        <f>IF($A8="","",SUMIFS(Data!$H$2:$H$25001,Data!$C$2:$C$25001,$A8,Data!$D$2:$D$25001,"Werken",Data!$A$2:$A$25001,"&gt;="&amp;DATE(Dashboard!$B$2,11,1)&amp;"",Data!$A$2:$A$25001,"&lt;"&amp;DATE(Dashboard!$B$2,11+1,1)&amp;""))</f>
        <v/>
      </c>
      <c r="M8" s="45">
        <f>IF($A8="","",SUMIFS(Data!$H$2:$H$25001,Data!$C$2:$C$25001,$A8,Data!$D$2:$D$25001,"Werken",Data!$A$2:$A$25001,"&gt;="&amp;DATE(Dashboard!$B$2,12,1)&amp;"",Data!$A$2:$A$25001,"&lt;"&amp;DATE(Dashboard!$B$2,12+1,1)&amp;""))</f>
        <v/>
      </c>
      <c r="N8" s="46">
        <f>IF($A8="","",SUM(B8:M8))</f>
        <v/>
      </c>
      <c r="O8" s="51" t="n"/>
      <c r="P8" s="52">
        <f>IF(OR($A8="",O8=""),"",N8*O8)</f>
        <v/>
      </c>
    </row>
    <row r="9" ht="15" customHeight="1" s="30">
      <c r="A9" s="49" t="n"/>
      <c r="B9" s="50">
        <f>IF($A9="","",SUMIFS(Data!$H$2:$H$25001,Data!$C$2:$C$25001,$A9,Data!$D$2:$D$25001,"Werken",Data!$A$2:$A$25001,"&gt;="&amp;DATE(Dashboard!$B$2,1,1)&amp;"",Data!$A$2:$A$25001,"&lt;"&amp;DATE(Dashboard!$B$2,1+1,1)&amp;""))</f>
        <v/>
      </c>
      <c r="C9" s="50">
        <f>IF($A9="","",SUMIFS(Data!$H$2:$H$25001,Data!$C$2:$C$25001,$A9,Data!$D$2:$D$25001,"Werken",Data!$A$2:$A$25001,"&gt;="&amp;DATE(Dashboard!$B$2,2,1)&amp;"",Data!$A$2:$A$25001,"&lt;"&amp;DATE(Dashboard!$B$2,2+1,1)&amp;""))</f>
        <v/>
      </c>
      <c r="D9" s="50">
        <f>IF($A9="","",SUMIFS(Data!$H$2:$H$25001,Data!$C$2:$C$25001,$A9,Data!$D$2:$D$25001,"Werken",Data!$A$2:$A$25001,"&gt;="&amp;DATE(Dashboard!$B$2,3,1)&amp;"",Data!$A$2:$A$25001,"&lt;"&amp;DATE(Dashboard!$B$2,3+1,1)&amp;""))</f>
        <v/>
      </c>
      <c r="E9" s="50">
        <f>IF($A9="","",SUMIFS(Data!$H$2:$H$25001,Data!$C$2:$C$25001,$A9,Data!$D$2:$D$25001,"Werken",Data!$A$2:$A$25001,"&gt;="&amp;DATE(Dashboard!$B$2,4,1)&amp;"",Data!$A$2:$A$25001,"&lt;"&amp;DATE(Dashboard!$B$2,4+1,1)&amp;""))</f>
        <v/>
      </c>
      <c r="F9" s="50">
        <f>IF($A9="","",SUMIFS(Data!$H$2:$H$25001,Data!$C$2:$C$25001,$A9,Data!$D$2:$D$25001,"Werken",Data!$A$2:$A$25001,"&gt;="&amp;DATE(Dashboard!$B$2,5,1)&amp;"",Data!$A$2:$A$25001,"&lt;"&amp;DATE(Dashboard!$B$2,5+1,1)&amp;""))</f>
        <v/>
      </c>
      <c r="G9" s="50">
        <f>IF($A9="","",SUMIFS(Data!$H$2:$H$25001,Data!$C$2:$C$25001,$A9,Data!$D$2:$D$25001,"Werken",Data!$A$2:$A$25001,"&gt;="&amp;DATE(Dashboard!$B$2,6,1)&amp;"",Data!$A$2:$A$25001,"&lt;"&amp;DATE(Dashboard!$B$2,6+1,1)&amp;""))</f>
        <v/>
      </c>
      <c r="H9" s="50">
        <f>IF($A9="","",SUMIFS(Data!$H$2:$H$25001,Data!$C$2:$C$25001,$A9,Data!$D$2:$D$25001,"Werken",Data!$A$2:$A$25001,"&gt;="&amp;DATE(Dashboard!$B$2,7,1)&amp;"",Data!$A$2:$A$25001,"&lt;"&amp;DATE(Dashboard!$B$2,7+1,1)&amp;""))</f>
        <v/>
      </c>
      <c r="I9" s="50">
        <f>IF($A9="","",SUMIFS(Data!$H$2:$H$25001,Data!$C$2:$C$25001,$A9,Data!$D$2:$D$25001,"Werken",Data!$A$2:$A$25001,"&gt;="&amp;DATE(Dashboard!$B$2,8,1)&amp;"",Data!$A$2:$A$25001,"&lt;"&amp;DATE(Dashboard!$B$2,8+1,1)&amp;""))</f>
        <v/>
      </c>
      <c r="J9" s="50">
        <f>IF($A9="","",SUMIFS(Data!$H$2:$H$25001,Data!$C$2:$C$25001,$A9,Data!$D$2:$D$25001,"Werken",Data!$A$2:$A$25001,"&gt;="&amp;DATE(Dashboard!$B$2,9,1)&amp;"",Data!$A$2:$A$25001,"&lt;"&amp;DATE(Dashboard!$B$2,9+1,1)&amp;""))</f>
        <v/>
      </c>
      <c r="K9" s="50">
        <f>IF($A9="","",SUMIFS(Data!$H$2:$H$25001,Data!$C$2:$C$25001,$A9,Data!$D$2:$D$25001,"Werken",Data!$A$2:$A$25001,"&gt;="&amp;DATE(Dashboard!$B$2,10,1)&amp;"",Data!$A$2:$A$25001,"&lt;"&amp;DATE(Dashboard!$B$2,10+1,1)&amp;""))</f>
        <v/>
      </c>
      <c r="L9" s="50">
        <f>IF($A9="","",SUMIFS(Data!$H$2:$H$25001,Data!$C$2:$C$25001,$A9,Data!$D$2:$D$25001,"Werken",Data!$A$2:$A$25001,"&gt;="&amp;DATE(Dashboard!$B$2,11,1)&amp;"",Data!$A$2:$A$25001,"&lt;"&amp;DATE(Dashboard!$B$2,11+1,1)&amp;""))</f>
        <v/>
      </c>
      <c r="M9" s="50">
        <f>IF($A9="","",SUMIFS(Data!$H$2:$H$25001,Data!$C$2:$C$25001,$A9,Data!$D$2:$D$25001,"Werken",Data!$A$2:$A$25001,"&gt;="&amp;DATE(Dashboard!$B$2,12,1)&amp;"",Data!$A$2:$A$25001,"&lt;"&amp;DATE(Dashboard!$B$2,12+1,1)&amp;""))</f>
        <v/>
      </c>
      <c r="N9" s="46">
        <f>IF($A9="","",SUM(B9:M9))</f>
        <v/>
      </c>
      <c r="O9" s="51" t="n"/>
      <c r="P9" s="52">
        <f>IF(OR($A9="",O9=""),"",N9*O9)</f>
        <v/>
      </c>
    </row>
    <row r="10" ht="15" customHeight="1" s="30">
      <c r="A10" s="49" t="n"/>
      <c r="B10" s="45">
        <f>IF($A10="","",SUMIFS(Data!$H$2:$H$25001,Data!$C$2:$C$25001,$A10,Data!$D$2:$D$25001,"Werken",Data!$A$2:$A$25001,"&gt;="&amp;DATE(Dashboard!$B$2,1,1)&amp;"",Data!$A$2:$A$25001,"&lt;"&amp;DATE(Dashboard!$B$2,1+1,1)&amp;""))</f>
        <v/>
      </c>
      <c r="C10" s="45">
        <f>IF($A10="","",SUMIFS(Data!$H$2:$H$25001,Data!$C$2:$C$25001,$A10,Data!$D$2:$D$25001,"Werken",Data!$A$2:$A$25001,"&gt;="&amp;DATE(Dashboard!$B$2,2,1)&amp;"",Data!$A$2:$A$25001,"&lt;"&amp;DATE(Dashboard!$B$2,2+1,1)&amp;""))</f>
        <v/>
      </c>
      <c r="D10" s="45">
        <f>IF($A10="","",SUMIFS(Data!$H$2:$H$25001,Data!$C$2:$C$25001,$A10,Data!$D$2:$D$25001,"Werken",Data!$A$2:$A$25001,"&gt;="&amp;DATE(Dashboard!$B$2,3,1)&amp;"",Data!$A$2:$A$25001,"&lt;"&amp;DATE(Dashboard!$B$2,3+1,1)&amp;""))</f>
        <v/>
      </c>
      <c r="E10" s="45">
        <f>IF($A10="","",SUMIFS(Data!$H$2:$H$25001,Data!$C$2:$C$25001,$A10,Data!$D$2:$D$25001,"Werken",Data!$A$2:$A$25001,"&gt;="&amp;DATE(Dashboard!$B$2,4,1)&amp;"",Data!$A$2:$A$25001,"&lt;"&amp;DATE(Dashboard!$B$2,4+1,1)&amp;""))</f>
        <v/>
      </c>
      <c r="F10" s="45">
        <f>IF($A10="","",SUMIFS(Data!$H$2:$H$25001,Data!$C$2:$C$25001,$A10,Data!$D$2:$D$25001,"Werken",Data!$A$2:$A$25001,"&gt;="&amp;DATE(Dashboard!$B$2,5,1)&amp;"",Data!$A$2:$A$25001,"&lt;"&amp;DATE(Dashboard!$B$2,5+1,1)&amp;""))</f>
        <v/>
      </c>
      <c r="G10" s="45">
        <f>IF($A10="","",SUMIFS(Data!$H$2:$H$25001,Data!$C$2:$C$25001,$A10,Data!$D$2:$D$25001,"Werken",Data!$A$2:$A$25001,"&gt;="&amp;DATE(Dashboard!$B$2,6,1)&amp;"",Data!$A$2:$A$25001,"&lt;"&amp;DATE(Dashboard!$B$2,6+1,1)&amp;""))</f>
        <v/>
      </c>
      <c r="H10" s="45">
        <f>IF($A10="","",SUMIFS(Data!$H$2:$H$25001,Data!$C$2:$C$25001,$A10,Data!$D$2:$D$25001,"Werken",Data!$A$2:$A$25001,"&gt;="&amp;DATE(Dashboard!$B$2,7,1)&amp;"",Data!$A$2:$A$25001,"&lt;"&amp;DATE(Dashboard!$B$2,7+1,1)&amp;""))</f>
        <v/>
      </c>
      <c r="I10" s="45">
        <f>IF($A10="","",SUMIFS(Data!$H$2:$H$25001,Data!$C$2:$C$25001,$A10,Data!$D$2:$D$25001,"Werken",Data!$A$2:$A$25001,"&gt;="&amp;DATE(Dashboard!$B$2,8,1)&amp;"",Data!$A$2:$A$25001,"&lt;"&amp;DATE(Dashboard!$B$2,8+1,1)&amp;""))</f>
        <v/>
      </c>
      <c r="J10" s="45">
        <f>IF($A10="","",SUMIFS(Data!$H$2:$H$25001,Data!$C$2:$C$25001,$A10,Data!$D$2:$D$25001,"Werken",Data!$A$2:$A$25001,"&gt;="&amp;DATE(Dashboard!$B$2,9,1)&amp;"",Data!$A$2:$A$25001,"&lt;"&amp;DATE(Dashboard!$B$2,9+1,1)&amp;""))</f>
        <v/>
      </c>
      <c r="K10" s="45">
        <f>IF($A10="","",SUMIFS(Data!$H$2:$H$25001,Data!$C$2:$C$25001,$A10,Data!$D$2:$D$25001,"Werken",Data!$A$2:$A$25001,"&gt;="&amp;DATE(Dashboard!$B$2,10,1)&amp;"",Data!$A$2:$A$25001,"&lt;"&amp;DATE(Dashboard!$B$2,10+1,1)&amp;""))</f>
        <v/>
      </c>
      <c r="L10" s="45">
        <f>IF($A10="","",SUMIFS(Data!$H$2:$H$25001,Data!$C$2:$C$25001,$A10,Data!$D$2:$D$25001,"Werken",Data!$A$2:$A$25001,"&gt;="&amp;DATE(Dashboard!$B$2,11,1)&amp;"",Data!$A$2:$A$25001,"&lt;"&amp;DATE(Dashboard!$B$2,11+1,1)&amp;""))</f>
        <v/>
      </c>
      <c r="M10" s="45">
        <f>IF($A10="","",SUMIFS(Data!$H$2:$H$25001,Data!$C$2:$C$25001,$A10,Data!$D$2:$D$25001,"Werken",Data!$A$2:$A$25001,"&gt;="&amp;DATE(Dashboard!$B$2,12,1)&amp;"",Data!$A$2:$A$25001,"&lt;"&amp;DATE(Dashboard!$B$2,12+1,1)&amp;""))</f>
        <v/>
      </c>
      <c r="N10" s="46">
        <f>IF($A10="","",SUM(B10:M10))</f>
        <v/>
      </c>
      <c r="O10" s="51" t="n"/>
      <c r="P10" s="52">
        <f>IF(OR($A10="",O10=""),"",N10*O10)</f>
        <v/>
      </c>
    </row>
    <row r="11" ht="15" customHeight="1" s="30">
      <c r="A11" s="49" t="n"/>
      <c r="B11" s="50">
        <f>IF($A11="","",SUMIFS(Data!$H$2:$H$25001,Data!$C$2:$C$25001,$A11,Data!$D$2:$D$25001,"Werken",Data!$A$2:$A$25001,"&gt;="&amp;DATE(Dashboard!$B$2,1,1)&amp;"",Data!$A$2:$A$25001,"&lt;"&amp;DATE(Dashboard!$B$2,1+1,1)&amp;""))</f>
        <v/>
      </c>
      <c r="C11" s="50">
        <f>IF($A11="","",SUMIFS(Data!$H$2:$H$25001,Data!$C$2:$C$25001,$A11,Data!$D$2:$D$25001,"Werken",Data!$A$2:$A$25001,"&gt;="&amp;DATE(Dashboard!$B$2,2,1)&amp;"",Data!$A$2:$A$25001,"&lt;"&amp;DATE(Dashboard!$B$2,2+1,1)&amp;""))</f>
        <v/>
      </c>
      <c r="D11" s="50">
        <f>IF($A11="","",SUMIFS(Data!$H$2:$H$25001,Data!$C$2:$C$25001,$A11,Data!$D$2:$D$25001,"Werken",Data!$A$2:$A$25001,"&gt;="&amp;DATE(Dashboard!$B$2,3,1)&amp;"",Data!$A$2:$A$25001,"&lt;"&amp;DATE(Dashboard!$B$2,3+1,1)&amp;""))</f>
        <v/>
      </c>
      <c r="E11" s="50">
        <f>IF($A11="","",SUMIFS(Data!$H$2:$H$25001,Data!$C$2:$C$25001,$A11,Data!$D$2:$D$25001,"Werken",Data!$A$2:$A$25001,"&gt;="&amp;DATE(Dashboard!$B$2,4,1)&amp;"",Data!$A$2:$A$25001,"&lt;"&amp;DATE(Dashboard!$B$2,4+1,1)&amp;""))</f>
        <v/>
      </c>
      <c r="F11" s="50">
        <f>IF($A11="","",SUMIFS(Data!$H$2:$H$25001,Data!$C$2:$C$25001,$A11,Data!$D$2:$D$25001,"Werken",Data!$A$2:$A$25001,"&gt;="&amp;DATE(Dashboard!$B$2,5,1)&amp;"",Data!$A$2:$A$25001,"&lt;"&amp;DATE(Dashboard!$B$2,5+1,1)&amp;""))</f>
        <v/>
      </c>
      <c r="G11" s="50">
        <f>IF($A11="","",SUMIFS(Data!$H$2:$H$25001,Data!$C$2:$C$25001,$A11,Data!$D$2:$D$25001,"Werken",Data!$A$2:$A$25001,"&gt;="&amp;DATE(Dashboard!$B$2,6,1)&amp;"",Data!$A$2:$A$25001,"&lt;"&amp;DATE(Dashboard!$B$2,6+1,1)&amp;""))</f>
        <v/>
      </c>
      <c r="H11" s="50">
        <f>IF($A11="","",SUMIFS(Data!$H$2:$H$25001,Data!$C$2:$C$25001,$A11,Data!$D$2:$D$25001,"Werken",Data!$A$2:$A$25001,"&gt;="&amp;DATE(Dashboard!$B$2,7,1)&amp;"",Data!$A$2:$A$25001,"&lt;"&amp;DATE(Dashboard!$B$2,7+1,1)&amp;""))</f>
        <v/>
      </c>
      <c r="I11" s="50">
        <f>IF($A11="","",SUMIFS(Data!$H$2:$H$25001,Data!$C$2:$C$25001,$A11,Data!$D$2:$D$25001,"Werken",Data!$A$2:$A$25001,"&gt;="&amp;DATE(Dashboard!$B$2,8,1)&amp;"",Data!$A$2:$A$25001,"&lt;"&amp;DATE(Dashboard!$B$2,8+1,1)&amp;""))</f>
        <v/>
      </c>
      <c r="J11" s="50">
        <f>IF($A11="","",SUMIFS(Data!$H$2:$H$25001,Data!$C$2:$C$25001,$A11,Data!$D$2:$D$25001,"Werken",Data!$A$2:$A$25001,"&gt;="&amp;DATE(Dashboard!$B$2,9,1)&amp;"",Data!$A$2:$A$25001,"&lt;"&amp;DATE(Dashboard!$B$2,9+1,1)&amp;""))</f>
        <v/>
      </c>
      <c r="K11" s="50">
        <f>IF($A11="","",SUMIFS(Data!$H$2:$H$25001,Data!$C$2:$C$25001,$A11,Data!$D$2:$D$25001,"Werken",Data!$A$2:$A$25001,"&gt;="&amp;DATE(Dashboard!$B$2,10,1)&amp;"",Data!$A$2:$A$25001,"&lt;"&amp;DATE(Dashboard!$B$2,10+1,1)&amp;""))</f>
        <v/>
      </c>
      <c r="L11" s="50">
        <f>IF($A11="","",SUMIFS(Data!$H$2:$H$25001,Data!$C$2:$C$25001,$A11,Data!$D$2:$D$25001,"Werken",Data!$A$2:$A$25001,"&gt;="&amp;DATE(Dashboard!$B$2,11,1)&amp;"",Data!$A$2:$A$25001,"&lt;"&amp;DATE(Dashboard!$B$2,11+1,1)&amp;""))</f>
        <v/>
      </c>
      <c r="M11" s="50">
        <f>IF($A11="","",SUMIFS(Data!$H$2:$H$25001,Data!$C$2:$C$25001,$A11,Data!$D$2:$D$25001,"Werken",Data!$A$2:$A$25001,"&gt;="&amp;DATE(Dashboard!$B$2,12,1)&amp;"",Data!$A$2:$A$25001,"&lt;"&amp;DATE(Dashboard!$B$2,12+1,1)&amp;""))</f>
        <v/>
      </c>
      <c r="N11" s="46">
        <f>IF($A11="","",SUM(B11:M11))</f>
        <v/>
      </c>
      <c r="O11" s="51" t="n"/>
      <c r="P11" s="52">
        <f>IF(OR($A11="",O11=""),"",N11*O11)</f>
        <v/>
      </c>
    </row>
    <row r="12" ht="15" customHeight="1" s="30">
      <c r="A12" s="49" t="n"/>
      <c r="B12" s="45">
        <f>IF($A12="","",SUMIFS(Data!$H$2:$H$25001,Data!$C$2:$C$25001,$A12,Data!$D$2:$D$25001,"Werken",Data!$A$2:$A$25001,"&gt;="&amp;DATE(Dashboard!$B$2,1,1)&amp;"",Data!$A$2:$A$25001,"&lt;"&amp;DATE(Dashboard!$B$2,1+1,1)&amp;""))</f>
        <v/>
      </c>
      <c r="C12" s="45">
        <f>IF($A12="","",SUMIFS(Data!$H$2:$H$25001,Data!$C$2:$C$25001,$A12,Data!$D$2:$D$25001,"Werken",Data!$A$2:$A$25001,"&gt;="&amp;DATE(Dashboard!$B$2,2,1)&amp;"",Data!$A$2:$A$25001,"&lt;"&amp;DATE(Dashboard!$B$2,2+1,1)&amp;""))</f>
        <v/>
      </c>
      <c r="D12" s="45">
        <f>IF($A12="","",SUMIFS(Data!$H$2:$H$25001,Data!$C$2:$C$25001,$A12,Data!$D$2:$D$25001,"Werken",Data!$A$2:$A$25001,"&gt;="&amp;DATE(Dashboard!$B$2,3,1)&amp;"",Data!$A$2:$A$25001,"&lt;"&amp;DATE(Dashboard!$B$2,3+1,1)&amp;""))</f>
        <v/>
      </c>
      <c r="E12" s="45">
        <f>IF($A12="","",SUMIFS(Data!$H$2:$H$25001,Data!$C$2:$C$25001,$A12,Data!$D$2:$D$25001,"Werken",Data!$A$2:$A$25001,"&gt;="&amp;DATE(Dashboard!$B$2,4,1)&amp;"",Data!$A$2:$A$25001,"&lt;"&amp;DATE(Dashboard!$B$2,4+1,1)&amp;""))</f>
        <v/>
      </c>
      <c r="F12" s="45">
        <f>IF($A12="","",SUMIFS(Data!$H$2:$H$25001,Data!$C$2:$C$25001,$A12,Data!$D$2:$D$25001,"Werken",Data!$A$2:$A$25001,"&gt;="&amp;DATE(Dashboard!$B$2,5,1)&amp;"",Data!$A$2:$A$25001,"&lt;"&amp;DATE(Dashboard!$B$2,5+1,1)&amp;""))</f>
        <v/>
      </c>
      <c r="G12" s="45">
        <f>IF($A12="","",SUMIFS(Data!$H$2:$H$25001,Data!$C$2:$C$25001,$A12,Data!$D$2:$D$25001,"Werken",Data!$A$2:$A$25001,"&gt;="&amp;DATE(Dashboard!$B$2,6,1)&amp;"",Data!$A$2:$A$25001,"&lt;"&amp;DATE(Dashboard!$B$2,6+1,1)&amp;""))</f>
        <v/>
      </c>
      <c r="H12" s="45">
        <f>IF($A12="","",SUMIFS(Data!$H$2:$H$25001,Data!$C$2:$C$25001,$A12,Data!$D$2:$D$25001,"Werken",Data!$A$2:$A$25001,"&gt;="&amp;DATE(Dashboard!$B$2,7,1)&amp;"",Data!$A$2:$A$25001,"&lt;"&amp;DATE(Dashboard!$B$2,7+1,1)&amp;""))</f>
        <v/>
      </c>
      <c r="I12" s="45">
        <f>IF($A12="","",SUMIFS(Data!$H$2:$H$25001,Data!$C$2:$C$25001,$A12,Data!$D$2:$D$25001,"Werken",Data!$A$2:$A$25001,"&gt;="&amp;DATE(Dashboard!$B$2,8,1)&amp;"",Data!$A$2:$A$25001,"&lt;"&amp;DATE(Dashboard!$B$2,8+1,1)&amp;""))</f>
        <v/>
      </c>
      <c r="J12" s="45">
        <f>IF($A12="","",SUMIFS(Data!$H$2:$H$25001,Data!$C$2:$C$25001,$A12,Data!$D$2:$D$25001,"Werken",Data!$A$2:$A$25001,"&gt;="&amp;DATE(Dashboard!$B$2,9,1)&amp;"",Data!$A$2:$A$25001,"&lt;"&amp;DATE(Dashboard!$B$2,9+1,1)&amp;""))</f>
        <v/>
      </c>
      <c r="K12" s="45">
        <f>IF($A12="","",SUMIFS(Data!$H$2:$H$25001,Data!$C$2:$C$25001,$A12,Data!$D$2:$D$25001,"Werken",Data!$A$2:$A$25001,"&gt;="&amp;DATE(Dashboard!$B$2,10,1)&amp;"",Data!$A$2:$A$25001,"&lt;"&amp;DATE(Dashboard!$B$2,10+1,1)&amp;""))</f>
        <v/>
      </c>
      <c r="L12" s="45">
        <f>IF($A12="","",SUMIFS(Data!$H$2:$H$25001,Data!$C$2:$C$25001,$A12,Data!$D$2:$D$25001,"Werken",Data!$A$2:$A$25001,"&gt;="&amp;DATE(Dashboard!$B$2,11,1)&amp;"",Data!$A$2:$A$25001,"&lt;"&amp;DATE(Dashboard!$B$2,11+1,1)&amp;""))</f>
        <v/>
      </c>
      <c r="M12" s="45">
        <f>IF($A12="","",SUMIFS(Data!$H$2:$H$25001,Data!$C$2:$C$25001,$A12,Data!$D$2:$D$25001,"Werken",Data!$A$2:$A$25001,"&gt;="&amp;DATE(Dashboard!$B$2,12,1)&amp;"",Data!$A$2:$A$25001,"&lt;"&amp;DATE(Dashboard!$B$2,12+1,1)&amp;""))</f>
        <v/>
      </c>
      <c r="N12" s="46">
        <f>IF($A12="","",SUM(B12:M12))</f>
        <v/>
      </c>
      <c r="O12" s="51" t="n"/>
      <c r="P12" s="52">
        <f>IF(OR($A12="",O12=""),"",N12*O12)</f>
        <v/>
      </c>
    </row>
    <row r="13" ht="15" customHeight="1" s="30">
      <c r="A13" s="49" t="n"/>
      <c r="B13" s="50">
        <f>IF($A13="","",SUMIFS(Data!$H$2:$H$25001,Data!$C$2:$C$25001,$A13,Data!$D$2:$D$25001,"Werken",Data!$A$2:$A$25001,"&gt;="&amp;DATE(Dashboard!$B$2,1,1)&amp;"",Data!$A$2:$A$25001,"&lt;"&amp;DATE(Dashboard!$B$2,1+1,1)&amp;""))</f>
        <v/>
      </c>
      <c r="C13" s="50">
        <f>IF($A13="","",SUMIFS(Data!$H$2:$H$25001,Data!$C$2:$C$25001,$A13,Data!$D$2:$D$25001,"Werken",Data!$A$2:$A$25001,"&gt;="&amp;DATE(Dashboard!$B$2,2,1)&amp;"",Data!$A$2:$A$25001,"&lt;"&amp;DATE(Dashboard!$B$2,2+1,1)&amp;""))</f>
        <v/>
      </c>
      <c r="D13" s="50">
        <f>IF($A13="","",SUMIFS(Data!$H$2:$H$25001,Data!$C$2:$C$25001,$A13,Data!$D$2:$D$25001,"Werken",Data!$A$2:$A$25001,"&gt;="&amp;DATE(Dashboard!$B$2,3,1)&amp;"",Data!$A$2:$A$25001,"&lt;"&amp;DATE(Dashboard!$B$2,3+1,1)&amp;""))</f>
        <v/>
      </c>
      <c r="E13" s="50">
        <f>IF($A13="","",SUMIFS(Data!$H$2:$H$25001,Data!$C$2:$C$25001,$A13,Data!$D$2:$D$25001,"Werken",Data!$A$2:$A$25001,"&gt;="&amp;DATE(Dashboard!$B$2,4,1)&amp;"",Data!$A$2:$A$25001,"&lt;"&amp;DATE(Dashboard!$B$2,4+1,1)&amp;""))</f>
        <v/>
      </c>
      <c r="F13" s="50">
        <f>IF($A13="","",SUMIFS(Data!$H$2:$H$25001,Data!$C$2:$C$25001,$A13,Data!$D$2:$D$25001,"Werken",Data!$A$2:$A$25001,"&gt;="&amp;DATE(Dashboard!$B$2,5,1)&amp;"",Data!$A$2:$A$25001,"&lt;"&amp;DATE(Dashboard!$B$2,5+1,1)&amp;""))</f>
        <v/>
      </c>
      <c r="G13" s="50">
        <f>IF($A13="","",SUMIFS(Data!$H$2:$H$25001,Data!$C$2:$C$25001,$A13,Data!$D$2:$D$25001,"Werken",Data!$A$2:$A$25001,"&gt;="&amp;DATE(Dashboard!$B$2,6,1)&amp;"",Data!$A$2:$A$25001,"&lt;"&amp;DATE(Dashboard!$B$2,6+1,1)&amp;""))</f>
        <v/>
      </c>
      <c r="H13" s="50">
        <f>IF($A13="","",SUMIFS(Data!$H$2:$H$25001,Data!$C$2:$C$25001,$A13,Data!$D$2:$D$25001,"Werken",Data!$A$2:$A$25001,"&gt;="&amp;DATE(Dashboard!$B$2,7,1)&amp;"",Data!$A$2:$A$25001,"&lt;"&amp;DATE(Dashboard!$B$2,7+1,1)&amp;""))</f>
        <v/>
      </c>
      <c r="I13" s="50">
        <f>IF($A13="","",SUMIFS(Data!$H$2:$H$25001,Data!$C$2:$C$25001,$A13,Data!$D$2:$D$25001,"Werken",Data!$A$2:$A$25001,"&gt;="&amp;DATE(Dashboard!$B$2,8,1)&amp;"",Data!$A$2:$A$25001,"&lt;"&amp;DATE(Dashboard!$B$2,8+1,1)&amp;""))</f>
        <v/>
      </c>
      <c r="J13" s="50">
        <f>IF($A13="","",SUMIFS(Data!$H$2:$H$25001,Data!$C$2:$C$25001,$A13,Data!$D$2:$D$25001,"Werken",Data!$A$2:$A$25001,"&gt;="&amp;DATE(Dashboard!$B$2,9,1)&amp;"",Data!$A$2:$A$25001,"&lt;"&amp;DATE(Dashboard!$B$2,9+1,1)&amp;""))</f>
        <v/>
      </c>
      <c r="K13" s="50">
        <f>IF($A13="","",SUMIFS(Data!$H$2:$H$25001,Data!$C$2:$C$25001,$A13,Data!$D$2:$D$25001,"Werken",Data!$A$2:$A$25001,"&gt;="&amp;DATE(Dashboard!$B$2,10,1)&amp;"",Data!$A$2:$A$25001,"&lt;"&amp;DATE(Dashboard!$B$2,10+1,1)&amp;""))</f>
        <v/>
      </c>
      <c r="L13" s="50">
        <f>IF($A13="","",SUMIFS(Data!$H$2:$H$25001,Data!$C$2:$C$25001,$A13,Data!$D$2:$D$25001,"Werken",Data!$A$2:$A$25001,"&gt;="&amp;DATE(Dashboard!$B$2,11,1)&amp;"",Data!$A$2:$A$25001,"&lt;"&amp;DATE(Dashboard!$B$2,11+1,1)&amp;""))</f>
        <v/>
      </c>
      <c r="M13" s="50">
        <f>IF($A13="","",SUMIFS(Data!$H$2:$H$25001,Data!$C$2:$C$25001,$A13,Data!$D$2:$D$25001,"Werken",Data!$A$2:$A$25001,"&gt;="&amp;DATE(Dashboard!$B$2,12,1)&amp;"",Data!$A$2:$A$25001,"&lt;"&amp;DATE(Dashboard!$B$2,12+1,1)&amp;""))</f>
        <v/>
      </c>
      <c r="N13" s="46">
        <f>IF($A13="","",SUM(B13:M13))</f>
        <v/>
      </c>
      <c r="O13" s="51" t="n"/>
      <c r="P13" s="52">
        <f>IF(OR($A13="",O13=""),"",N13*O13)</f>
        <v/>
      </c>
    </row>
    <row r="14" ht="15" customHeight="1" s="30">
      <c r="A14" s="49" t="n"/>
      <c r="B14" s="45">
        <f>IF($A14="","",SUMIFS(Data!$H$2:$H$25001,Data!$C$2:$C$25001,$A14,Data!$D$2:$D$25001,"Werken",Data!$A$2:$A$25001,"&gt;="&amp;DATE(Dashboard!$B$2,1,1)&amp;"",Data!$A$2:$A$25001,"&lt;"&amp;DATE(Dashboard!$B$2,1+1,1)&amp;""))</f>
        <v/>
      </c>
      <c r="C14" s="45">
        <f>IF($A14="","",SUMIFS(Data!$H$2:$H$25001,Data!$C$2:$C$25001,$A14,Data!$D$2:$D$25001,"Werken",Data!$A$2:$A$25001,"&gt;="&amp;DATE(Dashboard!$B$2,2,1)&amp;"",Data!$A$2:$A$25001,"&lt;"&amp;DATE(Dashboard!$B$2,2+1,1)&amp;""))</f>
        <v/>
      </c>
      <c r="D14" s="45">
        <f>IF($A14="","",SUMIFS(Data!$H$2:$H$25001,Data!$C$2:$C$25001,$A14,Data!$D$2:$D$25001,"Werken",Data!$A$2:$A$25001,"&gt;="&amp;DATE(Dashboard!$B$2,3,1)&amp;"",Data!$A$2:$A$25001,"&lt;"&amp;DATE(Dashboard!$B$2,3+1,1)&amp;""))</f>
        <v/>
      </c>
      <c r="E14" s="45">
        <f>IF($A14="","",SUMIFS(Data!$H$2:$H$25001,Data!$C$2:$C$25001,$A14,Data!$D$2:$D$25001,"Werken",Data!$A$2:$A$25001,"&gt;="&amp;DATE(Dashboard!$B$2,4,1)&amp;"",Data!$A$2:$A$25001,"&lt;"&amp;DATE(Dashboard!$B$2,4+1,1)&amp;""))</f>
        <v/>
      </c>
      <c r="F14" s="45">
        <f>IF($A14="","",SUMIFS(Data!$H$2:$H$25001,Data!$C$2:$C$25001,$A14,Data!$D$2:$D$25001,"Werken",Data!$A$2:$A$25001,"&gt;="&amp;DATE(Dashboard!$B$2,5,1)&amp;"",Data!$A$2:$A$25001,"&lt;"&amp;DATE(Dashboard!$B$2,5+1,1)&amp;""))</f>
        <v/>
      </c>
      <c r="G14" s="45">
        <f>IF($A14="","",SUMIFS(Data!$H$2:$H$25001,Data!$C$2:$C$25001,$A14,Data!$D$2:$D$25001,"Werken",Data!$A$2:$A$25001,"&gt;="&amp;DATE(Dashboard!$B$2,6,1)&amp;"",Data!$A$2:$A$25001,"&lt;"&amp;DATE(Dashboard!$B$2,6+1,1)&amp;""))</f>
        <v/>
      </c>
      <c r="H14" s="45">
        <f>IF($A14="","",SUMIFS(Data!$H$2:$H$25001,Data!$C$2:$C$25001,$A14,Data!$D$2:$D$25001,"Werken",Data!$A$2:$A$25001,"&gt;="&amp;DATE(Dashboard!$B$2,7,1)&amp;"",Data!$A$2:$A$25001,"&lt;"&amp;DATE(Dashboard!$B$2,7+1,1)&amp;""))</f>
        <v/>
      </c>
      <c r="I14" s="45">
        <f>IF($A14="","",SUMIFS(Data!$H$2:$H$25001,Data!$C$2:$C$25001,$A14,Data!$D$2:$D$25001,"Werken",Data!$A$2:$A$25001,"&gt;="&amp;DATE(Dashboard!$B$2,8,1)&amp;"",Data!$A$2:$A$25001,"&lt;"&amp;DATE(Dashboard!$B$2,8+1,1)&amp;""))</f>
        <v/>
      </c>
      <c r="J14" s="45">
        <f>IF($A14="","",SUMIFS(Data!$H$2:$H$25001,Data!$C$2:$C$25001,$A14,Data!$D$2:$D$25001,"Werken",Data!$A$2:$A$25001,"&gt;="&amp;DATE(Dashboard!$B$2,9,1)&amp;"",Data!$A$2:$A$25001,"&lt;"&amp;DATE(Dashboard!$B$2,9+1,1)&amp;""))</f>
        <v/>
      </c>
      <c r="K14" s="45">
        <f>IF($A14="","",SUMIFS(Data!$H$2:$H$25001,Data!$C$2:$C$25001,$A14,Data!$D$2:$D$25001,"Werken",Data!$A$2:$A$25001,"&gt;="&amp;DATE(Dashboard!$B$2,10,1)&amp;"",Data!$A$2:$A$25001,"&lt;"&amp;DATE(Dashboard!$B$2,10+1,1)&amp;""))</f>
        <v/>
      </c>
      <c r="L14" s="45">
        <f>IF($A14="","",SUMIFS(Data!$H$2:$H$25001,Data!$C$2:$C$25001,$A14,Data!$D$2:$D$25001,"Werken",Data!$A$2:$A$25001,"&gt;="&amp;DATE(Dashboard!$B$2,11,1)&amp;"",Data!$A$2:$A$25001,"&lt;"&amp;DATE(Dashboard!$B$2,11+1,1)&amp;""))</f>
        <v/>
      </c>
      <c r="M14" s="45">
        <f>IF($A14="","",SUMIFS(Data!$H$2:$H$25001,Data!$C$2:$C$25001,$A14,Data!$D$2:$D$25001,"Werken",Data!$A$2:$A$25001,"&gt;="&amp;DATE(Dashboard!$B$2,12,1)&amp;"",Data!$A$2:$A$25001,"&lt;"&amp;DATE(Dashboard!$B$2,12+1,1)&amp;""))</f>
        <v/>
      </c>
      <c r="N14" s="46">
        <f>IF($A14="","",SUM(B14:M14))</f>
        <v/>
      </c>
      <c r="O14" s="51" t="n"/>
      <c r="P14" s="52">
        <f>IF(OR($A14="",O14=""),"",N14*O14)</f>
        <v/>
      </c>
    </row>
    <row r="15" ht="15" customHeight="1" s="30">
      <c r="A15" s="49" t="n"/>
      <c r="B15" s="50">
        <f>IF($A15="","",SUMIFS(Data!$H$2:$H$25001,Data!$C$2:$C$25001,$A15,Data!$D$2:$D$25001,"Werken",Data!$A$2:$A$25001,"&gt;="&amp;DATE(Dashboard!$B$2,1,1)&amp;"",Data!$A$2:$A$25001,"&lt;"&amp;DATE(Dashboard!$B$2,1+1,1)&amp;""))</f>
        <v/>
      </c>
      <c r="C15" s="50">
        <f>IF($A15="","",SUMIFS(Data!$H$2:$H$25001,Data!$C$2:$C$25001,$A15,Data!$D$2:$D$25001,"Werken",Data!$A$2:$A$25001,"&gt;="&amp;DATE(Dashboard!$B$2,2,1)&amp;"",Data!$A$2:$A$25001,"&lt;"&amp;DATE(Dashboard!$B$2,2+1,1)&amp;""))</f>
        <v/>
      </c>
      <c r="D15" s="50">
        <f>IF($A15="","",SUMIFS(Data!$H$2:$H$25001,Data!$C$2:$C$25001,$A15,Data!$D$2:$D$25001,"Werken",Data!$A$2:$A$25001,"&gt;="&amp;DATE(Dashboard!$B$2,3,1)&amp;"",Data!$A$2:$A$25001,"&lt;"&amp;DATE(Dashboard!$B$2,3+1,1)&amp;""))</f>
        <v/>
      </c>
      <c r="E15" s="50">
        <f>IF($A15="","",SUMIFS(Data!$H$2:$H$25001,Data!$C$2:$C$25001,$A15,Data!$D$2:$D$25001,"Werken",Data!$A$2:$A$25001,"&gt;="&amp;DATE(Dashboard!$B$2,4,1)&amp;"",Data!$A$2:$A$25001,"&lt;"&amp;DATE(Dashboard!$B$2,4+1,1)&amp;""))</f>
        <v/>
      </c>
      <c r="F15" s="50">
        <f>IF($A15="","",SUMIFS(Data!$H$2:$H$25001,Data!$C$2:$C$25001,$A15,Data!$D$2:$D$25001,"Werken",Data!$A$2:$A$25001,"&gt;="&amp;DATE(Dashboard!$B$2,5,1)&amp;"",Data!$A$2:$A$25001,"&lt;"&amp;DATE(Dashboard!$B$2,5+1,1)&amp;""))</f>
        <v/>
      </c>
      <c r="G15" s="50">
        <f>IF($A15="","",SUMIFS(Data!$H$2:$H$25001,Data!$C$2:$C$25001,$A15,Data!$D$2:$D$25001,"Werken",Data!$A$2:$A$25001,"&gt;="&amp;DATE(Dashboard!$B$2,6,1)&amp;"",Data!$A$2:$A$25001,"&lt;"&amp;DATE(Dashboard!$B$2,6+1,1)&amp;""))</f>
        <v/>
      </c>
      <c r="H15" s="50">
        <f>IF($A15="","",SUMIFS(Data!$H$2:$H$25001,Data!$C$2:$C$25001,$A15,Data!$D$2:$D$25001,"Werken",Data!$A$2:$A$25001,"&gt;="&amp;DATE(Dashboard!$B$2,7,1)&amp;"",Data!$A$2:$A$25001,"&lt;"&amp;DATE(Dashboard!$B$2,7+1,1)&amp;""))</f>
        <v/>
      </c>
      <c r="I15" s="50">
        <f>IF($A15="","",SUMIFS(Data!$H$2:$H$25001,Data!$C$2:$C$25001,$A15,Data!$D$2:$D$25001,"Werken",Data!$A$2:$A$25001,"&gt;="&amp;DATE(Dashboard!$B$2,8,1)&amp;"",Data!$A$2:$A$25001,"&lt;"&amp;DATE(Dashboard!$B$2,8+1,1)&amp;""))</f>
        <v/>
      </c>
      <c r="J15" s="50">
        <f>IF($A15="","",SUMIFS(Data!$H$2:$H$25001,Data!$C$2:$C$25001,$A15,Data!$D$2:$D$25001,"Werken",Data!$A$2:$A$25001,"&gt;="&amp;DATE(Dashboard!$B$2,9,1)&amp;"",Data!$A$2:$A$25001,"&lt;"&amp;DATE(Dashboard!$B$2,9+1,1)&amp;""))</f>
        <v/>
      </c>
      <c r="K15" s="50">
        <f>IF($A15="","",SUMIFS(Data!$H$2:$H$25001,Data!$C$2:$C$25001,$A15,Data!$D$2:$D$25001,"Werken",Data!$A$2:$A$25001,"&gt;="&amp;DATE(Dashboard!$B$2,10,1)&amp;"",Data!$A$2:$A$25001,"&lt;"&amp;DATE(Dashboard!$B$2,10+1,1)&amp;""))</f>
        <v/>
      </c>
      <c r="L15" s="50">
        <f>IF($A15="","",SUMIFS(Data!$H$2:$H$25001,Data!$C$2:$C$25001,$A15,Data!$D$2:$D$25001,"Werken",Data!$A$2:$A$25001,"&gt;="&amp;DATE(Dashboard!$B$2,11,1)&amp;"",Data!$A$2:$A$25001,"&lt;"&amp;DATE(Dashboard!$B$2,11+1,1)&amp;""))</f>
        <v/>
      </c>
      <c r="M15" s="50">
        <f>IF($A15="","",SUMIFS(Data!$H$2:$H$25001,Data!$C$2:$C$25001,$A15,Data!$D$2:$D$25001,"Werken",Data!$A$2:$A$25001,"&gt;="&amp;DATE(Dashboard!$B$2,12,1)&amp;"",Data!$A$2:$A$25001,"&lt;"&amp;DATE(Dashboard!$B$2,12+1,1)&amp;""))</f>
        <v/>
      </c>
      <c r="N15" s="46">
        <f>IF($A15="","",SUM(B15:M15))</f>
        <v/>
      </c>
      <c r="O15" s="51" t="n"/>
      <c r="P15" s="52">
        <f>IF(OR($A15="",O15=""),"",N15*O15)</f>
        <v/>
      </c>
    </row>
    <row r="16" ht="15" customHeight="1" s="30">
      <c r="A16" s="49" t="n"/>
      <c r="B16" s="45">
        <f>IF($A16="","",SUMIFS(Data!$H$2:$H$25001,Data!$C$2:$C$25001,$A16,Data!$D$2:$D$25001,"Werken",Data!$A$2:$A$25001,"&gt;="&amp;DATE(Dashboard!$B$2,1,1)&amp;"",Data!$A$2:$A$25001,"&lt;"&amp;DATE(Dashboard!$B$2,1+1,1)&amp;""))</f>
        <v/>
      </c>
      <c r="C16" s="45">
        <f>IF($A16="","",SUMIFS(Data!$H$2:$H$25001,Data!$C$2:$C$25001,$A16,Data!$D$2:$D$25001,"Werken",Data!$A$2:$A$25001,"&gt;="&amp;DATE(Dashboard!$B$2,2,1)&amp;"",Data!$A$2:$A$25001,"&lt;"&amp;DATE(Dashboard!$B$2,2+1,1)&amp;""))</f>
        <v/>
      </c>
      <c r="D16" s="45">
        <f>IF($A16="","",SUMIFS(Data!$H$2:$H$25001,Data!$C$2:$C$25001,$A16,Data!$D$2:$D$25001,"Werken",Data!$A$2:$A$25001,"&gt;="&amp;DATE(Dashboard!$B$2,3,1)&amp;"",Data!$A$2:$A$25001,"&lt;"&amp;DATE(Dashboard!$B$2,3+1,1)&amp;""))</f>
        <v/>
      </c>
      <c r="E16" s="45">
        <f>IF($A16="","",SUMIFS(Data!$H$2:$H$25001,Data!$C$2:$C$25001,$A16,Data!$D$2:$D$25001,"Werken",Data!$A$2:$A$25001,"&gt;="&amp;DATE(Dashboard!$B$2,4,1)&amp;"",Data!$A$2:$A$25001,"&lt;"&amp;DATE(Dashboard!$B$2,4+1,1)&amp;""))</f>
        <v/>
      </c>
      <c r="F16" s="45">
        <f>IF($A16="","",SUMIFS(Data!$H$2:$H$25001,Data!$C$2:$C$25001,$A16,Data!$D$2:$D$25001,"Werken",Data!$A$2:$A$25001,"&gt;="&amp;DATE(Dashboard!$B$2,5,1)&amp;"",Data!$A$2:$A$25001,"&lt;"&amp;DATE(Dashboard!$B$2,5+1,1)&amp;""))</f>
        <v/>
      </c>
      <c r="G16" s="45">
        <f>IF($A16="","",SUMIFS(Data!$H$2:$H$25001,Data!$C$2:$C$25001,$A16,Data!$D$2:$D$25001,"Werken",Data!$A$2:$A$25001,"&gt;="&amp;DATE(Dashboard!$B$2,6,1)&amp;"",Data!$A$2:$A$25001,"&lt;"&amp;DATE(Dashboard!$B$2,6+1,1)&amp;""))</f>
        <v/>
      </c>
      <c r="H16" s="45">
        <f>IF($A16="","",SUMIFS(Data!$H$2:$H$25001,Data!$C$2:$C$25001,$A16,Data!$D$2:$D$25001,"Werken",Data!$A$2:$A$25001,"&gt;="&amp;DATE(Dashboard!$B$2,7,1)&amp;"",Data!$A$2:$A$25001,"&lt;"&amp;DATE(Dashboard!$B$2,7+1,1)&amp;""))</f>
        <v/>
      </c>
      <c r="I16" s="45">
        <f>IF($A16="","",SUMIFS(Data!$H$2:$H$25001,Data!$C$2:$C$25001,$A16,Data!$D$2:$D$25001,"Werken",Data!$A$2:$A$25001,"&gt;="&amp;DATE(Dashboard!$B$2,8,1)&amp;"",Data!$A$2:$A$25001,"&lt;"&amp;DATE(Dashboard!$B$2,8+1,1)&amp;""))</f>
        <v/>
      </c>
      <c r="J16" s="45">
        <f>IF($A16="","",SUMIFS(Data!$H$2:$H$25001,Data!$C$2:$C$25001,$A16,Data!$D$2:$D$25001,"Werken",Data!$A$2:$A$25001,"&gt;="&amp;DATE(Dashboard!$B$2,9,1)&amp;"",Data!$A$2:$A$25001,"&lt;"&amp;DATE(Dashboard!$B$2,9+1,1)&amp;""))</f>
        <v/>
      </c>
      <c r="K16" s="45">
        <f>IF($A16="","",SUMIFS(Data!$H$2:$H$25001,Data!$C$2:$C$25001,$A16,Data!$D$2:$D$25001,"Werken",Data!$A$2:$A$25001,"&gt;="&amp;DATE(Dashboard!$B$2,10,1)&amp;"",Data!$A$2:$A$25001,"&lt;"&amp;DATE(Dashboard!$B$2,10+1,1)&amp;""))</f>
        <v/>
      </c>
      <c r="L16" s="45">
        <f>IF($A16="","",SUMIFS(Data!$H$2:$H$25001,Data!$C$2:$C$25001,$A16,Data!$D$2:$D$25001,"Werken",Data!$A$2:$A$25001,"&gt;="&amp;DATE(Dashboard!$B$2,11,1)&amp;"",Data!$A$2:$A$25001,"&lt;"&amp;DATE(Dashboard!$B$2,11+1,1)&amp;""))</f>
        <v/>
      </c>
      <c r="M16" s="45">
        <f>IF($A16="","",SUMIFS(Data!$H$2:$H$25001,Data!$C$2:$C$25001,$A16,Data!$D$2:$D$25001,"Werken",Data!$A$2:$A$25001,"&gt;="&amp;DATE(Dashboard!$B$2,12,1)&amp;"",Data!$A$2:$A$25001,"&lt;"&amp;DATE(Dashboard!$B$2,12+1,1)&amp;""))</f>
        <v/>
      </c>
      <c r="N16" s="46">
        <f>IF($A16="","",SUM(B16:M16))</f>
        <v/>
      </c>
      <c r="O16" s="51" t="n"/>
      <c r="P16" s="52">
        <f>IF(OR($A16="",O16=""),"",N16*O16)</f>
        <v/>
      </c>
    </row>
    <row r="17" ht="15" customHeight="1" s="30">
      <c r="A17" s="49" t="n"/>
      <c r="B17" s="50">
        <f>IF($A17="","",SUMIFS(Data!$H$2:$H$25001,Data!$C$2:$C$25001,$A17,Data!$D$2:$D$25001,"Werken",Data!$A$2:$A$25001,"&gt;="&amp;DATE(Dashboard!$B$2,1,1)&amp;"",Data!$A$2:$A$25001,"&lt;"&amp;DATE(Dashboard!$B$2,1+1,1)&amp;""))</f>
        <v/>
      </c>
      <c r="C17" s="50">
        <f>IF($A17="","",SUMIFS(Data!$H$2:$H$25001,Data!$C$2:$C$25001,$A17,Data!$D$2:$D$25001,"Werken",Data!$A$2:$A$25001,"&gt;="&amp;DATE(Dashboard!$B$2,2,1)&amp;"",Data!$A$2:$A$25001,"&lt;"&amp;DATE(Dashboard!$B$2,2+1,1)&amp;""))</f>
        <v/>
      </c>
      <c r="D17" s="50">
        <f>IF($A17="","",SUMIFS(Data!$H$2:$H$25001,Data!$C$2:$C$25001,$A17,Data!$D$2:$D$25001,"Werken",Data!$A$2:$A$25001,"&gt;="&amp;DATE(Dashboard!$B$2,3,1)&amp;"",Data!$A$2:$A$25001,"&lt;"&amp;DATE(Dashboard!$B$2,3+1,1)&amp;""))</f>
        <v/>
      </c>
      <c r="E17" s="50">
        <f>IF($A17="","",SUMIFS(Data!$H$2:$H$25001,Data!$C$2:$C$25001,$A17,Data!$D$2:$D$25001,"Werken",Data!$A$2:$A$25001,"&gt;="&amp;DATE(Dashboard!$B$2,4,1)&amp;"",Data!$A$2:$A$25001,"&lt;"&amp;DATE(Dashboard!$B$2,4+1,1)&amp;""))</f>
        <v/>
      </c>
      <c r="F17" s="50">
        <f>IF($A17="","",SUMIFS(Data!$H$2:$H$25001,Data!$C$2:$C$25001,$A17,Data!$D$2:$D$25001,"Werken",Data!$A$2:$A$25001,"&gt;="&amp;DATE(Dashboard!$B$2,5,1)&amp;"",Data!$A$2:$A$25001,"&lt;"&amp;DATE(Dashboard!$B$2,5+1,1)&amp;""))</f>
        <v/>
      </c>
      <c r="G17" s="50">
        <f>IF($A17="","",SUMIFS(Data!$H$2:$H$25001,Data!$C$2:$C$25001,$A17,Data!$D$2:$D$25001,"Werken",Data!$A$2:$A$25001,"&gt;="&amp;DATE(Dashboard!$B$2,6,1)&amp;"",Data!$A$2:$A$25001,"&lt;"&amp;DATE(Dashboard!$B$2,6+1,1)&amp;""))</f>
        <v/>
      </c>
      <c r="H17" s="50">
        <f>IF($A17="","",SUMIFS(Data!$H$2:$H$25001,Data!$C$2:$C$25001,$A17,Data!$D$2:$D$25001,"Werken",Data!$A$2:$A$25001,"&gt;="&amp;DATE(Dashboard!$B$2,7,1)&amp;"",Data!$A$2:$A$25001,"&lt;"&amp;DATE(Dashboard!$B$2,7+1,1)&amp;""))</f>
        <v/>
      </c>
      <c r="I17" s="50">
        <f>IF($A17="","",SUMIFS(Data!$H$2:$H$25001,Data!$C$2:$C$25001,$A17,Data!$D$2:$D$25001,"Werken",Data!$A$2:$A$25001,"&gt;="&amp;DATE(Dashboard!$B$2,8,1)&amp;"",Data!$A$2:$A$25001,"&lt;"&amp;DATE(Dashboard!$B$2,8+1,1)&amp;""))</f>
        <v/>
      </c>
      <c r="J17" s="50">
        <f>IF($A17="","",SUMIFS(Data!$H$2:$H$25001,Data!$C$2:$C$25001,$A17,Data!$D$2:$D$25001,"Werken",Data!$A$2:$A$25001,"&gt;="&amp;DATE(Dashboard!$B$2,9,1)&amp;"",Data!$A$2:$A$25001,"&lt;"&amp;DATE(Dashboard!$B$2,9+1,1)&amp;""))</f>
        <v/>
      </c>
      <c r="K17" s="50">
        <f>IF($A17="","",SUMIFS(Data!$H$2:$H$25001,Data!$C$2:$C$25001,$A17,Data!$D$2:$D$25001,"Werken",Data!$A$2:$A$25001,"&gt;="&amp;DATE(Dashboard!$B$2,10,1)&amp;"",Data!$A$2:$A$25001,"&lt;"&amp;DATE(Dashboard!$B$2,10+1,1)&amp;""))</f>
        <v/>
      </c>
      <c r="L17" s="50">
        <f>IF($A17="","",SUMIFS(Data!$H$2:$H$25001,Data!$C$2:$C$25001,$A17,Data!$D$2:$D$25001,"Werken",Data!$A$2:$A$25001,"&gt;="&amp;DATE(Dashboard!$B$2,11,1)&amp;"",Data!$A$2:$A$25001,"&lt;"&amp;DATE(Dashboard!$B$2,11+1,1)&amp;""))</f>
        <v/>
      </c>
      <c r="M17" s="50">
        <f>IF($A17="","",SUMIFS(Data!$H$2:$H$25001,Data!$C$2:$C$25001,$A17,Data!$D$2:$D$25001,"Werken",Data!$A$2:$A$25001,"&gt;="&amp;DATE(Dashboard!$B$2,12,1)&amp;"",Data!$A$2:$A$25001,"&lt;"&amp;DATE(Dashboard!$B$2,12+1,1)&amp;""))</f>
        <v/>
      </c>
      <c r="N17" s="46">
        <f>IF($A17="","",SUM(B17:M17))</f>
        <v/>
      </c>
      <c r="O17" s="51" t="n"/>
      <c r="P17" s="52">
        <f>IF(OR($A17="",O17=""),"",N17*O17)</f>
        <v/>
      </c>
    </row>
    <row r="18" ht="15" customHeight="1" s="30">
      <c r="A18" s="49" t="n"/>
      <c r="B18" s="45">
        <f>IF($A18="","",SUMIFS(Data!$H$2:$H$25001,Data!$C$2:$C$25001,$A18,Data!$D$2:$D$25001,"Werken",Data!$A$2:$A$25001,"&gt;="&amp;DATE(Dashboard!$B$2,1,1)&amp;"",Data!$A$2:$A$25001,"&lt;"&amp;DATE(Dashboard!$B$2,1+1,1)&amp;""))</f>
        <v/>
      </c>
      <c r="C18" s="45">
        <f>IF($A18="","",SUMIFS(Data!$H$2:$H$25001,Data!$C$2:$C$25001,$A18,Data!$D$2:$D$25001,"Werken",Data!$A$2:$A$25001,"&gt;="&amp;DATE(Dashboard!$B$2,2,1)&amp;"",Data!$A$2:$A$25001,"&lt;"&amp;DATE(Dashboard!$B$2,2+1,1)&amp;""))</f>
        <v/>
      </c>
      <c r="D18" s="45">
        <f>IF($A18="","",SUMIFS(Data!$H$2:$H$25001,Data!$C$2:$C$25001,$A18,Data!$D$2:$D$25001,"Werken",Data!$A$2:$A$25001,"&gt;="&amp;DATE(Dashboard!$B$2,3,1)&amp;"",Data!$A$2:$A$25001,"&lt;"&amp;DATE(Dashboard!$B$2,3+1,1)&amp;""))</f>
        <v/>
      </c>
      <c r="E18" s="45">
        <f>IF($A18="","",SUMIFS(Data!$H$2:$H$25001,Data!$C$2:$C$25001,$A18,Data!$D$2:$D$25001,"Werken",Data!$A$2:$A$25001,"&gt;="&amp;DATE(Dashboard!$B$2,4,1)&amp;"",Data!$A$2:$A$25001,"&lt;"&amp;DATE(Dashboard!$B$2,4+1,1)&amp;""))</f>
        <v/>
      </c>
      <c r="F18" s="45">
        <f>IF($A18="","",SUMIFS(Data!$H$2:$H$25001,Data!$C$2:$C$25001,$A18,Data!$D$2:$D$25001,"Werken",Data!$A$2:$A$25001,"&gt;="&amp;DATE(Dashboard!$B$2,5,1)&amp;"",Data!$A$2:$A$25001,"&lt;"&amp;DATE(Dashboard!$B$2,5+1,1)&amp;""))</f>
        <v/>
      </c>
      <c r="G18" s="45">
        <f>IF($A18="","",SUMIFS(Data!$H$2:$H$25001,Data!$C$2:$C$25001,$A18,Data!$D$2:$D$25001,"Werken",Data!$A$2:$A$25001,"&gt;="&amp;DATE(Dashboard!$B$2,6,1)&amp;"",Data!$A$2:$A$25001,"&lt;"&amp;DATE(Dashboard!$B$2,6+1,1)&amp;""))</f>
        <v/>
      </c>
      <c r="H18" s="45">
        <f>IF($A18="","",SUMIFS(Data!$H$2:$H$25001,Data!$C$2:$C$25001,$A18,Data!$D$2:$D$25001,"Werken",Data!$A$2:$A$25001,"&gt;="&amp;DATE(Dashboard!$B$2,7,1)&amp;"",Data!$A$2:$A$25001,"&lt;"&amp;DATE(Dashboard!$B$2,7+1,1)&amp;""))</f>
        <v/>
      </c>
      <c r="I18" s="45">
        <f>IF($A18="","",SUMIFS(Data!$H$2:$H$25001,Data!$C$2:$C$25001,$A18,Data!$D$2:$D$25001,"Werken",Data!$A$2:$A$25001,"&gt;="&amp;DATE(Dashboard!$B$2,8,1)&amp;"",Data!$A$2:$A$25001,"&lt;"&amp;DATE(Dashboard!$B$2,8+1,1)&amp;""))</f>
        <v/>
      </c>
      <c r="J18" s="45">
        <f>IF($A18="","",SUMIFS(Data!$H$2:$H$25001,Data!$C$2:$C$25001,$A18,Data!$D$2:$D$25001,"Werken",Data!$A$2:$A$25001,"&gt;="&amp;DATE(Dashboard!$B$2,9,1)&amp;"",Data!$A$2:$A$25001,"&lt;"&amp;DATE(Dashboard!$B$2,9+1,1)&amp;""))</f>
        <v/>
      </c>
      <c r="K18" s="45">
        <f>IF($A18="","",SUMIFS(Data!$H$2:$H$25001,Data!$C$2:$C$25001,$A18,Data!$D$2:$D$25001,"Werken",Data!$A$2:$A$25001,"&gt;="&amp;DATE(Dashboard!$B$2,10,1)&amp;"",Data!$A$2:$A$25001,"&lt;"&amp;DATE(Dashboard!$B$2,10+1,1)&amp;""))</f>
        <v/>
      </c>
      <c r="L18" s="45">
        <f>IF($A18="","",SUMIFS(Data!$H$2:$H$25001,Data!$C$2:$C$25001,$A18,Data!$D$2:$D$25001,"Werken",Data!$A$2:$A$25001,"&gt;="&amp;DATE(Dashboard!$B$2,11,1)&amp;"",Data!$A$2:$A$25001,"&lt;"&amp;DATE(Dashboard!$B$2,11+1,1)&amp;""))</f>
        <v/>
      </c>
      <c r="M18" s="45">
        <f>IF($A18="","",SUMIFS(Data!$H$2:$H$25001,Data!$C$2:$C$25001,$A18,Data!$D$2:$D$25001,"Werken",Data!$A$2:$A$25001,"&gt;="&amp;DATE(Dashboard!$B$2,12,1)&amp;"",Data!$A$2:$A$25001,"&lt;"&amp;DATE(Dashboard!$B$2,12+1,1)&amp;""))</f>
        <v/>
      </c>
      <c r="N18" s="46">
        <f>IF($A18="","",SUM(B18:M18))</f>
        <v/>
      </c>
      <c r="O18" s="51" t="n"/>
      <c r="P18" s="52">
        <f>IF(OR($A18="",O18=""),"",N18*O18)</f>
        <v/>
      </c>
    </row>
    <row r="19" ht="15" customHeight="1" s="30">
      <c r="A19" s="49" t="n"/>
      <c r="B19" s="50">
        <f>IF($A19="","",SUMIFS(Data!$H$2:$H$25001,Data!$C$2:$C$25001,$A19,Data!$D$2:$D$25001,"Werken",Data!$A$2:$A$25001,"&gt;="&amp;DATE(Dashboard!$B$2,1,1)&amp;"",Data!$A$2:$A$25001,"&lt;"&amp;DATE(Dashboard!$B$2,1+1,1)&amp;""))</f>
        <v/>
      </c>
      <c r="C19" s="50">
        <f>IF($A19="","",SUMIFS(Data!$H$2:$H$25001,Data!$C$2:$C$25001,$A19,Data!$D$2:$D$25001,"Werken",Data!$A$2:$A$25001,"&gt;="&amp;DATE(Dashboard!$B$2,2,1)&amp;"",Data!$A$2:$A$25001,"&lt;"&amp;DATE(Dashboard!$B$2,2+1,1)&amp;""))</f>
        <v/>
      </c>
      <c r="D19" s="50">
        <f>IF($A19="","",SUMIFS(Data!$H$2:$H$25001,Data!$C$2:$C$25001,$A19,Data!$D$2:$D$25001,"Werken",Data!$A$2:$A$25001,"&gt;="&amp;DATE(Dashboard!$B$2,3,1)&amp;"",Data!$A$2:$A$25001,"&lt;"&amp;DATE(Dashboard!$B$2,3+1,1)&amp;""))</f>
        <v/>
      </c>
      <c r="E19" s="50">
        <f>IF($A19="","",SUMIFS(Data!$H$2:$H$25001,Data!$C$2:$C$25001,$A19,Data!$D$2:$D$25001,"Werken",Data!$A$2:$A$25001,"&gt;="&amp;DATE(Dashboard!$B$2,4,1)&amp;"",Data!$A$2:$A$25001,"&lt;"&amp;DATE(Dashboard!$B$2,4+1,1)&amp;""))</f>
        <v/>
      </c>
      <c r="F19" s="50">
        <f>IF($A19="","",SUMIFS(Data!$H$2:$H$25001,Data!$C$2:$C$25001,$A19,Data!$D$2:$D$25001,"Werken",Data!$A$2:$A$25001,"&gt;="&amp;DATE(Dashboard!$B$2,5,1)&amp;"",Data!$A$2:$A$25001,"&lt;"&amp;DATE(Dashboard!$B$2,5+1,1)&amp;""))</f>
        <v/>
      </c>
      <c r="G19" s="50">
        <f>IF($A19="","",SUMIFS(Data!$H$2:$H$25001,Data!$C$2:$C$25001,$A19,Data!$D$2:$D$25001,"Werken",Data!$A$2:$A$25001,"&gt;="&amp;DATE(Dashboard!$B$2,6,1)&amp;"",Data!$A$2:$A$25001,"&lt;"&amp;DATE(Dashboard!$B$2,6+1,1)&amp;""))</f>
        <v/>
      </c>
      <c r="H19" s="50">
        <f>IF($A19="","",SUMIFS(Data!$H$2:$H$25001,Data!$C$2:$C$25001,$A19,Data!$D$2:$D$25001,"Werken",Data!$A$2:$A$25001,"&gt;="&amp;DATE(Dashboard!$B$2,7,1)&amp;"",Data!$A$2:$A$25001,"&lt;"&amp;DATE(Dashboard!$B$2,7+1,1)&amp;""))</f>
        <v/>
      </c>
      <c r="I19" s="50">
        <f>IF($A19="","",SUMIFS(Data!$H$2:$H$25001,Data!$C$2:$C$25001,$A19,Data!$D$2:$D$25001,"Werken",Data!$A$2:$A$25001,"&gt;="&amp;DATE(Dashboard!$B$2,8,1)&amp;"",Data!$A$2:$A$25001,"&lt;"&amp;DATE(Dashboard!$B$2,8+1,1)&amp;""))</f>
        <v/>
      </c>
      <c r="J19" s="50">
        <f>IF($A19="","",SUMIFS(Data!$H$2:$H$25001,Data!$C$2:$C$25001,$A19,Data!$D$2:$D$25001,"Werken",Data!$A$2:$A$25001,"&gt;="&amp;DATE(Dashboard!$B$2,9,1)&amp;"",Data!$A$2:$A$25001,"&lt;"&amp;DATE(Dashboard!$B$2,9+1,1)&amp;""))</f>
        <v/>
      </c>
      <c r="K19" s="50">
        <f>IF($A19="","",SUMIFS(Data!$H$2:$H$25001,Data!$C$2:$C$25001,$A19,Data!$D$2:$D$25001,"Werken",Data!$A$2:$A$25001,"&gt;="&amp;DATE(Dashboard!$B$2,10,1)&amp;"",Data!$A$2:$A$25001,"&lt;"&amp;DATE(Dashboard!$B$2,10+1,1)&amp;""))</f>
        <v/>
      </c>
      <c r="L19" s="50">
        <f>IF($A19="","",SUMIFS(Data!$H$2:$H$25001,Data!$C$2:$C$25001,$A19,Data!$D$2:$D$25001,"Werken",Data!$A$2:$A$25001,"&gt;="&amp;DATE(Dashboard!$B$2,11,1)&amp;"",Data!$A$2:$A$25001,"&lt;"&amp;DATE(Dashboard!$B$2,11+1,1)&amp;""))</f>
        <v/>
      </c>
      <c r="M19" s="50">
        <f>IF($A19="","",SUMIFS(Data!$H$2:$H$25001,Data!$C$2:$C$25001,$A19,Data!$D$2:$D$25001,"Werken",Data!$A$2:$A$25001,"&gt;="&amp;DATE(Dashboard!$B$2,12,1)&amp;"",Data!$A$2:$A$25001,"&lt;"&amp;DATE(Dashboard!$B$2,12+1,1)&amp;""))</f>
        <v/>
      </c>
      <c r="N19" s="46">
        <f>IF($A19="","",SUM(B19:M19))</f>
        <v/>
      </c>
      <c r="O19" s="51" t="n"/>
      <c r="P19" s="52">
        <f>IF(OR($A19="",O19=""),"",N19*O19)</f>
        <v/>
      </c>
    </row>
    <row r="20" ht="15" customHeight="1" s="30">
      <c r="A20" s="49" t="n"/>
      <c r="B20" s="45">
        <f>IF($A20="","",SUMIFS(Data!$H$2:$H$25001,Data!$C$2:$C$25001,$A20,Data!$D$2:$D$25001,"Werken",Data!$A$2:$A$25001,"&gt;="&amp;DATE(Dashboard!$B$2,1,1)&amp;"",Data!$A$2:$A$25001,"&lt;"&amp;DATE(Dashboard!$B$2,1+1,1)&amp;""))</f>
        <v/>
      </c>
      <c r="C20" s="45">
        <f>IF($A20="","",SUMIFS(Data!$H$2:$H$25001,Data!$C$2:$C$25001,$A20,Data!$D$2:$D$25001,"Werken",Data!$A$2:$A$25001,"&gt;="&amp;DATE(Dashboard!$B$2,2,1)&amp;"",Data!$A$2:$A$25001,"&lt;"&amp;DATE(Dashboard!$B$2,2+1,1)&amp;""))</f>
        <v/>
      </c>
      <c r="D20" s="45">
        <f>IF($A20="","",SUMIFS(Data!$H$2:$H$25001,Data!$C$2:$C$25001,$A20,Data!$D$2:$D$25001,"Werken",Data!$A$2:$A$25001,"&gt;="&amp;DATE(Dashboard!$B$2,3,1)&amp;"",Data!$A$2:$A$25001,"&lt;"&amp;DATE(Dashboard!$B$2,3+1,1)&amp;""))</f>
        <v/>
      </c>
      <c r="E20" s="45">
        <f>IF($A20="","",SUMIFS(Data!$H$2:$H$25001,Data!$C$2:$C$25001,$A20,Data!$D$2:$D$25001,"Werken",Data!$A$2:$A$25001,"&gt;="&amp;DATE(Dashboard!$B$2,4,1)&amp;"",Data!$A$2:$A$25001,"&lt;"&amp;DATE(Dashboard!$B$2,4+1,1)&amp;""))</f>
        <v/>
      </c>
      <c r="F20" s="45">
        <f>IF($A20="","",SUMIFS(Data!$H$2:$H$25001,Data!$C$2:$C$25001,$A20,Data!$D$2:$D$25001,"Werken",Data!$A$2:$A$25001,"&gt;="&amp;DATE(Dashboard!$B$2,5,1)&amp;"",Data!$A$2:$A$25001,"&lt;"&amp;DATE(Dashboard!$B$2,5+1,1)&amp;""))</f>
        <v/>
      </c>
      <c r="G20" s="45">
        <f>IF($A20="","",SUMIFS(Data!$H$2:$H$25001,Data!$C$2:$C$25001,$A20,Data!$D$2:$D$25001,"Werken",Data!$A$2:$A$25001,"&gt;="&amp;DATE(Dashboard!$B$2,6,1)&amp;"",Data!$A$2:$A$25001,"&lt;"&amp;DATE(Dashboard!$B$2,6+1,1)&amp;""))</f>
        <v/>
      </c>
      <c r="H20" s="45">
        <f>IF($A20="","",SUMIFS(Data!$H$2:$H$25001,Data!$C$2:$C$25001,$A20,Data!$D$2:$D$25001,"Werken",Data!$A$2:$A$25001,"&gt;="&amp;DATE(Dashboard!$B$2,7,1)&amp;"",Data!$A$2:$A$25001,"&lt;"&amp;DATE(Dashboard!$B$2,7+1,1)&amp;""))</f>
        <v/>
      </c>
      <c r="I20" s="45">
        <f>IF($A20="","",SUMIFS(Data!$H$2:$H$25001,Data!$C$2:$C$25001,$A20,Data!$D$2:$D$25001,"Werken",Data!$A$2:$A$25001,"&gt;="&amp;DATE(Dashboard!$B$2,8,1)&amp;"",Data!$A$2:$A$25001,"&lt;"&amp;DATE(Dashboard!$B$2,8+1,1)&amp;""))</f>
        <v/>
      </c>
      <c r="J20" s="45">
        <f>IF($A20="","",SUMIFS(Data!$H$2:$H$25001,Data!$C$2:$C$25001,$A20,Data!$D$2:$D$25001,"Werken",Data!$A$2:$A$25001,"&gt;="&amp;DATE(Dashboard!$B$2,9,1)&amp;"",Data!$A$2:$A$25001,"&lt;"&amp;DATE(Dashboard!$B$2,9+1,1)&amp;""))</f>
        <v/>
      </c>
      <c r="K20" s="45">
        <f>IF($A20="","",SUMIFS(Data!$H$2:$H$25001,Data!$C$2:$C$25001,$A20,Data!$D$2:$D$25001,"Werken",Data!$A$2:$A$25001,"&gt;="&amp;DATE(Dashboard!$B$2,10,1)&amp;"",Data!$A$2:$A$25001,"&lt;"&amp;DATE(Dashboard!$B$2,10+1,1)&amp;""))</f>
        <v/>
      </c>
      <c r="L20" s="45">
        <f>IF($A20="","",SUMIFS(Data!$H$2:$H$25001,Data!$C$2:$C$25001,$A20,Data!$D$2:$D$25001,"Werken",Data!$A$2:$A$25001,"&gt;="&amp;DATE(Dashboard!$B$2,11,1)&amp;"",Data!$A$2:$A$25001,"&lt;"&amp;DATE(Dashboard!$B$2,11+1,1)&amp;""))</f>
        <v/>
      </c>
      <c r="M20" s="45">
        <f>IF($A20="","",SUMIFS(Data!$H$2:$H$25001,Data!$C$2:$C$25001,$A20,Data!$D$2:$D$25001,"Werken",Data!$A$2:$A$25001,"&gt;="&amp;DATE(Dashboard!$B$2,12,1)&amp;"",Data!$A$2:$A$25001,"&lt;"&amp;DATE(Dashboard!$B$2,12+1,1)&amp;""))</f>
        <v/>
      </c>
      <c r="N20" s="46">
        <f>IF($A20="","",SUM(B20:M20))</f>
        <v/>
      </c>
      <c r="O20" s="51" t="n"/>
      <c r="P20" s="52">
        <f>IF(OR($A20="",O20=""),"",N20*O20)</f>
        <v/>
      </c>
    </row>
    <row r="21" ht="15" customHeight="1" s="30">
      <c r="A21" s="49" t="n"/>
      <c r="B21" s="50">
        <f>IF($A21="","",SUMIFS(Data!$H$2:$H$25001,Data!$C$2:$C$25001,$A21,Data!$D$2:$D$25001,"Werken",Data!$A$2:$A$25001,"&gt;="&amp;DATE(Dashboard!$B$2,1,1)&amp;"",Data!$A$2:$A$25001,"&lt;"&amp;DATE(Dashboard!$B$2,1+1,1)&amp;""))</f>
        <v/>
      </c>
      <c r="C21" s="50">
        <f>IF($A21="","",SUMIFS(Data!$H$2:$H$25001,Data!$C$2:$C$25001,$A21,Data!$D$2:$D$25001,"Werken",Data!$A$2:$A$25001,"&gt;="&amp;DATE(Dashboard!$B$2,2,1)&amp;"",Data!$A$2:$A$25001,"&lt;"&amp;DATE(Dashboard!$B$2,2+1,1)&amp;""))</f>
        <v/>
      </c>
      <c r="D21" s="50">
        <f>IF($A21="","",SUMIFS(Data!$H$2:$H$25001,Data!$C$2:$C$25001,$A21,Data!$D$2:$D$25001,"Werken",Data!$A$2:$A$25001,"&gt;="&amp;DATE(Dashboard!$B$2,3,1)&amp;"",Data!$A$2:$A$25001,"&lt;"&amp;DATE(Dashboard!$B$2,3+1,1)&amp;""))</f>
        <v/>
      </c>
      <c r="E21" s="50">
        <f>IF($A21="","",SUMIFS(Data!$H$2:$H$25001,Data!$C$2:$C$25001,$A21,Data!$D$2:$D$25001,"Werken",Data!$A$2:$A$25001,"&gt;="&amp;DATE(Dashboard!$B$2,4,1)&amp;"",Data!$A$2:$A$25001,"&lt;"&amp;DATE(Dashboard!$B$2,4+1,1)&amp;""))</f>
        <v/>
      </c>
      <c r="F21" s="50">
        <f>IF($A21="","",SUMIFS(Data!$H$2:$H$25001,Data!$C$2:$C$25001,$A21,Data!$D$2:$D$25001,"Werken",Data!$A$2:$A$25001,"&gt;="&amp;DATE(Dashboard!$B$2,5,1)&amp;"",Data!$A$2:$A$25001,"&lt;"&amp;DATE(Dashboard!$B$2,5+1,1)&amp;""))</f>
        <v/>
      </c>
      <c r="G21" s="50">
        <f>IF($A21="","",SUMIFS(Data!$H$2:$H$25001,Data!$C$2:$C$25001,$A21,Data!$D$2:$D$25001,"Werken",Data!$A$2:$A$25001,"&gt;="&amp;DATE(Dashboard!$B$2,6,1)&amp;"",Data!$A$2:$A$25001,"&lt;"&amp;DATE(Dashboard!$B$2,6+1,1)&amp;""))</f>
        <v/>
      </c>
      <c r="H21" s="50">
        <f>IF($A21="","",SUMIFS(Data!$H$2:$H$25001,Data!$C$2:$C$25001,$A21,Data!$D$2:$D$25001,"Werken",Data!$A$2:$A$25001,"&gt;="&amp;DATE(Dashboard!$B$2,7,1)&amp;"",Data!$A$2:$A$25001,"&lt;"&amp;DATE(Dashboard!$B$2,7+1,1)&amp;""))</f>
        <v/>
      </c>
      <c r="I21" s="50">
        <f>IF($A21="","",SUMIFS(Data!$H$2:$H$25001,Data!$C$2:$C$25001,$A21,Data!$D$2:$D$25001,"Werken",Data!$A$2:$A$25001,"&gt;="&amp;DATE(Dashboard!$B$2,8,1)&amp;"",Data!$A$2:$A$25001,"&lt;"&amp;DATE(Dashboard!$B$2,8+1,1)&amp;""))</f>
        <v/>
      </c>
      <c r="J21" s="50">
        <f>IF($A21="","",SUMIFS(Data!$H$2:$H$25001,Data!$C$2:$C$25001,$A21,Data!$D$2:$D$25001,"Werken",Data!$A$2:$A$25001,"&gt;="&amp;DATE(Dashboard!$B$2,9,1)&amp;"",Data!$A$2:$A$25001,"&lt;"&amp;DATE(Dashboard!$B$2,9+1,1)&amp;""))</f>
        <v/>
      </c>
      <c r="K21" s="50">
        <f>IF($A21="","",SUMIFS(Data!$H$2:$H$25001,Data!$C$2:$C$25001,$A21,Data!$D$2:$D$25001,"Werken",Data!$A$2:$A$25001,"&gt;="&amp;DATE(Dashboard!$B$2,10,1)&amp;"",Data!$A$2:$A$25001,"&lt;"&amp;DATE(Dashboard!$B$2,10+1,1)&amp;""))</f>
        <v/>
      </c>
      <c r="L21" s="50">
        <f>IF($A21="","",SUMIFS(Data!$H$2:$H$25001,Data!$C$2:$C$25001,$A21,Data!$D$2:$D$25001,"Werken",Data!$A$2:$A$25001,"&gt;="&amp;DATE(Dashboard!$B$2,11,1)&amp;"",Data!$A$2:$A$25001,"&lt;"&amp;DATE(Dashboard!$B$2,11+1,1)&amp;""))</f>
        <v/>
      </c>
      <c r="M21" s="50">
        <f>IF($A21="","",SUMIFS(Data!$H$2:$H$25001,Data!$C$2:$C$25001,$A21,Data!$D$2:$D$25001,"Werken",Data!$A$2:$A$25001,"&gt;="&amp;DATE(Dashboard!$B$2,12,1)&amp;"",Data!$A$2:$A$25001,"&lt;"&amp;DATE(Dashboard!$B$2,12+1,1)&amp;""))</f>
        <v/>
      </c>
      <c r="N21" s="46">
        <f>IF($A21="","",SUM(B21:M21))</f>
        <v/>
      </c>
      <c r="O21" s="51" t="n"/>
      <c r="P21" s="52">
        <f>IF(OR($A21="",O21=""),"",N21*O21)</f>
        <v/>
      </c>
    </row>
    <row r="22" ht="15" customHeight="1" s="30">
      <c r="A22" s="49" t="n"/>
      <c r="B22" s="45">
        <f>IF($A22="","",SUMIFS(Data!$H$2:$H$25001,Data!$C$2:$C$25001,$A22,Data!$D$2:$D$25001,"Werken",Data!$A$2:$A$25001,"&gt;="&amp;DATE(Dashboard!$B$2,1,1)&amp;"",Data!$A$2:$A$25001,"&lt;"&amp;DATE(Dashboard!$B$2,1+1,1)&amp;""))</f>
        <v/>
      </c>
      <c r="C22" s="45">
        <f>IF($A22="","",SUMIFS(Data!$H$2:$H$25001,Data!$C$2:$C$25001,$A22,Data!$D$2:$D$25001,"Werken",Data!$A$2:$A$25001,"&gt;="&amp;DATE(Dashboard!$B$2,2,1)&amp;"",Data!$A$2:$A$25001,"&lt;"&amp;DATE(Dashboard!$B$2,2+1,1)&amp;""))</f>
        <v/>
      </c>
      <c r="D22" s="45">
        <f>IF($A22="","",SUMIFS(Data!$H$2:$H$25001,Data!$C$2:$C$25001,$A22,Data!$D$2:$D$25001,"Werken",Data!$A$2:$A$25001,"&gt;="&amp;DATE(Dashboard!$B$2,3,1)&amp;"",Data!$A$2:$A$25001,"&lt;"&amp;DATE(Dashboard!$B$2,3+1,1)&amp;""))</f>
        <v/>
      </c>
      <c r="E22" s="45">
        <f>IF($A22="","",SUMIFS(Data!$H$2:$H$25001,Data!$C$2:$C$25001,$A22,Data!$D$2:$D$25001,"Werken",Data!$A$2:$A$25001,"&gt;="&amp;DATE(Dashboard!$B$2,4,1)&amp;"",Data!$A$2:$A$25001,"&lt;"&amp;DATE(Dashboard!$B$2,4+1,1)&amp;""))</f>
        <v/>
      </c>
      <c r="F22" s="45">
        <f>IF($A22="","",SUMIFS(Data!$H$2:$H$25001,Data!$C$2:$C$25001,$A22,Data!$D$2:$D$25001,"Werken",Data!$A$2:$A$25001,"&gt;="&amp;DATE(Dashboard!$B$2,5,1)&amp;"",Data!$A$2:$A$25001,"&lt;"&amp;DATE(Dashboard!$B$2,5+1,1)&amp;""))</f>
        <v/>
      </c>
      <c r="G22" s="45">
        <f>IF($A22="","",SUMIFS(Data!$H$2:$H$25001,Data!$C$2:$C$25001,$A22,Data!$D$2:$D$25001,"Werken",Data!$A$2:$A$25001,"&gt;="&amp;DATE(Dashboard!$B$2,6,1)&amp;"",Data!$A$2:$A$25001,"&lt;"&amp;DATE(Dashboard!$B$2,6+1,1)&amp;""))</f>
        <v/>
      </c>
      <c r="H22" s="45">
        <f>IF($A22="","",SUMIFS(Data!$H$2:$H$25001,Data!$C$2:$C$25001,$A22,Data!$D$2:$D$25001,"Werken",Data!$A$2:$A$25001,"&gt;="&amp;DATE(Dashboard!$B$2,7,1)&amp;"",Data!$A$2:$A$25001,"&lt;"&amp;DATE(Dashboard!$B$2,7+1,1)&amp;""))</f>
        <v/>
      </c>
      <c r="I22" s="45">
        <f>IF($A22="","",SUMIFS(Data!$H$2:$H$25001,Data!$C$2:$C$25001,$A22,Data!$D$2:$D$25001,"Werken",Data!$A$2:$A$25001,"&gt;="&amp;DATE(Dashboard!$B$2,8,1)&amp;"",Data!$A$2:$A$25001,"&lt;"&amp;DATE(Dashboard!$B$2,8+1,1)&amp;""))</f>
        <v/>
      </c>
      <c r="J22" s="45">
        <f>IF($A22="","",SUMIFS(Data!$H$2:$H$25001,Data!$C$2:$C$25001,$A22,Data!$D$2:$D$25001,"Werken",Data!$A$2:$A$25001,"&gt;="&amp;DATE(Dashboard!$B$2,9,1)&amp;"",Data!$A$2:$A$25001,"&lt;"&amp;DATE(Dashboard!$B$2,9+1,1)&amp;""))</f>
        <v/>
      </c>
      <c r="K22" s="45">
        <f>IF($A22="","",SUMIFS(Data!$H$2:$H$25001,Data!$C$2:$C$25001,$A22,Data!$D$2:$D$25001,"Werken",Data!$A$2:$A$25001,"&gt;="&amp;DATE(Dashboard!$B$2,10,1)&amp;"",Data!$A$2:$A$25001,"&lt;"&amp;DATE(Dashboard!$B$2,10+1,1)&amp;""))</f>
        <v/>
      </c>
      <c r="L22" s="45">
        <f>IF($A22="","",SUMIFS(Data!$H$2:$H$25001,Data!$C$2:$C$25001,$A22,Data!$D$2:$D$25001,"Werken",Data!$A$2:$A$25001,"&gt;="&amp;DATE(Dashboard!$B$2,11,1)&amp;"",Data!$A$2:$A$25001,"&lt;"&amp;DATE(Dashboard!$B$2,11+1,1)&amp;""))</f>
        <v/>
      </c>
      <c r="M22" s="45">
        <f>IF($A22="","",SUMIFS(Data!$H$2:$H$25001,Data!$C$2:$C$25001,$A22,Data!$D$2:$D$25001,"Werken",Data!$A$2:$A$25001,"&gt;="&amp;DATE(Dashboard!$B$2,12,1)&amp;"",Data!$A$2:$A$25001,"&lt;"&amp;DATE(Dashboard!$B$2,12+1,1)&amp;""))</f>
        <v/>
      </c>
      <c r="N22" s="46">
        <f>IF($A22="","",SUM(B22:M22))</f>
        <v/>
      </c>
      <c r="O22" s="51" t="n"/>
      <c r="P22" s="52">
        <f>IF(OR($A22="",O22=""),"",N22*O22)</f>
        <v/>
      </c>
    </row>
    <row r="23" ht="15" customHeight="1" s="30">
      <c r="A23" s="49" t="n"/>
      <c r="B23" s="50">
        <f>IF($A23="","",SUMIFS(Data!$H$2:$H$25001,Data!$C$2:$C$25001,$A23,Data!$D$2:$D$25001,"Werken",Data!$A$2:$A$25001,"&gt;="&amp;DATE(Dashboard!$B$2,1,1)&amp;"",Data!$A$2:$A$25001,"&lt;"&amp;DATE(Dashboard!$B$2,1+1,1)&amp;""))</f>
        <v/>
      </c>
      <c r="C23" s="50">
        <f>IF($A23="","",SUMIFS(Data!$H$2:$H$25001,Data!$C$2:$C$25001,$A23,Data!$D$2:$D$25001,"Werken",Data!$A$2:$A$25001,"&gt;="&amp;DATE(Dashboard!$B$2,2,1)&amp;"",Data!$A$2:$A$25001,"&lt;"&amp;DATE(Dashboard!$B$2,2+1,1)&amp;""))</f>
        <v/>
      </c>
      <c r="D23" s="50">
        <f>IF($A23="","",SUMIFS(Data!$H$2:$H$25001,Data!$C$2:$C$25001,$A23,Data!$D$2:$D$25001,"Werken",Data!$A$2:$A$25001,"&gt;="&amp;DATE(Dashboard!$B$2,3,1)&amp;"",Data!$A$2:$A$25001,"&lt;"&amp;DATE(Dashboard!$B$2,3+1,1)&amp;""))</f>
        <v/>
      </c>
      <c r="E23" s="50">
        <f>IF($A23="","",SUMIFS(Data!$H$2:$H$25001,Data!$C$2:$C$25001,$A23,Data!$D$2:$D$25001,"Werken",Data!$A$2:$A$25001,"&gt;="&amp;DATE(Dashboard!$B$2,4,1)&amp;"",Data!$A$2:$A$25001,"&lt;"&amp;DATE(Dashboard!$B$2,4+1,1)&amp;""))</f>
        <v/>
      </c>
      <c r="F23" s="50">
        <f>IF($A23="","",SUMIFS(Data!$H$2:$H$25001,Data!$C$2:$C$25001,$A23,Data!$D$2:$D$25001,"Werken",Data!$A$2:$A$25001,"&gt;="&amp;DATE(Dashboard!$B$2,5,1)&amp;"",Data!$A$2:$A$25001,"&lt;"&amp;DATE(Dashboard!$B$2,5+1,1)&amp;""))</f>
        <v/>
      </c>
      <c r="G23" s="50">
        <f>IF($A23="","",SUMIFS(Data!$H$2:$H$25001,Data!$C$2:$C$25001,$A23,Data!$D$2:$D$25001,"Werken",Data!$A$2:$A$25001,"&gt;="&amp;DATE(Dashboard!$B$2,6,1)&amp;"",Data!$A$2:$A$25001,"&lt;"&amp;DATE(Dashboard!$B$2,6+1,1)&amp;""))</f>
        <v/>
      </c>
      <c r="H23" s="50">
        <f>IF($A23="","",SUMIFS(Data!$H$2:$H$25001,Data!$C$2:$C$25001,$A23,Data!$D$2:$D$25001,"Werken",Data!$A$2:$A$25001,"&gt;="&amp;DATE(Dashboard!$B$2,7,1)&amp;"",Data!$A$2:$A$25001,"&lt;"&amp;DATE(Dashboard!$B$2,7+1,1)&amp;""))</f>
        <v/>
      </c>
      <c r="I23" s="50">
        <f>IF($A23="","",SUMIFS(Data!$H$2:$H$25001,Data!$C$2:$C$25001,$A23,Data!$D$2:$D$25001,"Werken",Data!$A$2:$A$25001,"&gt;="&amp;DATE(Dashboard!$B$2,8,1)&amp;"",Data!$A$2:$A$25001,"&lt;"&amp;DATE(Dashboard!$B$2,8+1,1)&amp;""))</f>
        <v/>
      </c>
      <c r="J23" s="50">
        <f>IF($A23="","",SUMIFS(Data!$H$2:$H$25001,Data!$C$2:$C$25001,$A23,Data!$D$2:$D$25001,"Werken",Data!$A$2:$A$25001,"&gt;="&amp;DATE(Dashboard!$B$2,9,1)&amp;"",Data!$A$2:$A$25001,"&lt;"&amp;DATE(Dashboard!$B$2,9+1,1)&amp;""))</f>
        <v/>
      </c>
      <c r="K23" s="50">
        <f>IF($A23="","",SUMIFS(Data!$H$2:$H$25001,Data!$C$2:$C$25001,$A23,Data!$D$2:$D$25001,"Werken",Data!$A$2:$A$25001,"&gt;="&amp;DATE(Dashboard!$B$2,10,1)&amp;"",Data!$A$2:$A$25001,"&lt;"&amp;DATE(Dashboard!$B$2,10+1,1)&amp;""))</f>
        <v/>
      </c>
      <c r="L23" s="50">
        <f>IF($A23="","",SUMIFS(Data!$H$2:$H$25001,Data!$C$2:$C$25001,$A23,Data!$D$2:$D$25001,"Werken",Data!$A$2:$A$25001,"&gt;="&amp;DATE(Dashboard!$B$2,11,1)&amp;"",Data!$A$2:$A$25001,"&lt;"&amp;DATE(Dashboard!$B$2,11+1,1)&amp;""))</f>
        <v/>
      </c>
      <c r="M23" s="50">
        <f>IF($A23="","",SUMIFS(Data!$H$2:$H$25001,Data!$C$2:$C$25001,$A23,Data!$D$2:$D$25001,"Werken",Data!$A$2:$A$25001,"&gt;="&amp;DATE(Dashboard!$B$2,12,1)&amp;"",Data!$A$2:$A$25001,"&lt;"&amp;DATE(Dashboard!$B$2,12+1,1)&amp;""))</f>
        <v/>
      </c>
      <c r="N23" s="46">
        <f>IF($A23="","",SUM(B23:M23))</f>
        <v/>
      </c>
      <c r="O23" s="51" t="n"/>
      <c r="P23" s="52">
        <f>IF(OR($A23="",O23=""),"",N23*O23)</f>
        <v/>
      </c>
    </row>
    <row r="24" ht="15" customHeight="1" s="30">
      <c r="A24" s="49" t="n"/>
      <c r="B24" s="45">
        <f>IF($A24="","",SUMIFS(Data!$H$2:$H$25001,Data!$C$2:$C$25001,$A24,Data!$D$2:$D$25001,"Werken",Data!$A$2:$A$25001,"&gt;="&amp;DATE(Dashboard!$B$2,1,1)&amp;"",Data!$A$2:$A$25001,"&lt;"&amp;DATE(Dashboard!$B$2,1+1,1)&amp;""))</f>
        <v/>
      </c>
      <c r="C24" s="45">
        <f>IF($A24="","",SUMIFS(Data!$H$2:$H$25001,Data!$C$2:$C$25001,$A24,Data!$D$2:$D$25001,"Werken",Data!$A$2:$A$25001,"&gt;="&amp;DATE(Dashboard!$B$2,2,1)&amp;"",Data!$A$2:$A$25001,"&lt;"&amp;DATE(Dashboard!$B$2,2+1,1)&amp;""))</f>
        <v/>
      </c>
      <c r="D24" s="45">
        <f>IF($A24="","",SUMIFS(Data!$H$2:$H$25001,Data!$C$2:$C$25001,$A24,Data!$D$2:$D$25001,"Werken",Data!$A$2:$A$25001,"&gt;="&amp;DATE(Dashboard!$B$2,3,1)&amp;"",Data!$A$2:$A$25001,"&lt;"&amp;DATE(Dashboard!$B$2,3+1,1)&amp;""))</f>
        <v/>
      </c>
      <c r="E24" s="45">
        <f>IF($A24="","",SUMIFS(Data!$H$2:$H$25001,Data!$C$2:$C$25001,$A24,Data!$D$2:$D$25001,"Werken",Data!$A$2:$A$25001,"&gt;="&amp;DATE(Dashboard!$B$2,4,1)&amp;"",Data!$A$2:$A$25001,"&lt;"&amp;DATE(Dashboard!$B$2,4+1,1)&amp;""))</f>
        <v/>
      </c>
      <c r="F24" s="45">
        <f>IF($A24="","",SUMIFS(Data!$H$2:$H$25001,Data!$C$2:$C$25001,$A24,Data!$D$2:$D$25001,"Werken",Data!$A$2:$A$25001,"&gt;="&amp;DATE(Dashboard!$B$2,5,1)&amp;"",Data!$A$2:$A$25001,"&lt;"&amp;DATE(Dashboard!$B$2,5+1,1)&amp;""))</f>
        <v/>
      </c>
      <c r="G24" s="45">
        <f>IF($A24="","",SUMIFS(Data!$H$2:$H$25001,Data!$C$2:$C$25001,$A24,Data!$D$2:$D$25001,"Werken",Data!$A$2:$A$25001,"&gt;="&amp;DATE(Dashboard!$B$2,6,1)&amp;"",Data!$A$2:$A$25001,"&lt;"&amp;DATE(Dashboard!$B$2,6+1,1)&amp;""))</f>
        <v/>
      </c>
      <c r="H24" s="45">
        <f>IF($A24="","",SUMIFS(Data!$H$2:$H$25001,Data!$C$2:$C$25001,$A24,Data!$D$2:$D$25001,"Werken",Data!$A$2:$A$25001,"&gt;="&amp;DATE(Dashboard!$B$2,7,1)&amp;"",Data!$A$2:$A$25001,"&lt;"&amp;DATE(Dashboard!$B$2,7+1,1)&amp;""))</f>
        <v/>
      </c>
      <c r="I24" s="45">
        <f>IF($A24="","",SUMIFS(Data!$H$2:$H$25001,Data!$C$2:$C$25001,$A24,Data!$D$2:$D$25001,"Werken",Data!$A$2:$A$25001,"&gt;="&amp;DATE(Dashboard!$B$2,8,1)&amp;"",Data!$A$2:$A$25001,"&lt;"&amp;DATE(Dashboard!$B$2,8+1,1)&amp;""))</f>
        <v/>
      </c>
      <c r="J24" s="45">
        <f>IF($A24="","",SUMIFS(Data!$H$2:$H$25001,Data!$C$2:$C$25001,$A24,Data!$D$2:$D$25001,"Werken",Data!$A$2:$A$25001,"&gt;="&amp;DATE(Dashboard!$B$2,9,1)&amp;"",Data!$A$2:$A$25001,"&lt;"&amp;DATE(Dashboard!$B$2,9+1,1)&amp;""))</f>
        <v/>
      </c>
      <c r="K24" s="45">
        <f>IF($A24="","",SUMIFS(Data!$H$2:$H$25001,Data!$C$2:$C$25001,$A24,Data!$D$2:$D$25001,"Werken",Data!$A$2:$A$25001,"&gt;="&amp;DATE(Dashboard!$B$2,10,1)&amp;"",Data!$A$2:$A$25001,"&lt;"&amp;DATE(Dashboard!$B$2,10+1,1)&amp;""))</f>
        <v/>
      </c>
      <c r="L24" s="45">
        <f>IF($A24="","",SUMIFS(Data!$H$2:$H$25001,Data!$C$2:$C$25001,$A24,Data!$D$2:$D$25001,"Werken",Data!$A$2:$A$25001,"&gt;="&amp;DATE(Dashboard!$B$2,11,1)&amp;"",Data!$A$2:$A$25001,"&lt;"&amp;DATE(Dashboard!$B$2,11+1,1)&amp;""))</f>
        <v/>
      </c>
      <c r="M24" s="45">
        <f>IF($A24="","",SUMIFS(Data!$H$2:$H$25001,Data!$C$2:$C$25001,$A24,Data!$D$2:$D$25001,"Werken",Data!$A$2:$A$25001,"&gt;="&amp;DATE(Dashboard!$B$2,12,1)&amp;"",Data!$A$2:$A$25001,"&lt;"&amp;DATE(Dashboard!$B$2,12+1,1)&amp;""))</f>
        <v/>
      </c>
      <c r="N24" s="46">
        <f>IF($A24="","",SUM(B24:M24))</f>
        <v/>
      </c>
      <c r="O24" s="51" t="n"/>
      <c r="P24" s="52">
        <f>IF(OR($A24="",O24=""),"",N24*O24)</f>
        <v/>
      </c>
    </row>
    <row r="25" ht="15" customHeight="1" s="30">
      <c r="A25" s="49" t="n"/>
      <c r="B25" s="50">
        <f>IF($A25="","",SUMIFS(Data!$H$2:$H$25001,Data!$C$2:$C$25001,$A25,Data!$D$2:$D$25001,"Werken",Data!$A$2:$A$25001,"&gt;="&amp;DATE(Dashboard!$B$2,1,1)&amp;"",Data!$A$2:$A$25001,"&lt;"&amp;DATE(Dashboard!$B$2,1+1,1)&amp;""))</f>
        <v/>
      </c>
      <c r="C25" s="50">
        <f>IF($A25="","",SUMIFS(Data!$H$2:$H$25001,Data!$C$2:$C$25001,$A25,Data!$D$2:$D$25001,"Werken",Data!$A$2:$A$25001,"&gt;="&amp;DATE(Dashboard!$B$2,2,1)&amp;"",Data!$A$2:$A$25001,"&lt;"&amp;DATE(Dashboard!$B$2,2+1,1)&amp;""))</f>
        <v/>
      </c>
      <c r="D25" s="50">
        <f>IF($A25="","",SUMIFS(Data!$H$2:$H$25001,Data!$C$2:$C$25001,$A25,Data!$D$2:$D$25001,"Werken",Data!$A$2:$A$25001,"&gt;="&amp;DATE(Dashboard!$B$2,3,1)&amp;"",Data!$A$2:$A$25001,"&lt;"&amp;DATE(Dashboard!$B$2,3+1,1)&amp;""))</f>
        <v/>
      </c>
      <c r="E25" s="50">
        <f>IF($A25="","",SUMIFS(Data!$H$2:$H$25001,Data!$C$2:$C$25001,$A25,Data!$D$2:$D$25001,"Werken",Data!$A$2:$A$25001,"&gt;="&amp;DATE(Dashboard!$B$2,4,1)&amp;"",Data!$A$2:$A$25001,"&lt;"&amp;DATE(Dashboard!$B$2,4+1,1)&amp;""))</f>
        <v/>
      </c>
      <c r="F25" s="50">
        <f>IF($A25="","",SUMIFS(Data!$H$2:$H$25001,Data!$C$2:$C$25001,$A25,Data!$D$2:$D$25001,"Werken",Data!$A$2:$A$25001,"&gt;="&amp;DATE(Dashboard!$B$2,5,1)&amp;"",Data!$A$2:$A$25001,"&lt;"&amp;DATE(Dashboard!$B$2,5+1,1)&amp;""))</f>
        <v/>
      </c>
      <c r="G25" s="50">
        <f>IF($A25="","",SUMIFS(Data!$H$2:$H$25001,Data!$C$2:$C$25001,$A25,Data!$D$2:$D$25001,"Werken",Data!$A$2:$A$25001,"&gt;="&amp;DATE(Dashboard!$B$2,6,1)&amp;"",Data!$A$2:$A$25001,"&lt;"&amp;DATE(Dashboard!$B$2,6+1,1)&amp;""))</f>
        <v/>
      </c>
      <c r="H25" s="50">
        <f>IF($A25="","",SUMIFS(Data!$H$2:$H$25001,Data!$C$2:$C$25001,$A25,Data!$D$2:$D$25001,"Werken",Data!$A$2:$A$25001,"&gt;="&amp;DATE(Dashboard!$B$2,7,1)&amp;"",Data!$A$2:$A$25001,"&lt;"&amp;DATE(Dashboard!$B$2,7+1,1)&amp;""))</f>
        <v/>
      </c>
      <c r="I25" s="50">
        <f>IF($A25="","",SUMIFS(Data!$H$2:$H$25001,Data!$C$2:$C$25001,$A25,Data!$D$2:$D$25001,"Werken",Data!$A$2:$A$25001,"&gt;="&amp;DATE(Dashboard!$B$2,8,1)&amp;"",Data!$A$2:$A$25001,"&lt;"&amp;DATE(Dashboard!$B$2,8+1,1)&amp;""))</f>
        <v/>
      </c>
      <c r="J25" s="50">
        <f>IF($A25="","",SUMIFS(Data!$H$2:$H$25001,Data!$C$2:$C$25001,$A25,Data!$D$2:$D$25001,"Werken",Data!$A$2:$A$25001,"&gt;="&amp;DATE(Dashboard!$B$2,9,1)&amp;"",Data!$A$2:$A$25001,"&lt;"&amp;DATE(Dashboard!$B$2,9+1,1)&amp;""))</f>
        <v/>
      </c>
      <c r="K25" s="50">
        <f>IF($A25="","",SUMIFS(Data!$H$2:$H$25001,Data!$C$2:$C$25001,$A25,Data!$D$2:$D$25001,"Werken",Data!$A$2:$A$25001,"&gt;="&amp;DATE(Dashboard!$B$2,10,1)&amp;"",Data!$A$2:$A$25001,"&lt;"&amp;DATE(Dashboard!$B$2,10+1,1)&amp;""))</f>
        <v/>
      </c>
      <c r="L25" s="50">
        <f>IF($A25="","",SUMIFS(Data!$H$2:$H$25001,Data!$C$2:$C$25001,$A25,Data!$D$2:$D$25001,"Werken",Data!$A$2:$A$25001,"&gt;="&amp;DATE(Dashboard!$B$2,11,1)&amp;"",Data!$A$2:$A$25001,"&lt;"&amp;DATE(Dashboard!$B$2,11+1,1)&amp;""))</f>
        <v/>
      </c>
      <c r="M25" s="50">
        <f>IF($A25="","",SUMIFS(Data!$H$2:$H$25001,Data!$C$2:$C$25001,$A25,Data!$D$2:$D$25001,"Werken",Data!$A$2:$A$25001,"&gt;="&amp;DATE(Dashboard!$B$2,12,1)&amp;"",Data!$A$2:$A$25001,"&lt;"&amp;DATE(Dashboard!$B$2,12+1,1)&amp;""))</f>
        <v/>
      </c>
      <c r="N25" s="46">
        <f>IF($A25="","",SUM(B25:M25))</f>
        <v/>
      </c>
      <c r="O25" s="51" t="n"/>
      <c r="P25" s="52">
        <f>IF(OR($A25="",O25=""),"",N25*O25)</f>
        <v/>
      </c>
    </row>
    <row r="26" ht="15" customHeight="1" s="30">
      <c r="A26" s="49" t="n"/>
      <c r="B26" s="45">
        <f>IF($A26="","",SUMIFS(Data!$H$2:$H$25001,Data!$C$2:$C$25001,$A26,Data!$D$2:$D$25001,"Werken",Data!$A$2:$A$25001,"&gt;="&amp;DATE(Dashboard!$B$2,1,1)&amp;"",Data!$A$2:$A$25001,"&lt;"&amp;DATE(Dashboard!$B$2,1+1,1)&amp;""))</f>
        <v/>
      </c>
      <c r="C26" s="45">
        <f>IF($A26="","",SUMIFS(Data!$H$2:$H$25001,Data!$C$2:$C$25001,$A26,Data!$D$2:$D$25001,"Werken",Data!$A$2:$A$25001,"&gt;="&amp;DATE(Dashboard!$B$2,2,1)&amp;"",Data!$A$2:$A$25001,"&lt;"&amp;DATE(Dashboard!$B$2,2+1,1)&amp;""))</f>
        <v/>
      </c>
      <c r="D26" s="45">
        <f>IF($A26="","",SUMIFS(Data!$H$2:$H$25001,Data!$C$2:$C$25001,$A26,Data!$D$2:$D$25001,"Werken",Data!$A$2:$A$25001,"&gt;="&amp;DATE(Dashboard!$B$2,3,1)&amp;"",Data!$A$2:$A$25001,"&lt;"&amp;DATE(Dashboard!$B$2,3+1,1)&amp;""))</f>
        <v/>
      </c>
      <c r="E26" s="45">
        <f>IF($A26="","",SUMIFS(Data!$H$2:$H$25001,Data!$C$2:$C$25001,$A26,Data!$D$2:$D$25001,"Werken",Data!$A$2:$A$25001,"&gt;="&amp;DATE(Dashboard!$B$2,4,1)&amp;"",Data!$A$2:$A$25001,"&lt;"&amp;DATE(Dashboard!$B$2,4+1,1)&amp;""))</f>
        <v/>
      </c>
      <c r="F26" s="45">
        <f>IF($A26="","",SUMIFS(Data!$H$2:$H$25001,Data!$C$2:$C$25001,$A26,Data!$D$2:$D$25001,"Werken",Data!$A$2:$A$25001,"&gt;="&amp;DATE(Dashboard!$B$2,5,1)&amp;"",Data!$A$2:$A$25001,"&lt;"&amp;DATE(Dashboard!$B$2,5+1,1)&amp;""))</f>
        <v/>
      </c>
      <c r="G26" s="45">
        <f>IF($A26="","",SUMIFS(Data!$H$2:$H$25001,Data!$C$2:$C$25001,$A26,Data!$D$2:$D$25001,"Werken",Data!$A$2:$A$25001,"&gt;="&amp;DATE(Dashboard!$B$2,6,1)&amp;"",Data!$A$2:$A$25001,"&lt;"&amp;DATE(Dashboard!$B$2,6+1,1)&amp;""))</f>
        <v/>
      </c>
      <c r="H26" s="45">
        <f>IF($A26="","",SUMIFS(Data!$H$2:$H$25001,Data!$C$2:$C$25001,$A26,Data!$D$2:$D$25001,"Werken",Data!$A$2:$A$25001,"&gt;="&amp;DATE(Dashboard!$B$2,7,1)&amp;"",Data!$A$2:$A$25001,"&lt;"&amp;DATE(Dashboard!$B$2,7+1,1)&amp;""))</f>
        <v/>
      </c>
      <c r="I26" s="45">
        <f>IF($A26="","",SUMIFS(Data!$H$2:$H$25001,Data!$C$2:$C$25001,$A26,Data!$D$2:$D$25001,"Werken",Data!$A$2:$A$25001,"&gt;="&amp;DATE(Dashboard!$B$2,8,1)&amp;"",Data!$A$2:$A$25001,"&lt;"&amp;DATE(Dashboard!$B$2,8+1,1)&amp;""))</f>
        <v/>
      </c>
      <c r="J26" s="45">
        <f>IF($A26="","",SUMIFS(Data!$H$2:$H$25001,Data!$C$2:$C$25001,$A26,Data!$D$2:$D$25001,"Werken",Data!$A$2:$A$25001,"&gt;="&amp;DATE(Dashboard!$B$2,9,1)&amp;"",Data!$A$2:$A$25001,"&lt;"&amp;DATE(Dashboard!$B$2,9+1,1)&amp;""))</f>
        <v/>
      </c>
      <c r="K26" s="45">
        <f>IF($A26="","",SUMIFS(Data!$H$2:$H$25001,Data!$C$2:$C$25001,$A26,Data!$D$2:$D$25001,"Werken",Data!$A$2:$A$25001,"&gt;="&amp;DATE(Dashboard!$B$2,10,1)&amp;"",Data!$A$2:$A$25001,"&lt;"&amp;DATE(Dashboard!$B$2,10+1,1)&amp;""))</f>
        <v/>
      </c>
      <c r="L26" s="45">
        <f>IF($A26="","",SUMIFS(Data!$H$2:$H$25001,Data!$C$2:$C$25001,$A26,Data!$D$2:$D$25001,"Werken",Data!$A$2:$A$25001,"&gt;="&amp;DATE(Dashboard!$B$2,11,1)&amp;"",Data!$A$2:$A$25001,"&lt;"&amp;DATE(Dashboard!$B$2,11+1,1)&amp;""))</f>
        <v/>
      </c>
      <c r="M26" s="45">
        <f>IF($A26="","",SUMIFS(Data!$H$2:$H$25001,Data!$C$2:$C$25001,$A26,Data!$D$2:$D$25001,"Werken",Data!$A$2:$A$25001,"&gt;="&amp;DATE(Dashboard!$B$2,12,1)&amp;"",Data!$A$2:$A$25001,"&lt;"&amp;DATE(Dashboard!$B$2,12+1,1)&amp;""))</f>
        <v/>
      </c>
      <c r="N26" s="46">
        <f>IF($A26="","",SUM(B26:M26))</f>
        <v/>
      </c>
      <c r="O26" s="51" t="n"/>
      <c r="P26" s="52">
        <f>IF(OR($A26="",O26=""),"",N26*O26)</f>
        <v/>
      </c>
    </row>
    <row r="27" ht="15" customHeight="1" s="30">
      <c r="A27" s="49" t="n"/>
      <c r="B27" s="50">
        <f>IF($A27="","",SUMIFS(Data!$H$2:$H$25001,Data!$C$2:$C$25001,$A27,Data!$D$2:$D$25001,"Werken",Data!$A$2:$A$25001,"&gt;="&amp;DATE(Dashboard!$B$2,1,1)&amp;"",Data!$A$2:$A$25001,"&lt;"&amp;DATE(Dashboard!$B$2,1+1,1)&amp;""))</f>
        <v/>
      </c>
      <c r="C27" s="50">
        <f>IF($A27="","",SUMIFS(Data!$H$2:$H$25001,Data!$C$2:$C$25001,$A27,Data!$D$2:$D$25001,"Werken",Data!$A$2:$A$25001,"&gt;="&amp;DATE(Dashboard!$B$2,2,1)&amp;"",Data!$A$2:$A$25001,"&lt;"&amp;DATE(Dashboard!$B$2,2+1,1)&amp;""))</f>
        <v/>
      </c>
      <c r="D27" s="50">
        <f>IF($A27="","",SUMIFS(Data!$H$2:$H$25001,Data!$C$2:$C$25001,$A27,Data!$D$2:$D$25001,"Werken",Data!$A$2:$A$25001,"&gt;="&amp;DATE(Dashboard!$B$2,3,1)&amp;"",Data!$A$2:$A$25001,"&lt;"&amp;DATE(Dashboard!$B$2,3+1,1)&amp;""))</f>
        <v/>
      </c>
      <c r="E27" s="50">
        <f>IF($A27="","",SUMIFS(Data!$H$2:$H$25001,Data!$C$2:$C$25001,$A27,Data!$D$2:$D$25001,"Werken",Data!$A$2:$A$25001,"&gt;="&amp;DATE(Dashboard!$B$2,4,1)&amp;"",Data!$A$2:$A$25001,"&lt;"&amp;DATE(Dashboard!$B$2,4+1,1)&amp;""))</f>
        <v/>
      </c>
      <c r="F27" s="50">
        <f>IF($A27="","",SUMIFS(Data!$H$2:$H$25001,Data!$C$2:$C$25001,$A27,Data!$D$2:$D$25001,"Werken",Data!$A$2:$A$25001,"&gt;="&amp;DATE(Dashboard!$B$2,5,1)&amp;"",Data!$A$2:$A$25001,"&lt;"&amp;DATE(Dashboard!$B$2,5+1,1)&amp;""))</f>
        <v/>
      </c>
      <c r="G27" s="50">
        <f>IF($A27="","",SUMIFS(Data!$H$2:$H$25001,Data!$C$2:$C$25001,$A27,Data!$D$2:$D$25001,"Werken",Data!$A$2:$A$25001,"&gt;="&amp;DATE(Dashboard!$B$2,6,1)&amp;"",Data!$A$2:$A$25001,"&lt;"&amp;DATE(Dashboard!$B$2,6+1,1)&amp;""))</f>
        <v/>
      </c>
      <c r="H27" s="50">
        <f>IF($A27="","",SUMIFS(Data!$H$2:$H$25001,Data!$C$2:$C$25001,$A27,Data!$D$2:$D$25001,"Werken",Data!$A$2:$A$25001,"&gt;="&amp;DATE(Dashboard!$B$2,7,1)&amp;"",Data!$A$2:$A$25001,"&lt;"&amp;DATE(Dashboard!$B$2,7+1,1)&amp;""))</f>
        <v/>
      </c>
      <c r="I27" s="50">
        <f>IF($A27="","",SUMIFS(Data!$H$2:$H$25001,Data!$C$2:$C$25001,$A27,Data!$D$2:$D$25001,"Werken",Data!$A$2:$A$25001,"&gt;="&amp;DATE(Dashboard!$B$2,8,1)&amp;"",Data!$A$2:$A$25001,"&lt;"&amp;DATE(Dashboard!$B$2,8+1,1)&amp;""))</f>
        <v/>
      </c>
      <c r="J27" s="50">
        <f>IF($A27="","",SUMIFS(Data!$H$2:$H$25001,Data!$C$2:$C$25001,$A27,Data!$D$2:$D$25001,"Werken",Data!$A$2:$A$25001,"&gt;="&amp;DATE(Dashboard!$B$2,9,1)&amp;"",Data!$A$2:$A$25001,"&lt;"&amp;DATE(Dashboard!$B$2,9+1,1)&amp;""))</f>
        <v/>
      </c>
      <c r="K27" s="50">
        <f>IF($A27="","",SUMIFS(Data!$H$2:$H$25001,Data!$C$2:$C$25001,$A27,Data!$D$2:$D$25001,"Werken",Data!$A$2:$A$25001,"&gt;="&amp;DATE(Dashboard!$B$2,10,1)&amp;"",Data!$A$2:$A$25001,"&lt;"&amp;DATE(Dashboard!$B$2,10+1,1)&amp;""))</f>
        <v/>
      </c>
      <c r="L27" s="50">
        <f>IF($A27="","",SUMIFS(Data!$H$2:$H$25001,Data!$C$2:$C$25001,$A27,Data!$D$2:$D$25001,"Werken",Data!$A$2:$A$25001,"&gt;="&amp;DATE(Dashboard!$B$2,11,1)&amp;"",Data!$A$2:$A$25001,"&lt;"&amp;DATE(Dashboard!$B$2,11+1,1)&amp;""))</f>
        <v/>
      </c>
      <c r="M27" s="50">
        <f>IF($A27="","",SUMIFS(Data!$H$2:$H$25001,Data!$C$2:$C$25001,$A27,Data!$D$2:$D$25001,"Werken",Data!$A$2:$A$25001,"&gt;="&amp;DATE(Dashboard!$B$2,12,1)&amp;"",Data!$A$2:$A$25001,"&lt;"&amp;DATE(Dashboard!$B$2,12+1,1)&amp;""))</f>
        <v/>
      </c>
      <c r="N27" s="46">
        <f>IF($A27="","",SUM(B27:M27))</f>
        <v/>
      </c>
      <c r="O27" s="51" t="n"/>
      <c r="P27" s="52">
        <f>IF(OR($A27="",O27=""),"",N27*O27)</f>
        <v/>
      </c>
    </row>
    <row r="28" ht="15" customHeight="1" s="30">
      <c r="A28" s="49" t="n"/>
      <c r="B28" s="45">
        <f>IF($A28="","",SUMIFS(Data!$H$2:$H$25001,Data!$C$2:$C$25001,$A28,Data!$D$2:$D$25001,"Werken",Data!$A$2:$A$25001,"&gt;="&amp;DATE(Dashboard!$B$2,1,1)&amp;"",Data!$A$2:$A$25001,"&lt;"&amp;DATE(Dashboard!$B$2,1+1,1)&amp;""))</f>
        <v/>
      </c>
      <c r="C28" s="45">
        <f>IF($A28="","",SUMIFS(Data!$H$2:$H$25001,Data!$C$2:$C$25001,$A28,Data!$D$2:$D$25001,"Werken",Data!$A$2:$A$25001,"&gt;="&amp;DATE(Dashboard!$B$2,2,1)&amp;"",Data!$A$2:$A$25001,"&lt;"&amp;DATE(Dashboard!$B$2,2+1,1)&amp;""))</f>
        <v/>
      </c>
      <c r="D28" s="45">
        <f>IF($A28="","",SUMIFS(Data!$H$2:$H$25001,Data!$C$2:$C$25001,$A28,Data!$D$2:$D$25001,"Werken",Data!$A$2:$A$25001,"&gt;="&amp;DATE(Dashboard!$B$2,3,1)&amp;"",Data!$A$2:$A$25001,"&lt;"&amp;DATE(Dashboard!$B$2,3+1,1)&amp;""))</f>
        <v/>
      </c>
      <c r="E28" s="45">
        <f>IF($A28="","",SUMIFS(Data!$H$2:$H$25001,Data!$C$2:$C$25001,$A28,Data!$D$2:$D$25001,"Werken",Data!$A$2:$A$25001,"&gt;="&amp;DATE(Dashboard!$B$2,4,1)&amp;"",Data!$A$2:$A$25001,"&lt;"&amp;DATE(Dashboard!$B$2,4+1,1)&amp;""))</f>
        <v/>
      </c>
      <c r="F28" s="45">
        <f>IF($A28="","",SUMIFS(Data!$H$2:$H$25001,Data!$C$2:$C$25001,$A28,Data!$D$2:$D$25001,"Werken",Data!$A$2:$A$25001,"&gt;="&amp;DATE(Dashboard!$B$2,5,1)&amp;"",Data!$A$2:$A$25001,"&lt;"&amp;DATE(Dashboard!$B$2,5+1,1)&amp;""))</f>
        <v/>
      </c>
      <c r="G28" s="45">
        <f>IF($A28="","",SUMIFS(Data!$H$2:$H$25001,Data!$C$2:$C$25001,$A28,Data!$D$2:$D$25001,"Werken",Data!$A$2:$A$25001,"&gt;="&amp;DATE(Dashboard!$B$2,6,1)&amp;"",Data!$A$2:$A$25001,"&lt;"&amp;DATE(Dashboard!$B$2,6+1,1)&amp;""))</f>
        <v/>
      </c>
      <c r="H28" s="45">
        <f>IF($A28="","",SUMIFS(Data!$H$2:$H$25001,Data!$C$2:$C$25001,$A28,Data!$D$2:$D$25001,"Werken",Data!$A$2:$A$25001,"&gt;="&amp;DATE(Dashboard!$B$2,7,1)&amp;"",Data!$A$2:$A$25001,"&lt;"&amp;DATE(Dashboard!$B$2,7+1,1)&amp;""))</f>
        <v/>
      </c>
      <c r="I28" s="45">
        <f>IF($A28="","",SUMIFS(Data!$H$2:$H$25001,Data!$C$2:$C$25001,$A28,Data!$D$2:$D$25001,"Werken",Data!$A$2:$A$25001,"&gt;="&amp;DATE(Dashboard!$B$2,8,1)&amp;"",Data!$A$2:$A$25001,"&lt;"&amp;DATE(Dashboard!$B$2,8+1,1)&amp;""))</f>
        <v/>
      </c>
      <c r="J28" s="45">
        <f>IF($A28="","",SUMIFS(Data!$H$2:$H$25001,Data!$C$2:$C$25001,$A28,Data!$D$2:$D$25001,"Werken",Data!$A$2:$A$25001,"&gt;="&amp;DATE(Dashboard!$B$2,9,1)&amp;"",Data!$A$2:$A$25001,"&lt;"&amp;DATE(Dashboard!$B$2,9+1,1)&amp;""))</f>
        <v/>
      </c>
      <c r="K28" s="45">
        <f>IF($A28="","",SUMIFS(Data!$H$2:$H$25001,Data!$C$2:$C$25001,$A28,Data!$D$2:$D$25001,"Werken",Data!$A$2:$A$25001,"&gt;="&amp;DATE(Dashboard!$B$2,10,1)&amp;"",Data!$A$2:$A$25001,"&lt;"&amp;DATE(Dashboard!$B$2,10+1,1)&amp;""))</f>
        <v/>
      </c>
      <c r="L28" s="45">
        <f>IF($A28="","",SUMIFS(Data!$H$2:$H$25001,Data!$C$2:$C$25001,$A28,Data!$D$2:$D$25001,"Werken",Data!$A$2:$A$25001,"&gt;="&amp;DATE(Dashboard!$B$2,11,1)&amp;"",Data!$A$2:$A$25001,"&lt;"&amp;DATE(Dashboard!$B$2,11+1,1)&amp;""))</f>
        <v/>
      </c>
      <c r="M28" s="45">
        <f>IF($A28="","",SUMIFS(Data!$H$2:$H$25001,Data!$C$2:$C$25001,$A28,Data!$D$2:$D$25001,"Werken",Data!$A$2:$A$25001,"&gt;="&amp;DATE(Dashboard!$B$2,12,1)&amp;"",Data!$A$2:$A$25001,"&lt;"&amp;DATE(Dashboard!$B$2,12+1,1)&amp;""))</f>
        <v/>
      </c>
      <c r="N28" s="46">
        <f>IF($A28="","",SUM(B28:M28))</f>
        <v/>
      </c>
      <c r="O28" s="51" t="n"/>
      <c r="P28" s="52">
        <f>IF(OR($A28="",O28=""),"",N28*O28)</f>
        <v/>
      </c>
    </row>
    <row r="29" ht="15" customHeight="1" s="30">
      <c r="A29" s="49" t="n"/>
      <c r="B29" s="50">
        <f>IF($A29="","",SUMIFS(Data!$H$2:$H$25001,Data!$C$2:$C$25001,$A29,Data!$D$2:$D$25001,"Werken",Data!$A$2:$A$25001,"&gt;="&amp;DATE(Dashboard!$B$2,1,1)&amp;"",Data!$A$2:$A$25001,"&lt;"&amp;DATE(Dashboard!$B$2,1+1,1)&amp;""))</f>
        <v/>
      </c>
      <c r="C29" s="50">
        <f>IF($A29="","",SUMIFS(Data!$H$2:$H$25001,Data!$C$2:$C$25001,$A29,Data!$D$2:$D$25001,"Werken",Data!$A$2:$A$25001,"&gt;="&amp;DATE(Dashboard!$B$2,2,1)&amp;"",Data!$A$2:$A$25001,"&lt;"&amp;DATE(Dashboard!$B$2,2+1,1)&amp;""))</f>
        <v/>
      </c>
      <c r="D29" s="50">
        <f>IF($A29="","",SUMIFS(Data!$H$2:$H$25001,Data!$C$2:$C$25001,$A29,Data!$D$2:$D$25001,"Werken",Data!$A$2:$A$25001,"&gt;="&amp;DATE(Dashboard!$B$2,3,1)&amp;"",Data!$A$2:$A$25001,"&lt;"&amp;DATE(Dashboard!$B$2,3+1,1)&amp;""))</f>
        <v/>
      </c>
      <c r="E29" s="50">
        <f>IF($A29="","",SUMIFS(Data!$H$2:$H$25001,Data!$C$2:$C$25001,$A29,Data!$D$2:$D$25001,"Werken",Data!$A$2:$A$25001,"&gt;="&amp;DATE(Dashboard!$B$2,4,1)&amp;"",Data!$A$2:$A$25001,"&lt;"&amp;DATE(Dashboard!$B$2,4+1,1)&amp;""))</f>
        <v/>
      </c>
      <c r="F29" s="50">
        <f>IF($A29="","",SUMIFS(Data!$H$2:$H$25001,Data!$C$2:$C$25001,$A29,Data!$D$2:$D$25001,"Werken",Data!$A$2:$A$25001,"&gt;="&amp;DATE(Dashboard!$B$2,5,1)&amp;"",Data!$A$2:$A$25001,"&lt;"&amp;DATE(Dashboard!$B$2,5+1,1)&amp;""))</f>
        <v/>
      </c>
      <c r="G29" s="50">
        <f>IF($A29="","",SUMIFS(Data!$H$2:$H$25001,Data!$C$2:$C$25001,$A29,Data!$D$2:$D$25001,"Werken",Data!$A$2:$A$25001,"&gt;="&amp;DATE(Dashboard!$B$2,6,1)&amp;"",Data!$A$2:$A$25001,"&lt;"&amp;DATE(Dashboard!$B$2,6+1,1)&amp;""))</f>
        <v/>
      </c>
      <c r="H29" s="50">
        <f>IF($A29="","",SUMIFS(Data!$H$2:$H$25001,Data!$C$2:$C$25001,$A29,Data!$D$2:$D$25001,"Werken",Data!$A$2:$A$25001,"&gt;="&amp;DATE(Dashboard!$B$2,7,1)&amp;"",Data!$A$2:$A$25001,"&lt;"&amp;DATE(Dashboard!$B$2,7+1,1)&amp;""))</f>
        <v/>
      </c>
      <c r="I29" s="50">
        <f>IF($A29="","",SUMIFS(Data!$H$2:$H$25001,Data!$C$2:$C$25001,$A29,Data!$D$2:$D$25001,"Werken",Data!$A$2:$A$25001,"&gt;="&amp;DATE(Dashboard!$B$2,8,1)&amp;"",Data!$A$2:$A$25001,"&lt;"&amp;DATE(Dashboard!$B$2,8+1,1)&amp;""))</f>
        <v/>
      </c>
      <c r="J29" s="50">
        <f>IF($A29="","",SUMIFS(Data!$H$2:$H$25001,Data!$C$2:$C$25001,$A29,Data!$D$2:$D$25001,"Werken",Data!$A$2:$A$25001,"&gt;="&amp;DATE(Dashboard!$B$2,9,1)&amp;"",Data!$A$2:$A$25001,"&lt;"&amp;DATE(Dashboard!$B$2,9+1,1)&amp;""))</f>
        <v/>
      </c>
      <c r="K29" s="50">
        <f>IF($A29="","",SUMIFS(Data!$H$2:$H$25001,Data!$C$2:$C$25001,$A29,Data!$D$2:$D$25001,"Werken",Data!$A$2:$A$25001,"&gt;="&amp;DATE(Dashboard!$B$2,10,1)&amp;"",Data!$A$2:$A$25001,"&lt;"&amp;DATE(Dashboard!$B$2,10+1,1)&amp;""))</f>
        <v/>
      </c>
      <c r="L29" s="50">
        <f>IF($A29="","",SUMIFS(Data!$H$2:$H$25001,Data!$C$2:$C$25001,$A29,Data!$D$2:$D$25001,"Werken",Data!$A$2:$A$25001,"&gt;="&amp;DATE(Dashboard!$B$2,11,1)&amp;"",Data!$A$2:$A$25001,"&lt;"&amp;DATE(Dashboard!$B$2,11+1,1)&amp;""))</f>
        <v/>
      </c>
      <c r="M29" s="50">
        <f>IF($A29="","",SUMIFS(Data!$H$2:$H$25001,Data!$C$2:$C$25001,$A29,Data!$D$2:$D$25001,"Werken",Data!$A$2:$A$25001,"&gt;="&amp;DATE(Dashboard!$B$2,12,1)&amp;"",Data!$A$2:$A$25001,"&lt;"&amp;DATE(Dashboard!$B$2,12+1,1)&amp;""))</f>
        <v/>
      </c>
      <c r="N29" s="46">
        <f>IF($A29="","",SUM(B29:M29))</f>
        <v/>
      </c>
      <c r="O29" s="51" t="n"/>
      <c r="P29" s="52">
        <f>IF(OR($A29="",O29=""),"",N29*O29)</f>
        <v/>
      </c>
    </row>
    <row r="30" ht="15" customHeight="1" s="30">
      <c r="A30" s="49" t="n"/>
      <c r="B30" s="45">
        <f>IF($A30="","",SUMIFS(Data!$H$2:$H$25001,Data!$C$2:$C$25001,$A30,Data!$D$2:$D$25001,"Werken",Data!$A$2:$A$25001,"&gt;="&amp;DATE(Dashboard!$B$2,1,1)&amp;"",Data!$A$2:$A$25001,"&lt;"&amp;DATE(Dashboard!$B$2,1+1,1)&amp;""))</f>
        <v/>
      </c>
      <c r="C30" s="45">
        <f>IF($A30="","",SUMIFS(Data!$H$2:$H$25001,Data!$C$2:$C$25001,$A30,Data!$D$2:$D$25001,"Werken",Data!$A$2:$A$25001,"&gt;="&amp;DATE(Dashboard!$B$2,2,1)&amp;"",Data!$A$2:$A$25001,"&lt;"&amp;DATE(Dashboard!$B$2,2+1,1)&amp;""))</f>
        <v/>
      </c>
      <c r="D30" s="45">
        <f>IF($A30="","",SUMIFS(Data!$H$2:$H$25001,Data!$C$2:$C$25001,$A30,Data!$D$2:$D$25001,"Werken",Data!$A$2:$A$25001,"&gt;="&amp;DATE(Dashboard!$B$2,3,1)&amp;"",Data!$A$2:$A$25001,"&lt;"&amp;DATE(Dashboard!$B$2,3+1,1)&amp;""))</f>
        <v/>
      </c>
      <c r="E30" s="45">
        <f>IF($A30="","",SUMIFS(Data!$H$2:$H$25001,Data!$C$2:$C$25001,$A30,Data!$D$2:$D$25001,"Werken",Data!$A$2:$A$25001,"&gt;="&amp;DATE(Dashboard!$B$2,4,1)&amp;"",Data!$A$2:$A$25001,"&lt;"&amp;DATE(Dashboard!$B$2,4+1,1)&amp;""))</f>
        <v/>
      </c>
      <c r="F30" s="45">
        <f>IF($A30="","",SUMIFS(Data!$H$2:$H$25001,Data!$C$2:$C$25001,$A30,Data!$D$2:$D$25001,"Werken",Data!$A$2:$A$25001,"&gt;="&amp;DATE(Dashboard!$B$2,5,1)&amp;"",Data!$A$2:$A$25001,"&lt;"&amp;DATE(Dashboard!$B$2,5+1,1)&amp;""))</f>
        <v/>
      </c>
      <c r="G30" s="45">
        <f>IF($A30="","",SUMIFS(Data!$H$2:$H$25001,Data!$C$2:$C$25001,$A30,Data!$D$2:$D$25001,"Werken",Data!$A$2:$A$25001,"&gt;="&amp;DATE(Dashboard!$B$2,6,1)&amp;"",Data!$A$2:$A$25001,"&lt;"&amp;DATE(Dashboard!$B$2,6+1,1)&amp;""))</f>
        <v/>
      </c>
      <c r="H30" s="45">
        <f>IF($A30="","",SUMIFS(Data!$H$2:$H$25001,Data!$C$2:$C$25001,$A30,Data!$D$2:$D$25001,"Werken",Data!$A$2:$A$25001,"&gt;="&amp;DATE(Dashboard!$B$2,7,1)&amp;"",Data!$A$2:$A$25001,"&lt;"&amp;DATE(Dashboard!$B$2,7+1,1)&amp;""))</f>
        <v/>
      </c>
      <c r="I30" s="45">
        <f>IF($A30="","",SUMIFS(Data!$H$2:$H$25001,Data!$C$2:$C$25001,$A30,Data!$D$2:$D$25001,"Werken",Data!$A$2:$A$25001,"&gt;="&amp;DATE(Dashboard!$B$2,8,1)&amp;"",Data!$A$2:$A$25001,"&lt;"&amp;DATE(Dashboard!$B$2,8+1,1)&amp;""))</f>
        <v/>
      </c>
      <c r="J30" s="45">
        <f>IF($A30="","",SUMIFS(Data!$H$2:$H$25001,Data!$C$2:$C$25001,$A30,Data!$D$2:$D$25001,"Werken",Data!$A$2:$A$25001,"&gt;="&amp;DATE(Dashboard!$B$2,9,1)&amp;"",Data!$A$2:$A$25001,"&lt;"&amp;DATE(Dashboard!$B$2,9+1,1)&amp;""))</f>
        <v/>
      </c>
      <c r="K30" s="45">
        <f>IF($A30="","",SUMIFS(Data!$H$2:$H$25001,Data!$C$2:$C$25001,$A30,Data!$D$2:$D$25001,"Werken",Data!$A$2:$A$25001,"&gt;="&amp;DATE(Dashboard!$B$2,10,1)&amp;"",Data!$A$2:$A$25001,"&lt;"&amp;DATE(Dashboard!$B$2,10+1,1)&amp;""))</f>
        <v/>
      </c>
      <c r="L30" s="45">
        <f>IF($A30="","",SUMIFS(Data!$H$2:$H$25001,Data!$C$2:$C$25001,$A30,Data!$D$2:$D$25001,"Werken",Data!$A$2:$A$25001,"&gt;="&amp;DATE(Dashboard!$B$2,11,1)&amp;"",Data!$A$2:$A$25001,"&lt;"&amp;DATE(Dashboard!$B$2,11+1,1)&amp;""))</f>
        <v/>
      </c>
      <c r="M30" s="45">
        <f>IF($A30="","",SUMIFS(Data!$H$2:$H$25001,Data!$C$2:$C$25001,$A30,Data!$D$2:$D$25001,"Werken",Data!$A$2:$A$25001,"&gt;="&amp;DATE(Dashboard!$B$2,12,1)&amp;"",Data!$A$2:$A$25001,"&lt;"&amp;DATE(Dashboard!$B$2,12+1,1)&amp;""))</f>
        <v/>
      </c>
      <c r="N30" s="46">
        <f>IF($A30="","",SUM(B30:M30))</f>
        <v/>
      </c>
      <c r="O30" s="51" t="n"/>
      <c r="P30" s="52">
        <f>IF(OR($A30="",O30=""),"",N30*O30)</f>
        <v/>
      </c>
    </row>
    <row r="31" ht="15" customHeight="1" s="30">
      <c r="A31" s="49" t="n"/>
      <c r="B31" s="50">
        <f>IF($A31="","",SUMIFS(Data!$H$2:$H$25001,Data!$C$2:$C$25001,$A31,Data!$D$2:$D$25001,"Werken",Data!$A$2:$A$25001,"&gt;="&amp;DATE(Dashboard!$B$2,1,1)&amp;"",Data!$A$2:$A$25001,"&lt;"&amp;DATE(Dashboard!$B$2,1+1,1)&amp;""))</f>
        <v/>
      </c>
      <c r="C31" s="50">
        <f>IF($A31="","",SUMIFS(Data!$H$2:$H$25001,Data!$C$2:$C$25001,$A31,Data!$D$2:$D$25001,"Werken",Data!$A$2:$A$25001,"&gt;="&amp;DATE(Dashboard!$B$2,2,1)&amp;"",Data!$A$2:$A$25001,"&lt;"&amp;DATE(Dashboard!$B$2,2+1,1)&amp;""))</f>
        <v/>
      </c>
      <c r="D31" s="50">
        <f>IF($A31="","",SUMIFS(Data!$H$2:$H$25001,Data!$C$2:$C$25001,$A31,Data!$D$2:$D$25001,"Werken",Data!$A$2:$A$25001,"&gt;="&amp;DATE(Dashboard!$B$2,3,1)&amp;"",Data!$A$2:$A$25001,"&lt;"&amp;DATE(Dashboard!$B$2,3+1,1)&amp;""))</f>
        <v/>
      </c>
      <c r="E31" s="50">
        <f>IF($A31="","",SUMIFS(Data!$H$2:$H$25001,Data!$C$2:$C$25001,$A31,Data!$D$2:$D$25001,"Werken",Data!$A$2:$A$25001,"&gt;="&amp;DATE(Dashboard!$B$2,4,1)&amp;"",Data!$A$2:$A$25001,"&lt;"&amp;DATE(Dashboard!$B$2,4+1,1)&amp;""))</f>
        <v/>
      </c>
      <c r="F31" s="50">
        <f>IF($A31="","",SUMIFS(Data!$H$2:$H$25001,Data!$C$2:$C$25001,$A31,Data!$D$2:$D$25001,"Werken",Data!$A$2:$A$25001,"&gt;="&amp;DATE(Dashboard!$B$2,5,1)&amp;"",Data!$A$2:$A$25001,"&lt;"&amp;DATE(Dashboard!$B$2,5+1,1)&amp;""))</f>
        <v/>
      </c>
      <c r="G31" s="50">
        <f>IF($A31="","",SUMIFS(Data!$H$2:$H$25001,Data!$C$2:$C$25001,$A31,Data!$D$2:$D$25001,"Werken",Data!$A$2:$A$25001,"&gt;="&amp;DATE(Dashboard!$B$2,6,1)&amp;"",Data!$A$2:$A$25001,"&lt;"&amp;DATE(Dashboard!$B$2,6+1,1)&amp;""))</f>
        <v/>
      </c>
      <c r="H31" s="50">
        <f>IF($A31="","",SUMIFS(Data!$H$2:$H$25001,Data!$C$2:$C$25001,$A31,Data!$D$2:$D$25001,"Werken",Data!$A$2:$A$25001,"&gt;="&amp;DATE(Dashboard!$B$2,7,1)&amp;"",Data!$A$2:$A$25001,"&lt;"&amp;DATE(Dashboard!$B$2,7+1,1)&amp;""))</f>
        <v/>
      </c>
      <c r="I31" s="50">
        <f>IF($A31="","",SUMIFS(Data!$H$2:$H$25001,Data!$C$2:$C$25001,$A31,Data!$D$2:$D$25001,"Werken",Data!$A$2:$A$25001,"&gt;="&amp;DATE(Dashboard!$B$2,8,1)&amp;"",Data!$A$2:$A$25001,"&lt;"&amp;DATE(Dashboard!$B$2,8+1,1)&amp;""))</f>
        <v/>
      </c>
      <c r="J31" s="50">
        <f>IF($A31="","",SUMIFS(Data!$H$2:$H$25001,Data!$C$2:$C$25001,$A31,Data!$D$2:$D$25001,"Werken",Data!$A$2:$A$25001,"&gt;="&amp;DATE(Dashboard!$B$2,9,1)&amp;"",Data!$A$2:$A$25001,"&lt;"&amp;DATE(Dashboard!$B$2,9+1,1)&amp;""))</f>
        <v/>
      </c>
      <c r="K31" s="50">
        <f>IF($A31="","",SUMIFS(Data!$H$2:$H$25001,Data!$C$2:$C$25001,$A31,Data!$D$2:$D$25001,"Werken",Data!$A$2:$A$25001,"&gt;="&amp;DATE(Dashboard!$B$2,10,1)&amp;"",Data!$A$2:$A$25001,"&lt;"&amp;DATE(Dashboard!$B$2,10+1,1)&amp;""))</f>
        <v/>
      </c>
      <c r="L31" s="50">
        <f>IF($A31="","",SUMIFS(Data!$H$2:$H$25001,Data!$C$2:$C$25001,$A31,Data!$D$2:$D$25001,"Werken",Data!$A$2:$A$25001,"&gt;="&amp;DATE(Dashboard!$B$2,11,1)&amp;"",Data!$A$2:$A$25001,"&lt;"&amp;DATE(Dashboard!$B$2,11+1,1)&amp;""))</f>
        <v/>
      </c>
      <c r="M31" s="50">
        <f>IF($A31="","",SUMIFS(Data!$H$2:$H$25001,Data!$C$2:$C$25001,$A31,Data!$D$2:$D$25001,"Werken",Data!$A$2:$A$25001,"&gt;="&amp;DATE(Dashboard!$B$2,12,1)&amp;"",Data!$A$2:$A$25001,"&lt;"&amp;DATE(Dashboard!$B$2,12+1,1)&amp;""))</f>
        <v/>
      </c>
      <c r="N31" s="46">
        <f>IF($A31="","",SUM(B31:M31))</f>
        <v/>
      </c>
      <c r="O31" s="51" t="n"/>
      <c r="P31" s="52">
        <f>IF(OR($A31="",O31=""),"",N31*O31)</f>
        <v/>
      </c>
    </row>
    <row r="32" ht="15" customHeight="1" s="30">
      <c r="A32" s="49" t="n"/>
      <c r="B32" s="45">
        <f>IF($A32="","",SUMIFS(Data!$H$2:$H$25001,Data!$C$2:$C$25001,$A32,Data!$D$2:$D$25001,"Werken",Data!$A$2:$A$25001,"&gt;="&amp;DATE(Dashboard!$B$2,1,1)&amp;"",Data!$A$2:$A$25001,"&lt;"&amp;DATE(Dashboard!$B$2,1+1,1)&amp;""))</f>
        <v/>
      </c>
      <c r="C32" s="45">
        <f>IF($A32="","",SUMIFS(Data!$H$2:$H$25001,Data!$C$2:$C$25001,$A32,Data!$D$2:$D$25001,"Werken",Data!$A$2:$A$25001,"&gt;="&amp;DATE(Dashboard!$B$2,2,1)&amp;"",Data!$A$2:$A$25001,"&lt;"&amp;DATE(Dashboard!$B$2,2+1,1)&amp;""))</f>
        <v/>
      </c>
      <c r="D32" s="45">
        <f>IF($A32="","",SUMIFS(Data!$H$2:$H$25001,Data!$C$2:$C$25001,$A32,Data!$D$2:$D$25001,"Werken",Data!$A$2:$A$25001,"&gt;="&amp;DATE(Dashboard!$B$2,3,1)&amp;"",Data!$A$2:$A$25001,"&lt;"&amp;DATE(Dashboard!$B$2,3+1,1)&amp;""))</f>
        <v/>
      </c>
      <c r="E32" s="45">
        <f>IF($A32="","",SUMIFS(Data!$H$2:$H$25001,Data!$C$2:$C$25001,$A32,Data!$D$2:$D$25001,"Werken",Data!$A$2:$A$25001,"&gt;="&amp;DATE(Dashboard!$B$2,4,1)&amp;"",Data!$A$2:$A$25001,"&lt;"&amp;DATE(Dashboard!$B$2,4+1,1)&amp;""))</f>
        <v/>
      </c>
      <c r="F32" s="45">
        <f>IF($A32="","",SUMIFS(Data!$H$2:$H$25001,Data!$C$2:$C$25001,$A32,Data!$D$2:$D$25001,"Werken",Data!$A$2:$A$25001,"&gt;="&amp;DATE(Dashboard!$B$2,5,1)&amp;"",Data!$A$2:$A$25001,"&lt;"&amp;DATE(Dashboard!$B$2,5+1,1)&amp;""))</f>
        <v/>
      </c>
      <c r="G32" s="45">
        <f>IF($A32="","",SUMIFS(Data!$H$2:$H$25001,Data!$C$2:$C$25001,$A32,Data!$D$2:$D$25001,"Werken",Data!$A$2:$A$25001,"&gt;="&amp;DATE(Dashboard!$B$2,6,1)&amp;"",Data!$A$2:$A$25001,"&lt;"&amp;DATE(Dashboard!$B$2,6+1,1)&amp;""))</f>
        <v/>
      </c>
      <c r="H32" s="45">
        <f>IF($A32="","",SUMIFS(Data!$H$2:$H$25001,Data!$C$2:$C$25001,$A32,Data!$D$2:$D$25001,"Werken",Data!$A$2:$A$25001,"&gt;="&amp;DATE(Dashboard!$B$2,7,1)&amp;"",Data!$A$2:$A$25001,"&lt;"&amp;DATE(Dashboard!$B$2,7+1,1)&amp;""))</f>
        <v/>
      </c>
      <c r="I32" s="45">
        <f>IF($A32="","",SUMIFS(Data!$H$2:$H$25001,Data!$C$2:$C$25001,$A32,Data!$D$2:$D$25001,"Werken",Data!$A$2:$A$25001,"&gt;="&amp;DATE(Dashboard!$B$2,8,1)&amp;"",Data!$A$2:$A$25001,"&lt;"&amp;DATE(Dashboard!$B$2,8+1,1)&amp;""))</f>
        <v/>
      </c>
      <c r="J32" s="45">
        <f>IF($A32="","",SUMIFS(Data!$H$2:$H$25001,Data!$C$2:$C$25001,$A32,Data!$D$2:$D$25001,"Werken",Data!$A$2:$A$25001,"&gt;="&amp;DATE(Dashboard!$B$2,9,1)&amp;"",Data!$A$2:$A$25001,"&lt;"&amp;DATE(Dashboard!$B$2,9+1,1)&amp;""))</f>
        <v/>
      </c>
      <c r="K32" s="45">
        <f>IF($A32="","",SUMIFS(Data!$H$2:$H$25001,Data!$C$2:$C$25001,$A32,Data!$D$2:$D$25001,"Werken",Data!$A$2:$A$25001,"&gt;="&amp;DATE(Dashboard!$B$2,10,1)&amp;"",Data!$A$2:$A$25001,"&lt;"&amp;DATE(Dashboard!$B$2,10+1,1)&amp;""))</f>
        <v/>
      </c>
      <c r="L32" s="45">
        <f>IF($A32="","",SUMIFS(Data!$H$2:$H$25001,Data!$C$2:$C$25001,$A32,Data!$D$2:$D$25001,"Werken",Data!$A$2:$A$25001,"&gt;="&amp;DATE(Dashboard!$B$2,11,1)&amp;"",Data!$A$2:$A$25001,"&lt;"&amp;DATE(Dashboard!$B$2,11+1,1)&amp;""))</f>
        <v/>
      </c>
      <c r="M32" s="45">
        <f>IF($A32="","",SUMIFS(Data!$H$2:$H$25001,Data!$C$2:$C$25001,$A32,Data!$D$2:$D$25001,"Werken",Data!$A$2:$A$25001,"&gt;="&amp;DATE(Dashboard!$B$2,12,1)&amp;"",Data!$A$2:$A$25001,"&lt;"&amp;DATE(Dashboard!$B$2,12+1,1)&amp;""))</f>
        <v/>
      </c>
      <c r="N32" s="46">
        <f>IF($A32="","",SUM(B32:M32))</f>
        <v/>
      </c>
      <c r="O32" s="51" t="n"/>
      <c r="P32" s="52">
        <f>IF(OR($A32="",O32=""),"",N32*O32)</f>
        <v/>
      </c>
    </row>
    <row r="33" ht="15" customHeight="1" s="30">
      <c r="A33" s="49" t="n"/>
      <c r="B33" s="50">
        <f>IF($A33="","",SUMIFS(Data!$H$2:$H$25001,Data!$C$2:$C$25001,$A33,Data!$D$2:$D$25001,"Werken",Data!$A$2:$A$25001,"&gt;="&amp;DATE(Dashboard!$B$2,1,1)&amp;"",Data!$A$2:$A$25001,"&lt;"&amp;DATE(Dashboard!$B$2,1+1,1)&amp;""))</f>
        <v/>
      </c>
      <c r="C33" s="50">
        <f>IF($A33="","",SUMIFS(Data!$H$2:$H$25001,Data!$C$2:$C$25001,$A33,Data!$D$2:$D$25001,"Werken",Data!$A$2:$A$25001,"&gt;="&amp;DATE(Dashboard!$B$2,2,1)&amp;"",Data!$A$2:$A$25001,"&lt;"&amp;DATE(Dashboard!$B$2,2+1,1)&amp;""))</f>
        <v/>
      </c>
      <c r="D33" s="50">
        <f>IF($A33="","",SUMIFS(Data!$H$2:$H$25001,Data!$C$2:$C$25001,$A33,Data!$D$2:$D$25001,"Werken",Data!$A$2:$A$25001,"&gt;="&amp;DATE(Dashboard!$B$2,3,1)&amp;"",Data!$A$2:$A$25001,"&lt;"&amp;DATE(Dashboard!$B$2,3+1,1)&amp;""))</f>
        <v/>
      </c>
      <c r="E33" s="50">
        <f>IF($A33="","",SUMIFS(Data!$H$2:$H$25001,Data!$C$2:$C$25001,$A33,Data!$D$2:$D$25001,"Werken",Data!$A$2:$A$25001,"&gt;="&amp;DATE(Dashboard!$B$2,4,1)&amp;"",Data!$A$2:$A$25001,"&lt;"&amp;DATE(Dashboard!$B$2,4+1,1)&amp;""))</f>
        <v/>
      </c>
      <c r="F33" s="50">
        <f>IF($A33="","",SUMIFS(Data!$H$2:$H$25001,Data!$C$2:$C$25001,$A33,Data!$D$2:$D$25001,"Werken",Data!$A$2:$A$25001,"&gt;="&amp;DATE(Dashboard!$B$2,5,1)&amp;"",Data!$A$2:$A$25001,"&lt;"&amp;DATE(Dashboard!$B$2,5+1,1)&amp;""))</f>
        <v/>
      </c>
      <c r="G33" s="50">
        <f>IF($A33="","",SUMIFS(Data!$H$2:$H$25001,Data!$C$2:$C$25001,$A33,Data!$D$2:$D$25001,"Werken",Data!$A$2:$A$25001,"&gt;="&amp;DATE(Dashboard!$B$2,6,1)&amp;"",Data!$A$2:$A$25001,"&lt;"&amp;DATE(Dashboard!$B$2,6+1,1)&amp;""))</f>
        <v/>
      </c>
      <c r="H33" s="50">
        <f>IF($A33="","",SUMIFS(Data!$H$2:$H$25001,Data!$C$2:$C$25001,$A33,Data!$D$2:$D$25001,"Werken",Data!$A$2:$A$25001,"&gt;="&amp;DATE(Dashboard!$B$2,7,1)&amp;"",Data!$A$2:$A$25001,"&lt;"&amp;DATE(Dashboard!$B$2,7+1,1)&amp;""))</f>
        <v/>
      </c>
      <c r="I33" s="50">
        <f>IF($A33="","",SUMIFS(Data!$H$2:$H$25001,Data!$C$2:$C$25001,$A33,Data!$D$2:$D$25001,"Werken",Data!$A$2:$A$25001,"&gt;="&amp;DATE(Dashboard!$B$2,8,1)&amp;"",Data!$A$2:$A$25001,"&lt;"&amp;DATE(Dashboard!$B$2,8+1,1)&amp;""))</f>
        <v/>
      </c>
      <c r="J33" s="50">
        <f>IF($A33="","",SUMIFS(Data!$H$2:$H$25001,Data!$C$2:$C$25001,$A33,Data!$D$2:$D$25001,"Werken",Data!$A$2:$A$25001,"&gt;="&amp;DATE(Dashboard!$B$2,9,1)&amp;"",Data!$A$2:$A$25001,"&lt;"&amp;DATE(Dashboard!$B$2,9+1,1)&amp;""))</f>
        <v/>
      </c>
      <c r="K33" s="50">
        <f>IF($A33="","",SUMIFS(Data!$H$2:$H$25001,Data!$C$2:$C$25001,$A33,Data!$D$2:$D$25001,"Werken",Data!$A$2:$A$25001,"&gt;="&amp;DATE(Dashboard!$B$2,10,1)&amp;"",Data!$A$2:$A$25001,"&lt;"&amp;DATE(Dashboard!$B$2,10+1,1)&amp;""))</f>
        <v/>
      </c>
      <c r="L33" s="50">
        <f>IF($A33="","",SUMIFS(Data!$H$2:$H$25001,Data!$C$2:$C$25001,$A33,Data!$D$2:$D$25001,"Werken",Data!$A$2:$A$25001,"&gt;="&amp;DATE(Dashboard!$B$2,11,1)&amp;"",Data!$A$2:$A$25001,"&lt;"&amp;DATE(Dashboard!$B$2,11+1,1)&amp;""))</f>
        <v/>
      </c>
      <c r="M33" s="50">
        <f>IF($A33="","",SUMIFS(Data!$H$2:$H$25001,Data!$C$2:$C$25001,$A33,Data!$D$2:$D$25001,"Werken",Data!$A$2:$A$25001,"&gt;="&amp;DATE(Dashboard!$B$2,12,1)&amp;"",Data!$A$2:$A$25001,"&lt;"&amp;DATE(Dashboard!$B$2,12+1,1)&amp;""))</f>
        <v/>
      </c>
      <c r="N33" s="46">
        <f>IF($A33="","",SUM(B33:M33))</f>
        <v/>
      </c>
      <c r="O33" s="51" t="n"/>
      <c r="P33" s="52">
        <f>IF(OR($A33="",O33=""),"",N33*O33)</f>
        <v/>
      </c>
    </row>
    <row r="34" ht="15" customHeight="1" s="30">
      <c r="A34" s="49" t="n"/>
      <c r="B34" s="45">
        <f>IF($A34="","",SUMIFS(Data!$H$2:$H$25001,Data!$C$2:$C$25001,$A34,Data!$D$2:$D$25001,"Werken",Data!$A$2:$A$25001,"&gt;="&amp;DATE(Dashboard!$B$2,1,1)&amp;"",Data!$A$2:$A$25001,"&lt;"&amp;DATE(Dashboard!$B$2,1+1,1)&amp;""))</f>
        <v/>
      </c>
      <c r="C34" s="45">
        <f>IF($A34="","",SUMIFS(Data!$H$2:$H$25001,Data!$C$2:$C$25001,$A34,Data!$D$2:$D$25001,"Werken",Data!$A$2:$A$25001,"&gt;="&amp;DATE(Dashboard!$B$2,2,1)&amp;"",Data!$A$2:$A$25001,"&lt;"&amp;DATE(Dashboard!$B$2,2+1,1)&amp;""))</f>
        <v/>
      </c>
      <c r="D34" s="45">
        <f>IF($A34="","",SUMIFS(Data!$H$2:$H$25001,Data!$C$2:$C$25001,$A34,Data!$D$2:$D$25001,"Werken",Data!$A$2:$A$25001,"&gt;="&amp;DATE(Dashboard!$B$2,3,1)&amp;"",Data!$A$2:$A$25001,"&lt;"&amp;DATE(Dashboard!$B$2,3+1,1)&amp;""))</f>
        <v/>
      </c>
      <c r="E34" s="45">
        <f>IF($A34="","",SUMIFS(Data!$H$2:$H$25001,Data!$C$2:$C$25001,$A34,Data!$D$2:$D$25001,"Werken",Data!$A$2:$A$25001,"&gt;="&amp;DATE(Dashboard!$B$2,4,1)&amp;"",Data!$A$2:$A$25001,"&lt;"&amp;DATE(Dashboard!$B$2,4+1,1)&amp;""))</f>
        <v/>
      </c>
      <c r="F34" s="45">
        <f>IF($A34="","",SUMIFS(Data!$H$2:$H$25001,Data!$C$2:$C$25001,$A34,Data!$D$2:$D$25001,"Werken",Data!$A$2:$A$25001,"&gt;="&amp;DATE(Dashboard!$B$2,5,1)&amp;"",Data!$A$2:$A$25001,"&lt;"&amp;DATE(Dashboard!$B$2,5+1,1)&amp;""))</f>
        <v/>
      </c>
      <c r="G34" s="45">
        <f>IF($A34="","",SUMIFS(Data!$H$2:$H$25001,Data!$C$2:$C$25001,$A34,Data!$D$2:$D$25001,"Werken",Data!$A$2:$A$25001,"&gt;="&amp;DATE(Dashboard!$B$2,6,1)&amp;"",Data!$A$2:$A$25001,"&lt;"&amp;DATE(Dashboard!$B$2,6+1,1)&amp;""))</f>
        <v/>
      </c>
      <c r="H34" s="45">
        <f>IF($A34="","",SUMIFS(Data!$H$2:$H$25001,Data!$C$2:$C$25001,$A34,Data!$D$2:$D$25001,"Werken",Data!$A$2:$A$25001,"&gt;="&amp;DATE(Dashboard!$B$2,7,1)&amp;"",Data!$A$2:$A$25001,"&lt;"&amp;DATE(Dashboard!$B$2,7+1,1)&amp;""))</f>
        <v/>
      </c>
      <c r="I34" s="45">
        <f>IF($A34="","",SUMIFS(Data!$H$2:$H$25001,Data!$C$2:$C$25001,$A34,Data!$D$2:$D$25001,"Werken",Data!$A$2:$A$25001,"&gt;="&amp;DATE(Dashboard!$B$2,8,1)&amp;"",Data!$A$2:$A$25001,"&lt;"&amp;DATE(Dashboard!$B$2,8+1,1)&amp;""))</f>
        <v/>
      </c>
      <c r="J34" s="45">
        <f>IF($A34="","",SUMIFS(Data!$H$2:$H$25001,Data!$C$2:$C$25001,$A34,Data!$D$2:$D$25001,"Werken",Data!$A$2:$A$25001,"&gt;="&amp;DATE(Dashboard!$B$2,9,1)&amp;"",Data!$A$2:$A$25001,"&lt;"&amp;DATE(Dashboard!$B$2,9+1,1)&amp;""))</f>
        <v/>
      </c>
      <c r="K34" s="45">
        <f>IF($A34="","",SUMIFS(Data!$H$2:$H$25001,Data!$C$2:$C$25001,$A34,Data!$D$2:$D$25001,"Werken",Data!$A$2:$A$25001,"&gt;="&amp;DATE(Dashboard!$B$2,10,1)&amp;"",Data!$A$2:$A$25001,"&lt;"&amp;DATE(Dashboard!$B$2,10+1,1)&amp;""))</f>
        <v/>
      </c>
      <c r="L34" s="45">
        <f>IF($A34="","",SUMIFS(Data!$H$2:$H$25001,Data!$C$2:$C$25001,$A34,Data!$D$2:$D$25001,"Werken",Data!$A$2:$A$25001,"&gt;="&amp;DATE(Dashboard!$B$2,11,1)&amp;"",Data!$A$2:$A$25001,"&lt;"&amp;DATE(Dashboard!$B$2,11+1,1)&amp;""))</f>
        <v/>
      </c>
      <c r="M34" s="45">
        <f>IF($A34="","",SUMIFS(Data!$H$2:$H$25001,Data!$C$2:$C$25001,$A34,Data!$D$2:$D$25001,"Werken",Data!$A$2:$A$25001,"&gt;="&amp;DATE(Dashboard!$B$2,12,1)&amp;"",Data!$A$2:$A$25001,"&lt;"&amp;DATE(Dashboard!$B$2,12+1,1)&amp;""))</f>
        <v/>
      </c>
      <c r="N34" s="46">
        <f>IF($A34="","",SUM(B34:M34))</f>
        <v/>
      </c>
      <c r="O34" s="51" t="n"/>
      <c r="P34" s="52">
        <f>IF(OR($A34="",O34=""),"",N34*O34)</f>
        <v/>
      </c>
    </row>
    <row r="35" ht="15" customHeight="1" s="30">
      <c r="A35" s="49" t="n"/>
      <c r="B35" s="50">
        <f>IF($A35="","",SUMIFS(Data!$H$2:$H$25001,Data!$C$2:$C$25001,$A35,Data!$D$2:$D$25001,"Werken",Data!$A$2:$A$25001,"&gt;="&amp;DATE(Dashboard!$B$2,1,1)&amp;"",Data!$A$2:$A$25001,"&lt;"&amp;DATE(Dashboard!$B$2,1+1,1)&amp;""))</f>
        <v/>
      </c>
      <c r="C35" s="50">
        <f>IF($A35="","",SUMIFS(Data!$H$2:$H$25001,Data!$C$2:$C$25001,$A35,Data!$D$2:$D$25001,"Werken",Data!$A$2:$A$25001,"&gt;="&amp;DATE(Dashboard!$B$2,2,1)&amp;"",Data!$A$2:$A$25001,"&lt;"&amp;DATE(Dashboard!$B$2,2+1,1)&amp;""))</f>
        <v/>
      </c>
      <c r="D35" s="50">
        <f>IF($A35="","",SUMIFS(Data!$H$2:$H$25001,Data!$C$2:$C$25001,$A35,Data!$D$2:$D$25001,"Werken",Data!$A$2:$A$25001,"&gt;="&amp;DATE(Dashboard!$B$2,3,1)&amp;"",Data!$A$2:$A$25001,"&lt;"&amp;DATE(Dashboard!$B$2,3+1,1)&amp;""))</f>
        <v/>
      </c>
      <c r="E35" s="50">
        <f>IF($A35="","",SUMIFS(Data!$H$2:$H$25001,Data!$C$2:$C$25001,$A35,Data!$D$2:$D$25001,"Werken",Data!$A$2:$A$25001,"&gt;="&amp;DATE(Dashboard!$B$2,4,1)&amp;"",Data!$A$2:$A$25001,"&lt;"&amp;DATE(Dashboard!$B$2,4+1,1)&amp;""))</f>
        <v/>
      </c>
      <c r="F35" s="50">
        <f>IF($A35="","",SUMIFS(Data!$H$2:$H$25001,Data!$C$2:$C$25001,$A35,Data!$D$2:$D$25001,"Werken",Data!$A$2:$A$25001,"&gt;="&amp;DATE(Dashboard!$B$2,5,1)&amp;"",Data!$A$2:$A$25001,"&lt;"&amp;DATE(Dashboard!$B$2,5+1,1)&amp;""))</f>
        <v/>
      </c>
      <c r="G35" s="50">
        <f>IF($A35="","",SUMIFS(Data!$H$2:$H$25001,Data!$C$2:$C$25001,$A35,Data!$D$2:$D$25001,"Werken",Data!$A$2:$A$25001,"&gt;="&amp;DATE(Dashboard!$B$2,6,1)&amp;"",Data!$A$2:$A$25001,"&lt;"&amp;DATE(Dashboard!$B$2,6+1,1)&amp;""))</f>
        <v/>
      </c>
      <c r="H35" s="50">
        <f>IF($A35="","",SUMIFS(Data!$H$2:$H$25001,Data!$C$2:$C$25001,$A35,Data!$D$2:$D$25001,"Werken",Data!$A$2:$A$25001,"&gt;="&amp;DATE(Dashboard!$B$2,7,1)&amp;"",Data!$A$2:$A$25001,"&lt;"&amp;DATE(Dashboard!$B$2,7+1,1)&amp;""))</f>
        <v/>
      </c>
      <c r="I35" s="50">
        <f>IF($A35="","",SUMIFS(Data!$H$2:$H$25001,Data!$C$2:$C$25001,$A35,Data!$D$2:$D$25001,"Werken",Data!$A$2:$A$25001,"&gt;="&amp;DATE(Dashboard!$B$2,8,1)&amp;"",Data!$A$2:$A$25001,"&lt;"&amp;DATE(Dashboard!$B$2,8+1,1)&amp;""))</f>
        <v/>
      </c>
      <c r="J35" s="50">
        <f>IF($A35="","",SUMIFS(Data!$H$2:$H$25001,Data!$C$2:$C$25001,$A35,Data!$D$2:$D$25001,"Werken",Data!$A$2:$A$25001,"&gt;="&amp;DATE(Dashboard!$B$2,9,1)&amp;"",Data!$A$2:$A$25001,"&lt;"&amp;DATE(Dashboard!$B$2,9+1,1)&amp;""))</f>
        <v/>
      </c>
      <c r="K35" s="50">
        <f>IF($A35="","",SUMIFS(Data!$H$2:$H$25001,Data!$C$2:$C$25001,$A35,Data!$D$2:$D$25001,"Werken",Data!$A$2:$A$25001,"&gt;="&amp;DATE(Dashboard!$B$2,10,1)&amp;"",Data!$A$2:$A$25001,"&lt;"&amp;DATE(Dashboard!$B$2,10+1,1)&amp;""))</f>
        <v/>
      </c>
      <c r="L35" s="50">
        <f>IF($A35="","",SUMIFS(Data!$H$2:$H$25001,Data!$C$2:$C$25001,$A35,Data!$D$2:$D$25001,"Werken",Data!$A$2:$A$25001,"&gt;="&amp;DATE(Dashboard!$B$2,11,1)&amp;"",Data!$A$2:$A$25001,"&lt;"&amp;DATE(Dashboard!$B$2,11+1,1)&amp;""))</f>
        <v/>
      </c>
      <c r="M35" s="50">
        <f>IF($A35="","",SUMIFS(Data!$H$2:$H$25001,Data!$C$2:$C$25001,$A35,Data!$D$2:$D$25001,"Werken",Data!$A$2:$A$25001,"&gt;="&amp;DATE(Dashboard!$B$2,12,1)&amp;"",Data!$A$2:$A$25001,"&lt;"&amp;DATE(Dashboard!$B$2,12+1,1)&amp;""))</f>
        <v/>
      </c>
      <c r="N35" s="46">
        <f>IF($A35="","",SUM(B35:M35))</f>
        <v/>
      </c>
      <c r="O35" s="51" t="n"/>
      <c r="P35" s="52">
        <f>IF(OR($A35="",O35=""),"",N35*O35)</f>
        <v/>
      </c>
    </row>
    <row r="36" ht="15" customHeight="1" s="30">
      <c r="A36" s="49" t="n"/>
      <c r="B36" s="45">
        <f>IF($A36="","",SUMIFS(Data!$H$2:$H$25001,Data!$C$2:$C$25001,$A36,Data!$D$2:$D$25001,"Werken",Data!$A$2:$A$25001,"&gt;="&amp;DATE(Dashboard!$B$2,1,1)&amp;"",Data!$A$2:$A$25001,"&lt;"&amp;DATE(Dashboard!$B$2,1+1,1)&amp;""))</f>
        <v/>
      </c>
      <c r="C36" s="45">
        <f>IF($A36="","",SUMIFS(Data!$H$2:$H$25001,Data!$C$2:$C$25001,$A36,Data!$D$2:$D$25001,"Werken",Data!$A$2:$A$25001,"&gt;="&amp;DATE(Dashboard!$B$2,2,1)&amp;"",Data!$A$2:$A$25001,"&lt;"&amp;DATE(Dashboard!$B$2,2+1,1)&amp;""))</f>
        <v/>
      </c>
      <c r="D36" s="45">
        <f>IF($A36="","",SUMIFS(Data!$H$2:$H$25001,Data!$C$2:$C$25001,$A36,Data!$D$2:$D$25001,"Werken",Data!$A$2:$A$25001,"&gt;="&amp;DATE(Dashboard!$B$2,3,1)&amp;"",Data!$A$2:$A$25001,"&lt;"&amp;DATE(Dashboard!$B$2,3+1,1)&amp;""))</f>
        <v/>
      </c>
      <c r="E36" s="45">
        <f>IF($A36="","",SUMIFS(Data!$H$2:$H$25001,Data!$C$2:$C$25001,$A36,Data!$D$2:$D$25001,"Werken",Data!$A$2:$A$25001,"&gt;="&amp;DATE(Dashboard!$B$2,4,1)&amp;"",Data!$A$2:$A$25001,"&lt;"&amp;DATE(Dashboard!$B$2,4+1,1)&amp;""))</f>
        <v/>
      </c>
      <c r="F36" s="45">
        <f>IF($A36="","",SUMIFS(Data!$H$2:$H$25001,Data!$C$2:$C$25001,$A36,Data!$D$2:$D$25001,"Werken",Data!$A$2:$A$25001,"&gt;="&amp;DATE(Dashboard!$B$2,5,1)&amp;"",Data!$A$2:$A$25001,"&lt;"&amp;DATE(Dashboard!$B$2,5+1,1)&amp;""))</f>
        <v/>
      </c>
      <c r="G36" s="45">
        <f>IF($A36="","",SUMIFS(Data!$H$2:$H$25001,Data!$C$2:$C$25001,$A36,Data!$D$2:$D$25001,"Werken",Data!$A$2:$A$25001,"&gt;="&amp;DATE(Dashboard!$B$2,6,1)&amp;"",Data!$A$2:$A$25001,"&lt;"&amp;DATE(Dashboard!$B$2,6+1,1)&amp;""))</f>
        <v/>
      </c>
      <c r="H36" s="45">
        <f>IF($A36="","",SUMIFS(Data!$H$2:$H$25001,Data!$C$2:$C$25001,$A36,Data!$D$2:$D$25001,"Werken",Data!$A$2:$A$25001,"&gt;="&amp;DATE(Dashboard!$B$2,7,1)&amp;"",Data!$A$2:$A$25001,"&lt;"&amp;DATE(Dashboard!$B$2,7+1,1)&amp;""))</f>
        <v/>
      </c>
      <c r="I36" s="45">
        <f>IF($A36="","",SUMIFS(Data!$H$2:$H$25001,Data!$C$2:$C$25001,$A36,Data!$D$2:$D$25001,"Werken",Data!$A$2:$A$25001,"&gt;="&amp;DATE(Dashboard!$B$2,8,1)&amp;"",Data!$A$2:$A$25001,"&lt;"&amp;DATE(Dashboard!$B$2,8+1,1)&amp;""))</f>
        <v/>
      </c>
      <c r="J36" s="45">
        <f>IF($A36="","",SUMIFS(Data!$H$2:$H$25001,Data!$C$2:$C$25001,$A36,Data!$D$2:$D$25001,"Werken",Data!$A$2:$A$25001,"&gt;="&amp;DATE(Dashboard!$B$2,9,1)&amp;"",Data!$A$2:$A$25001,"&lt;"&amp;DATE(Dashboard!$B$2,9+1,1)&amp;""))</f>
        <v/>
      </c>
      <c r="K36" s="45">
        <f>IF($A36="","",SUMIFS(Data!$H$2:$H$25001,Data!$C$2:$C$25001,$A36,Data!$D$2:$D$25001,"Werken",Data!$A$2:$A$25001,"&gt;="&amp;DATE(Dashboard!$B$2,10,1)&amp;"",Data!$A$2:$A$25001,"&lt;"&amp;DATE(Dashboard!$B$2,10+1,1)&amp;""))</f>
        <v/>
      </c>
      <c r="L36" s="45">
        <f>IF($A36="","",SUMIFS(Data!$H$2:$H$25001,Data!$C$2:$C$25001,$A36,Data!$D$2:$D$25001,"Werken",Data!$A$2:$A$25001,"&gt;="&amp;DATE(Dashboard!$B$2,11,1)&amp;"",Data!$A$2:$A$25001,"&lt;"&amp;DATE(Dashboard!$B$2,11+1,1)&amp;""))</f>
        <v/>
      </c>
      <c r="M36" s="45">
        <f>IF($A36="","",SUMIFS(Data!$H$2:$H$25001,Data!$C$2:$C$25001,$A36,Data!$D$2:$D$25001,"Werken",Data!$A$2:$A$25001,"&gt;="&amp;DATE(Dashboard!$B$2,12,1)&amp;"",Data!$A$2:$A$25001,"&lt;"&amp;DATE(Dashboard!$B$2,12+1,1)&amp;""))</f>
        <v/>
      </c>
      <c r="N36" s="46">
        <f>IF($A36="","",SUM(B36:M36))</f>
        <v/>
      </c>
      <c r="O36" s="51" t="n"/>
      <c r="P36" s="52">
        <f>IF(OR($A36="",O36=""),"",N36*O36)</f>
        <v/>
      </c>
    </row>
    <row r="37" ht="15" customHeight="1" s="30">
      <c r="A37" s="49" t="n"/>
      <c r="B37" s="50">
        <f>IF($A37="","",SUMIFS(Data!$H$2:$H$25001,Data!$C$2:$C$25001,$A37,Data!$D$2:$D$25001,"Werken",Data!$A$2:$A$25001,"&gt;="&amp;DATE(Dashboard!$B$2,1,1)&amp;"",Data!$A$2:$A$25001,"&lt;"&amp;DATE(Dashboard!$B$2,1+1,1)&amp;""))</f>
        <v/>
      </c>
      <c r="C37" s="50">
        <f>IF($A37="","",SUMIFS(Data!$H$2:$H$25001,Data!$C$2:$C$25001,$A37,Data!$D$2:$D$25001,"Werken",Data!$A$2:$A$25001,"&gt;="&amp;DATE(Dashboard!$B$2,2,1)&amp;"",Data!$A$2:$A$25001,"&lt;"&amp;DATE(Dashboard!$B$2,2+1,1)&amp;""))</f>
        <v/>
      </c>
      <c r="D37" s="50">
        <f>IF($A37="","",SUMIFS(Data!$H$2:$H$25001,Data!$C$2:$C$25001,$A37,Data!$D$2:$D$25001,"Werken",Data!$A$2:$A$25001,"&gt;="&amp;DATE(Dashboard!$B$2,3,1)&amp;"",Data!$A$2:$A$25001,"&lt;"&amp;DATE(Dashboard!$B$2,3+1,1)&amp;""))</f>
        <v/>
      </c>
      <c r="E37" s="50">
        <f>IF($A37="","",SUMIFS(Data!$H$2:$H$25001,Data!$C$2:$C$25001,$A37,Data!$D$2:$D$25001,"Werken",Data!$A$2:$A$25001,"&gt;="&amp;DATE(Dashboard!$B$2,4,1)&amp;"",Data!$A$2:$A$25001,"&lt;"&amp;DATE(Dashboard!$B$2,4+1,1)&amp;""))</f>
        <v/>
      </c>
      <c r="F37" s="50">
        <f>IF($A37="","",SUMIFS(Data!$H$2:$H$25001,Data!$C$2:$C$25001,$A37,Data!$D$2:$D$25001,"Werken",Data!$A$2:$A$25001,"&gt;="&amp;DATE(Dashboard!$B$2,5,1)&amp;"",Data!$A$2:$A$25001,"&lt;"&amp;DATE(Dashboard!$B$2,5+1,1)&amp;""))</f>
        <v/>
      </c>
      <c r="G37" s="50">
        <f>IF($A37="","",SUMIFS(Data!$H$2:$H$25001,Data!$C$2:$C$25001,$A37,Data!$D$2:$D$25001,"Werken",Data!$A$2:$A$25001,"&gt;="&amp;DATE(Dashboard!$B$2,6,1)&amp;"",Data!$A$2:$A$25001,"&lt;"&amp;DATE(Dashboard!$B$2,6+1,1)&amp;""))</f>
        <v/>
      </c>
      <c r="H37" s="50">
        <f>IF($A37="","",SUMIFS(Data!$H$2:$H$25001,Data!$C$2:$C$25001,$A37,Data!$D$2:$D$25001,"Werken",Data!$A$2:$A$25001,"&gt;="&amp;DATE(Dashboard!$B$2,7,1)&amp;"",Data!$A$2:$A$25001,"&lt;"&amp;DATE(Dashboard!$B$2,7+1,1)&amp;""))</f>
        <v/>
      </c>
      <c r="I37" s="50">
        <f>IF($A37="","",SUMIFS(Data!$H$2:$H$25001,Data!$C$2:$C$25001,$A37,Data!$D$2:$D$25001,"Werken",Data!$A$2:$A$25001,"&gt;="&amp;DATE(Dashboard!$B$2,8,1)&amp;"",Data!$A$2:$A$25001,"&lt;"&amp;DATE(Dashboard!$B$2,8+1,1)&amp;""))</f>
        <v/>
      </c>
      <c r="J37" s="50">
        <f>IF($A37="","",SUMIFS(Data!$H$2:$H$25001,Data!$C$2:$C$25001,$A37,Data!$D$2:$D$25001,"Werken",Data!$A$2:$A$25001,"&gt;="&amp;DATE(Dashboard!$B$2,9,1)&amp;"",Data!$A$2:$A$25001,"&lt;"&amp;DATE(Dashboard!$B$2,9+1,1)&amp;""))</f>
        <v/>
      </c>
      <c r="K37" s="50">
        <f>IF($A37="","",SUMIFS(Data!$H$2:$H$25001,Data!$C$2:$C$25001,$A37,Data!$D$2:$D$25001,"Werken",Data!$A$2:$A$25001,"&gt;="&amp;DATE(Dashboard!$B$2,10,1)&amp;"",Data!$A$2:$A$25001,"&lt;"&amp;DATE(Dashboard!$B$2,10+1,1)&amp;""))</f>
        <v/>
      </c>
      <c r="L37" s="50">
        <f>IF($A37="","",SUMIFS(Data!$H$2:$H$25001,Data!$C$2:$C$25001,$A37,Data!$D$2:$D$25001,"Werken",Data!$A$2:$A$25001,"&gt;="&amp;DATE(Dashboard!$B$2,11,1)&amp;"",Data!$A$2:$A$25001,"&lt;"&amp;DATE(Dashboard!$B$2,11+1,1)&amp;""))</f>
        <v/>
      </c>
      <c r="M37" s="50">
        <f>IF($A37="","",SUMIFS(Data!$H$2:$H$25001,Data!$C$2:$C$25001,$A37,Data!$D$2:$D$25001,"Werken",Data!$A$2:$A$25001,"&gt;="&amp;DATE(Dashboard!$B$2,12,1)&amp;"",Data!$A$2:$A$25001,"&lt;"&amp;DATE(Dashboard!$B$2,12+1,1)&amp;""))</f>
        <v/>
      </c>
      <c r="N37" s="46">
        <f>IF($A37="","",SUM(B37:M37))</f>
        <v/>
      </c>
      <c r="O37" s="51" t="n"/>
      <c r="P37" s="52">
        <f>IF(OR($A37="",O37=""),"",N37*O37)</f>
        <v/>
      </c>
    </row>
    <row r="38" ht="15" customHeight="1" s="30">
      <c r="A38" s="49" t="n"/>
      <c r="B38" s="45">
        <f>IF($A38="","",SUMIFS(Data!$H$2:$H$25001,Data!$C$2:$C$25001,$A38,Data!$D$2:$D$25001,"Werken",Data!$A$2:$A$25001,"&gt;="&amp;DATE(Dashboard!$B$2,1,1)&amp;"",Data!$A$2:$A$25001,"&lt;"&amp;DATE(Dashboard!$B$2,1+1,1)&amp;""))</f>
        <v/>
      </c>
      <c r="C38" s="45">
        <f>IF($A38="","",SUMIFS(Data!$H$2:$H$25001,Data!$C$2:$C$25001,$A38,Data!$D$2:$D$25001,"Werken",Data!$A$2:$A$25001,"&gt;="&amp;DATE(Dashboard!$B$2,2,1)&amp;"",Data!$A$2:$A$25001,"&lt;"&amp;DATE(Dashboard!$B$2,2+1,1)&amp;""))</f>
        <v/>
      </c>
      <c r="D38" s="45">
        <f>IF($A38="","",SUMIFS(Data!$H$2:$H$25001,Data!$C$2:$C$25001,$A38,Data!$D$2:$D$25001,"Werken",Data!$A$2:$A$25001,"&gt;="&amp;DATE(Dashboard!$B$2,3,1)&amp;"",Data!$A$2:$A$25001,"&lt;"&amp;DATE(Dashboard!$B$2,3+1,1)&amp;""))</f>
        <v/>
      </c>
      <c r="E38" s="45">
        <f>IF($A38="","",SUMIFS(Data!$H$2:$H$25001,Data!$C$2:$C$25001,$A38,Data!$D$2:$D$25001,"Werken",Data!$A$2:$A$25001,"&gt;="&amp;DATE(Dashboard!$B$2,4,1)&amp;"",Data!$A$2:$A$25001,"&lt;"&amp;DATE(Dashboard!$B$2,4+1,1)&amp;""))</f>
        <v/>
      </c>
      <c r="F38" s="45">
        <f>IF($A38="","",SUMIFS(Data!$H$2:$H$25001,Data!$C$2:$C$25001,$A38,Data!$D$2:$D$25001,"Werken",Data!$A$2:$A$25001,"&gt;="&amp;DATE(Dashboard!$B$2,5,1)&amp;"",Data!$A$2:$A$25001,"&lt;"&amp;DATE(Dashboard!$B$2,5+1,1)&amp;""))</f>
        <v/>
      </c>
      <c r="G38" s="45">
        <f>IF($A38="","",SUMIFS(Data!$H$2:$H$25001,Data!$C$2:$C$25001,$A38,Data!$D$2:$D$25001,"Werken",Data!$A$2:$A$25001,"&gt;="&amp;DATE(Dashboard!$B$2,6,1)&amp;"",Data!$A$2:$A$25001,"&lt;"&amp;DATE(Dashboard!$B$2,6+1,1)&amp;""))</f>
        <v/>
      </c>
      <c r="H38" s="45">
        <f>IF($A38="","",SUMIFS(Data!$H$2:$H$25001,Data!$C$2:$C$25001,$A38,Data!$D$2:$D$25001,"Werken",Data!$A$2:$A$25001,"&gt;="&amp;DATE(Dashboard!$B$2,7,1)&amp;"",Data!$A$2:$A$25001,"&lt;"&amp;DATE(Dashboard!$B$2,7+1,1)&amp;""))</f>
        <v/>
      </c>
      <c r="I38" s="45">
        <f>IF($A38="","",SUMIFS(Data!$H$2:$H$25001,Data!$C$2:$C$25001,$A38,Data!$D$2:$D$25001,"Werken",Data!$A$2:$A$25001,"&gt;="&amp;DATE(Dashboard!$B$2,8,1)&amp;"",Data!$A$2:$A$25001,"&lt;"&amp;DATE(Dashboard!$B$2,8+1,1)&amp;""))</f>
        <v/>
      </c>
      <c r="J38" s="45">
        <f>IF($A38="","",SUMIFS(Data!$H$2:$H$25001,Data!$C$2:$C$25001,$A38,Data!$D$2:$D$25001,"Werken",Data!$A$2:$A$25001,"&gt;="&amp;DATE(Dashboard!$B$2,9,1)&amp;"",Data!$A$2:$A$25001,"&lt;"&amp;DATE(Dashboard!$B$2,9+1,1)&amp;""))</f>
        <v/>
      </c>
      <c r="K38" s="45">
        <f>IF($A38="","",SUMIFS(Data!$H$2:$H$25001,Data!$C$2:$C$25001,$A38,Data!$D$2:$D$25001,"Werken",Data!$A$2:$A$25001,"&gt;="&amp;DATE(Dashboard!$B$2,10,1)&amp;"",Data!$A$2:$A$25001,"&lt;"&amp;DATE(Dashboard!$B$2,10+1,1)&amp;""))</f>
        <v/>
      </c>
      <c r="L38" s="45">
        <f>IF($A38="","",SUMIFS(Data!$H$2:$H$25001,Data!$C$2:$C$25001,$A38,Data!$D$2:$D$25001,"Werken",Data!$A$2:$A$25001,"&gt;="&amp;DATE(Dashboard!$B$2,11,1)&amp;"",Data!$A$2:$A$25001,"&lt;"&amp;DATE(Dashboard!$B$2,11+1,1)&amp;""))</f>
        <v/>
      </c>
      <c r="M38" s="45">
        <f>IF($A38="","",SUMIFS(Data!$H$2:$H$25001,Data!$C$2:$C$25001,$A38,Data!$D$2:$D$25001,"Werken",Data!$A$2:$A$25001,"&gt;="&amp;DATE(Dashboard!$B$2,12,1)&amp;"",Data!$A$2:$A$25001,"&lt;"&amp;DATE(Dashboard!$B$2,12+1,1)&amp;""))</f>
        <v/>
      </c>
      <c r="N38" s="46">
        <f>IF($A38="","",SUM(B38:M38))</f>
        <v/>
      </c>
      <c r="O38" s="51" t="n"/>
      <c r="P38" s="52">
        <f>IF(OR($A38="",O38=""),"",N38*O38)</f>
        <v/>
      </c>
    </row>
    <row r="39" ht="15" customHeight="1" s="30">
      <c r="A39" s="49" t="n"/>
      <c r="B39" s="50">
        <f>IF($A39="","",SUMIFS(Data!$H$2:$H$25001,Data!$C$2:$C$25001,$A39,Data!$D$2:$D$25001,"Werken",Data!$A$2:$A$25001,"&gt;="&amp;DATE(Dashboard!$B$2,1,1)&amp;"",Data!$A$2:$A$25001,"&lt;"&amp;DATE(Dashboard!$B$2,1+1,1)&amp;""))</f>
        <v/>
      </c>
      <c r="C39" s="50">
        <f>IF($A39="","",SUMIFS(Data!$H$2:$H$25001,Data!$C$2:$C$25001,$A39,Data!$D$2:$D$25001,"Werken",Data!$A$2:$A$25001,"&gt;="&amp;DATE(Dashboard!$B$2,2,1)&amp;"",Data!$A$2:$A$25001,"&lt;"&amp;DATE(Dashboard!$B$2,2+1,1)&amp;""))</f>
        <v/>
      </c>
      <c r="D39" s="50">
        <f>IF($A39="","",SUMIFS(Data!$H$2:$H$25001,Data!$C$2:$C$25001,$A39,Data!$D$2:$D$25001,"Werken",Data!$A$2:$A$25001,"&gt;="&amp;DATE(Dashboard!$B$2,3,1)&amp;"",Data!$A$2:$A$25001,"&lt;"&amp;DATE(Dashboard!$B$2,3+1,1)&amp;""))</f>
        <v/>
      </c>
      <c r="E39" s="50">
        <f>IF($A39="","",SUMIFS(Data!$H$2:$H$25001,Data!$C$2:$C$25001,$A39,Data!$D$2:$D$25001,"Werken",Data!$A$2:$A$25001,"&gt;="&amp;DATE(Dashboard!$B$2,4,1)&amp;"",Data!$A$2:$A$25001,"&lt;"&amp;DATE(Dashboard!$B$2,4+1,1)&amp;""))</f>
        <v/>
      </c>
      <c r="F39" s="50">
        <f>IF($A39="","",SUMIFS(Data!$H$2:$H$25001,Data!$C$2:$C$25001,$A39,Data!$D$2:$D$25001,"Werken",Data!$A$2:$A$25001,"&gt;="&amp;DATE(Dashboard!$B$2,5,1)&amp;"",Data!$A$2:$A$25001,"&lt;"&amp;DATE(Dashboard!$B$2,5+1,1)&amp;""))</f>
        <v/>
      </c>
      <c r="G39" s="50">
        <f>IF($A39="","",SUMIFS(Data!$H$2:$H$25001,Data!$C$2:$C$25001,$A39,Data!$D$2:$D$25001,"Werken",Data!$A$2:$A$25001,"&gt;="&amp;DATE(Dashboard!$B$2,6,1)&amp;"",Data!$A$2:$A$25001,"&lt;"&amp;DATE(Dashboard!$B$2,6+1,1)&amp;""))</f>
        <v/>
      </c>
      <c r="H39" s="50">
        <f>IF($A39="","",SUMIFS(Data!$H$2:$H$25001,Data!$C$2:$C$25001,$A39,Data!$D$2:$D$25001,"Werken",Data!$A$2:$A$25001,"&gt;="&amp;DATE(Dashboard!$B$2,7,1)&amp;"",Data!$A$2:$A$25001,"&lt;"&amp;DATE(Dashboard!$B$2,7+1,1)&amp;""))</f>
        <v/>
      </c>
      <c r="I39" s="50">
        <f>IF($A39="","",SUMIFS(Data!$H$2:$H$25001,Data!$C$2:$C$25001,$A39,Data!$D$2:$D$25001,"Werken",Data!$A$2:$A$25001,"&gt;="&amp;DATE(Dashboard!$B$2,8,1)&amp;"",Data!$A$2:$A$25001,"&lt;"&amp;DATE(Dashboard!$B$2,8+1,1)&amp;""))</f>
        <v/>
      </c>
      <c r="J39" s="50">
        <f>IF($A39="","",SUMIFS(Data!$H$2:$H$25001,Data!$C$2:$C$25001,$A39,Data!$D$2:$D$25001,"Werken",Data!$A$2:$A$25001,"&gt;="&amp;DATE(Dashboard!$B$2,9,1)&amp;"",Data!$A$2:$A$25001,"&lt;"&amp;DATE(Dashboard!$B$2,9+1,1)&amp;""))</f>
        <v/>
      </c>
      <c r="K39" s="50">
        <f>IF($A39="","",SUMIFS(Data!$H$2:$H$25001,Data!$C$2:$C$25001,$A39,Data!$D$2:$D$25001,"Werken",Data!$A$2:$A$25001,"&gt;="&amp;DATE(Dashboard!$B$2,10,1)&amp;"",Data!$A$2:$A$25001,"&lt;"&amp;DATE(Dashboard!$B$2,10+1,1)&amp;""))</f>
        <v/>
      </c>
      <c r="L39" s="50">
        <f>IF($A39="","",SUMIFS(Data!$H$2:$H$25001,Data!$C$2:$C$25001,$A39,Data!$D$2:$D$25001,"Werken",Data!$A$2:$A$25001,"&gt;="&amp;DATE(Dashboard!$B$2,11,1)&amp;"",Data!$A$2:$A$25001,"&lt;"&amp;DATE(Dashboard!$B$2,11+1,1)&amp;""))</f>
        <v/>
      </c>
      <c r="M39" s="50">
        <f>IF($A39="","",SUMIFS(Data!$H$2:$H$25001,Data!$C$2:$C$25001,$A39,Data!$D$2:$D$25001,"Werken",Data!$A$2:$A$25001,"&gt;="&amp;DATE(Dashboard!$B$2,12,1)&amp;"",Data!$A$2:$A$25001,"&lt;"&amp;DATE(Dashboard!$B$2,12+1,1)&amp;""))</f>
        <v/>
      </c>
      <c r="N39" s="46">
        <f>IF($A39="","",SUM(B39:M39))</f>
        <v/>
      </c>
      <c r="O39" s="51" t="n"/>
      <c r="P39" s="52">
        <f>IF(OR($A39="",O39=""),"",N39*O39)</f>
        <v/>
      </c>
    </row>
    <row r="40" ht="15" customHeight="1" s="30">
      <c r="A40" s="49" t="n"/>
      <c r="B40" s="45">
        <f>IF($A40="","",SUMIFS(Data!$H$2:$H$25001,Data!$C$2:$C$25001,$A40,Data!$D$2:$D$25001,"Werken",Data!$A$2:$A$25001,"&gt;="&amp;DATE(Dashboard!$B$2,1,1)&amp;"",Data!$A$2:$A$25001,"&lt;"&amp;DATE(Dashboard!$B$2,1+1,1)&amp;""))</f>
        <v/>
      </c>
      <c r="C40" s="45">
        <f>IF($A40="","",SUMIFS(Data!$H$2:$H$25001,Data!$C$2:$C$25001,$A40,Data!$D$2:$D$25001,"Werken",Data!$A$2:$A$25001,"&gt;="&amp;DATE(Dashboard!$B$2,2,1)&amp;"",Data!$A$2:$A$25001,"&lt;"&amp;DATE(Dashboard!$B$2,2+1,1)&amp;""))</f>
        <v/>
      </c>
      <c r="D40" s="45">
        <f>IF($A40="","",SUMIFS(Data!$H$2:$H$25001,Data!$C$2:$C$25001,$A40,Data!$D$2:$D$25001,"Werken",Data!$A$2:$A$25001,"&gt;="&amp;DATE(Dashboard!$B$2,3,1)&amp;"",Data!$A$2:$A$25001,"&lt;"&amp;DATE(Dashboard!$B$2,3+1,1)&amp;""))</f>
        <v/>
      </c>
      <c r="E40" s="45">
        <f>IF($A40="","",SUMIFS(Data!$H$2:$H$25001,Data!$C$2:$C$25001,$A40,Data!$D$2:$D$25001,"Werken",Data!$A$2:$A$25001,"&gt;="&amp;DATE(Dashboard!$B$2,4,1)&amp;"",Data!$A$2:$A$25001,"&lt;"&amp;DATE(Dashboard!$B$2,4+1,1)&amp;""))</f>
        <v/>
      </c>
      <c r="F40" s="45">
        <f>IF($A40="","",SUMIFS(Data!$H$2:$H$25001,Data!$C$2:$C$25001,$A40,Data!$D$2:$D$25001,"Werken",Data!$A$2:$A$25001,"&gt;="&amp;DATE(Dashboard!$B$2,5,1)&amp;"",Data!$A$2:$A$25001,"&lt;"&amp;DATE(Dashboard!$B$2,5+1,1)&amp;""))</f>
        <v/>
      </c>
      <c r="G40" s="45">
        <f>IF($A40="","",SUMIFS(Data!$H$2:$H$25001,Data!$C$2:$C$25001,$A40,Data!$D$2:$D$25001,"Werken",Data!$A$2:$A$25001,"&gt;="&amp;DATE(Dashboard!$B$2,6,1)&amp;"",Data!$A$2:$A$25001,"&lt;"&amp;DATE(Dashboard!$B$2,6+1,1)&amp;""))</f>
        <v/>
      </c>
      <c r="H40" s="45">
        <f>IF($A40="","",SUMIFS(Data!$H$2:$H$25001,Data!$C$2:$C$25001,$A40,Data!$D$2:$D$25001,"Werken",Data!$A$2:$A$25001,"&gt;="&amp;DATE(Dashboard!$B$2,7,1)&amp;"",Data!$A$2:$A$25001,"&lt;"&amp;DATE(Dashboard!$B$2,7+1,1)&amp;""))</f>
        <v/>
      </c>
      <c r="I40" s="45">
        <f>IF($A40="","",SUMIFS(Data!$H$2:$H$25001,Data!$C$2:$C$25001,$A40,Data!$D$2:$D$25001,"Werken",Data!$A$2:$A$25001,"&gt;="&amp;DATE(Dashboard!$B$2,8,1)&amp;"",Data!$A$2:$A$25001,"&lt;"&amp;DATE(Dashboard!$B$2,8+1,1)&amp;""))</f>
        <v/>
      </c>
      <c r="J40" s="45">
        <f>IF($A40="","",SUMIFS(Data!$H$2:$H$25001,Data!$C$2:$C$25001,$A40,Data!$D$2:$D$25001,"Werken",Data!$A$2:$A$25001,"&gt;="&amp;DATE(Dashboard!$B$2,9,1)&amp;"",Data!$A$2:$A$25001,"&lt;"&amp;DATE(Dashboard!$B$2,9+1,1)&amp;""))</f>
        <v/>
      </c>
      <c r="K40" s="45">
        <f>IF($A40="","",SUMIFS(Data!$H$2:$H$25001,Data!$C$2:$C$25001,$A40,Data!$D$2:$D$25001,"Werken",Data!$A$2:$A$25001,"&gt;="&amp;DATE(Dashboard!$B$2,10,1)&amp;"",Data!$A$2:$A$25001,"&lt;"&amp;DATE(Dashboard!$B$2,10+1,1)&amp;""))</f>
        <v/>
      </c>
      <c r="L40" s="45">
        <f>IF($A40="","",SUMIFS(Data!$H$2:$H$25001,Data!$C$2:$C$25001,$A40,Data!$D$2:$D$25001,"Werken",Data!$A$2:$A$25001,"&gt;="&amp;DATE(Dashboard!$B$2,11,1)&amp;"",Data!$A$2:$A$25001,"&lt;"&amp;DATE(Dashboard!$B$2,11+1,1)&amp;""))</f>
        <v/>
      </c>
      <c r="M40" s="45">
        <f>IF($A40="","",SUMIFS(Data!$H$2:$H$25001,Data!$C$2:$C$25001,$A40,Data!$D$2:$D$25001,"Werken",Data!$A$2:$A$25001,"&gt;="&amp;DATE(Dashboard!$B$2,12,1)&amp;"",Data!$A$2:$A$25001,"&lt;"&amp;DATE(Dashboard!$B$2,12+1,1)&amp;""))</f>
        <v/>
      </c>
      <c r="N40" s="46">
        <f>IF($A40="","",SUM(B40:M40))</f>
        <v/>
      </c>
      <c r="O40" s="51" t="n"/>
      <c r="P40" s="52">
        <f>IF(OR($A40="",O40=""),"",N40*O40)</f>
        <v/>
      </c>
    </row>
    <row r="41" ht="15" customHeight="1" s="30">
      <c r="A41" s="49" t="n"/>
      <c r="B41" s="50">
        <f>IF($A41="","",SUMIFS(Data!$H$2:$H$25001,Data!$C$2:$C$25001,$A41,Data!$D$2:$D$25001,"Werken",Data!$A$2:$A$25001,"&gt;="&amp;DATE(Dashboard!$B$2,1,1)&amp;"",Data!$A$2:$A$25001,"&lt;"&amp;DATE(Dashboard!$B$2,1+1,1)&amp;""))</f>
        <v/>
      </c>
      <c r="C41" s="50">
        <f>IF($A41="","",SUMIFS(Data!$H$2:$H$25001,Data!$C$2:$C$25001,$A41,Data!$D$2:$D$25001,"Werken",Data!$A$2:$A$25001,"&gt;="&amp;DATE(Dashboard!$B$2,2,1)&amp;"",Data!$A$2:$A$25001,"&lt;"&amp;DATE(Dashboard!$B$2,2+1,1)&amp;""))</f>
        <v/>
      </c>
      <c r="D41" s="50">
        <f>IF($A41="","",SUMIFS(Data!$H$2:$H$25001,Data!$C$2:$C$25001,$A41,Data!$D$2:$D$25001,"Werken",Data!$A$2:$A$25001,"&gt;="&amp;DATE(Dashboard!$B$2,3,1)&amp;"",Data!$A$2:$A$25001,"&lt;"&amp;DATE(Dashboard!$B$2,3+1,1)&amp;""))</f>
        <v/>
      </c>
      <c r="E41" s="50">
        <f>IF($A41="","",SUMIFS(Data!$H$2:$H$25001,Data!$C$2:$C$25001,$A41,Data!$D$2:$D$25001,"Werken",Data!$A$2:$A$25001,"&gt;="&amp;DATE(Dashboard!$B$2,4,1)&amp;"",Data!$A$2:$A$25001,"&lt;"&amp;DATE(Dashboard!$B$2,4+1,1)&amp;""))</f>
        <v/>
      </c>
      <c r="F41" s="50">
        <f>IF($A41="","",SUMIFS(Data!$H$2:$H$25001,Data!$C$2:$C$25001,$A41,Data!$D$2:$D$25001,"Werken",Data!$A$2:$A$25001,"&gt;="&amp;DATE(Dashboard!$B$2,5,1)&amp;"",Data!$A$2:$A$25001,"&lt;"&amp;DATE(Dashboard!$B$2,5+1,1)&amp;""))</f>
        <v/>
      </c>
      <c r="G41" s="50">
        <f>IF($A41="","",SUMIFS(Data!$H$2:$H$25001,Data!$C$2:$C$25001,$A41,Data!$D$2:$D$25001,"Werken",Data!$A$2:$A$25001,"&gt;="&amp;DATE(Dashboard!$B$2,6,1)&amp;"",Data!$A$2:$A$25001,"&lt;"&amp;DATE(Dashboard!$B$2,6+1,1)&amp;""))</f>
        <v/>
      </c>
      <c r="H41" s="50">
        <f>IF($A41="","",SUMIFS(Data!$H$2:$H$25001,Data!$C$2:$C$25001,$A41,Data!$D$2:$D$25001,"Werken",Data!$A$2:$A$25001,"&gt;="&amp;DATE(Dashboard!$B$2,7,1)&amp;"",Data!$A$2:$A$25001,"&lt;"&amp;DATE(Dashboard!$B$2,7+1,1)&amp;""))</f>
        <v/>
      </c>
      <c r="I41" s="50">
        <f>IF($A41="","",SUMIFS(Data!$H$2:$H$25001,Data!$C$2:$C$25001,$A41,Data!$D$2:$D$25001,"Werken",Data!$A$2:$A$25001,"&gt;="&amp;DATE(Dashboard!$B$2,8,1)&amp;"",Data!$A$2:$A$25001,"&lt;"&amp;DATE(Dashboard!$B$2,8+1,1)&amp;""))</f>
        <v/>
      </c>
      <c r="J41" s="50">
        <f>IF($A41="","",SUMIFS(Data!$H$2:$H$25001,Data!$C$2:$C$25001,$A41,Data!$D$2:$D$25001,"Werken",Data!$A$2:$A$25001,"&gt;="&amp;DATE(Dashboard!$B$2,9,1)&amp;"",Data!$A$2:$A$25001,"&lt;"&amp;DATE(Dashboard!$B$2,9+1,1)&amp;""))</f>
        <v/>
      </c>
      <c r="K41" s="50">
        <f>IF($A41="","",SUMIFS(Data!$H$2:$H$25001,Data!$C$2:$C$25001,$A41,Data!$D$2:$D$25001,"Werken",Data!$A$2:$A$25001,"&gt;="&amp;DATE(Dashboard!$B$2,10,1)&amp;"",Data!$A$2:$A$25001,"&lt;"&amp;DATE(Dashboard!$B$2,10+1,1)&amp;""))</f>
        <v/>
      </c>
      <c r="L41" s="50">
        <f>IF($A41="","",SUMIFS(Data!$H$2:$H$25001,Data!$C$2:$C$25001,$A41,Data!$D$2:$D$25001,"Werken",Data!$A$2:$A$25001,"&gt;="&amp;DATE(Dashboard!$B$2,11,1)&amp;"",Data!$A$2:$A$25001,"&lt;"&amp;DATE(Dashboard!$B$2,11+1,1)&amp;""))</f>
        <v/>
      </c>
      <c r="M41" s="50">
        <f>IF($A41="","",SUMIFS(Data!$H$2:$H$25001,Data!$C$2:$C$25001,$A41,Data!$D$2:$D$25001,"Werken",Data!$A$2:$A$25001,"&gt;="&amp;DATE(Dashboard!$B$2,12,1)&amp;"",Data!$A$2:$A$25001,"&lt;"&amp;DATE(Dashboard!$B$2,12+1,1)&amp;""))</f>
        <v/>
      </c>
      <c r="N41" s="46">
        <f>IF($A41="","",SUM(B41:M41))</f>
        <v/>
      </c>
      <c r="O41" s="51" t="n"/>
      <c r="P41" s="52">
        <f>IF(OR($A41="",O41=""),"",N41*O41)</f>
        <v/>
      </c>
    </row>
    <row r="42" ht="15" customHeight="1" s="30">
      <c r="A42" s="49" t="n"/>
      <c r="B42" s="45">
        <f>IF($A42="","",SUMIFS(Data!$H$2:$H$25001,Data!$C$2:$C$25001,$A42,Data!$D$2:$D$25001,"Werken",Data!$A$2:$A$25001,"&gt;="&amp;DATE(Dashboard!$B$2,1,1)&amp;"",Data!$A$2:$A$25001,"&lt;"&amp;DATE(Dashboard!$B$2,1+1,1)&amp;""))</f>
        <v/>
      </c>
      <c r="C42" s="45">
        <f>IF($A42="","",SUMIFS(Data!$H$2:$H$25001,Data!$C$2:$C$25001,$A42,Data!$D$2:$D$25001,"Werken",Data!$A$2:$A$25001,"&gt;="&amp;DATE(Dashboard!$B$2,2,1)&amp;"",Data!$A$2:$A$25001,"&lt;"&amp;DATE(Dashboard!$B$2,2+1,1)&amp;""))</f>
        <v/>
      </c>
      <c r="D42" s="45">
        <f>IF($A42="","",SUMIFS(Data!$H$2:$H$25001,Data!$C$2:$C$25001,$A42,Data!$D$2:$D$25001,"Werken",Data!$A$2:$A$25001,"&gt;="&amp;DATE(Dashboard!$B$2,3,1)&amp;"",Data!$A$2:$A$25001,"&lt;"&amp;DATE(Dashboard!$B$2,3+1,1)&amp;""))</f>
        <v/>
      </c>
      <c r="E42" s="45">
        <f>IF($A42="","",SUMIFS(Data!$H$2:$H$25001,Data!$C$2:$C$25001,$A42,Data!$D$2:$D$25001,"Werken",Data!$A$2:$A$25001,"&gt;="&amp;DATE(Dashboard!$B$2,4,1)&amp;"",Data!$A$2:$A$25001,"&lt;"&amp;DATE(Dashboard!$B$2,4+1,1)&amp;""))</f>
        <v/>
      </c>
      <c r="F42" s="45">
        <f>IF($A42="","",SUMIFS(Data!$H$2:$H$25001,Data!$C$2:$C$25001,$A42,Data!$D$2:$D$25001,"Werken",Data!$A$2:$A$25001,"&gt;="&amp;DATE(Dashboard!$B$2,5,1)&amp;"",Data!$A$2:$A$25001,"&lt;"&amp;DATE(Dashboard!$B$2,5+1,1)&amp;""))</f>
        <v/>
      </c>
      <c r="G42" s="45">
        <f>IF($A42="","",SUMIFS(Data!$H$2:$H$25001,Data!$C$2:$C$25001,$A42,Data!$D$2:$D$25001,"Werken",Data!$A$2:$A$25001,"&gt;="&amp;DATE(Dashboard!$B$2,6,1)&amp;"",Data!$A$2:$A$25001,"&lt;"&amp;DATE(Dashboard!$B$2,6+1,1)&amp;""))</f>
        <v/>
      </c>
      <c r="H42" s="45">
        <f>IF($A42="","",SUMIFS(Data!$H$2:$H$25001,Data!$C$2:$C$25001,$A42,Data!$D$2:$D$25001,"Werken",Data!$A$2:$A$25001,"&gt;="&amp;DATE(Dashboard!$B$2,7,1)&amp;"",Data!$A$2:$A$25001,"&lt;"&amp;DATE(Dashboard!$B$2,7+1,1)&amp;""))</f>
        <v/>
      </c>
      <c r="I42" s="45">
        <f>IF($A42="","",SUMIFS(Data!$H$2:$H$25001,Data!$C$2:$C$25001,$A42,Data!$D$2:$D$25001,"Werken",Data!$A$2:$A$25001,"&gt;="&amp;DATE(Dashboard!$B$2,8,1)&amp;"",Data!$A$2:$A$25001,"&lt;"&amp;DATE(Dashboard!$B$2,8+1,1)&amp;""))</f>
        <v/>
      </c>
      <c r="J42" s="45">
        <f>IF($A42="","",SUMIFS(Data!$H$2:$H$25001,Data!$C$2:$C$25001,$A42,Data!$D$2:$D$25001,"Werken",Data!$A$2:$A$25001,"&gt;="&amp;DATE(Dashboard!$B$2,9,1)&amp;"",Data!$A$2:$A$25001,"&lt;"&amp;DATE(Dashboard!$B$2,9+1,1)&amp;""))</f>
        <v/>
      </c>
      <c r="K42" s="45">
        <f>IF($A42="","",SUMIFS(Data!$H$2:$H$25001,Data!$C$2:$C$25001,$A42,Data!$D$2:$D$25001,"Werken",Data!$A$2:$A$25001,"&gt;="&amp;DATE(Dashboard!$B$2,10,1)&amp;"",Data!$A$2:$A$25001,"&lt;"&amp;DATE(Dashboard!$B$2,10+1,1)&amp;""))</f>
        <v/>
      </c>
      <c r="L42" s="45">
        <f>IF($A42="","",SUMIFS(Data!$H$2:$H$25001,Data!$C$2:$C$25001,$A42,Data!$D$2:$D$25001,"Werken",Data!$A$2:$A$25001,"&gt;="&amp;DATE(Dashboard!$B$2,11,1)&amp;"",Data!$A$2:$A$25001,"&lt;"&amp;DATE(Dashboard!$B$2,11+1,1)&amp;""))</f>
        <v/>
      </c>
      <c r="M42" s="45">
        <f>IF($A42="","",SUMIFS(Data!$H$2:$H$25001,Data!$C$2:$C$25001,$A42,Data!$D$2:$D$25001,"Werken",Data!$A$2:$A$25001,"&gt;="&amp;DATE(Dashboard!$B$2,12,1)&amp;"",Data!$A$2:$A$25001,"&lt;"&amp;DATE(Dashboard!$B$2,12+1,1)&amp;""))</f>
        <v/>
      </c>
      <c r="N42" s="46">
        <f>IF($A42="","",SUM(B42:M42))</f>
        <v/>
      </c>
      <c r="O42" s="51" t="n"/>
      <c r="P42" s="52">
        <f>IF(OR($A42="",O42=""),"",N42*O42)</f>
        <v/>
      </c>
    </row>
    <row r="43" ht="15" customHeight="1" s="30">
      <c r="A43" s="49" t="n"/>
      <c r="B43" s="50">
        <f>IF($A43="","",SUMIFS(Data!$H$2:$H$25001,Data!$C$2:$C$25001,$A43,Data!$D$2:$D$25001,"Werken",Data!$A$2:$A$25001,"&gt;="&amp;DATE(Dashboard!$B$2,1,1)&amp;"",Data!$A$2:$A$25001,"&lt;"&amp;DATE(Dashboard!$B$2,1+1,1)&amp;""))</f>
        <v/>
      </c>
      <c r="C43" s="50">
        <f>IF($A43="","",SUMIFS(Data!$H$2:$H$25001,Data!$C$2:$C$25001,$A43,Data!$D$2:$D$25001,"Werken",Data!$A$2:$A$25001,"&gt;="&amp;DATE(Dashboard!$B$2,2,1)&amp;"",Data!$A$2:$A$25001,"&lt;"&amp;DATE(Dashboard!$B$2,2+1,1)&amp;""))</f>
        <v/>
      </c>
      <c r="D43" s="50">
        <f>IF($A43="","",SUMIFS(Data!$H$2:$H$25001,Data!$C$2:$C$25001,$A43,Data!$D$2:$D$25001,"Werken",Data!$A$2:$A$25001,"&gt;="&amp;DATE(Dashboard!$B$2,3,1)&amp;"",Data!$A$2:$A$25001,"&lt;"&amp;DATE(Dashboard!$B$2,3+1,1)&amp;""))</f>
        <v/>
      </c>
      <c r="E43" s="50">
        <f>IF($A43="","",SUMIFS(Data!$H$2:$H$25001,Data!$C$2:$C$25001,$A43,Data!$D$2:$D$25001,"Werken",Data!$A$2:$A$25001,"&gt;="&amp;DATE(Dashboard!$B$2,4,1)&amp;"",Data!$A$2:$A$25001,"&lt;"&amp;DATE(Dashboard!$B$2,4+1,1)&amp;""))</f>
        <v/>
      </c>
      <c r="F43" s="50">
        <f>IF($A43="","",SUMIFS(Data!$H$2:$H$25001,Data!$C$2:$C$25001,$A43,Data!$D$2:$D$25001,"Werken",Data!$A$2:$A$25001,"&gt;="&amp;DATE(Dashboard!$B$2,5,1)&amp;"",Data!$A$2:$A$25001,"&lt;"&amp;DATE(Dashboard!$B$2,5+1,1)&amp;""))</f>
        <v/>
      </c>
      <c r="G43" s="50">
        <f>IF($A43="","",SUMIFS(Data!$H$2:$H$25001,Data!$C$2:$C$25001,$A43,Data!$D$2:$D$25001,"Werken",Data!$A$2:$A$25001,"&gt;="&amp;DATE(Dashboard!$B$2,6,1)&amp;"",Data!$A$2:$A$25001,"&lt;"&amp;DATE(Dashboard!$B$2,6+1,1)&amp;""))</f>
        <v/>
      </c>
      <c r="H43" s="50">
        <f>IF($A43="","",SUMIFS(Data!$H$2:$H$25001,Data!$C$2:$C$25001,$A43,Data!$D$2:$D$25001,"Werken",Data!$A$2:$A$25001,"&gt;="&amp;DATE(Dashboard!$B$2,7,1)&amp;"",Data!$A$2:$A$25001,"&lt;"&amp;DATE(Dashboard!$B$2,7+1,1)&amp;""))</f>
        <v/>
      </c>
      <c r="I43" s="50">
        <f>IF($A43="","",SUMIFS(Data!$H$2:$H$25001,Data!$C$2:$C$25001,$A43,Data!$D$2:$D$25001,"Werken",Data!$A$2:$A$25001,"&gt;="&amp;DATE(Dashboard!$B$2,8,1)&amp;"",Data!$A$2:$A$25001,"&lt;"&amp;DATE(Dashboard!$B$2,8+1,1)&amp;""))</f>
        <v/>
      </c>
      <c r="J43" s="50">
        <f>IF($A43="","",SUMIFS(Data!$H$2:$H$25001,Data!$C$2:$C$25001,$A43,Data!$D$2:$D$25001,"Werken",Data!$A$2:$A$25001,"&gt;="&amp;DATE(Dashboard!$B$2,9,1)&amp;"",Data!$A$2:$A$25001,"&lt;"&amp;DATE(Dashboard!$B$2,9+1,1)&amp;""))</f>
        <v/>
      </c>
      <c r="K43" s="50">
        <f>IF($A43="","",SUMIFS(Data!$H$2:$H$25001,Data!$C$2:$C$25001,$A43,Data!$D$2:$D$25001,"Werken",Data!$A$2:$A$25001,"&gt;="&amp;DATE(Dashboard!$B$2,10,1)&amp;"",Data!$A$2:$A$25001,"&lt;"&amp;DATE(Dashboard!$B$2,10+1,1)&amp;""))</f>
        <v/>
      </c>
      <c r="L43" s="50">
        <f>IF($A43="","",SUMIFS(Data!$H$2:$H$25001,Data!$C$2:$C$25001,$A43,Data!$D$2:$D$25001,"Werken",Data!$A$2:$A$25001,"&gt;="&amp;DATE(Dashboard!$B$2,11,1)&amp;"",Data!$A$2:$A$25001,"&lt;"&amp;DATE(Dashboard!$B$2,11+1,1)&amp;""))</f>
        <v/>
      </c>
      <c r="M43" s="50">
        <f>IF($A43="","",SUMIFS(Data!$H$2:$H$25001,Data!$C$2:$C$25001,$A43,Data!$D$2:$D$25001,"Werken",Data!$A$2:$A$25001,"&gt;="&amp;DATE(Dashboard!$B$2,12,1)&amp;"",Data!$A$2:$A$25001,"&lt;"&amp;DATE(Dashboard!$B$2,12+1,1)&amp;""))</f>
        <v/>
      </c>
      <c r="N43" s="46">
        <f>IF($A43="","",SUM(B43:M43))</f>
        <v/>
      </c>
      <c r="O43" s="51" t="n"/>
      <c r="P43" s="52">
        <f>IF(OR($A43="",O43=""),"",N43*O43)</f>
        <v/>
      </c>
    </row>
    <row r="44" ht="15" customHeight="1" s="30">
      <c r="A44" s="49" t="n"/>
      <c r="B44" s="45">
        <f>IF($A44="","",SUMIFS(Data!$H$2:$H$25001,Data!$C$2:$C$25001,$A44,Data!$D$2:$D$25001,"Werken",Data!$A$2:$A$25001,"&gt;="&amp;DATE(Dashboard!$B$2,1,1)&amp;"",Data!$A$2:$A$25001,"&lt;"&amp;DATE(Dashboard!$B$2,1+1,1)&amp;""))</f>
        <v/>
      </c>
      <c r="C44" s="45">
        <f>IF($A44="","",SUMIFS(Data!$H$2:$H$25001,Data!$C$2:$C$25001,$A44,Data!$D$2:$D$25001,"Werken",Data!$A$2:$A$25001,"&gt;="&amp;DATE(Dashboard!$B$2,2,1)&amp;"",Data!$A$2:$A$25001,"&lt;"&amp;DATE(Dashboard!$B$2,2+1,1)&amp;""))</f>
        <v/>
      </c>
      <c r="D44" s="45">
        <f>IF($A44="","",SUMIFS(Data!$H$2:$H$25001,Data!$C$2:$C$25001,$A44,Data!$D$2:$D$25001,"Werken",Data!$A$2:$A$25001,"&gt;="&amp;DATE(Dashboard!$B$2,3,1)&amp;"",Data!$A$2:$A$25001,"&lt;"&amp;DATE(Dashboard!$B$2,3+1,1)&amp;""))</f>
        <v/>
      </c>
      <c r="E44" s="45">
        <f>IF($A44="","",SUMIFS(Data!$H$2:$H$25001,Data!$C$2:$C$25001,$A44,Data!$D$2:$D$25001,"Werken",Data!$A$2:$A$25001,"&gt;="&amp;DATE(Dashboard!$B$2,4,1)&amp;"",Data!$A$2:$A$25001,"&lt;"&amp;DATE(Dashboard!$B$2,4+1,1)&amp;""))</f>
        <v/>
      </c>
      <c r="F44" s="45">
        <f>IF($A44="","",SUMIFS(Data!$H$2:$H$25001,Data!$C$2:$C$25001,$A44,Data!$D$2:$D$25001,"Werken",Data!$A$2:$A$25001,"&gt;="&amp;DATE(Dashboard!$B$2,5,1)&amp;"",Data!$A$2:$A$25001,"&lt;"&amp;DATE(Dashboard!$B$2,5+1,1)&amp;""))</f>
        <v/>
      </c>
      <c r="G44" s="45">
        <f>IF($A44="","",SUMIFS(Data!$H$2:$H$25001,Data!$C$2:$C$25001,$A44,Data!$D$2:$D$25001,"Werken",Data!$A$2:$A$25001,"&gt;="&amp;DATE(Dashboard!$B$2,6,1)&amp;"",Data!$A$2:$A$25001,"&lt;"&amp;DATE(Dashboard!$B$2,6+1,1)&amp;""))</f>
        <v/>
      </c>
      <c r="H44" s="45">
        <f>IF($A44="","",SUMIFS(Data!$H$2:$H$25001,Data!$C$2:$C$25001,$A44,Data!$D$2:$D$25001,"Werken",Data!$A$2:$A$25001,"&gt;="&amp;DATE(Dashboard!$B$2,7,1)&amp;"",Data!$A$2:$A$25001,"&lt;"&amp;DATE(Dashboard!$B$2,7+1,1)&amp;""))</f>
        <v/>
      </c>
      <c r="I44" s="45">
        <f>IF($A44="","",SUMIFS(Data!$H$2:$H$25001,Data!$C$2:$C$25001,$A44,Data!$D$2:$D$25001,"Werken",Data!$A$2:$A$25001,"&gt;="&amp;DATE(Dashboard!$B$2,8,1)&amp;"",Data!$A$2:$A$25001,"&lt;"&amp;DATE(Dashboard!$B$2,8+1,1)&amp;""))</f>
        <v/>
      </c>
      <c r="J44" s="45">
        <f>IF($A44="","",SUMIFS(Data!$H$2:$H$25001,Data!$C$2:$C$25001,$A44,Data!$D$2:$D$25001,"Werken",Data!$A$2:$A$25001,"&gt;="&amp;DATE(Dashboard!$B$2,9,1)&amp;"",Data!$A$2:$A$25001,"&lt;"&amp;DATE(Dashboard!$B$2,9+1,1)&amp;""))</f>
        <v/>
      </c>
      <c r="K44" s="45">
        <f>IF($A44="","",SUMIFS(Data!$H$2:$H$25001,Data!$C$2:$C$25001,$A44,Data!$D$2:$D$25001,"Werken",Data!$A$2:$A$25001,"&gt;="&amp;DATE(Dashboard!$B$2,10,1)&amp;"",Data!$A$2:$A$25001,"&lt;"&amp;DATE(Dashboard!$B$2,10+1,1)&amp;""))</f>
        <v/>
      </c>
      <c r="L44" s="45">
        <f>IF($A44="","",SUMIFS(Data!$H$2:$H$25001,Data!$C$2:$C$25001,$A44,Data!$D$2:$D$25001,"Werken",Data!$A$2:$A$25001,"&gt;="&amp;DATE(Dashboard!$B$2,11,1)&amp;"",Data!$A$2:$A$25001,"&lt;"&amp;DATE(Dashboard!$B$2,11+1,1)&amp;""))</f>
        <v/>
      </c>
      <c r="M44" s="45">
        <f>IF($A44="","",SUMIFS(Data!$H$2:$H$25001,Data!$C$2:$C$25001,$A44,Data!$D$2:$D$25001,"Werken",Data!$A$2:$A$25001,"&gt;="&amp;DATE(Dashboard!$B$2,12,1)&amp;"",Data!$A$2:$A$25001,"&lt;"&amp;DATE(Dashboard!$B$2,12+1,1)&amp;""))</f>
        <v/>
      </c>
      <c r="N44" s="46">
        <f>IF($A44="","",SUM(B44:M44))</f>
        <v/>
      </c>
      <c r="O44" s="51" t="n"/>
      <c r="P44" s="52">
        <f>IF(OR($A44="",O44=""),"",N44*O44)</f>
        <v/>
      </c>
    </row>
    <row r="45" ht="15" customHeight="1" s="30">
      <c r="A45" s="49" t="n"/>
      <c r="B45" s="50">
        <f>IF($A45="","",SUMIFS(Data!$H$2:$H$25001,Data!$C$2:$C$25001,$A45,Data!$D$2:$D$25001,"Werken",Data!$A$2:$A$25001,"&gt;="&amp;DATE(Dashboard!$B$2,1,1)&amp;"",Data!$A$2:$A$25001,"&lt;"&amp;DATE(Dashboard!$B$2,1+1,1)&amp;""))</f>
        <v/>
      </c>
      <c r="C45" s="50">
        <f>IF($A45="","",SUMIFS(Data!$H$2:$H$25001,Data!$C$2:$C$25001,$A45,Data!$D$2:$D$25001,"Werken",Data!$A$2:$A$25001,"&gt;="&amp;DATE(Dashboard!$B$2,2,1)&amp;"",Data!$A$2:$A$25001,"&lt;"&amp;DATE(Dashboard!$B$2,2+1,1)&amp;""))</f>
        <v/>
      </c>
      <c r="D45" s="50">
        <f>IF($A45="","",SUMIFS(Data!$H$2:$H$25001,Data!$C$2:$C$25001,$A45,Data!$D$2:$D$25001,"Werken",Data!$A$2:$A$25001,"&gt;="&amp;DATE(Dashboard!$B$2,3,1)&amp;"",Data!$A$2:$A$25001,"&lt;"&amp;DATE(Dashboard!$B$2,3+1,1)&amp;""))</f>
        <v/>
      </c>
      <c r="E45" s="50">
        <f>IF($A45="","",SUMIFS(Data!$H$2:$H$25001,Data!$C$2:$C$25001,$A45,Data!$D$2:$D$25001,"Werken",Data!$A$2:$A$25001,"&gt;="&amp;DATE(Dashboard!$B$2,4,1)&amp;"",Data!$A$2:$A$25001,"&lt;"&amp;DATE(Dashboard!$B$2,4+1,1)&amp;""))</f>
        <v/>
      </c>
      <c r="F45" s="50">
        <f>IF($A45="","",SUMIFS(Data!$H$2:$H$25001,Data!$C$2:$C$25001,$A45,Data!$D$2:$D$25001,"Werken",Data!$A$2:$A$25001,"&gt;="&amp;DATE(Dashboard!$B$2,5,1)&amp;"",Data!$A$2:$A$25001,"&lt;"&amp;DATE(Dashboard!$B$2,5+1,1)&amp;""))</f>
        <v/>
      </c>
      <c r="G45" s="50">
        <f>IF($A45="","",SUMIFS(Data!$H$2:$H$25001,Data!$C$2:$C$25001,$A45,Data!$D$2:$D$25001,"Werken",Data!$A$2:$A$25001,"&gt;="&amp;DATE(Dashboard!$B$2,6,1)&amp;"",Data!$A$2:$A$25001,"&lt;"&amp;DATE(Dashboard!$B$2,6+1,1)&amp;""))</f>
        <v/>
      </c>
      <c r="H45" s="50">
        <f>IF($A45="","",SUMIFS(Data!$H$2:$H$25001,Data!$C$2:$C$25001,$A45,Data!$D$2:$D$25001,"Werken",Data!$A$2:$A$25001,"&gt;="&amp;DATE(Dashboard!$B$2,7,1)&amp;"",Data!$A$2:$A$25001,"&lt;"&amp;DATE(Dashboard!$B$2,7+1,1)&amp;""))</f>
        <v/>
      </c>
      <c r="I45" s="50">
        <f>IF($A45="","",SUMIFS(Data!$H$2:$H$25001,Data!$C$2:$C$25001,$A45,Data!$D$2:$D$25001,"Werken",Data!$A$2:$A$25001,"&gt;="&amp;DATE(Dashboard!$B$2,8,1)&amp;"",Data!$A$2:$A$25001,"&lt;"&amp;DATE(Dashboard!$B$2,8+1,1)&amp;""))</f>
        <v/>
      </c>
      <c r="J45" s="50">
        <f>IF($A45="","",SUMIFS(Data!$H$2:$H$25001,Data!$C$2:$C$25001,$A45,Data!$D$2:$D$25001,"Werken",Data!$A$2:$A$25001,"&gt;="&amp;DATE(Dashboard!$B$2,9,1)&amp;"",Data!$A$2:$A$25001,"&lt;"&amp;DATE(Dashboard!$B$2,9+1,1)&amp;""))</f>
        <v/>
      </c>
      <c r="K45" s="50">
        <f>IF($A45="","",SUMIFS(Data!$H$2:$H$25001,Data!$C$2:$C$25001,$A45,Data!$D$2:$D$25001,"Werken",Data!$A$2:$A$25001,"&gt;="&amp;DATE(Dashboard!$B$2,10,1)&amp;"",Data!$A$2:$A$25001,"&lt;"&amp;DATE(Dashboard!$B$2,10+1,1)&amp;""))</f>
        <v/>
      </c>
      <c r="L45" s="50">
        <f>IF($A45="","",SUMIFS(Data!$H$2:$H$25001,Data!$C$2:$C$25001,$A45,Data!$D$2:$D$25001,"Werken",Data!$A$2:$A$25001,"&gt;="&amp;DATE(Dashboard!$B$2,11,1)&amp;"",Data!$A$2:$A$25001,"&lt;"&amp;DATE(Dashboard!$B$2,11+1,1)&amp;""))</f>
        <v/>
      </c>
      <c r="M45" s="50">
        <f>IF($A45="","",SUMIFS(Data!$H$2:$H$25001,Data!$C$2:$C$25001,$A45,Data!$D$2:$D$25001,"Werken",Data!$A$2:$A$25001,"&gt;="&amp;DATE(Dashboard!$B$2,12,1)&amp;"",Data!$A$2:$A$25001,"&lt;"&amp;DATE(Dashboard!$B$2,12+1,1)&amp;""))</f>
        <v/>
      </c>
      <c r="N45" s="46">
        <f>IF($A45="","",SUM(B45:M45))</f>
        <v/>
      </c>
      <c r="O45" s="51" t="n"/>
      <c r="P45" s="52">
        <f>IF(OR($A45="",O45=""),"",N45*O45)</f>
        <v/>
      </c>
    </row>
    <row r="46" ht="15" customHeight="1" s="30">
      <c r="A46" s="49" t="n"/>
      <c r="B46" s="45">
        <f>IF($A46="","",SUMIFS(Data!$H$2:$H$25001,Data!$C$2:$C$25001,$A46,Data!$D$2:$D$25001,"Werken",Data!$A$2:$A$25001,"&gt;="&amp;DATE(Dashboard!$B$2,1,1)&amp;"",Data!$A$2:$A$25001,"&lt;"&amp;DATE(Dashboard!$B$2,1+1,1)&amp;""))</f>
        <v/>
      </c>
      <c r="C46" s="45">
        <f>IF($A46="","",SUMIFS(Data!$H$2:$H$25001,Data!$C$2:$C$25001,$A46,Data!$D$2:$D$25001,"Werken",Data!$A$2:$A$25001,"&gt;="&amp;DATE(Dashboard!$B$2,2,1)&amp;"",Data!$A$2:$A$25001,"&lt;"&amp;DATE(Dashboard!$B$2,2+1,1)&amp;""))</f>
        <v/>
      </c>
      <c r="D46" s="45">
        <f>IF($A46="","",SUMIFS(Data!$H$2:$H$25001,Data!$C$2:$C$25001,$A46,Data!$D$2:$D$25001,"Werken",Data!$A$2:$A$25001,"&gt;="&amp;DATE(Dashboard!$B$2,3,1)&amp;"",Data!$A$2:$A$25001,"&lt;"&amp;DATE(Dashboard!$B$2,3+1,1)&amp;""))</f>
        <v/>
      </c>
      <c r="E46" s="45">
        <f>IF($A46="","",SUMIFS(Data!$H$2:$H$25001,Data!$C$2:$C$25001,$A46,Data!$D$2:$D$25001,"Werken",Data!$A$2:$A$25001,"&gt;="&amp;DATE(Dashboard!$B$2,4,1)&amp;"",Data!$A$2:$A$25001,"&lt;"&amp;DATE(Dashboard!$B$2,4+1,1)&amp;""))</f>
        <v/>
      </c>
      <c r="F46" s="45">
        <f>IF($A46="","",SUMIFS(Data!$H$2:$H$25001,Data!$C$2:$C$25001,$A46,Data!$D$2:$D$25001,"Werken",Data!$A$2:$A$25001,"&gt;="&amp;DATE(Dashboard!$B$2,5,1)&amp;"",Data!$A$2:$A$25001,"&lt;"&amp;DATE(Dashboard!$B$2,5+1,1)&amp;""))</f>
        <v/>
      </c>
      <c r="G46" s="45">
        <f>IF($A46="","",SUMIFS(Data!$H$2:$H$25001,Data!$C$2:$C$25001,$A46,Data!$D$2:$D$25001,"Werken",Data!$A$2:$A$25001,"&gt;="&amp;DATE(Dashboard!$B$2,6,1)&amp;"",Data!$A$2:$A$25001,"&lt;"&amp;DATE(Dashboard!$B$2,6+1,1)&amp;""))</f>
        <v/>
      </c>
      <c r="H46" s="45">
        <f>IF($A46="","",SUMIFS(Data!$H$2:$H$25001,Data!$C$2:$C$25001,$A46,Data!$D$2:$D$25001,"Werken",Data!$A$2:$A$25001,"&gt;="&amp;DATE(Dashboard!$B$2,7,1)&amp;"",Data!$A$2:$A$25001,"&lt;"&amp;DATE(Dashboard!$B$2,7+1,1)&amp;""))</f>
        <v/>
      </c>
      <c r="I46" s="45">
        <f>IF($A46="","",SUMIFS(Data!$H$2:$H$25001,Data!$C$2:$C$25001,$A46,Data!$D$2:$D$25001,"Werken",Data!$A$2:$A$25001,"&gt;="&amp;DATE(Dashboard!$B$2,8,1)&amp;"",Data!$A$2:$A$25001,"&lt;"&amp;DATE(Dashboard!$B$2,8+1,1)&amp;""))</f>
        <v/>
      </c>
      <c r="J46" s="45">
        <f>IF($A46="","",SUMIFS(Data!$H$2:$H$25001,Data!$C$2:$C$25001,$A46,Data!$D$2:$D$25001,"Werken",Data!$A$2:$A$25001,"&gt;="&amp;DATE(Dashboard!$B$2,9,1)&amp;"",Data!$A$2:$A$25001,"&lt;"&amp;DATE(Dashboard!$B$2,9+1,1)&amp;""))</f>
        <v/>
      </c>
      <c r="K46" s="45">
        <f>IF($A46="","",SUMIFS(Data!$H$2:$H$25001,Data!$C$2:$C$25001,$A46,Data!$D$2:$D$25001,"Werken",Data!$A$2:$A$25001,"&gt;="&amp;DATE(Dashboard!$B$2,10,1)&amp;"",Data!$A$2:$A$25001,"&lt;"&amp;DATE(Dashboard!$B$2,10+1,1)&amp;""))</f>
        <v/>
      </c>
      <c r="L46" s="45">
        <f>IF($A46="","",SUMIFS(Data!$H$2:$H$25001,Data!$C$2:$C$25001,$A46,Data!$D$2:$D$25001,"Werken",Data!$A$2:$A$25001,"&gt;="&amp;DATE(Dashboard!$B$2,11,1)&amp;"",Data!$A$2:$A$25001,"&lt;"&amp;DATE(Dashboard!$B$2,11+1,1)&amp;""))</f>
        <v/>
      </c>
      <c r="M46" s="45">
        <f>IF($A46="","",SUMIFS(Data!$H$2:$H$25001,Data!$C$2:$C$25001,$A46,Data!$D$2:$D$25001,"Werken",Data!$A$2:$A$25001,"&gt;="&amp;DATE(Dashboard!$B$2,12,1)&amp;"",Data!$A$2:$A$25001,"&lt;"&amp;DATE(Dashboard!$B$2,12+1,1)&amp;""))</f>
        <v/>
      </c>
      <c r="N46" s="46">
        <f>IF($A46="","",SUM(B46:M46))</f>
        <v/>
      </c>
      <c r="O46" s="51" t="n"/>
      <c r="P46" s="52">
        <f>IF(OR($A46="",O46=""),"",N46*O46)</f>
        <v/>
      </c>
    </row>
    <row r="47" ht="15" customHeight="1" s="30">
      <c r="A47" s="49" t="n"/>
      <c r="B47" s="50">
        <f>IF($A47="","",SUMIFS(Data!$H$2:$H$25001,Data!$C$2:$C$25001,$A47,Data!$D$2:$D$25001,"Werken",Data!$A$2:$A$25001,"&gt;="&amp;DATE(Dashboard!$B$2,1,1)&amp;"",Data!$A$2:$A$25001,"&lt;"&amp;DATE(Dashboard!$B$2,1+1,1)&amp;""))</f>
        <v/>
      </c>
      <c r="C47" s="50">
        <f>IF($A47="","",SUMIFS(Data!$H$2:$H$25001,Data!$C$2:$C$25001,$A47,Data!$D$2:$D$25001,"Werken",Data!$A$2:$A$25001,"&gt;="&amp;DATE(Dashboard!$B$2,2,1)&amp;"",Data!$A$2:$A$25001,"&lt;"&amp;DATE(Dashboard!$B$2,2+1,1)&amp;""))</f>
        <v/>
      </c>
      <c r="D47" s="50">
        <f>IF($A47="","",SUMIFS(Data!$H$2:$H$25001,Data!$C$2:$C$25001,$A47,Data!$D$2:$D$25001,"Werken",Data!$A$2:$A$25001,"&gt;="&amp;DATE(Dashboard!$B$2,3,1)&amp;"",Data!$A$2:$A$25001,"&lt;"&amp;DATE(Dashboard!$B$2,3+1,1)&amp;""))</f>
        <v/>
      </c>
      <c r="E47" s="50">
        <f>IF($A47="","",SUMIFS(Data!$H$2:$H$25001,Data!$C$2:$C$25001,$A47,Data!$D$2:$D$25001,"Werken",Data!$A$2:$A$25001,"&gt;="&amp;DATE(Dashboard!$B$2,4,1)&amp;"",Data!$A$2:$A$25001,"&lt;"&amp;DATE(Dashboard!$B$2,4+1,1)&amp;""))</f>
        <v/>
      </c>
      <c r="F47" s="50">
        <f>IF($A47="","",SUMIFS(Data!$H$2:$H$25001,Data!$C$2:$C$25001,$A47,Data!$D$2:$D$25001,"Werken",Data!$A$2:$A$25001,"&gt;="&amp;DATE(Dashboard!$B$2,5,1)&amp;"",Data!$A$2:$A$25001,"&lt;"&amp;DATE(Dashboard!$B$2,5+1,1)&amp;""))</f>
        <v/>
      </c>
      <c r="G47" s="50">
        <f>IF($A47="","",SUMIFS(Data!$H$2:$H$25001,Data!$C$2:$C$25001,$A47,Data!$D$2:$D$25001,"Werken",Data!$A$2:$A$25001,"&gt;="&amp;DATE(Dashboard!$B$2,6,1)&amp;"",Data!$A$2:$A$25001,"&lt;"&amp;DATE(Dashboard!$B$2,6+1,1)&amp;""))</f>
        <v/>
      </c>
      <c r="H47" s="50">
        <f>IF($A47="","",SUMIFS(Data!$H$2:$H$25001,Data!$C$2:$C$25001,$A47,Data!$D$2:$D$25001,"Werken",Data!$A$2:$A$25001,"&gt;="&amp;DATE(Dashboard!$B$2,7,1)&amp;"",Data!$A$2:$A$25001,"&lt;"&amp;DATE(Dashboard!$B$2,7+1,1)&amp;""))</f>
        <v/>
      </c>
      <c r="I47" s="50">
        <f>IF($A47="","",SUMIFS(Data!$H$2:$H$25001,Data!$C$2:$C$25001,$A47,Data!$D$2:$D$25001,"Werken",Data!$A$2:$A$25001,"&gt;="&amp;DATE(Dashboard!$B$2,8,1)&amp;"",Data!$A$2:$A$25001,"&lt;"&amp;DATE(Dashboard!$B$2,8+1,1)&amp;""))</f>
        <v/>
      </c>
      <c r="J47" s="50">
        <f>IF($A47="","",SUMIFS(Data!$H$2:$H$25001,Data!$C$2:$C$25001,$A47,Data!$D$2:$D$25001,"Werken",Data!$A$2:$A$25001,"&gt;="&amp;DATE(Dashboard!$B$2,9,1)&amp;"",Data!$A$2:$A$25001,"&lt;"&amp;DATE(Dashboard!$B$2,9+1,1)&amp;""))</f>
        <v/>
      </c>
      <c r="K47" s="50">
        <f>IF($A47="","",SUMIFS(Data!$H$2:$H$25001,Data!$C$2:$C$25001,$A47,Data!$D$2:$D$25001,"Werken",Data!$A$2:$A$25001,"&gt;="&amp;DATE(Dashboard!$B$2,10,1)&amp;"",Data!$A$2:$A$25001,"&lt;"&amp;DATE(Dashboard!$B$2,10+1,1)&amp;""))</f>
        <v/>
      </c>
      <c r="L47" s="50">
        <f>IF($A47="","",SUMIFS(Data!$H$2:$H$25001,Data!$C$2:$C$25001,$A47,Data!$D$2:$D$25001,"Werken",Data!$A$2:$A$25001,"&gt;="&amp;DATE(Dashboard!$B$2,11,1)&amp;"",Data!$A$2:$A$25001,"&lt;"&amp;DATE(Dashboard!$B$2,11+1,1)&amp;""))</f>
        <v/>
      </c>
      <c r="M47" s="50">
        <f>IF($A47="","",SUMIFS(Data!$H$2:$H$25001,Data!$C$2:$C$25001,$A47,Data!$D$2:$D$25001,"Werken",Data!$A$2:$A$25001,"&gt;="&amp;DATE(Dashboard!$B$2,12,1)&amp;"",Data!$A$2:$A$25001,"&lt;"&amp;DATE(Dashboard!$B$2,12+1,1)&amp;""))</f>
        <v/>
      </c>
      <c r="N47" s="46">
        <f>IF($A47="","",SUM(B47:M47))</f>
        <v/>
      </c>
      <c r="O47" s="51" t="n"/>
      <c r="P47" s="52">
        <f>IF(OR($A47="",O47=""),"",N47*O47)</f>
        <v/>
      </c>
    </row>
    <row r="48" ht="15" customHeight="1" s="30">
      <c r="A48" s="49" t="n"/>
      <c r="B48" s="45">
        <f>IF($A48="","",SUMIFS(Data!$H$2:$H$25001,Data!$C$2:$C$25001,$A48,Data!$D$2:$D$25001,"Werken",Data!$A$2:$A$25001,"&gt;="&amp;DATE(Dashboard!$B$2,1,1)&amp;"",Data!$A$2:$A$25001,"&lt;"&amp;DATE(Dashboard!$B$2,1+1,1)&amp;""))</f>
        <v/>
      </c>
      <c r="C48" s="45">
        <f>IF($A48="","",SUMIFS(Data!$H$2:$H$25001,Data!$C$2:$C$25001,$A48,Data!$D$2:$D$25001,"Werken",Data!$A$2:$A$25001,"&gt;="&amp;DATE(Dashboard!$B$2,2,1)&amp;"",Data!$A$2:$A$25001,"&lt;"&amp;DATE(Dashboard!$B$2,2+1,1)&amp;""))</f>
        <v/>
      </c>
      <c r="D48" s="45">
        <f>IF($A48="","",SUMIFS(Data!$H$2:$H$25001,Data!$C$2:$C$25001,$A48,Data!$D$2:$D$25001,"Werken",Data!$A$2:$A$25001,"&gt;="&amp;DATE(Dashboard!$B$2,3,1)&amp;"",Data!$A$2:$A$25001,"&lt;"&amp;DATE(Dashboard!$B$2,3+1,1)&amp;""))</f>
        <v/>
      </c>
      <c r="E48" s="45">
        <f>IF($A48="","",SUMIFS(Data!$H$2:$H$25001,Data!$C$2:$C$25001,$A48,Data!$D$2:$D$25001,"Werken",Data!$A$2:$A$25001,"&gt;="&amp;DATE(Dashboard!$B$2,4,1)&amp;"",Data!$A$2:$A$25001,"&lt;"&amp;DATE(Dashboard!$B$2,4+1,1)&amp;""))</f>
        <v/>
      </c>
      <c r="F48" s="45">
        <f>IF($A48="","",SUMIFS(Data!$H$2:$H$25001,Data!$C$2:$C$25001,$A48,Data!$D$2:$D$25001,"Werken",Data!$A$2:$A$25001,"&gt;="&amp;DATE(Dashboard!$B$2,5,1)&amp;"",Data!$A$2:$A$25001,"&lt;"&amp;DATE(Dashboard!$B$2,5+1,1)&amp;""))</f>
        <v/>
      </c>
      <c r="G48" s="45">
        <f>IF($A48="","",SUMIFS(Data!$H$2:$H$25001,Data!$C$2:$C$25001,$A48,Data!$D$2:$D$25001,"Werken",Data!$A$2:$A$25001,"&gt;="&amp;DATE(Dashboard!$B$2,6,1)&amp;"",Data!$A$2:$A$25001,"&lt;"&amp;DATE(Dashboard!$B$2,6+1,1)&amp;""))</f>
        <v/>
      </c>
      <c r="H48" s="45">
        <f>IF($A48="","",SUMIFS(Data!$H$2:$H$25001,Data!$C$2:$C$25001,$A48,Data!$D$2:$D$25001,"Werken",Data!$A$2:$A$25001,"&gt;="&amp;DATE(Dashboard!$B$2,7,1)&amp;"",Data!$A$2:$A$25001,"&lt;"&amp;DATE(Dashboard!$B$2,7+1,1)&amp;""))</f>
        <v/>
      </c>
      <c r="I48" s="45">
        <f>IF($A48="","",SUMIFS(Data!$H$2:$H$25001,Data!$C$2:$C$25001,$A48,Data!$D$2:$D$25001,"Werken",Data!$A$2:$A$25001,"&gt;="&amp;DATE(Dashboard!$B$2,8,1)&amp;"",Data!$A$2:$A$25001,"&lt;"&amp;DATE(Dashboard!$B$2,8+1,1)&amp;""))</f>
        <v/>
      </c>
      <c r="J48" s="45">
        <f>IF($A48="","",SUMIFS(Data!$H$2:$H$25001,Data!$C$2:$C$25001,$A48,Data!$D$2:$D$25001,"Werken",Data!$A$2:$A$25001,"&gt;="&amp;DATE(Dashboard!$B$2,9,1)&amp;"",Data!$A$2:$A$25001,"&lt;"&amp;DATE(Dashboard!$B$2,9+1,1)&amp;""))</f>
        <v/>
      </c>
      <c r="K48" s="45">
        <f>IF($A48="","",SUMIFS(Data!$H$2:$H$25001,Data!$C$2:$C$25001,$A48,Data!$D$2:$D$25001,"Werken",Data!$A$2:$A$25001,"&gt;="&amp;DATE(Dashboard!$B$2,10,1)&amp;"",Data!$A$2:$A$25001,"&lt;"&amp;DATE(Dashboard!$B$2,10+1,1)&amp;""))</f>
        <v/>
      </c>
      <c r="L48" s="45">
        <f>IF($A48="","",SUMIFS(Data!$H$2:$H$25001,Data!$C$2:$C$25001,$A48,Data!$D$2:$D$25001,"Werken",Data!$A$2:$A$25001,"&gt;="&amp;DATE(Dashboard!$B$2,11,1)&amp;"",Data!$A$2:$A$25001,"&lt;"&amp;DATE(Dashboard!$B$2,11+1,1)&amp;""))</f>
        <v/>
      </c>
      <c r="M48" s="45">
        <f>IF($A48="","",SUMIFS(Data!$H$2:$H$25001,Data!$C$2:$C$25001,$A48,Data!$D$2:$D$25001,"Werken",Data!$A$2:$A$25001,"&gt;="&amp;DATE(Dashboard!$B$2,12,1)&amp;"",Data!$A$2:$A$25001,"&lt;"&amp;DATE(Dashboard!$B$2,12+1,1)&amp;""))</f>
        <v/>
      </c>
      <c r="N48" s="46">
        <f>IF($A48="","",SUM(B48:M48))</f>
        <v/>
      </c>
      <c r="O48" s="51" t="n"/>
      <c r="P48" s="52">
        <f>IF(OR($A48="",O48=""),"",N48*O48)</f>
        <v/>
      </c>
    </row>
    <row r="49" ht="15" customHeight="1" s="30">
      <c r="A49" s="49" t="n"/>
      <c r="B49" s="50">
        <f>IF($A49="","",SUMIFS(Data!$H$2:$H$25001,Data!$C$2:$C$25001,$A49,Data!$D$2:$D$25001,"Werken",Data!$A$2:$A$25001,"&gt;="&amp;DATE(Dashboard!$B$2,1,1)&amp;"",Data!$A$2:$A$25001,"&lt;"&amp;DATE(Dashboard!$B$2,1+1,1)&amp;""))</f>
        <v/>
      </c>
      <c r="C49" s="50">
        <f>IF($A49="","",SUMIFS(Data!$H$2:$H$25001,Data!$C$2:$C$25001,$A49,Data!$D$2:$D$25001,"Werken",Data!$A$2:$A$25001,"&gt;="&amp;DATE(Dashboard!$B$2,2,1)&amp;"",Data!$A$2:$A$25001,"&lt;"&amp;DATE(Dashboard!$B$2,2+1,1)&amp;""))</f>
        <v/>
      </c>
      <c r="D49" s="50">
        <f>IF($A49="","",SUMIFS(Data!$H$2:$H$25001,Data!$C$2:$C$25001,$A49,Data!$D$2:$D$25001,"Werken",Data!$A$2:$A$25001,"&gt;="&amp;DATE(Dashboard!$B$2,3,1)&amp;"",Data!$A$2:$A$25001,"&lt;"&amp;DATE(Dashboard!$B$2,3+1,1)&amp;""))</f>
        <v/>
      </c>
      <c r="E49" s="50">
        <f>IF($A49="","",SUMIFS(Data!$H$2:$H$25001,Data!$C$2:$C$25001,$A49,Data!$D$2:$D$25001,"Werken",Data!$A$2:$A$25001,"&gt;="&amp;DATE(Dashboard!$B$2,4,1)&amp;"",Data!$A$2:$A$25001,"&lt;"&amp;DATE(Dashboard!$B$2,4+1,1)&amp;""))</f>
        <v/>
      </c>
      <c r="F49" s="50">
        <f>IF($A49="","",SUMIFS(Data!$H$2:$H$25001,Data!$C$2:$C$25001,$A49,Data!$D$2:$D$25001,"Werken",Data!$A$2:$A$25001,"&gt;="&amp;DATE(Dashboard!$B$2,5,1)&amp;"",Data!$A$2:$A$25001,"&lt;"&amp;DATE(Dashboard!$B$2,5+1,1)&amp;""))</f>
        <v/>
      </c>
      <c r="G49" s="50">
        <f>IF($A49="","",SUMIFS(Data!$H$2:$H$25001,Data!$C$2:$C$25001,$A49,Data!$D$2:$D$25001,"Werken",Data!$A$2:$A$25001,"&gt;="&amp;DATE(Dashboard!$B$2,6,1)&amp;"",Data!$A$2:$A$25001,"&lt;"&amp;DATE(Dashboard!$B$2,6+1,1)&amp;""))</f>
        <v/>
      </c>
      <c r="H49" s="50">
        <f>IF($A49="","",SUMIFS(Data!$H$2:$H$25001,Data!$C$2:$C$25001,$A49,Data!$D$2:$D$25001,"Werken",Data!$A$2:$A$25001,"&gt;="&amp;DATE(Dashboard!$B$2,7,1)&amp;"",Data!$A$2:$A$25001,"&lt;"&amp;DATE(Dashboard!$B$2,7+1,1)&amp;""))</f>
        <v/>
      </c>
      <c r="I49" s="50">
        <f>IF($A49="","",SUMIFS(Data!$H$2:$H$25001,Data!$C$2:$C$25001,$A49,Data!$D$2:$D$25001,"Werken",Data!$A$2:$A$25001,"&gt;="&amp;DATE(Dashboard!$B$2,8,1)&amp;"",Data!$A$2:$A$25001,"&lt;"&amp;DATE(Dashboard!$B$2,8+1,1)&amp;""))</f>
        <v/>
      </c>
      <c r="J49" s="50">
        <f>IF($A49="","",SUMIFS(Data!$H$2:$H$25001,Data!$C$2:$C$25001,$A49,Data!$D$2:$D$25001,"Werken",Data!$A$2:$A$25001,"&gt;="&amp;DATE(Dashboard!$B$2,9,1)&amp;"",Data!$A$2:$A$25001,"&lt;"&amp;DATE(Dashboard!$B$2,9+1,1)&amp;""))</f>
        <v/>
      </c>
      <c r="K49" s="50">
        <f>IF($A49="","",SUMIFS(Data!$H$2:$H$25001,Data!$C$2:$C$25001,$A49,Data!$D$2:$D$25001,"Werken",Data!$A$2:$A$25001,"&gt;="&amp;DATE(Dashboard!$B$2,10,1)&amp;"",Data!$A$2:$A$25001,"&lt;"&amp;DATE(Dashboard!$B$2,10+1,1)&amp;""))</f>
        <v/>
      </c>
      <c r="L49" s="50">
        <f>IF($A49="","",SUMIFS(Data!$H$2:$H$25001,Data!$C$2:$C$25001,$A49,Data!$D$2:$D$25001,"Werken",Data!$A$2:$A$25001,"&gt;="&amp;DATE(Dashboard!$B$2,11,1)&amp;"",Data!$A$2:$A$25001,"&lt;"&amp;DATE(Dashboard!$B$2,11+1,1)&amp;""))</f>
        <v/>
      </c>
      <c r="M49" s="50">
        <f>IF($A49="","",SUMIFS(Data!$H$2:$H$25001,Data!$C$2:$C$25001,$A49,Data!$D$2:$D$25001,"Werken",Data!$A$2:$A$25001,"&gt;="&amp;DATE(Dashboard!$B$2,12,1)&amp;"",Data!$A$2:$A$25001,"&lt;"&amp;DATE(Dashboard!$B$2,12+1,1)&amp;""))</f>
        <v/>
      </c>
      <c r="N49" s="46">
        <f>IF($A49="","",SUM(B49:M49))</f>
        <v/>
      </c>
      <c r="O49" s="51" t="n"/>
      <c r="P49" s="52">
        <f>IF(OR($A49="",O49=""),"",N49*O49)</f>
        <v/>
      </c>
    </row>
    <row r="50" ht="15" customHeight="1" s="30">
      <c r="A50" s="49" t="n"/>
      <c r="B50" s="45">
        <f>IF($A50="","",SUMIFS(Data!$H$2:$H$25001,Data!$C$2:$C$25001,$A50,Data!$D$2:$D$25001,"Werken",Data!$A$2:$A$25001,"&gt;="&amp;DATE(Dashboard!$B$2,1,1)&amp;"",Data!$A$2:$A$25001,"&lt;"&amp;DATE(Dashboard!$B$2,1+1,1)&amp;""))</f>
        <v/>
      </c>
      <c r="C50" s="45">
        <f>IF($A50="","",SUMIFS(Data!$H$2:$H$25001,Data!$C$2:$C$25001,$A50,Data!$D$2:$D$25001,"Werken",Data!$A$2:$A$25001,"&gt;="&amp;DATE(Dashboard!$B$2,2,1)&amp;"",Data!$A$2:$A$25001,"&lt;"&amp;DATE(Dashboard!$B$2,2+1,1)&amp;""))</f>
        <v/>
      </c>
      <c r="D50" s="45">
        <f>IF($A50="","",SUMIFS(Data!$H$2:$H$25001,Data!$C$2:$C$25001,$A50,Data!$D$2:$D$25001,"Werken",Data!$A$2:$A$25001,"&gt;="&amp;DATE(Dashboard!$B$2,3,1)&amp;"",Data!$A$2:$A$25001,"&lt;"&amp;DATE(Dashboard!$B$2,3+1,1)&amp;""))</f>
        <v/>
      </c>
      <c r="E50" s="45">
        <f>IF($A50="","",SUMIFS(Data!$H$2:$H$25001,Data!$C$2:$C$25001,$A50,Data!$D$2:$D$25001,"Werken",Data!$A$2:$A$25001,"&gt;="&amp;DATE(Dashboard!$B$2,4,1)&amp;"",Data!$A$2:$A$25001,"&lt;"&amp;DATE(Dashboard!$B$2,4+1,1)&amp;""))</f>
        <v/>
      </c>
      <c r="F50" s="45">
        <f>IF($A50="","",SUMIFS(Data!$H$2:$H$25001,Data!$C$2:$C$25001,$A50,Data!$D$2:$D$25001,"Werken",Data!$A$2:$A$25001,"&gt;="&amp;DATE(Dashboard!$B$2,5,1)&amp;"",Data!$A$2:$A$25001,"&lt;"&amp;DATE(Dashboard!$B$2,5+1,1)&amp;""))</f>
        <v/>
      </c>
      <c r="G50" s="45">
        <f>IF($A50="","",SUMIFS(Data!$H$2:$H$25001,Data!$C$2:$C$25001,$A50,Data!$D$2:$D$25001,"Werken",Data!$A$2:$A$25001,"&gt;="&amp;DATE(Dashboard!$B$2,6,1)&amp;"",Data!$A$2:$A$25001,"&lt;"&amp;DATE(Dashboard!$B$2,6+1,1)&amp;""))</f>
        <v/>
      </c>
      <c r="H50" s="45">
        <f>IF($A50="","",SUMIFS(Data!$H$2:$H$25001,Data!$C$2:$C$25001,$A50,Data!$D$2:$D$25001,"Werken",Data!$A$2:$A$25001,"&gt;="&amp;DATE(Dashboard!$B$2,7,1)&amp;"",Data!$A$2:$A$25001,"&lt;"&amp;DATE(Dashboard!$B$2,7+1,1)&amp;""))</f>
        <v/>
      </c>
      <c r="I50" s="45">
        <f>IF($A50="","",SUMIFS(Data!$H$2:$H$25001,Data!$C$2:$C$25001,$A50,Data!$D$2:$D$25001,"Werken",Data!$A$2:$A$25001,"&gt;="&amp;DATE(Dashboard!$B$2,8,1)&amp;"",Data!$A$2:$A$25001,"&lt;"&amp;DATE(Dashboard!$B$2,8+1,1)&amp;""))</f>
        <v/>
      </c>
      <c r="J50" s="45">
        <f>IF($A50="","",SUMIFS(Data!$H$2:$H$25001,Data!$C$2:$C$25001,$A50,Data!$D$2:$D$25001,"Werken",Data!$A$2:$A$25001,"&gt;="&amp;DATE(Dashboard!$B$2,9,1)&amp;"",Data!$A$2:$A$25001,"&lt;"&amp;DATE(Dashboard!$B$2,9+1,1)&amp;""))</f>
        <v/>
      </c>
      <c r="K50" s="45">
        <f>IF($A50="","",SUMIFS(Data!$H$2:$H$25001,Data!$C$2:$C$25001,$A50,Data!$D$2:$D$25001,"Werken",Data!$A$2:$A$25001,"&gt;="&amp;DATE(Dashboard!$B$2,10,1)&amp;"",Data!$A$2:$A$25001,"&lt;"&amp;DATE(Dashboard!$B$2,10+1,1)&amp;""))</f>
        <v/>
      </c>
      <c r="L50" s="45">
        <f>IF($A50="","",SUMIFS(Data!$H$2:$H$25001,Data!$C$2:$C$25001,$A50,Data!$D$2:$D$25001,"Werken",Data!$A$2:$A$25001,"&gt;="&amp;DATE(Dashboard!$B$2,11,1)&amp;"",Data!$A$2:$A$25001,"&lt;"&amp;DATE(Dashboard!$B$2,11+1,1)&amp;""))</f>
        <v/>
      </c>
      <c r="M50" s="45">
        <f>IF($A50="","",SUMIFS(Data!$H$2:$H$25001,Data!$C$2:$C$25001,$A50,Data!$D$2:$D$25001,"Werken",Data!$A$2:$A$25001,"&gt;="&amp;DATE(Dashboard!$B$2,12,1)&amp;"",Data!$A$2:$A$25001,"&lt;"&amp;DATE(Dashboard!$B$2,12+1,1)&amp;""))</f>
        <v/>
      </c>
      <c r="N50" s="46">
        <f>IF($A50="","",SUM(B50:M50))</f>
        <v/>
      </c>
      <c r="O50" s="51" t="n"/>
      <c r="P50" s="52">
        <f>IF(OR($A50="",O50=""),"",N50*O50)</f>
        <v/>
      </c>
    </row>
    <row r="51" ht="15" customHeight="1" s="30">
      <c r="A51" s="49" t="n"/>
      <c r="B51" s="50">
        <f>IF($A51="","",SUMIFS(Data!$H$2:$H$25001,Data!$C$2:$C$25001,$A51,Data!$D$2:$D$25001,"Werken",Data!$A$2:$A$25001,"&gt;="&amp;DATE(Dashboard!$B$2,1,1)&amp;"",Data!$A$2:$A$25001,"&lt;"&amp;DATE(Dashboard!$B$2,1+1,1)&amp;""))</f>
        <v/>
      </c>
      <c r="C51" s="50">
        <f>IF($A51="","",SUMIFS(Data!$H$2:$H$25001,Data!$C$2:$C$25001,$A51,Data!$D$2:$D$25001,"Werken",Data!$A$2:$A$25001,"&gt;="&amp;DATE(Dashboard!$B$2,2,1)&amp;"",Data!$A$2:$A$25001,"&lt;"&amp;DATE(Dashboard!$B$2,2+1,1)&amp;""))</f>
        <v/>
      </c>
      <c r="D51" s="50">
        <f>IF($A51="","",SUMIFS(Data!$H$2:$H$25001,Data!$C$2:$C$25001,$A51,Data!$D$2:$D$25001,"Werken",Data!$A$2:$A$25001,"&gt;="&amp;DATE(Dashboard!$B$2,3,1)&amp;"",Data!$A$2:$A$25001,"&lt;"&amp;DATE(Dashboard!$B$2,3+1,1)&amp;""))</f>
        <v/>
      </c>
      <c r="E51" s="50">
        <f>IF($A51="","",SUMIFS(Data!$H$2:$H$25001,Data!$C$2:$C$25001,$A51,Data!$D$2:$D$25001,"Werken",Data!$A$2:$A$25001,"&gt;="&amp;DATE(Dashboard!$B$2,4,1)&amp;"",Data!$A$2:$A$25001,"&lt;"&amp;DATE(Dashboard!$B$2,4+1,1)&amp;""))</f>
        <v/>
      </c>
      <c r="F51" s="50">
        <f>IF($A51="","",SUMIFS(Data!$H$2:$H$25001,Data!$C$2:$C$25001,$A51,Data!$D$2:$D$25001,"Werken",Data!$A$2:$A$25001,"&gt;="&amp;DATE(Dashboard!$B$2,5,1)&amp;"",Data!$A$2:$A$25001,"&lt;"&amp;DATE(Dashboard!$B$2,5+1,1)&amp;""))</f>
        <v/>
      </c>
      <c r="G51" s="50">
        <f>IF($A51="","",SUMIFS(Data!$H$2:$H$25001,Data!$C$2:$C$25001,$A51,Data!$D$2:$D$25001,"Werken",Data!$A$2:$A$25001,"&gt;="&amp;DATE(Dashboard!$B$2,6,1)&amp;"",Data!$A$2:$A$25001,"&lt;"&amp;DATE(Dashboard!$B$2,6+1,1)&amp;""))</f>
        <v/>
      </c>
      <c r="H51" s="50">
        <f>IF($A51="","",SUMIFS(Data!$H$2:$H$25001,Data!$C$2:$C$25001,$A51,Data!$D$2:$D$25001,"Werken",Data!$A$2:$A$25001,"&gt;="&amp;DATE(Dashboard!$B$2,7,1)&amp;"",Data!$A$2:$A$25001,"&lt;"&amp;DATE(Dashboard!$B$2,7+1,1)&amp;""))</f>
        <v/>
      </c>
      <c r="I51" s="50">
        <f>IF($A51="","",SUMIFS(Data!$H$2:$H$25001,Data!$C$2:$C$25001,$A51,Data!$D$2:$D$25001,"Werken",Data!$A$2:$A$25001,"&gt;="&amp;DATE(Dashboard!$B$2,8,1)&amp;"",Data!$A$2:$A$25001,"&lt;"&amp;DATE(Dashboard!$B$2,8+1,1)&amp;""))</f>
        <v/>
      </c>
      <c r="J51" s="50">
        <f>IF($A51="","",SUMIFS(Data!$H$2:$H$25001,Data!$C$2:$C$25001,$A51,Data!$D$2:$D$25001,"Werken",Data!$A$2:$A$25001,"&gt;="&amp;DATE(Dashboard!$B$2,9,1)&amp;"",Data!$A$2:$A$25001,"&lt;"&amp;DATE(Dashboard!$B$2,9+1,1)&amp;""))</f>
        <v/>
      </c>
      <c r="K51" s="50">
        <f>IF($A51="","",SUMIFS(Data!$H$2:$H$25001,Data!$C$2:$C$25001,$A51,Data!$D$2:$D$25001,"Werken",Data!$A$2:$A$25001,"&gt;="&amp;DATE(Dashboard!$B$2,10,1)&amp;"",Data!$A$2:$A$25001,"&lt;"&amp;DATE(Dashboard!$B$2,10+1,1)&amp;""))</f>
        <v/>
      </c>
      <c r="L51" s="50">
        <f>IF($A51="","",SUMIFS(Data!$H$2:$H$25001,Data!$C$2:$C$25001,$A51,Data!$D$2:$D$25001,"Werken",Data!$A$2:$A$25001,"&gt;="&amp;DATE(Dashboard!$B$2,11,1)&amp;"",Data!$A$2:$A$25001,"&lt;"&amp;DATE(Dashboard!$B$2,11+1,1)&amp;""))</f>
        <v/>
      </c>
      <c r="M51" s="50">
        <f>IF($A51="","",SUMIFS(Data!$H$2:$H$25001,Data!$C$2:$C$25001,$A51,Data!$D$2:$D$25001,"Werken",Data!$A$2:$A$25001,"&gt;="&amp;DATE(Dashboard!$B$2,12,1)&amp;"",Data!$A$2:$A$25001,"&lt;"&amp;DATE(Dashboard!$B$2,12+1,1)&amp;""))</f>
        <v/>
      </c>
      <c r="N51" s="46">
        <f>IF($A51="","",SUM(B51:M51))</f>
        <v/>
      </c>
      <c r="O51" s="51" t="n"/>
      <c r="P51" s="52">
        <f>IF(OR($A51="",O51=""),"",N51*O51)</f>
        <v/>
      </c>
    </row>
    <row r="52" ht="15" customHeight="1" s="30">
      <c r="A52" s="49" t="n"/>
      <c r="B52" s="45">
        <f>IF($A52="","",SUMIFS(Data!$H$2:$H$25001,Data!$C$2:$C$25001,$A52,Data!$D$2:$D$25001,"Werken",Data!$A$2:$A$25001,"&gt;="&amp;DATE(Dashboard!$B$2,1,1)&amp;"",Data!$A$2:$A$25001,"&lt;"&amp;DATE(Dashboard!$B$2,1+1,1)&amp;""))</f>
        <v/>
      </c>
      <c r="C52" s="45">
        <f>IF($A52="","",SUMIFS(Data!$H$2:$H$25001,Data!$C$2:$C$25001,$A52,Data!$D$2:$D$25001,"Werken",Data!$A$2:$A$25001,"&gt;="&amp;DATE(Dashboard!$B$2,2,1)&amp;"",Data!$A$2:$A$25001,"&lt;"&amp;DATE(Dashboard!$B$2,2+1,1)&amp;""))</f>
        <v/>
      </c>
      <c r="D52" s="45">
        <f>IF($A52="","",SUMIFS(Data!$H$2:$H$25001,Data!$C$2:$C$25001,$A52,Data!$D$2:$D$25001,"Werken",Data!$A$2:$A$25001,"&gt;="&amp;DATE(Dashboard!$B$2,3,1)&amp;"",Data!$A$2:$A$25001,"&lt;"&amp;DATE(Dashboard!$B$2,3+1,1)&amp;""))</f>
        <v/>
      </c>
      <c r="E52" s="45">
        <f>IF($A52="","",SUMIFS(Data!$H$2:$H$25001,Data!$C$2:$C$25001,$A52,Data!$D$2:$D$25001,"Werken",Data!$A$2:$A$25001,"&gt;="&amp;DATE(Dashboard!$B$2,4,1)&amp;"",Data!$A$2:$A$25001,"&lt;"&amp;DATE(Dashboard!$B$2,4+1,1)&amp;""))</f>
        <v/>
      </c>
      <c r="F52" s="45">
        <f>IF($A52="","",SUMIFS(Data!$H$2:$H$25001,Data!$C$2:$C$25001,$A52,Data!$D$2:$D$25001,"Werken",Data!$A$2:$A$25001,"&gt;="&amp;DATE(Dashboard!$B$2,5,1)&amp;"",Data!$A$2:$A$25001,"&lt;"&amp;DATE(Dashboard!$B$2,5+1,1)&amp;""))</f>
        <v/>
      </c>
      <c r="G52" s="45">
        <f>IF($A52="","",SUMIFS(Data!$H$2:$H$25001,Data!$C$2:$C$25001,$A52,Data!$D$2:$D$25001,"Werken",Data!$A$2:$A$25001,"&gt;="&amp;DATE(Dashboard!$B$2,6,1)&amp;"",Data!$A$2:$A$25001,"&lt;"&amp;DATE(Dashboard!$B$2,6+1,1)&amp;""))</f>
        <v/>
      </c>
      <c r="H52" s="45">
        <f>IF($A52="","",SUMIFS(Data!$H$2:$H$25001,Data!$C$2:$C$25001,$A52,Data!$D$2:$D$25001,"Werken",Data!$A$2:$A$25001,"&gt;="&amp;DATE(Dashboard!$B$2,7,1)&amp;"",Data!$A$2:$A$25001,"&lt;"&amp;DATE(Dashboard!$B$2,7+1,1)&amp;""))</f>
        <v/>
      </c>
      <c r="I52" s="45">
        <f>IF($A52="","",SUMIFS(Data!$H$2:$H$25001,Data!$C$2:$C$25001,$A52,Data!$D$2:$D$25001,"Werken",Data!$A$2:$A$25001,"&gt;="&amp;DATE(Dashboard!$B$2,8,1)&amp;"",Data!$A$2:$A$25001,"&lt;"&amp;DATE(Dashboard!$B$2,8+1,1)&amp;""))</f>
        <v/>
      </c>
      <c r="J52" s="45">
        <f>IF($A52="","",SUMIFS(Data!$H$2:$H$25001,Data!$C$2:$C$25001,$A52,Data!$D$2:$D$25001,"Werken",Data!$A$2:$A$25001,"&gt;="&amp;DATE(Dashboard!$B$2,9,1)&amp;"",Data!$A$2:$A$25001,"&lt;"&amp;DATE(Dashboard!$B$2,9+1,1)&amp;""))</f>
        <v/>
      </c>
      <c r="K52" s="45">
        <f>IF($A52="","",SUMIFS(Data!$H$2:$H$25001,Data!$C$2:$C$25001,$A52,Data!$D$2:$D$25001,"Werken",Data!$A$2:$A$25001,"&gt;="&amp;DATE(Dashboard!$B$2,10,1)&amp;"",Data!$A$2:$A$25001,"&lt;"&amp;DATE(Dashboard!$B$2,10+1,1)&amp;""))</f>
        <v/>
      </c>
      <c r="L52" s="45">
        <f>IF($A52="","",SUMIFS(Data!$H$2:$H$25001,Data!$C$2:$C$25001,$A52,Data!$D$2:$D$25001,"Werken",Data!$A$2:$A$25001,"&gt;="&amp;DATE(Dashboard!$B$2,11,1)&amp;"",Data!$A$2:$A$25001,"&lt;"&amp;DATE(Dashboard!$B$2,11+1,1)&amp;""))</f>
        <v/>
      </c>
      <c r="M52" s="45">
        <f>IF($A52="","",SUMIFS(Data!$H$2:$H$25001,Data!$C$2:$C$25001,$A52,Data!$D$2:$D$25001,"Werken",Data!$A$2:$A$25001,"&gt;="&amp;DATE(Dashboard!$B$2,12,1)&amp;"",Data!$A$2:$A$25001,"&lt;"&amp;DATE(Dashboard!$B$2,12+1,1)&amp;""))</f>
        <v/>
      </c>
      <c r="N52" s="46">
        <f>IF($A52="","",SUM(B52:M52))</f>
        <v/>
      </c>
      <c r="O52" s="51" t="n"/>
      <c r="P52" s="52">
        <f>IF(OR($A52="",O52=""),"",N52*O52)</f>
        <v/>
      </c>
    </row>
    <row r="53" ht="15" customHeight="1" s="30">
      <c r="A53" s="49" t="n"/>
      <c r="B53" s="50">
        <f>IF($A53="","",SUMIFS(Data!$H$2:$H$25001,Data!$C$2:$C$25001,$A53,Data!$D$2:$D$25001,"Werken",Data!$A$2:$A$25001,"&gt;="&amp;DATE(Dashboard!$B$2,1,1)&amp;"",Data!$A$2:$A$25001,"&lt;"&amp;DATE(Dashboard!$B$2,1+1,1)&amp;""))</f>
        <v/>
      </c>
      <c r="C53" s="50">
        <f>IF($A53="","",SUMIFS(Data!$H$2:$H$25001,Data!$C$2:$C$25001,$A53,Data!$D$2:$D$25001,"Werken",Data!$A$2:$A$25001,"&gt;="&amp;DATE(Dashboard!$B$2,2,1)&amp;"",Data!$A$2:$A$25001,"&lt;"&amp;DATE(Dashboard!$B$2,2+1,1)&amp;""))</f>
        <v/>
      </c>
      <c r="D53" s="50">
        <f>IF($A53="","",SUMIFS(Data!$H$2:$H$25001,Data!$C$2:$C$25001,$A53,Data!$D$2:$D$25001,"Werken",Data!$A$2:$A$25001,"&gt;="&amp;DATE(Dashboard!$B$2,3,1)&amp;"",Data!$A$2:$A$25001,"&lt;"&amp;DATE(Dashboard!$B$2,3+1,1)&amp;""))</f>
        <v/>
      </c>
      <c r="E53" s="50">
        <f>IF($A53="","",SUMIFS(Data!$H$2:$H$25001,Data!$C$2:$C$25001,$A53,Data!$D$2:$D$25001,"Werken",Data!$A$2:$A$25001,"&gt;="&amp;DATE(Dashboard!$B$2,4,1)&amp;"",Data!$A$2:$A$25001,"&lt;"&amp;DATE(Dashboard!$B$2,4+1,1)&amp;""))</f>
        <v/>
      </c>
      <c r="F53" s="50">
        <f>IF($A53="","",SUMIFS(Data!$H$2:$H$25001,Data!$C$2:$C$25001,$A53,Data!$D$2:$D$25001,"Werken",Data!$A$2:$A$25001,"&gt;="&amp;DATE(Dashboard!$B$2,5,1)&amp;"",Data!$A$2:$A$25001,"&lt;"&amp;DATE(Dashboard!$B$2,5+1,1)&amp;""))</f>
        <v/>
      </c>
      <c r="G53" s="50">
        <f>IF($A53="","",SUMIFS(Data!$H$2:$H$25001,Data!$C$2:$C$25001,$A53,Data!$D$2:$D$25001,"Werken",Data!$A$2:$A$25001,"&gt;="&amp;DATE(Dashboard!$B$2,6,1)&amp;"",Data!$A$2:$A$25001,"&lt;"&amp;DATE(Dashboard!$B$2,6+1,1)&amp;""))</f>
        <v/>
      </c>
      <c r="H53" s="50">
        <f>IF($A53="","",SUMIFS(Data!$H$2:$H$25001,Data!$C$2:$C$25001,$A53,Data!$D$2:$D$25001,"Werken",Data!$A$2:$A$25001,"&gt;="&amp;DATE(Dashboard!$B$2,7,1)&amp;"",Data!$A$2:$A$25001,"&lt;"&amp;DATE(Dashboard!$B$2,7+1,1)&amp;""))</f>
        <v/>
      </c>
      <c r="I53" s="50">
        <f>IF($A53="","",SUMIFS(Data!$H$2:$H$25001,Data!$C$2:$C$25001,$A53,Data!$D$2:$D$25001,"Werken",Data!$A$2:$A$25001,"&gt;="&amp;DATE(Dashboard!$B$2,8,1)&amp;"",Data!$A$2:$A$25001,"&lt;"&amp;DATE(Dashboard!$B$2,8+1,1)&amp;""))</f>
        <v/>
      </c>
      <c r="J53" s="50">
        <f>IF($A53="","",SUMIFS(Data!$H$2:$H$25001,Data!$C$2:$C$25001,$A53,Data!$D$2:$D$25001,"Werken",Data!$A$2:$A$25001,"&gt;="&amp;DATE(Dashboard!$B$2,9,1)&amp;"",Data!$A$2:$A$25001,"&lt;"&amp;DATE(Dashboard!$B$2,9+1,1)&amp;""))</f>
        <v/>
      </c>
      <c r="K53" s="50">
        <f>IF($A53="","",SUMIFS(Data!$H$2:$H$25001,Data!$C$2:$C$25001,$A53,Data!$D$2:$D$25001,"Werken",Data!$A$2:$A$25001,"&gt;="&amp;DATE(Dashboard!$B$2,10,1)&amp;"",Data!$A$2:$A$25001,"&lt;"&amp;DATE(Dashboard!$B$2,10+1,1)&amp;""))</f>
        <v/>
      </c>
      <c r="L53" s="50">
        <f>IF($A53="","",SUMIFS(Data!$H$2:$H$25001,Data!$C$2:$C$25001,$A53,Data!$D$2:$D$25001,"Werken",Data!$A$2:$A$25001,"&gt;="&amp;DATE(Dashboard!$B$2,11,1)&amp;"",Data!$A$2:$A$25001,"&lt;"&amp;DATE(Dashboard!$B$2,11+1,1)&amp;""))</f>
        <v/>
      </c>
      <c r="M53" s="50">
        <f>IF($A53="","",SUMIFS(Data!$H$2:$H$25001,Data!$C$2:$C$25001,$A53,Data!$D$2:$D$25001,"Werken",Data!$A$2:$A$25001,"&gt;="&amp;DATE(Dashboard!$B$2,12,1)&amp;"",Data!$A$2:$A$25001,"&lt;"&amp;DATE(Dashboard!$B$2,12+1,1)&amp;""))</f>
        <v/>
      </c>
      <c r="N53" s="46">
        <f>IF($A53="","",SUM(B53:M53))</f>
        <v/>
      </c>
      <c r="O53" s="51" t="n"/>
      <c r="P53" s="52">
        <f>IF(OR($A53="",O53=""),"",N53*O53)</f>
        <v/>
      </c>
    </row>
    <row r="54" ht="15" customHeight="1" s="30">
      <c r="A54" s="49" t="n"/>
      <c r="B54" s="45">
        <f>IF($A54="","",SUMIFS(Data!$H$2:$H$25001,Data!$C$2:$C$25001,$A54,Data!$D$2:$D$25001,"Werken",Data!$A$2:$A$25001,"&gt;="&amp;DATE(Dashboard!$B$2,1,1)&amp;"",Data!$A$2:$A$25001,"&lt;"&amp;DATE(Dashboard!$B$2,1+1,1)&amp;""))</f>
        <v/>
      </c>
      <c r="C54" s="45">
        <f>IF($A54="","",SUMIFS(Data!$H$2:$H$25001,Data!$C$2:$C$25001,$A54,Data!$D$2:$D$25001,"Werken",Data!$A$2:$A$25001,"&gt;="&amp;DATE(Dashboard!$B$2,2,1)&amp;"",Data!$A$2:$A$25001,"&lt;"&amp;DATE(Dashboard!$B$2,2+1,1)&amp;""))</f>
        <v/>
      </c>
      <c r="D54" s="45">
        <f>IF($A54="","",SUMIFS(Data!$H$2:$H$25001,Data!$C$2:$C$25001,$A54,Data!$D$2:$D$25001,"Werken",Data!$A$2:$A$25001,"&gt;="&amp;DATE(Dashboard!$B$2,3,1)&amp;"",Data!$A$2:$A$25001,"&lt;"&amp;DATE(Dashboard!$B$2,3+1,1)&amp;""))</f>
        <v/>
      </c>
      <c r="E54" s="45">
        <f>IF($A54="","",SUMIFS(Data!$H$2:$H$25001,Data!$C$2:$C$25001,$A54,Data!$D$2:$D$25001,"Werken",Data!$A$2:$A$25001,"&gt;="&amp;DATE(Dashboard!$B$2,4,1)&amp;"",Data!$A$2:$A$25001,"&lt;"&amp;DATE(Dashboard!$B$2,4+1,1)&amp;""))</f>
        <v/>
      </c>
      <c r="F54" s="45">
        <f>IF($A54="","",SUMIFS(Data!$H$2:$H$25001,Data!$C$2:$C$25001,$A54,Data!$D$2:$D$25001,"Werken",Data!$A$2:$A$25001,"&gt;="&amp;DATE(Dashboard!$B$2,5,1)&amp;"",Data!$A$2:$A$25001,"&lt;"&amp;DATE(Dashboard!$B$2,5+1,1)&amp;""))</f>
        <v/>
      </c>
      <c r="G54" s="45">
        <f>IF($A54="","",SUMIFS(Data!$H$2:$H$25001,Data!$C$2:$C$25001,$A54,Data!$D$2:$D$25001,"Werken",Data!$A$2:$A$25001,"&gt;="&amp;DATE(Dashboard!$B$2,6,1)&amp;"",Data!$A$2:$A$25001,"&lt;"&amp;DATE(Dashboard!$B$2,6+1,1)&amp;""))</f>
        <v/>
      </c>
      <c r="H54" s="45">
        <f>IF($A54="","",SUMIFS(Data!$H$2:$H$25001,Data!$C$2:$C$25001,$A54,Data!$D$2:$D$25001,"Werken",Data!$A$2:$A$25001,"&gt;="&amp;DATE(Dashboard!$B$2,7,1)&amp;"",Data!$A$2:$A$25001,"&lt;"&amp;DATE(Dashboard!$B$2,7+1,1)&amp;""))</f>
        <v/>
      </c>
      <c r="I54" s="45">
        <f>IF($A54="","",SUMIFS(Data!$H$2:$H$25001,Data!$C$2:$C$25001,$A54,Data!$D$2:$D$25001,"Werken",Data!$A$2:$A$25001,"&gt;="&amp;DATE(Dashboard!$B$2,8,1)&amp;"",Data!$A$2:$A$25001,"&lt;"&amp;DATE(Dashboard!$B$2,8+1,1)&amp;""))</f>
        <v/>
      </c>
      <c r="J54" s="45">
        <f>IF($A54="","",SUMIFS(Data!$H$2:$H$25001,Data!$C$2:$C$25001,$A54,Data!$D$2:$D$25001,"Werken",Data!$A$2:$A$25001,"&gt;="&amp;DATE(Dashboard!$B$2,9,1)&amp;"",Data!$A$2:$A$25001,"&lt;"&amp;DATE(Dashboard!$B$2,9+1,1)&amp;""))</f>
        <v/>
      </c>
      <c r="K54" s="45">
        <f>IF($A54="","",SUMIFS(Data!$H$2:$H$25001,Data!$C$2:$C$25001,$A54,Data!$D$2:$D$25001,"Werken",Data!$A$2:$A$25001,"&gt;="&amp;DATE(Dashboard!$B$2,10,1)&amp;"",Data!$A$2:$A$25001,"&lt;"&amp;DATE(Dashboard!$B$2,10+1,1)&amp;""))</f>
        <v/>
      </c>
      <c r="L54" s="45">
        <f>IF($A54="","",SUMIFS(Data!$H$2:$H$25001,Data!$C$2:$C$25001,$A54,Data!$D$2:$D$25001,"Werken",Data!$A$2:$A$25001,"&gt;="&amp;DATE(Dashboard!$B$2,11,1)&amp;"",Data!$A$2:$A$25001,"&lt;"&amp;DATE(Dashboard!$B$2,11+1,1)&amp;""))</f>
        <v/>
      </c>
      <c r="M54" s="45">
        <f>IF($A54="","",SUMIFS(Data!$H$2:$H$25001,Data!$C$2:$C$25001,$A54,Data!$D$2:$D$25001,"Werken",Data!$A$2:$A$25001,"&gt;="&amp;DATE(Dashboard!$B$2,12,1)&amp;"",Data!$A$2:$A$25001,"&lt;"&amp;DATE(Dashboard!$B$2,12+1,1)&amp;""))</f>
        <v/>
      </c>
      <c r="N54" s="46">
        <f>IF($A54="","",SUM(B54:M54))</f>
        <v/>
      </c>
      <c r="O54" s="51" t="n"/>
      <c r="P54" s="52">
        <f>IF(OR($A54="",O54=""),"",N54*O54)</f>
        <v/>
      </c>
    </row>
    <row r="55" ht="15" customHeight="1" s="30">
      <c r="A55" s="49" t="n"/>
      <c r="B55" s="50">
        <f>IF($A55="","",SUMIFS(Data!$H$2:$H$25001,Data!$C$2:$C$25001,$A55,Data!$D$2:$D$25001,"Werken",Data!$A$2:$A$25001,"&gt;="&amp;DATE(Dashboard!$B$2,1,1)&amp;"",Data!$A$2:$A$25001,"&lt;"&amp;DATE(Dashboard!$B$2,1+1,1)&amp;""))</f>
        <v/>
      </c>
      <c r="C55" s="50">
        <f>IF($A55="","",SUMIFS(Data!$H$2:$H$25001,Data!$C$2:$C$25001,$A55,Data!$D$2:$D$25001,"Werken",Data!$A$2:$A$25001,"&gt;="&amp;DATE(Dashboard!$B$2,2,1)&amp;"",Data!$A$2:$A$25001,"&lt;"&amp;DATE(Dashboard!$B$2,2+1,1)&amp;""))</f>
        <v/>
      </c>
      <c r="D55" s="50">
        <f>IF($A55="","",SUMIFS(Data!$H$2:$H$25001,Data!$C$2:$C$25001,$A55,Data!$D$2:$D$25001,"Werken",Data!$A$2:$A$25001,"&gt;="&amp;DATE(Dashboard!$B$2,3,1)&amp;"",Data!$A$2:$A$25001,"&lt;"&amp;DATE(Dashboard!$B$2,3+1,1)&amp;""))</f>
        <v/>
      </c>
      <c r="E55" s="50">
        <f>IF($A55="","",SUMIFS(Data!$H$2:$H$25001,Data!$C$2:$C$25001,$A55,Data!$D$2:$D$25001,"Werken",Data!$A$2:$A$25001,"&gt;="&amp;DATE(Dashboard!$B$2,4,1)&amp;"",Data!$A$2:$A$25001,"&lt;"&amp;DATE(Dashboard!$B$2,4+1,1)&amp;""))</f>
        <v/>
      </c>
      <c r="F55" s="50">
        <f>IF($A55="","",SUMIFS(Data!$H$2:$H$25001,Data!$C$2:$C$25001,$A55,Data!$D$2:$D$25001,"Werken",Data!$A$2:$A$25001,"&gt;="&amp;DATE(Dashboard!$B$2,5,1)&amp;"",Data!$A$2:$A$25001,"&lt;"&amp;DATE(Dashboard!$B$2,5+1,1)&amp;""))</f>
        <v/>
      </c>
      <c r="G55" s="50">
        <f>IF($A55="","",SUMIFS(Data!$H$2:$H$25001,Data!$C$2:$C$25001,$A55,Data!$D$2:$D$25001,"Werken",Data!$A$2:$A$25001,"&gt;="&amp;DATE(Dashboard!$B$2,6,1)&amp;"",Data!$A$2:$A$25001,"&lt;"&amp;DATE(Dashboard!$B$2,6+1,1)&amp;""))</f>
        <v/>
      </c>
      <c r="H55" s="50">
        <f>IF($A55="","",SUMIFS(Data!$H$2:$H$25001,Data!$C$2:$C$25001,$A55,Data!$D$2:$D$25001,"Werken",Data!$A$2:$A$25001,"&gt;="&amp;DATE(Dashboard!$B$2,7,1)&amp;"",Data!$A$2:$A$25001,"&lt;"&amp;DATE(Dashboard!$B$2,7+1,1)&amp;""))</f>
        <v/>
      </c>
      <c r="I55" s="50">
        <f>IF($A55="","",SUMIFS(Data!$H$2:$H$25001,Data!$C$2:$C$25001,$A55,Data!$D$2:$D$25001,"Werken",Data!$A$2:$A$25001,"&gt;="&amp;DATE(Dashboard!$B$2,8,1)&amp;"",Data!$A$2:$A$25001,"&lt;"&amp;DATE(Dashboard!$B$2,8+1,1)&amp;""))</f>
        <v/>
      </c>
      <c r="J55" s="50">
        <f>IF($A55="","",SUMIFS(Data!$H$2:$H$25001,Data!$C$2:$C$25001,$A55,Data!$D$2:$D$25001,"Werken",Data!$A$2:$A$25001,"&gt;="&amp;DATE(Dashboard!$B$2,9,1)&amp;"",Data!$A$2:$A$25001,"&lt;"&amp;DATE(Dashboard!$B$2,9+1,1)&amp;""))</f>
        <v/>
      </c>
      <c r="K55" s="50">
        <f>IF($A55="","",SUMIFS(Data!$H$2:$H$25001,Data!$C$2:$C$25001,$A55,Data!$D$2:$D$25001,"Werken",Data!$A$2:$A$25001,"&gt;="&amp;DATE(Dashboard!$B$2,10,1)&amp;"",Data!$A$2:$A$25001,"&lt;"&amp;DATE(Dashboard!$B$2,10+1,1)&amp;""))</f>
        <v/>
      </c>
      <c r="L55" s="50">
        <f>IF($A55="","",SUMIFS(Data!$H$2:$H$25001,Data!$C$2:$C$25001,$A55,Data!$D$2:$D$25001,"Werken",Data!$A$2:$A$25001,"&gt;="&amp;DATE(Dashboard!$B$2,11,1)&amp;"",Data!$A$2:$A$25001,"&lt;"&amp;DATE(Dashboard!$B$2,11+1,1)&amp;""))</f>
        <v/>
      </c>
      <c r="M55" s="50">
        <f>IF($A55="","",SUMIFS(Data!$H$2:$H$25001,Data!$C$2:$C$25001,$A55,Data!$D$2:$D$25001,"Werken",Data!$A$2:$A$25001,"&gt;="&amp;DATE(Dashboard!$B$2,12,1)&amp;"",Data!$A$2:$A$25001,"&lt;"&amp;DATE(Dashboard!$B$2,12+1,1)&amp;""))</f>
        <v/>
      </c>
      <c r="N55" s="46">
        <f>IF($A55="","",SUM(B55:M55))</f>
        <v/>
      </c>
      <c r="O55" s="51" t="n"/>
      <c r="P55" s="52">
        <f>IF(OR($A55="",O55=""),"",N55*O55)</f>
        <v/>
      </c>
    </row>
    <row r="56" ht="15" customHeight="1" s="30">
      <c r="A56" s="49" t="n"/>
      <c r="B56" s="45">
        <f>IF($A56="","",SUMIFS(Data!$H$2:$H$25001,Data!$C$2:$C$25001,$A56,Data!$D$2:$D$25001,"Werken",Data!$A$2:$A$25001,"&gt;="&amp;DATE(Dashboard!$B$2,1,1)&amp;"",Data!$A$2:$A$25001,"&lt;"&amp;DATE(Dashboard!$B$2,1+1,1)&amp;""))</f>
        <v/>
      </c>
      <c r="C56" s="45">
        <f>IF($A56="","",SUMIFS(Data!$H$2:$H$25001,Data!$C$2:$C$25001,$A56,Data!$D$2:$D$25001,"Werken",Data!$A$2:$A$25001,"&gt;="&amp;DATE(Dashboard!$B$2,2,1)&amp;"",Data!$A$2:$A$25001,"&lt;"&amp;DATE(Dashboard!$B$2,2+1,1)&amp;""))</f>
        <v/>
      </c>
      <c r="D56" s="45">
        <f>IF($A56="","",SUMIFS(Data!$H$2:$H$25001,Data!$C$2:$C$25001,$A56,Data!$D$2:$D$25001,"Werken",Data!$A$2:$A$25001,"&gt;="&amp;DATE(Dashboard!$B$2,3,1)&amp;"",Data!$A$2:$A$25001,"&lt;"&amp;DATE(Dashboard!$B$2,3+1,1)&amp;""))</f>
        <v/>
      </c>
      <c r="E56" s="45">
        <f>IF($A56="","",SUMIFS(Data!$H$2:$H$25001,Data!$C$2:$C$25001,$A56,Data!$D$2:$D$25001,"Werken",Data!$A$2:$A$25001,"&gt;="&amp;DATE(Dashboard!$B$2,4,1)&amp;"",Data!$A$2:$A$25001,"&lt;"&amp;DATE(Dashboard!$B$2,4+1,1)&amp;""))</f>
        <v/>
      </c>
      <c r="F56" s="45">
        <f>IF($A56="","",SUMIFS(Data!$H$2:$H$25001,Data!$C$2:$C$25001,$A56,Data!$D$2:$D$25001,"Werken",Data!$A$2:$A$25001,"&gt;="&amp;DATE(Dashboard!$B$2,5,1)&amp;"",Data!$A$2:$A$25001,"&lt;"&amp;DATE(Dashboard!$B$2,5+1,1)&amp;""))</f>
        <v/>
      </c>
      <c r="G56" s="45">
        <f>IF($A56="","",SUMIFS(Data!$H$2:$H$25001,Data!$C$2:$C$25001,$A56,Data!$D$2:$D$25001,"Werken",Data!$A$2:$A$25001,"&gt;="&amp;DATE(Dashboard!$B$2,6,1)&amp;"",Data!$A$2:$A$25001,"&lt;"&amp;DATE(Dashboard!$B$2,6+1,1)&amp;""))</f>
        <v/>
      </c>
      <c r="H56" s="45">
        <f>IF($A56="","",SUMIFS(Data!$H$2:$H$25001,Data!$C$2:$C$25001,$A56,Data!$D$2:$D$25001,"Werken",Data!$A$2:$A$25001,"&gt;="&amp;DATE(Dashboard!$B$2,7,1)&amp;"",Data!$A$2:$A$25001,"&lt;"&amp;DATE(Dashboard!$B$2,7+1,1)&amp;""))</f>
        <v/>
      </c>
      <c r="I56" s="45">
        <f>IF($A56="","",SUMIFS(Data!$H$2:$H$25001,Data!$C$2:$C$25001,$A56,Data!$D$2:$D$25001,"Werken",Data!$A$2:$A$25001,"&gt;="&amp;DATE(Dashboard!$B$2,8,1)&amp;"",Data!$A$2:$A$25001,"&lt;"&amp;DATE(Dashboard!$B$2,8+1,1)&amp;""))</f>
        <v/>
      </c>
      <c r="J56" s="45">
        <f>IF($A56="","",SUMIFS(Data!$H$2:$H$25001,Data!$C$2:$C$25001,$A56,Data!$D$2:$D$25001,"Werken",Data!$A$2:$A$25001,"&gt;="&amp;DATE(Dashboard!$B$2,9,1)&amp;"",Data!$A$2:$A$25001,"&lt;"&amp;DATE(Dashboard!$B$2,9+1,1)&amp;""))</f>
        <v/>
      </c>
      <c r="K56" s="45">
        <f>IF($A56="","",SUMIFS(Data!$H$2:$H$25001,Data!$C$2:$C$25001,$A56,Data!$D$2:$D$25001,"Werken",Data!$A$2:$A$25001,"&gt;="&amp;DATE(Dashboard!$B$2,10,1)&amp;"",Data!$A$2:$A$25001,"&lt;"&amp;DATE(Dashboard!$B$2,10+1,1)&amp;""))</f>
        <v/>
      </c>
      <c r="L56" s="45">
        <f>IF($A56="","",SUMIFS(Data!$H$2:$H$25001,Data!$C$2:$C$25001,$A56,Data!$D$2:$D$25001,"Werken",Data!$A$2:$A$25001,"&gt;="&amp;DATE(Dashboard!$B$2,11,1)&amp;"",Data!$A$2:$A$25001,"&lt;"&amp;DATE(Dashboard!$B$2,11+1,1)&amp;""))</f>
        <v/>
      </c>
      <c r="M56" s="45">
        <f>IF($A56="","",SUMIFS(Data!$H$2:$H$25001,Data!$C$2:$C$25001,$A56,Data!$D$2:$D$25001,"Werken",Data!$A$2:$A$25001,"&gt;="&amp;DATE(Dashboard!$B$2,12,1)&amp;"",Data!$A$2:$A$25001,"&lt;"&amp;DATE(Dashboard!$B$2,12+1,1)&amp;""))</f>
        <v/>
      </c>
      <c r="N56" s="46">
        <f>IF($A56="","",SUM(B56:M56))</f>
        <v/>
      </c>
      <c r="O56" s="51" t="n"/>
      <c r="P56" s="52">
        <f>IF(OR($A56="",O56=""),"",N56*O56)</f>
        <v/>
      </c>
    </row>
    <row r="57" ht="15" customHeight="1" s="30">
      <c r="A57" s="49" t="n"/>
      <c r="B57" s="50">
        <f>IF($A57="","",SUMIFS(Data!$H$2:$H$25001,Data!$C$2:$C$25001,$A57,Data!$D$2:$D$25001,"Werken",Data!$A$2:$A$25001,"&gt;="&amp;DATE(Dashboard!$B$2,1,1)&amp;"",Data!$A$2:$A$25001,"&lt;"&amp;DATE(Dashboard!$B$2,1+1,1)&amp;""))</f>
        <v/>
      </c>
      <c r="C57" s="50">
        <f>IF($A57="","",SUMIFS(Data!$H$2:$H$25001,Data!$C$2:$C$25001,$A57,Data!$D$2:$D$25001,"Werken",Data!$A$2:$A$25001,"&gt;="&amp;DATE(Dashboard!$B$2,2,1)&amp;"",Data!$A$2:$A$25001,"&lt;"&amp;DATE(Dashboard!$B$2,2+1,1)&amp;""))</f>
        <v/>
      </c>
      <c r="D57" s="50">
        <f>IF($A57="","",SUMIFS(Data!$H$2:$H$25001,Data!$C$2:$C$25001,$A57,Data!$D$2:$D$25001,"Werken",Data!$A$2:$A$25001,"&gt;="&amp;DATE(Dashboard!$B$2,3,1)&amp;"",Data!$A$2:$A$25001,"&lt;"&amp;DATE(Dashboard!$B$2,3+1,1)&amp;""))</f>
        <v/>
      </c>
      <c r="E57" s="50">
        <f>IF($A57="","",SUMIFS(Data!$H$2:$H$25001,Data!$C$2:$C$25001,$A57,Data!$D$2:$D$25001,"Werken",Data!$A$2:$A$25001,"&gt;="&amp;DATE(Dashboard!$B$2,4,1)&amp;"",Data!$A$2:$A$25001,"&lt;"&amp;DATE(Dashboard!$B$2,4+1,1)&amp;""))</f>
        <v/>
      </c>
      <c r="F57" s="50">
        <f>IF($A57="","",SUMIFS(Data!$H$2:$H$25001,Data!$C$2:$C$25001,$A57,Data!$D$2:$D$25001,"Werken",Data!$A$2:$A$25001,"&gt;="&amp;DATE(Dashboard!$B$2,5,1)&amp;"",Data!$A$2:$A$25001,"&lt;"&amp;DATE(Dashboard!$B$2,5+1,1)&amp;""))</f>
        <v/>
      </c>
      <c r="G57" s="50">
        <f>IF($A57="","",SUMIFS(Data!$H$2:$H$25001,Data!$C$2:$C$25001,$A57,Data!$D$2:$D$25001,"Werken",Data!$A$2:$A$25001,"&gt;="&amp;DATE(Dashboard!$B$2,6,1)&amp;"",Data!$A$2:$A$25001,"&lt;"&amp;DATE(Dashboard!$B$2,6+1,1)&amp;""))</f>
        <v/>
      </c>
      <c r="H57" s="50">
        <f>IF($A57="","",SUMIFS(Data!$H$2:$H$25001,Data!$C$2:$C$25001,$A57,Data!$D$2:$D$25001,"Werken",Data!$A$2:$A$25001,"&gt;="&amp;DATE(Dashboard!$B$2,7,1)&amp;"",Data!$A$2:$A$25001,"&lt;"&amp;DATE(Dashboard!$B$2,7+1,1)&amp;""))</f>
        <v/>
      </c>
      <c r="I57" s="50">
        <f>IF($A57="","",SUMIFS(Data!$H$2:$H$25001,Data!$C$2:$C$25001,$A57,Data!$D$2:$D$25001,"Werken",Data!$A$2:$A$25001,"&gt;="&amp;DATE(Dashboard!$B$2,8,1)&amp;"",Data!$A$2:$A$25001,"&lt;"&amp;DATE(Dashboard!$B$2,8+1,1)&amp;""))</f>
        <v/>
      </c>
      <c r="J57" s="50">
        <f>IF($A57="","",SUMIFS(Data!$H$2:$H$25001,Data!$C$2:$C$25001,$A57,Data!$D$2:$D$25001,"Werken",Data!$A$2:$A$25001,"&gt;="&amp;DATE(Dashboard!$B$2,9,1)&amp;"",Data!$A$2:$A$25001,"&lt;"&amp;DATE(Dashboard!$B$2,9+1,1)&amp;""))</f>
        <v/>
      </c>
      <c r="K57" s="50">
        <f>IF($A57="","",SUMIFS(Data!$H$2:$H$25001,Data!$C$2:$C$25001,$A57,Data!$D$2:$D$25001,"Werken",Data!$A$2:$A$25001,"&gt;="&amp;DATE(Dashboard!$B$2,10,1)&amp;"",Data!$A$2:$A$25001,"&lt;"&amp;DATE(Dashboard!$B$2,10+1,1)&amp;""))</f>
        <v/>
      </c>
      <c r="L57" s="50">
        <f>IF($A57="","",SUMIFS(Data!$H$2:$H$25001,Data!$C$2:$C$25001,$A57,Data!$D$2:$D$25001,"Werken",Data!$A$2:$A$25001,"&gt;="&amp;DATE(Dashboard!$B$2,11,1)&amp;"",Data!$A$2:$A$25001,"&lt;"&amp;DATE(Dashboard!$B$2,11+1,1)&amp;""))</f>
        <v/>
      </c>
      <c r="M57" s="50">
        <f>IF($A57="","",SUMIFS(Data!$H$2:$H$25001,Data!$C$2:$C$25001,$A57,Data!$D$2:$D$25001,"Werken",Data!$A$2:$A$25001,"&gt;="&amp;DATE(Dashboard!$B$2,12,1)&amp;"",Data!$A$2:$A$25001,"&lt;"&amp;DATE(Dashboard!$B$2,12+1,1)&amp;""))</f>
        <v/>
      </c>
      <c r="N57" s="46">
        <f>IF($A57="","",SUM(B57:M57))</f>
        <v/>
      </c>
      <c r="O57" s="51" t="n"/>
      <c r="P57" s="52">
        <f>IF(OR($A57="",O57=""),"",N57*O57)</f>
        <v/>
      </c>
    </row>
    <row r="58" ht="15" customHeight="1" s="30">
      <c r="A58" s="49" t="n"/>
      <c r="B58" s="45">
        <f>IF($A58="","",SUMIFS(Data!$H$2:$H$25001,Data!$C$2:$C$25001,$A58,Data!$D$2:$D$25001,"Werken",Data!$A$2:$A$25001,"&gt;="&amp;DATE(Dashboard!$B$2,1,1)&amp;"",Data!$A$2:$A$25001,"&lt;"&amp;DATE(Dashboard!$B$2,1+1,1)&amp;""))</f>
        <v/>
      </c>
      <c r="C58" s="45">
        <f>IF($A58="","",SUMIFS(Data!$H$2:$H$25001,Data!$C$2:$C$25001,$A58,Data!$D$2:$D$25001,"Werken",Data!$A$2:$A$25001,"&gt;="&amp;DATE(Dashboard!$B$2,2,1)&amp;"",Data!$A$2:$A$25001,"&lt;"&amp;DATE(Dashboard!$B$2,2+1,1)&amp;""))</f>
        <v/>
      </c>
      <c r="D58" s="45">
        <f>IF($A58="","",SUMIFS(Data!$H$2:$H$25001,Data!$C$2:$C$25001,$A58,Data!$D$2:$D$25001,"Werken",Data!$A$2:$A$25001,"&gt;="&amp;DATE(Dashboard!$B$2,3,1)&amp;"",Data!$A$2:$A$25001,"&lt;"&amp;DATE(Dashboard!$B$2,3+1,1)&amp;""))</f>
        <v/>
      </c>
      <c r="E58" s="45">
        <f>IF($A58="","",SUMIFS(Data!$H$2:$H$25001,Data!$C$2:$C$25001,$A58,Data!$D$2:$D$25001,"Werken",Data!$A$2:$A$25001,"&gt;="&amp;DATE(Dashboard!$B$2,4,1)&amp;"",Data!$A$2:$A$25001,"&lt;"&amp;DATE(Dashboard!$B$2,4+1,1)&amp;""))</f>
        <v/>
      </c>
      <c r="F58" s="45">
        <f>IF($A58="","",SUMIFS(Data!$H$2:$H$25001,Data!$C$2:$C$25001,$A58,Data!$D$2:$D$25001,"Werken",Data!$A$2:$A$25001,"&gt;="&amp;DATE(Dashboard!$B$2,5,1)&amp;"",Data!$A$2:$A$25001,"&lt;"&amp;DATE(Dashboard!$B$2,5+1,1)&amp;""))</f>
        <v/>
      </c>
      <c r="G58" s="45">
        <f>IF($A58="","",SUMIFS(Data!$H$2:$H$25001,Data!$C$2:$C$25001,$A58,Data!$D$2:$D$25001,"Werken",Data!$A$2:$A$25001,"&gt;="&amp;DATE(Dashboard!$B$2,6,1)&amp;"",Data!$A$2:$A$25001,"&lt;"&amp;DATE(Dashboard!$B$2,6+1,1)&amp;""))</f>
        <v/>
      </c>
      <c r="H58" s="45">
        <f>IF($A58="","",SUMIFS(Data!$H$2:$H$25001,Data!$C$2:$C$25001,$A58,Data!$D$2:$D$25001,"Werken",Data!$A$2:$A$25001,"&gt;="&amp;DATE(Dashboard!$B$2,7,1)&amp;"",Data!$A$2:$A$25001,"&lt;"&amp;DATE(Dashboard!$B$2,7+1,1)&amp;""))</f>
        <v/>
      </c>
      <c r="I58" s="45">
        <f>IF($A58="","",SUMIFS(Data!$H$2:$H$25001,Data!$C$2:$C$25001,$A58,Data!$D$2:$D$25001,"Werken",Data!$A$2:$A$25001,"&gt;="&amp;DATE(Dashboard!$B$2,8,1)&amp;"",Data!$A$2:$A$25001,"&lt;"&amp;DATE(Dashboard!$B$2,8+1,1)&amp;""))</f>
        <v/>
      </c>
      <c r="J58" s="45">
        <f>IF($A58="","",SUMIFS(Data!$H$2:$H$25001,Data!$C$2:$C$25001,$A58,Data!$D$2:$D$25001,"Werken",Data!$A$2:$A$25001,"&gt;="&amp;DATE(Dashboard!$B$2,9,1)&amp;"",Data!$A$2:$A$25001,"&lt;"&amp;DATE(Dashboard!$B$2,9+1,1)&amp;""))</f>
        <v/>
      </c>
      <c r="K58" s="45">
        <f>IF($A58="","",SUMIFS(Data!$H$2:$H$25001,Data!$C$2:$C$25001,$A58,Data!$D$2:$D$25001,"Werken",Data!$A$2:$A$25001,"&gt;="&amp;DATE(Dashboard!$B$2,10,1)&amp;"",Data!$A$2:$A$25001,"&lt;"&amp;DATE(Dashboard!$B$2,10+1,1)&amp;""))</f>
        <v/>
      </c>
      <c r="L58" s="45">
        <f>IF($A58="","",SUMIFS(Data!$H$2:$H$25001,Data!$C$2:$C$25001,$A58,Data!$D$2:$D$25001,"Werken",Data!$A$2:$A$25001,"&gt;="&amp;DATE(Dashboard!$B$2,11,1)&amp;"",Data!$A$2:$A$25001,"&lt;"&amp;DATE(Dashboard!$B$2,11+1,1)&amp;""))</f>
        <v/>
      </c>
      <c r="M58" s="45">
        <f>IF($A58="","",SUMIFS(Data!$H$2:$H$25001,Data!$C$2:$C$25001,$A58,Data!$D$2:$D$25001,"Werken",Data!$A$2:$A$25001,"&gt;="&amp;DATE(Dashboard!$B$2,12,1)&amp;"",Data!$A$2:$A$25001,"&lt;"&amp;DATE(Dashboard!$B$2,12+1,1)&amp;""))</f>
        <v/>
      </c>
      <c r="N58" s="46">
        <f>IF($A58="","",SUM(B58:M58))</f>
        <v/>
      </c>
      <c r="O58" s="51" t="n"/>
      <c r="P58" s="52">
        <f>IF(OR($A58="",O58=""),"",N58*O58)</f>
        <v/>
      </c>
    </row>
    <row r="59" ht="15" customHeight="1" s="30">
      <c r="A59" s="49" t="n"/>
      <c r="B59" s="50">
        <f>IF($A59="","",SUMIFS(Data!$H$2:$H$25001,Data!$C$2:$C$25001,$A59,Data!$D$2:$D$25001,"Werken",Data!$A$2:$A$25001,"&gt;="&amp;DATE(Dashboard!$B$2,1,1)&amp;"",Data!$A$2:$A$25001,"&lt;"&amp;DATE(Dashboard!$B$2,1+1,1)&amp;""))</f>
        <v/>
      </c>
      <c r="C59" s="50">
        <f>IF($A59="","",SUMIFS(Data!$H$2:$H$25001,Data!$C$2:$C$25001,$A59,Data!$D$2:$D$25001,"Werken",Data!$A$2:$A$25001,"&gt;="&amp;DATE(Dashboard!$B$2,2,1)&amp;"",Data!$A$2:$A$25001,"&lt;"&amp;DATE(Dashboard!$B$2,2+1,1)&amp;""))</f>
        <v/>
      </c>
      <c r="D59" s="50">
        <f>IF($A59="","",SUMIFS(Data!$H$2:$H$25001,Data!$C$2:$C$25001,$A59,Data!$D$2:$D$25001,"Werken",Data!$A$2:$A$25001,"&gt;="&amp;DATE(Dashboard!$B$2,3,1)&amp;"",Data!$A$2:$A$25001,"&lt;"&amp;DATE(Dashboard!$B$2,3+1,1)&amp;""))</f>
        <v/>
      </c>
      <c r="E59" s="50">
        <f>IF($A59="","",SUMIFS(Data!$H$2:$H$25001,Data!$C$2:$C$25001,$A59,Data!$D$2:$D$25001,"Werken",Data!$A$2:$A$25001,"&gt;="&amp;DATE(Dashboard!$B$2,4,1)&amp;"",Data!$A$2:$A$25001,"&lt;"&amp;DATE(Dashboard!$B$2,4+1,1)&amp;""))</f>
        <v/>
      </c>
      <c r="F59" s="50">
        <f>IF($A59="","",SUMIFS(Data!$H$2:$H$25001,Data!$C$2:$C$25001,$A59,Data!$D$2:$D$25001,"Werken",Data!$A$2:$A$25001,"&gt;="&amp;DATE(Dashboard!$B$2,5,1)&amp;"",Data!$A$2:$A$25001,"&lt;"&amp;DATE(Dashboard!$B$2,5+1,1)&amp;""))</f>
        <v/>
      </c>
      <c r="G59" s="50">
        <f>IF($A59="","",SUMIFS(Data!$H$2:$H$25001,Data!$C$2:$C$25001,$A59,Data!$D$2:$D$25001,"Werken",Data!$A$2:$A$25001,"&gt;="&amp;DATE(Dashboard!$B$2,6,1)&amp;"",Data!$A$2:$A$25001,"&lt;"&amp;DATE(Dashboard!$B$2,6+1,1)&amp;""))</f>
        <v/>
      </c>
      <c r="H59" s="50">
        <f>IF($A59="","",SUMIFS(Data!$H$2:$H$25001,Data!$C$2:$C$25001,$A59,Data!$D$2:$D$25001,"Werken",Data!$A$2:$A$25001,"&gt;="&amp;DATE(Dashboard!$B$2,7,1)&amp;"",Data!$A$2:$A$25001,"&lt;"&amp;DATE(Dashboard!$B$2,7+1,1)&amp;""))</f>
        <v/>
      </c>
      <c r="I59" s="50">
        <f>IF($A59="","",SUMIFS(Data!$H$2:$H$25001,Data!$C$2:$C$25001,$A59,Data!$D$2:$D$25001,"Werken",Data!$A$2:$A$25001,"&gt;="&amp;DATE(Dashboard!$B$2,8,1)&amp;"",Data!$A$2:$A$25001,"&lt;"&amp;DATE(Dashboard!$B$2,8+1,1)&amp;""))</f>
        <v/>
      </c>
      <c r="J59" s="50">
        <f>IF($A59="","",SUMIFS(Data!$H$2:$H$25001,Data!$C$2:$C$25001,$A59,Data!$D$2:$D$25001,"Werken",Data!$A$2:$A$25001,"&gt;="&amp;DATE(Dashboard!$B$2,9,1)&amp;"",Data!$A$2:$A$25001,"&lt;"&amp;DATE(Dashboard!$B$2,9+1,1)&amp;""))</f>
        <v/>
      </c>
      <c r="K59" s="50">
        <f>IF($A59="","",SUMIFS(Data!$H$2:$H$25001,Data!$C$2:$C$25001,$A59,Data!$D$2:$D$25001,"Werken",Data!$A$2:$A$25001,"&gt;="&amp;DATE(Dashboard!$B$2,10,1)&amp;"",Data!$A$2:$A$25001,"&lt;"&amp;DATE(Dashboard!$B$2,10+1,1)&amp;""))</f>
        <v/>
      </c>
      <c r="L59" s="50">
        <f>IF($A59="","",SUMIFS(Data!$H$2:$H$25001,Data!$C$2:$C$25001,$A59,Data!$D$2:$D$25001,"Werken",Data!$A$2:$A$25001,"&gt;="&amp;DATE(Dashboard!$B$2,11,1)&amp;"",Data!$A$2:$A$25001,"&lt;"&amp;DATE(Dashboard!$B$2,11+1,1)&amp;""))</f>
        <v/>
      </c>
      <c r="M59" s="50">
        <f>IF($A59="","",SUMIFS(Data!$H$2:$H$25001,Data!$C$2:$C$25001,$A59,Data!$D$2:$D$25001,"Werken",Data!$A$2:$A$25001,"&gt;="&amp;DATE(Dashboard!$B$2,12,1)&amp;"",Data!$A$2:$A$25001,"&lt;"&amp;DATE(Dashboard!$B$2,12+1,1)&amp;""))</f>
        <v/>
      </c>
      <c r="N59" s="46">
        <f>IF($A59="","",SUM(B59:M59))</f>
        <v/>
      </c>
      <c r="O59" s="51" t="n"/>
      <c r="P59" s="52">
        <f>IF(OR($A59="",O59=""),"",N59*O59)</f>
        <v/>
      </c>
    </row>
    <row r="60" ht="15" customHeight="1" s="30">
      <c r="A60" s="49" t="n"/>
      <c r="B60" s="45">
        <f>IF($A60="","",SUMIFS(Data!$H$2:$H$25001,Data!$C$2:$C$25001,$A60,Data!$D$2:$D$25001,"Werken",Data!$A$2:$A$25001,"&gt;="&amp;DATE(Dashboard!$B$2,1,1)&amp;"",Data!$A$2:$A$25001,"&lt;"&amp;DATE(Dashboard!$B$2,1+1,1)&amp;""))</f>
        <v/>
      </c>
      <c r="C60" s="45">
        <f>IF($A60="","",SUMIFS(Data!$H$2:$H$25001,Data!$C$2:$C$25001,$A60,Data!$D$2:$D$25001,"Werken",Data!$A$2:$A$25001,"&gt;="&amp;DATE(Dashboard!$B$2,2,1)&amp;"",Data!$A$2:$A$25001,"&lt;"&amp;DATE(Dashboard!$B$2,2+1,1)&amp;""))</f>
        <v/>
      </c>
      <c r="D60" s="45">
        <f>IF($A60="","",SUMIFS(Data!$H$2:$H$25001,Data!$C$2:$C$25001,$A60,Data!$D$2:$D$25001,"Werken",Data!$A$2:$A$25001,"&gt;="&amp;DATE(Dashboard!$B$2,3,1)&amp;"",Data!$A$2:$A$25001,"&lt;"&amp;DATE(Dashboard!$B$2,3+1,1)&amp;""))</f>
        <v/>
      </c>
      <c r="E60" s="45">
        <f>IF($A60="","",SUMIFS(Data!$H$2:$H$25001,Data!$C$2:$C$25001,$A60,Data!$D$2:$D$25001,"Werken",Data!$A$2:$A$25001,"&gt;="&amp;DATE(Dashboard!$B$2,4,1)&amp;"",Data!$A$2:$A$25001,"&lt;"&amp;DATE(Dashboard!$B$2,4+1,1)&amp;""))</f>
        <v/>
      </c>
      <c r="F60" s="45">
        <f>IF($A60="","",SUMIFS(Data!$H$2:$H$25001,Data!$C$2:$C$25001,$A60,Data!$D$2:$D$25001,"Werken",Data!$A$2:$A$25001,"&gt;="&amp;DATE(Dashboard!$B$2,5,1)&amp;"",Data!$A$2:$A$25001,"&lt;"&amp;DATE(Dashboard!$B$2,5+1,1)&amp;""))</f>
        <v/>
      </c>
      <c r="G60" s="45">
        <f>IF($A60="","",SUMIFS(Data!$H$2:$H$25001,Data!$C$2:$C$25001,$A60,Data!$D$2:$D$25001,"Werken",Data!$A$2:$A$25001,"&gt;="&amp;DATE(Dashboard!$B$2,6,1)&amp;"",Data!$A$2:$A$25001,"&lt;"&amp;DATE(Dashboard!$B$2,6+1,1)&amp;""))</f>
        <v/>
      </c>
      <c r="H60" s="45">
        <f>IF($A60="","",SUMIFS(Data!$H$2:$H$25001,Data!$C$2:$C$25001,$A60,Data!$D$2:$D$25001,"Werken",Data!$A$2:$A$25001,"&gt;="&amp;DATE(Dashboard!$B$2,7,1)&amp;"",Data!$A$2:$A$25001,"&lt;"&amp;DATE(Dashboard!$B$2,7+1,1)&amp;""))</f>
        <v/>
      </c>
      <c r="I60" s="45">
        <f>IF($A60="","",SUMIFS(Data!$H$2:$H$25001,Data!$C$2:$C$25001,$A60,Data!$D$2:$D$25001,"Werken",Data!$A$2:$A$25001,"&gt;="&amp;DATE(Dashboard!$B$2,8,1)&amp;"",Data!$A$2:$A$25001,"&lt;"&amp;DATE(Dashboard!$B$2,8+1,1)&amp;""))</f>
        <v/>
      </c>
      <c r="J60" s="45">
        <f>IF($A60="","",SUMIFS(Data!$H$2:$H$25001,Data!$C$2:$C$25001,$A60,Data!$D$2:$D$25001,"Werken",Data!$A$2:$A$25001,"&gt;="&amp;DATE(Dashboard!$B$2,9,1)&amp;"",Data!$A$2:$A$25001,"&lt;"&amp;DATE(Dashboard!$B$2,9+1,1)&amp;""))</f>
        <v/>
      </c>
      <c r="K60" s="45">
        <f>IF($A60="","",SUMIFS(Data!$H$2:$H$25001,Data!$C$2:$C$25001,$A60,Data!$D$2:$D$25001,"Werken",Data!$A$2:$A$25001,"&gt;="&amp;DATE(Dashboard!$B$2,10,1)&amp;"",Data!$A$2:$A$25001,"&lt;"&amp;DATE(Dashboard!$B$2,10+1,1)&amp;""))</f>
        <v/>
      </c>
      <c r="L60" s="45">
        <f>IF($A60="","",SUMIFS(Data!$H$2:$H$25001,Data!$C$2:$C$25001,$A60,Data!$D$2:$D$25001,"Werken",Data!$A$2:$A$25001,"&gt;="&amp;DATE(Dashboard!$B$2,11,1)&amp;"",Data!$A$2:$A$25001,"&lt;"&amp;DATE(Dashboard!$B$2,11+1,1)&amp;""))</f>
        <v/>
      </c>
      <c r="M60" s="45">
        <f>IF($A60="","",SUMIFS(Data!$H$2:$H$25001,Data!$C$2:$C$25001,$A60,Data!$D$2:$D$25001,"Werken",Data!$A$2:$A$25001,"&gt;="&amp;DATE(Dashboard!$B$2,12,1)&amp;"",Data!$A$2:$A$25001,"&lt;"&amp;DATE(Dashboard!$B$2,12+1,1)&amp;""))</f>
        <v/>
      </c>
      <c r="N60" s="46">
        <f>IF($A60="","",SUM(B60:M60))</f>
        <v/>
      </c>
      <c r="O60" s="51" t="n"/>
      <c r="P60" s="52">
        <f>IF(OR($A60="",O60=""),"",N60*O60)</f>
        <v/>
      </c>
    </row>
    <row r="61" ht="15" customHeight="1" s="30">
      <c r="A61" s="49" t="n"/>
      <c r="B61" s="50">
        <f>IF($A61="","",SUMIFS(Data!$H$2:$H$25001,Data!$C$2:$C$25001,$A61,Data!$D$2:$D$25001,"Werken",Data!$A$2:$A$25001,"&gt;="&amp;DATE(Dashboard!$B$2,1,1)&amp;"",Data!$A$2:$A$25001,"&lt;"&amp;DATE(Dashboard!$B$2,1+1,1)&amp;""))</f>
        <v/>
      </c>
      <c r="C61" s="50">
        <f>IF($A61="","",SUMIFS(Data!$H$2:$H$25001,Data!$C$2:$C$25001,$A61,Data!$D$2:$D$25001,"Werken",Data!$A$2:$A$25001,"&gt;="&amp;DATE(Dashboard!$B$2,2,1)&amp;"",Data!$A$2:$A$25001,"&lt;"&amp;DATE(Dashboard!$B$2,2+1,1)&amp;""))</f>
        <v/>
      </c>
      <c r="D61" s="50">
        <f>IF($A61="","",SUMIFS(Data!$H$2:$H$25001,Data!$C$2:$C$25001,$A61,Data!$D$2:$D$25001,"Werken",Data!$A$2:$A$25001,"&gt;="&amp;DATE(Dashboard!$B$2,3,1)&amp;"",Data!$A$2:$A$25001,"&lt;"&amp;DATE(Dashboard!$B$2,3+1,1)&amp;""))</f>
        <v/>
      </c>
      <c r="E61" s="50">
        <f>IF($A61="","",SUMIFS(Data!$H$2:$H$25001,Data!$C$2:$C$25001,$A61,Data!$D$2:$D$25001,"Werken",Data!$A$2:$A$25001,"&gt;="&amp;DATE(Dashboard!$B$2,4,1)&amp;"",Data!$A$2:$A$25001,"&lt;"&amp;DATE(Dashboard!$B$2,4+1,1)&amp;""))</f>
        <v/>
      </c>
      <c r="F61" s="50">
        <f>IF($A61="","",SUMIFS(Data!$H$2:$H$25001,Data!$C$2:$C$25001,$A61,Data!$D$2:$D$25001,"Werken",Data!$A$2:$A$25001,"&gt;="&amp;DATE(Dashboard!$B$2,5,1)&amp;"",Data!$A$2:$A$25001,"&lt;"&amp;DATE(Dashboard!$B$2,5+1,1)&amp;""))</f>
        <v/>
      </c>
      <c r="G61" s="50">
        <f>IF($A61="","",SUMIFS(Data!$H$2:$H$25001,Data!$C$2:$C$25001,$A61,Data!$D$2:$D$25001,"Werken",Data!$A$2:$A$25001,"&gt;="&amp;DATE(Dashboard!$B$2,6,1)&amp;"",Data!$A$2:$A$25001,"&lt;"&amp;DATE(Dashboard!$B$2,6+1,1)&amp;""))</f>
        <v/>
      </c>
      <c r="H61" s="50">
        <f>IF($A61="","",SUMIFS(Data!$H$2:$H$25001,Data!$C$2:$C$25001,$A61,Data!$D$2:$D$25001,"Werken",Data!$A$2:$A$25001,"&gt;="&amp;DATE(Dashboard!$B$2,7,1)&amp;"",Data!$A$2:$A$25001,"&lt;"&amp;DATE(Dashboard!$B$2,7+1,1)&amp;""))</f>
        <v/>
      </c>
      <c r="I61" s="50">
        <f>IF($A61="","",SUMIFS(Data!$H$2:$H$25001,Data!$C$2:$C$25001,$A61,Data!$D$2:$D$25001,"Werken",Data!$A$2:$A$25001,"&gt;="&amp;DATE(Dashboard!$B$2,8,1)&amp;"",Data!$A$2:$A$25001,"&lt;"&amp;DATE(Dashboard!$B$2,8+1,1)&amp;""))</f>
        <v/>
      </c>
      <c r="J61" s="50">
        <f>IF($A61="","",SUMIFS(Data!$H$2:$H$25001,Data!$C$2:$C$25001,$A61,Data!$D$2:$D$25001,"Werken",Data!$A$2:$A$25001,"&gt;="&amp;DATE(Dashboard!$B$2,9,1)&amp;"",Data!$A$2:$A$25001,"&lt;"&amp;DATE(Dashboard!$B$2,9+1,1)&amp;""))</f>
        <v/>
      </c>
      <c r="K61" s="50">
        <f>IF($A61="","",SUMIFS(Data!$H$2:$H$25001,Data!$C$2:$C$25001,$A61,Data!$D$2:$D$25001,"Werken",Data!$A$2:$A$25001,"&gt;="&amp;DATE(Dashboard!$B$2,10,1)&amp;"",Data!$A$2:$A$25001,"&lt;"&amp;DATE(Dashboard!$B$2,10+1,1)&amp;""))</f>
        <v/>
      </c>
      <c r="L61" s="50">
        <f>IF($A61="","",SUMIFS(Data!$H$2:$H$25001,Data!$C$2:$C$25001,$A61,Data!$D$2:$D$25001,"Werken",Data!$A$2:$A$25001,"&gt;="&amp;DATE(Dashboard!$B$2,11,1)&amp;"",Data!$A$2:$A$25001,"&lt;"&amp;DATE(Dashboard!$B$2,11+1,1)&amp;""))</f>
        <v/>
      </c>
      <c r="M61" s="50">
        <f>IF($A61="","",SUMIFS(Data!$H$2:$H$25001,Data!$C$2:$C$25001,$A61,Data!$D$2:$D$25001,"Werken",Data!$A$2:$A$25001,"&gt;="&amp;DATE(Dashboard!$B$2,12,1)&amp;"",Data!$A$2:$A$25001,"&lt;"&amp;DATE(Dashboard!$B$2,12+1,1)&amp;""))</f>
        <v/>
      </c>
      <c r="N61" s="46">
        <f>IF($A61="","",SUM(B61:M61))</f>
        <v/>
      </c>
      <c r="O61" s="51" t="n"/>
      <c r="P61" s="52">
        <f>IF(OR($A61="",O61=""),"",N61*O61)</f>
        <v/>
      </c>
    </row>
    <row r="62" ht="15" customHeight="1" s="30">
      <c r="A62" s="49" t="n"/>
      <c r="B62" s="45">
        <f>IF($A62="","",SUMIFS(Data!$H$2:$H$25001,Data!$C$2:$C$25001,$A62,Data!$D$2:$D$25001,"Werken",Data!$A$2:$A$25001,"&gt;="&amp;DATE(Dashboard!$B$2,1,1)&amp;"",Data!$A$2:$A$25001,"&lt;"&amp;DATE(Dashboard!$B$2,1+1,1)&amp;""))</f>
        <v/>
      </c>
      <c r="C62" s="45">
        <f>IF($A62="","",SUMIFS(Data!$H$2:$H$25001,Data!$C$2:$C$25001,$A62,Data!$D$2:$D$25001,"Werken",Data!$A$2:$A$25001,"&gt;="&amp;DATE(Dashboard!$B$2,2,1)&amp;"",Data!$A$2:$A$25001,"&lt;"&amp;DATE(Dashboard!$B$2,2+1,1)&amp;""))</f>
        <v/>
      </c>
      <c r="D62" s="45">
        <f>IF($A62="","",SUMIFS(Data!$H$2:$H$25001,Data!$C$2:$C$25001,$A62,Data!$D$2:$D$25001,"Werken",Data!$A$2:$A$25001,"&gt;="&amp;DATE(Dashboard!$B$2,3,1)&amp;"",Data!$A$2:$A$25001,"&lt;"&amp;DATE(Dashboard!$B$2,3+1,1)&amp;""))</f>
        <v/>
      </c>
      <c r="E62" s="45">
        <f>IF($A62="","",SUMIFS(Data!$H$2:$H$25001,Data!$C$2:$C$25001,$A62,Data!$D$2:$D$25001,"Werken",Data!$A$2:$A$25001,"&gt;="&amp;DATE(Dashboard!$B$2,4,1)&amp;"",Data!$A$2:$A$25001,"&lt;"&amp;DATE(Dashboard!$B$2,4+1,1)&amp;""))</f>
        <v/>
      </c>
      <c r="F62" s="45">
        <f>IF($A62="","",SUMIFS(Data!$H$2:$H$25001,Data!$C$2:$C$25001,$A62,Data!$D$2:$D$25001,"Werken",Data!$A$2:$A$25001,"&gt;="&amp;DATE(Dashboard!$B$2,5,1)&amp;"",Data!$A$2:$A$25001,"&lt;"&amp;DATE(Dashboard!$B$2,5+1,1)&amp;""))</f>
        <v/>
      </c>
      <c r="G62" s="45">
        <f>IF($A62="","",SUMIFS(Data!$H$2:$H$25001,Data!$C$2:$C$25001,$A62,Data!$D$2:$D$25001,"Werken",Data!$A$2:$A$25001,"&gt;="&amp;DATE(Dashboard!$B$2,6,1)&amp;"",Data!$A$2:$A$25001,"&lt;"&amp;DATE(Dashboard!$B$2,6+1,1)&amp;""))</f>
        <v/>
      </c>
      <c r="H62" s="45">
        <f>IF($A62="","",SUMIFS(Data!$H$2:$H$25001,Data!$C$2:$C$25001,$A62,Data!$D$2:$D$25001,"Werken",Data!$A$2:$A$25001,"&gt;="&amp;DATE(Dashboard!$B$2,7,1)&amp;"",Data!$A$2:$A$25001,"&lt;"&amp;DATE(Dashboard!$B$2,7+1,1)&amp;""))</f>
        <v/>
      </c>
      <c r="I62" s="45">
        <f>IF($A62="","",SUMIFS(Data!$H$2:$H$25001,Data!$C$2:$C$25001,$A62,Data!$D$2:$D$25001,"Werken",Data!$A$2:$A$25001,"&gt;="&amp;DATE(Dashboard!$B$2,8,1)&amp;"",Data!$A$2:$A$25001,"&lt;"&amp;DATE(Dashboard!$B$2,8+1,1)&amp;""))</f>
        <v/>
      </c>
      <c r="J62" s="45">
        <f>IF($A62="","",SUMIFS(Data!$H$2:$H$25001,Data!$C$2:$C$25001,$A62,Data!$D$2:$D$25001,"Werken",Data!$A$2:$A$25001,"&gt;="&amp;DATE(Dashboard!$B$2,9,1)&amp;"",Data!$A$2:$A$25001,"&lt;"&amp;DATE(Dashboard!$B$2,9+1,1)&amp;""))</f>
        <v/>
      </c>
      <c r="K62" s="45">
        <f>IF($A62="","",SUMIFS(Data!$H$2:$H$25001,Data!$C$2:$C$25001,$A62,Data!$D$2:$D$25001,"Werken",Data!$A$2:$A$25001,"&gt;="&amp;DATE(Dashboard!$B$2,10,1)&amp;"",Data!$A$2:$A$25001,"&lt;"&amp;DATE(Dashboard!$B$2,10+1,1)&amp;""))</f>
        <v/>
      </c>
      <c r="L62" s="45">
        <f>IF($A62="","",SUMIFS(Data!$H$2:$H$25001,Data!$C$2:$C$25001,$A62,Data!$D$2:$D$25001,"Werken",Data!$A$2:$A$25001,"&gt;="&amp;DATE(Dashboard!$B$2,11,1)&amp;"",Data!$A$2:$A$25001,"&lt;"&amp;DATE(Dashboard!$B$2,11+1,1)&amp;""))</f>
        <v/>
      </c>
      <c r="M62" s="45">
        <f>IF($A62="","",SUMIFS(Data!$H$2:$H$25001,Data!$C$2:$C$25001,$A62,Data!$D$2:$D$25001,"Werken",Data!$A$2:$A$25001,"&gt;="&amp;DATE(Dashboard!$B$2,12,1)&amp;"",Data!$A$2:$A$25001,"&lt;"&amp;DATE(Dashboard!$B$2,12+1,1)&amp;""))</f>
        <v/>
      </c>
      <c r="N62" s="46">
        <f>IF($A62="","",SUM(B62:M62))</f>
        <v/>
      </c>
      <c r="O62" s="51" t="n"/>
      <c r="P62" s="52">
        <f>IF(OR($A62="",O62=""),"",N62*O62)</f>
        <v/>
      </c>
    </row>
    <row r="63" ht="15" customHeight="1" s="30">
      <c r="A63" s="49" t="n"/>
      <c r="B63" s="50">
        <f>IF($A63="","",SUMIFS(Data!$H$2:$H$25001,Data!$C$2:$C$25001,$A63,Data!$D$2:$D$25001,"Werken",Data!$A$2:$A$25001,"&gt;="&amp;DATE(Dashboard!$B$2,1,1)&amp;"",Data!$A$2:$A$25001,"&lt;"&amp;DATE(Dashboard!$B$2,1+1,1)&amp;""))</f>
        <v/>
      </c>
      <c r="C63" s="50">
        <f>IF($A63="","",SUMIFS(Data!$H$2:$H$25001,Data!$C$2:$C$25001,$A63,Data!$D$2:$D$25001,"Werken",Data!$A$2:$A$25001,"&gt;="&amp;DATE(Dashboard!$B$2,2,1)&amp;"",Data!$A$2:$A$25001,"&lt;"&amp;DATE(Dashboard!$B$2,2+1,1)&amp;""))</f>
        <v/>
      </c>
      <c r="D63" s="50">
        <f>IF($A63="","",SUMIFS(Data!$H$2:$H$25001,Data!$C$2:$C$25001,$A63,Data!$D$2:$D$25001,"Werken",Data!$A$2:$A$25001,"&gt;="&amp;DATE(Dashboard!$B$2,3,1)&amp;"",Data!$A$2:$A$25001,"&lt;"&amp;DATE(Dashboard!$B$2,3+1,1)&amp;""))</f>
        <v/>
      </c>
      <c r="E63" s="50">
        <f>IF($A63="","",SUMIFS(Data!$H$2:$H$25001,Data!$C$2:$C$25001,$A63,Data!$D$2:$D$25001,"Werken",Data!$A$2:$A$25001,"&gt;="&amp;DATE(Dashboard!$B$2,4,1)&amp;"",Data!$A$2:$A$25001,"&lt;"&amp;DATE(Dashboard!$B$2,4+1,1)&amp;""))</f>
        <v/>
      </c>
      <c r="F63" s="50">
        <f>IF($A63="","",SUMIFS(Data!$H$2:$H$25001,Data!$C$2:$C$25001,$A63,Data!$D$2:$D$25001,"Werken",Data!$A$2:$A$25001,"&gt;="&amp;DATE(Dashboard!$B$2,5,1)&amp;"",Data!$A$2:$A$25001,"&lt;"&amp;DATE(Dashboard!$B$2,5+1,1)&amp;""))</f>
        <v/>
      </c>
      <c r="G63" s="50">
        <f>IF($A63="","",SUMIFS(Data!$H$2:$H$25001,Data!$C$2:$C$25001,$A63,Data!$D$2:$D$25001,"Werken",Data!$A$2:$A$25001,"&gt;="&amp;DATE(Dashboard!$B$2,6,1)&amp;"",Data!$A$2:$A$25001,"&lt;"&amp;DATE(Dashboard!$B$2,6+1,1)&amp;""))</f>
        <v/>
      </c>
      <c r="H63" s="50">
        <f>IF($A63="","",SUMIFS(Data!$H$2:$H$25001,Data!$C$2:$C$25001,$A63,Data!$D$2:$D$25001,"Werken",Data!$A$2:$A$25001,"&gt;="&amp;DATE(Dashboard!$B$2,7,1)&amp;"",Data!$A$2:$A$25001,"&lt;"&amp;DATE(Dashboard!$B$2,7+1,1)&amp;""))</f>
        <v/>
      </c>
      <c r="I63" s="50">
        <f>IF($A63="","",SUMIFS(Data!$H$2:$H$25001,Data!$C$2:$C$25001,$A63,Data!$D$2:$D$25001,"Werken",Data!$A$2:$A$25001,"&gt;="&amp;DATE(Dashboard!$B$2,8,1)&amp;"",Data!$A$2:$A$25001,"&lt;"&amp;DATE(Dashboard!$B$2,8+1,1)&amp;""))</f>
        <v/>
      </c>
      <c r="J63" s="50">
        <f>IF($A63="","",SUMIFS(Data!$H$2:$H$25001,Data!$C$2:$C$25001,$A63,Data!$D$2:$D$25001,"Werken",Data!$A$2:$A$25001,"&gt;="&amp;DATE(Dashboard!$B$2,9,1)&amp;"",Data!$A$2:$A$25001,"&lt;"&amp;DATE(Dashboard!$B$2,9+1,1)&amp;""))</f>
        <v/>
      </c>
      <c r="K63" s="50">
        <f>IF($A63="","",SUMIFS(Data!$H$2:$H$25001,Data!$C$2:$C$25001,$A63,Data!$D$2:$D$25001,"Werken",Data!$A$2:$A$25001,"&gt;="&amp;DATE(Dashboard!$B$2,10,1)&amp;"",Data!$A$2:$A$25001,"&lt;"&amp;DATE(Dashboard!$B$2,10+1,1)&amp;""))</f>
        <v/>
      </c>
      <c r="L63" s="50">
        <f>IF($A63="","",SUMIFS(Data!$H$2:$H$25001,Data!$C$2:$C$25001,$A63,Data!$D$2:$D$25001,"Werken",Data!$A$2:$A$25001,"&gt;="&amp;DATE(Dashboard!$B$2,11,1)&amp;"",Data!$A$2:$A$25001,"&lt;"&amp;DATE(Dashboard!$B$2,11+1,1)&amp;""))</f>
        <v/>
      </c>
      <c r="M63" s="50">
        <f>IF($A63="","",SUMIFS(Data!$H$2:$H$25001,Data!$C$2:$C$25001,$A63,Data!$D$2:$D$25001,"Werken",Data!$A$2:$A$25001,"&gt;="&amp;DATE(Dashboard!$B$2,12,1)&amp;"",Data!$A$2:$A$25001,"&lt;"&amp;DATE(Dashboard!$B$2,12+1,1)&amp;""))</f>
        <v/>
      </c>
      <c r="N63" s="46">
        <f>IF($A63="","",SUM(B63:M63))</f>
        <v/>
      </c>
      <c r="O63" s="51" t="n"/>
      <c r="P63" s="52">
        <f>IF(OR($A63="",O63=""),"",N63*O63)</f>
        <v/>
      </c>
    </row>
    <row r="64" ht="15" customHeight="1" s="30">
      <c r="A64" s="49" t="n"/>
      <c r="B64" s="45">
        <f>IF($A64="","",SUMIFS(Data!$H$2:$H$25001,Data!$C$2:$C$25001,$A64,Data!$D$2:$D$25001,"Werken",Data!$A$2:$A$25001,"&gt;="&amp;DATE(Dashboard!$B$2,1,1)&amp;"",Data!$A$2:$A$25001,"&lt;"&amp;DATE(Dashboard!$B$2,1+1,1)&amp;""))</f>
        <v/>
      </c>
      <c r="C64" s="45">
        <f>IF($A64="","",SUMIFS(Data!$H$2:$H$25001,Data!$C$2:$C$25001,$A64,Data!$D$2:$D$25001,"Werken",Data!$A$2:$A$25001,"&gt;="&amp;DATE(Dashboard!$B$2,2,1)&amp;"",Data!$A$2:$A$25001,"&lt;"&amp;DATE(Dashboard!$B$2,2+1,1)&amp;""))</f>
        <v/>
      </c>
      <c r="D64" s="45">
        <f>IF($A64="","",SUMIFS(Data!$H$2:$H$25001,Data!$C$2:$C$25001,$A64,Data!$D$2:$D$25001,"Werken",Data!$A$2:$A$25001,"&gt;="&amp;DATE(Dashboard!$B$2,3,1)&amp;"",Data!$A$2:$A$25001,"&lt;"&amp;DATE(Dashboard!$B$2,3+1,1)&amp;""))</f>
        <v/>
      </c>
      <c r="E64" s="45">
        <f>IF($A64="","",SUMIFS(Data!$H$2:$H$25001,Data!$C$2:$C$25001,$A64,Data!$D$2:$D$25001,"Werken",Data!$A$2:$A$25001,"&gt;="&amp;DATE(Dashboard!$B$2,4,1)&amp;"",Data!$A$2:$A$25001,"&lt;"&amp;DATE(Dashboard!$B$2,4+1,1)&amp;""))</f>
        <v/>
      </c>
      <c r="F64" s="45">
        <f>IF($A64="","",SUMIFS(Data!$H$2:$H$25001,Data!$C$2:$C$25001,$A64,Data!$D$2:$D$25001,"Werken",Data!$A$2:$A$25001,"&gt;="&amp;DATE(Dashboard!$B$2,5,1)&amp;"",Data!$A$2:$A$25001,"&lt;"&amp;DATE(Dashboard!$B$2,5+1,1)&amp;""))</f>
        <v/>
      </c>
      <c r="G64" s="45">
        <f>IF($A64="","",SUMIFS(Data!$H$2:$H$25001,Data!$C$2:$C$25001,$A64,Data!$D$2:$D$25001,"Werken",Data!$A$2:$A$25001,"&gt;="&amp;DATE(Dashboard!$B$2,6,1)&amp;"",Data!$A$2:$A$25001,"&lt;"&amp;DATE(Dashboard!$B$2,6+1,1)&amp;""))</f>
        <v/>
      </c>
      <c r="H64" s="45">
        <f>IF($A64="","",SUMIFS(Data!$H$2:$H$25001,Data!$C$2:$C$25001,$A64,Data!$D$2:$D$25001,"Werken",Data!$A$2:$A$25001,"&gt;="&amp;DATE(Dashboard!$B$2,7,1)&amp;"",Data!$A$2:$A$25001,"&lt;"&amp;DATE(Dashboard!$B$2,7+1,1)&amp;""))</f>
        <v/>
      </c>
      <c r="I64" s="45">
        <f>IF($A64="","",SUMIFS(Data!$H$2:$H$25001,Data!$C$2:$C$25001,$A64,Data!$D$2:$D$25001,"Werken",Data!$A$2:$A$25001,"&gt;="&amp;DATE(Dashboard!$B$2,8,1)&amp;"",Data!$A$2:$A$25001,"&lt;"&amp;DATE(Dashboard!$B$2,8+1,1)&amp;""))</f>
        <v/>
      </c>
      <c r="J64" s="45">
        <f>IF($A64="","",SUMIFS(Data!$H$2:$H$25001,Data!$C$2:$C$25001,$A64,Data!$D$2:$D$25001,"Werken",Data!$A$2:$A$25001,"&gt;="&amp;DATE(Dashboard!$B$2,9,1)&amp;"",Data!$A$2:$A$25001,"&lt;"&amp;DATE(Dashboard!$B$2,9+1,1)&amp;""))</f>
        <v/>
      </c>
      <c r="K64" s="45">
        <f>IF($A64="","",SUMIFS(Data!$H$2:$H$25001,Data!$C$2:$C$25001,$A64,Data!$D$2:$D$25001,"Werken",Data!$A$2:$A$25001,"&gt;="&amp;DATE(Dashboard!$B$2,10,1)&amp;"",Data!$A$2:$A$25001,"&lt;"&amp;DATE(Dashboard!$B$2,10+1,1)&amp;""))</f>
        <v/>
      </c>
      <c r="L64" s="45">
        <f>IF($A64="","",SUMIFS(Data!$H$2:$H$25001,Data!$C$2:$C$25001,$A64,Data!$D$2:$D$25001,"Werken",Data!$A$2:$A$25001,"&gt;="&amp;DATE(Dashboard!$B$2,11,1)&amp;"",Data!$A$2:$A$25001,"&lt;"&amp;DATE(Dashboard!$B$2,11+1,1)&amp;""))</f>
        <v/>
      </c>
      <c r="M64" s="45">
        <f>IF($A64="","",SUMIFS(Data!$H$2:$H$25001,Data!$C$2:$C$25001,$A64,Data!$D$2:$D$25001,"Werken",Data!$A$2:$A$25001,"&gt;="&amp;DATE(Dashboard!$B$2,12,1)&amp;"",Data!$A$2:$A$25001,"&lt;"&amp;DATE(Dashboard!$B$2,12+1,1)&amp;""))</f>
        <v/>
      </c>
      <c r="N64" s="46">
        <f>IF($A64="","",SUM(B64:M64))</f>
        <v/>
      </c>
      <c r="O64" s="51" t="n"/>
      <c r="P64" s="52">
        <f>IF(OR($A64="",O64=""),"",N64*O64)</f>
        <v/>
      </c>
    </row>
    <row r="65" ht="15" customHeight="1" s="30">
      <c r="A65" s="49" t="n"/>
      <c r="B65" s="50">
        <f>IF($A65="","",SUMIFS(Data!$H$2:$H$25001,Data!$C$2:$C$25001,$A65,Data!$D$2:$D$25001,"Werken",Data!$A$2:$A$25001,"&gt;="&amp;DATE(Dashboard!$B$2,1,1)&amp;"",Data!$A$2:$A$25001,"&lt;"&amp;DATE(Dashboard!$B$2,1+1,1)&amp;""))</f>
        <v/>
      </c>
      <c r="C65" s="50">
        <f>IF($A65="","",SUMIFS(Data!$H$2:$H$25001,Data!$C$2:$C$25001,$A65,Data!$D$2:$D$25001,"Werken",Data!$A$2:$A$25001,"&gt;="&amp;DATE(Dashboard!$B$2,2,1)&amp;"",Data!$A$2:$A$25001,"&lt;"&amp;DATE(Dashboard!$B$2,2+1,1)&amp;""))</f>
        <v/>
      </c>
      <c r="D65" s="50">
        <f>IF($A65="","",SUMIFS(Data!$H$2:$H$25001,Data!$C$2:$C$25001,$A65,Data!$D$2:$D$25001,"Werken",Data!$A$2:$A$25001,"&gt;="&amp;DATE(Dashboard!$B$2,3,1)&amp;"",Data!$A$2:$A$25001,"&lt;"&amp;DATE(Dashboard!$B$2,3+1,1)&amp;""))</f>
        <v/>
      </c>
      <c r="E65" s="50">
        <f>IF($A65="","",SUMIFS(Data!$H$2:$H$25001,Data!$C$2:$C$25001,$A65,Data!$D$2:$D$25001,"Werken",Data!$A$2:$A$25001,"&gt;="&amp;DATE(Dashboard!$B$2,4,1)&amp;"",Data!$A$2:$A$25001,"&lt;"&amp;DATE(Dashboard!$B$2,4+1,1)&amp;""))</f>
        <v/>
      </c>
      <c r="F65" s="50">
        <f>IF($A65="","",SUMIFS(Data!$H$2:$H$25001,Data!$C$2:$C$25001,$A65,Data!$D$2:$D$25001,"Werken",Data!$A$2:$A$25001,"&gt;="&amp;DATE(Dashboard!$B$2,5,1)&amp;"",Data!$A$2:$A$25001,"&lt;"&amp;DATE(Dashboard!$B$2,5+1,1)&amp;""))</f>
        <v/>
      </c>
      <c r="G65" s="50">
        <f>IF($A65="","",SUMIFS(Data!$H$2:$H$25001,Data!$C$2:$C$25001,$A65,Data!$D$2:$D$25001,"Werken",Data!$A$2:$A$25001,"&gt;="&amp;DATE(Dashboard!$B$2,6,1)&amp;"",Data!$A$2:$A$25001,"&lt;"&amp;DATE(Dashboard!$B$2,6+1,1)&amp;""))</f>
        <v/>
      </c>
      <c r="H65" s="50">
        <f>IF($A65="","",SUMIFS(Data!$H$2:$H$25001,Data!$C$2:$C$25001,$A65,Data!$D$2:$D$25001,"Werken",Data!$A$2:$A$25001,"&gt;="&amp;DATE(Dashboard!$B$2,7,1)&amp;"",Data!$A$2:$A$25001,"&lt;"&amp;DATE(Dashboard!$B$2,7+1,1)&amp;""))</f>
        <v/>
      </c>
      <c r="I65" s="50">
        <f>IF($A65="","",SUMIFS(Data!$H$2:$H$25001,Data!$C$2:$C$25001,$A65,Data!$D$2:$D$25001,"Werken",Data!$A$2:$A$25001,"&gt;="&amp;DATE(Dashboard!$B$2,8,1)&amp;"",Data!$A$2:$A$25001,"&lt;"&amp;DATE(Dashboard!$B$2,8+1,1)&amp;""))</f>
        <v/>
      </c>
      <c r="J65" s="50">
        <f>IF($A65="","",SUMIFS(Data!$H$2:$H$25001,Data!$C$2:$C$25001,$A65,Data!$D$2:$D$25001,"Werken",Data!$A$2:$A$25001,"&gt;="&amp;DATE(Dashboard!$B$2,9,1)&amp;"",Data!$A$2:$A$25001,"&lt;"&amp;DATE(Dashboard!$B$2,9+1,1)&amp;""))</f>
        <v/>
      </c>
      <c r="K65" s="50">
        <f>IF($A65="","",SUMIFS(Data!$H$2:$H$25001,Data!$C$2:$C$25001,$A65,Data!$D$2:$D$25001,"Werken",Data!$A$2:$A$25001,"&gt;="&amp;DATE(Dashboard!$B$2,10,1)&amp;"",Data!$A$2:$A$25001,"&lt;"&amp;DATE(Dashboard!$B$2,10+1,1)&amp;""))</f>
        <v/>
      </c>
      <c r="L65" s="50">
        <f>IF($A65="","",SUMIFS(Data!$H$2:$H$25001,Data!$C$2:$C$25001,$A65,Data!$D$2:$D$25001,"Werken",Data!$A$2:$A$25001,"&gt;="&amp;DATE(Dashboard!$B$2,11,1)&amp;"",Data!$A$2:$A$25001,"&lt;"&amp;DATE(Dashboard!$B$2,11+1,1)&amp;""))</f>
        <v/>
      </c>
      <c r="M65" s="50">
        <f>IF($A65="","",SUMIFS(Data!$H$2:$H$25001,Data!$C$2:$C$25001,$A65,Data!$D$2:$D$25001,"Werken",Data!$A$2:$A$25001,"&gt;="&amp;DATE(Dashboard!$B$2,12,1)&amp;"",Data!$A$2:$A$25001,"&lt;"&amp;DATE(Dashboard!$B$2,12+1,1)&amp;""))</f>
        <v/>
      </c>
      <c r="N65" s="46">
        <f>IF($A65="","",SUM(B65:M65))</f>
        <v/>
      </c>
      <c r="O65" s="51" t="n"/>
      <c r="P65" s="52">
        <f>IF(OR($A65="",O65=""),"",N65*O65)</f>
        <v/>
      </c>
    </row>
    <row r="66" ht="15" customHeight="1" s="30">
      <c r="A66" s="49" t="n"/>
      <c r="B66" s="45">
        <f>IF($A66="","",SUMIFS(Data!$H$2:$H$25001,Data!$C$2:$C$25001,$A66,Data!$D$2:$D$25001,"Werken",Data!$A$2:$A$25001,"&gt;="&amp;DATE(Dashboard!$B$2,1,1)&amp;"",Data!$A$2:$A$25001,"&lt;"&amp;DATE(Dashboard!$B$2,1+1,1)&amp;""))</f>
        <v/>
      </c>
      <c r="C66" s="45">
        <f>IF($A66="","",SUMIFS(Data!$H$2:$H$25001,Data!$C$2:$C$25001,$A66,Data!$D$2:$D$25001,"Werken",Data!$A$2:$A$25001,"&gt;="&amp;DATE(Dashboard!$B$2,2,1)&amp;"",Data!$A$2:$A$25001,"&lt;"&amp;DATE(Dashboard!$B$2,2+1,1)&amp;""))</f>
        <v/>
      </c>
      <c r="D66" s="45">
        <f>IF($A66="","",SUMIFS(Data!$H$2:$H$25001,Data!$C$2:$C$25001,$A66,Data!$D$2:$D$25001,"Werken",Data!$A$2:$A$25001,"&gt;="&amp;DATE(Dashboard!$B$2,3,1)&amp;"",Data!$A$2:$A$25001,"&lt;"&amp;DATE(Dashboard!$B$2,3+1,1)&amp;""))</f>
        <v/>
      </c>
      <c r="E66" s="45">
        <f>IF($A66="","",SUMIFS(Data!$H$2:$H$25001,Data!$C$2:$C$25001,$A66,Data!$D$2:$D$25001,"Werken",Data!$A$2:$A$25001,"&gt;="&amp;DATE(Dashboard!$B$2,4,1)&amp;"",Data!$A$2:$A$25001,"&lt;"&amp;DATE(Dashboard!$B$2,4+1,1)&amp;""))</f>
        <v/>
      </c>
      <c r="F66" s="45">
        <f>IF($A66="","",SUMIFS(Data!$H$2:$H$25001,Data!$C$2:$C$25001,$A66,Data!$D$2:$D$25001,"Werken",Data!$A$2:$A$25001,"&gt;="&amp;DATE(Dashboard!$B$2,5,1)&amp;"",Data!$A$2:$A$25001,"&lt;"&amp;DATE(Dashboard!$B$2,5+1,1)&amp;""))</f>
        <v/>
      </c>
      <c r="G66" s="45">
        <f>IF($A66="","",SUMIFS(Data!$H$2:$H$25001,Data!$C$2:$C$25001,$A66,Data!$D$2:$D$25001,"Werken",Data!$A$2:$A$25001,"&gt;="&amp;DATE(Dashboard!$B$2,6,1)&amp;"",Data!$A$2:$A$25001,"&lt;"&amp;DATE(Dashboard!$B$2,6+1,1)&amp;""))</f>
        <v/>
      </c>
      <c r="H66" s="45">
        <f>IF($A66="","",SUMIFS(Data!$H$2:$H$25001,Data!$C$2:$C$25001,$A66,Data!$D$2:$D$25001,"Werken",Data!$A$2:$A$25001,"&gt;="&amp;DATE(Dashboard!$B$2,7,1)&amp;"",Data!$A$2:$A$25001,"&lt;"&amp;DATE(Dashboard!$B$2,7+1,1)&amp;""))</f>
        <v/>
      </c>
      <c r="I66" s="45">
        <f>IF($A66="","",SUMIFS(Data!$H$2:$H$25001,Data!$C$2:$C$25001,$A66,Data!$D$2:$D$25001,"Werken",Data!$A$2:$A$25001,"&gt;="&amp;DATE(Dashboard!$B$2,8,1)&amp;"",Data!$A$2:$A$25001,"&lt;"&amp;DATE(Dashboard!$B$2,8+1,1)&amp;""))</f>
        <v/>
      </c>
      <c r="J66" s="45">
        <f>IF($A66="","",SUMIFS(Data!$H$2:$H$25001,Data!$C$2:$C$25001,$A66,Data!$D$2:$D$25001,"Werken",Data!$A$2:$A$25001,"&gt;="&amp;DATE(Dashboard!$B$2,9,1)&amp;"",Data!$A$2:$A$25001,"&lt;"&amp;DATE(Dashboard!$B$2,9+1,1)&amp;""))</f>
        <v/>
      </c>
      <c r="K66" s="45">
        <f>IF($A66="","",SUMIFS(Data!$H$2:$H$25001,Data!$C$2:$C$25001,$A66,Data!$D$2:$D$25001,"Werken",Data!$A$2:$A$25001,"&gt;="&amp;DATE(Dashboard!$B$2,10,1)&amp;"",Data!$A$2:$A$25001,"&lt;"&amp;DATE(Dashboard!$B$2,10+1,1)&amp;""))</f>
        <v/>
      </c>
      <c r="L66" s="45">
        <f>IF($A66="","",SUMIFS(Data!$H$2:$H$25001,Data!$C$2:$C$25001,$A66,Data!$D$2:$D$25001,"Werken",Data!$A$2:$A$25001,"&gt;="&amp;DATE(Dashboard!$B$2,11,1)&amp;"",Data!$A$2:$A$25001,"&lt;"&amp;DATE(Dashboard!$B$2,11+1,1)&amp;""))</f>
        <v/>
      </c>
      <c r="M66" s="45">
        <f>IF($A66="","",SUMIFS(Data!$H$2:$H$25001,Data!$C$2:$C$25001,$A66,Data!$D$2:$D$25001,"Werken",Data!$A$2:$A$25001,"&gt;="&amp;DATE(Dashboard!$B$2,12,1)&amp;"",Data!$A$2:$A$25001,"&lt;"&amp;DATE(Dashboard!$B$2,12+1,1)&amp;""))</f>
        <v/>
      </c>
      <c r="N66" s="46">
        <f>IF($A66="","",SUM(B66:M66))</f>
        <v/>
      </c>
      <c r="O66" s="51" t="n"/>
      <c r="P66" s="52">
        <f>IF(OR($A66="",O66=""),"",N66*O66)</f>
        <v/>
      </c>
    </row>
    <row r="67" ht="15" customHeight="1" s="30">
      <c r="A67" s="49" t="n"/>
      <c r="B67" s="50">
        <f>IF($A67="","",SUMIFS(Data!$H$2:$H$25001,Data!$C$2:$C$25001,$A67,Data!$D$2:$D$25001,"Werken",Data!$A$2:$A$25001,"&gt;="&amp;DATE(Dashboard!$B$2,1,1)&amp;"",Data!$A$2:$A$25001,"&lt;"&amp;DATE(Dashboard!$B$2,1+1,1)&amp;""))</f>
        <v/>
      </c>
      <c r="C67" s="50">
        <f>IF($A67="","",SUMIFS(Data!$H$2:$H$25001,Data!$C$2:$C$25001,$A67,Data!$D$2:$D$25001,"Werken",Data!$A$2:$A$25001,"&gt;="&amp;DATE(Dashboard!$B$2,2,1)&amp;"",Data!$A$2:$A$25001,"&lt;"&amp;DATE(Dashboard!$B$2,2+1,1)&amp;""))</f>
        <v/>
      </c>
      <c r="D67" s="50">
        <f>IF($A67="","",SUMIFS(Data!$H$2:$H$25001,Data!$C$2:$C$25001,$A67,Data!$D$2:$D$25001,"Werken",Data!$A$2:$A$25001,"&gt;="&amp;DATE(Dashboard!$B$2,3,1)&amp;"",Data!$A$2:$A$25001,"&lt;"&amp;DATE(Dashboard!$B$2,3+1,1)&amp;""))</f>
        <v/>
      </c>
      <c r="E67" s="50">
        <f>IF($A67="","",SUMIFS(Data!$H$2:$H$25001,Data!$C$2:$C$25001,$A67,Data!$D$2:$D$25001,"Werken",Data!$A$2:$A$25001,"&gt;="&amp;DATE(Dashboard!$B$2,4,1)&amp;"",Data!$A$2:$A$25001,"&lt;"&amp;DATE(Dashboard!$B$2,4+1,1)&amp;""))</f>
        <v/>
      </c>
      <c r="F67" s="50">
        <f>IF($A67="","",SUMIFS(Data!$H$2:$H$25001,Data!$C$2:$C$25001,$A67,Data!$D$2:$D$25001,"Werken",Data!$A$2:$A$25001,"&gt;="&amp;DATE(Dashboard!$B$2,5,1)&amp;"",Data!$A$2:$A$25001,"&lt;"&amp;DATE(Dashboard!$B$2,5+1,1)&amp;""))</f>
        <v/>
      </c>
      <c r="G67" s="50">
        <f>IF($A67="","",SUMIFS(Data!$H$2:$H$25001,Data!$C$2:$C$25001,$A67,Data!$D$2:$D$25001,"Werken",Data!$A$2:$A$25001,"&gt;="&amp;DATE(Dashboard!$B$2,6,1)&amp;"",Data!$A$2:$A$25001,"&lt;"&amp;DATE(Dashboard!$B$2,6+1,1)&amp;""))</f>
        <v/>
      </c>
      <c r="H67" s="50">
        <f>IF($A67="","",SUMIFS(Data!$H$2:$H$25001,Data!$C$2:$C$25001,$A67,Data!$D$2:$D$25001,"Werken",Data!$A$2:$A$25001,"&gt;="&amp;DATE(Dashboard!$B$2,7,1)&amp;"",Data!$A$2:$A$25001,"&lt;"&amp;DATE(Dashboard!$B$2,7+1,1)&amp;""))</f>
        <v/>
      </c>
      <c r="I67" s="50">
        <f>IF($A67="","",SUMIFS(Data!$H$2:$H$25001,Data!$C$2:$C$25001,$A67,Data!$D$2:$D$25001,"Werken",Data!$A$2:$A$25001,"&gt;="&amp;DATE(Dashboard!$B$2,8,1)&amp;"",Data!$A$2:$A$25001,"&lt;"&amp;DATE(Dashboard!$B$2,8+1,1)&amp;""))</f>
        <v/>
      </c>
      <c r="J67" s="50">
        <f>IF($A67="","",SUMIFS(Data!$H$2:$H$25001,Data!$C$2:$C$25001,$A67,Data!$D$2:$D$25001,"Werken",Data!$A$2:$A$25001,"&gt;="&amp;DATE(Dashboard!$B$2,9,1)&amp;"",Data!$A$2:$A$25001,"&lt;"&amp;DATE(Dashboard!$B$2,9+1,1)&amp;""))</f>
        <v/>
      </c>
      <c r="K67" s="50">
        <f>IF($A67="","",SUMIFS(Data!$H$2:$H$25001,Data!$C$2:$C$25001,$A67,Data!$D$2:$D$25001,"Werken",Data!$A$2:$A$25001,"&gt;="&amp;DATE(Dashboard!$B$2,10,1)&amp;"",Data!$A$2:$A$25001,"&lt;"&amp;DATE(Dashboard!$B$2,10+1,1)&amp;""))</f>
        <v/>
      </c>
      <c r="L67" s="50">
        <f>IF($A67="","",SUMIFS(Data!$H$2:$H$25001,Data!$C$2:$C$25001,$A67,Data!$D$2:$D$25001,"Werken",Data!$A$2:$A$25001,"&gt;="&amp;DATE(Dashboard!$B$2,11,1)&amp;"",Data!$A$2:$A$25001,"&lt;"&amp;DATE(Dashboard!$B$2,11+1,1)&amp;""))</f>
        <v/>
      </c>
      <c r="M67" s="50">
        <f>IF($A67="","",SUMIFS(Data!$H$2:$H$25001,Data!$C$2:$C$25001,$A67,Data!$D$2:$D$25001,"Werken",Data!$A$2:$A$25001,"&gt;="&amp;DATE(Dashboard!$B$2,12,1)&amp;"",Data!$A$2:$A$25001,"&lt;"&amp;DATE(Dashboard!$B$2,12+1,1)&amp;""))</f>
        <v/>
      </c>
      <c r="N67" s="46">
        <f>IF($A67="","",SUM(B67:M67))</f>
        <v/>
      </c>
      <c r="O67" s="51" t="n"/>
      <c r="P67" s="52">
        <f>IF(OR($A67="",O67=""),"",N67*O67)</f>
        <v/>
      </c>
    </row>
    <row r="68" ht="15" customHeight="1" s="30">
      <c r="A68" s="49" t="n"/>
      <c r="B68" s="45">
        <f>IF($A68="","",SUMIFS(Data!$H$2:$H$25001,Data!$C$2:$C$25001,$A68,Data!$D$2:$D$25001,"Werken",Data!$A$2:$A$25001,"&gt;="&amp;DATE(Dashboard!$B$2,1,1)&amp;"",Data!$A$2:$A$25001,"&lt;"&amp;DATE(Dashboard!$B$2,1+1,1)&amp;""))</f>
        <v/>
      </c>
      <c r="C68" s="45">
        <f>IF($A68="","",SUMIFS(Data!$H$2:$H$25001,Data!$C$2:$C$25001,$A68,Data!$D$2:$D$25001,"Werken",Data!$A$2:$A$25001,"&gt;="&amp;DATE(Dashboard!$B$2,2,1)&amp;"",Data!$A$2:$A$25001,"&lt;"&amp;DATE(Dashboard!$B$2,2+1,1)&amp;""))</f>
        <v/>
      </c>
      <c r="D68" s="45">
        <f>IF($A68="","",SUMIFS(Data!$H$2:$H$25001,Data!$C$2:$C$25001,$A68,Data!$D$2:$D$25001,"Werken",Data!$A$2:$A$25001,"&gt;="&amp;DATE(Dashboard!$B$2,3,1)&amp;"",Data!$A$2:$A$25001,"&lt;"&amp;DATE(Dashboard!$B$2,3+1,1)&amp;""))</f>
        <v/>
      </c>
      <c r="E68" s="45">
        <f>IF($A68="","",SUMIFS(Data!$H$2:$H$25001,Data!$C$2:$C$25001,$A68,Data!$D$2:$D$25001,"Werken",Data!$A$2:$A$25001,"&gt;="&amp;DATE(Dashboard!$B$2,4,1)&amp;"",Data!$A$2:$A$25001,"&lt;"&amp;DATE(Dashboard!$B$2,4+1,1)&amp;""))</f>
        <v/>
      </c>
      <c r="F68" s="45">
        <f>IF($A68="","",SUMIFS(Data!$H$2:$H$25001,Data!$C$2:$C$25001,$A68,Data!$D$2:$D$25001,"Werken",Data!$A$2:$A$25001,"&gt;="&amp;DATE(Dashboard!$B$2,5,1)&amp;"",Data!$A$2:$A$25001,"&lt;"&amp;DATE(Dashboard!$B$2,5+1,1)&amp;""))</f>
        <v/>
      </c>
      <c r="G68" s="45">
        <f>IF($A68="","",SUMIFS(Data!$H$2:$H$25001,Data!$C$2:$C$25001,$A68,Data!$D$2:$D$25001,"Werken",Data!$A$2:$A$25001,"&gt;="&amp;DATE(Dashboard!$B$2,6,1)&amp;"",Data!$A$2:$A$25001,"&lt;"&amp;DATE(Dashboard!$B$2,6+1,1)&amp;""))</f>
        <v/>
      </c>
      <c r="H68" s="45">
        <f>IF($A68="","",SUMIFS(Data!$H$2:$H$25001,Data!$C$2:$C$25001,$A68,Data!$D$2:$D$25001,"Werken",Data!$A$2:$A$25001,"&gt;="&amp;DATE(Dashboard!$B$2,7,1)&amp;"",Data!$A$2:$A$25001,"&lt;"&amp;DATE(Dashboard!$B$2,7+1,1)&amp;""))</f>
        <v/>
      </c>
      <c r="I68" s="45">
        <f>IF($A68="","",SUMIFS(Data!$H$2:$H$25001,Data!$C$2:$C$25001,$A68,Data!$D$2:$D$25001,"Werken",Data!$A$2:$A$25001,"&gt;="&amp;DATE(Dashboard!$B$2,8,1)&amp;"",Data!$A$2:$A$25001,"&lt;"&amp;DATE(Dashboard!$B$2,8+1,1)&amp;""))</f>
        <v/>
      </c>
      <c r="J68" s="45">
        <f>IF($A68="","",SUMIFS(Data!$H$2:$H$25001,Data!$C$2:$C$25001,$A68,Data!$D$2:$D$25001,"Werken",Data!$A$2:$A$25001,"&gt;="&amp;DATE(Dashboard!$B$2,9,1)&amp;"",Data!$A$2:$A$25001,"&lt;"&amp;DATE(Dashboard!$B$2,9+1,1)&amp;""))</f>
        <v/>
      </c>
      <c r="K68" s="45">
        <f>IF($A68="","",SUMIFS(Data!$H$2:$H$25001,Data!$C$2:$C$25001,$A68,Data!$D$2:$D$25001,"Werken",Data!$A$2:$A$25001,"&gt;="&amp;DATE(Dashboard!$B$2,10,1)&amp;"",Data!$A$2:$A$25001,"&lt;"&amp;DATE(Dashboard!$B$2,10+1,1)&amp;""))</f>
        <v/>
      </c>
      <c r="L68" s="45">
        <f>IF($A68="","",SUMIFS(Data!$H$2:$H$25001,Data!$C$2:$C$25001,$A68,Data!$D$2:$D$25001,"Werken",Data!$A$2:$A$25001,"&gt;="&amp;DATE(Dashboard!$B$2,11,1)&amp;"",Data!$A$2:$A$25001,"&lt;"&amp;DATE(Dashboard!$B$2,11+1,1)&amp;""))</f>
        <v/>
      </c>
      <c r="M68" s="45">
        <f>IF($A68="","",SUMIFS(Data!$H$2:$H$25001,Data!$C$2:$C$25001,$A68,Data!$D$2:$D$25001,"Werken",Data!$A$2:$A$25001,"&gt;="&amp;DATE(Dashboard!$B$2,12,1)&amp;"",Data!$A$2:$A$25001,"&lt;"&amp;DATE(Dashboard!$B$2,12+1,1)&amp;""))</f>
        <v/>
      </c>
      <c r="N68" s="46">
        <f>IF($A68="","",SUM(B68:M68))</f>
        <v/>
      </c>
      <c r="O68" s="51" t="n"/>
      <c r="P68" s="52">
        <f>IF(OR($A68="",O68=""),"",N68*O68)</f>
        <v/>
      </c>
    </row>
    <row r="69" ht="15" customHeight="1" s="30">
      <c r="A69" s="49" t="n"/>
      <c r="B69" s="50">
        <f>IF($A69="","",SUMIFS(Data!$H$2:$H$25001,Data!$C$2:$C$25001,$A69,Data!$D$2:$D$25001,"Werken",Data!$A$2:$A$25001,"&gt;="&amp;DATE(Dashboard!$B$2,1,1)&amp;"",Data!$A$2:$A$25001,"&lt;"&amp;DATE(Dashboard!$B$2,1+1,1)&amp;""))</f>
        <v/>
      </c>
      <c r="C69" s="50">
        <f>IF($A69="","",SUMIFS(Data!$H$2:$H$25001,Data!$C$2:$C$25001,$A69,Data!$D$2:$D$25001,"Werken",Data!$A$2:$A$25001,"&gt;="&amp;DATE(Dashboard!$B$2,2,1)&amp;"",Data!$A$2:$A$25001,"&lt;"&amp;DATE(Dashboard!$B$2,2+1,1)&amp;""))</f>
        <v/>
      </c>
      <c r="D69" s="50">
        <f>IF($A69="","",SUMIFS(Data!$H$2:$H$25001,Data!$C$2:$C$25001,$A69,Data!$D$2:$D$25001,"Werken",Data!$A$2:$A$25001,"&gt;="&amp;DATE(Dashboard!$B$2,3,1)&amp;"",Data!$A$2:$A$25001,"&lt;"&amp;DATE(Dashboard!$B$2,3+1,1)&amp;""))</f>
        <v/>
      </c>
      <c r="E69" s="50">
        <f>IF($A69="","",SUMIFS(Data!$H$2:$H$25001,Data!$C$2:$C$25001,$A69,Data!$D$2:$D$25001,"Werken",Data!$A$2:$A$25001,"&gt;="&amp;DATE(Dashboard!$B$2,4,1)&amp;"",Data!$A$2:$A$25001,"&lt;"&amp;DATE(Dashboard!$B$2,4+1,1)&amp;""))</f>
        <v/>
      </c>
      <c r="F69" s="50">
        <f>IF($A69="","",SUMIFS(Data!$H$2:$H$25001,Data!$C$2:$C$25001,$A69,Data!$D$2:$D$25001,"Werken",Data!$A$2:$A$25001,"&gt;="&amp;DATE(Dashboard!$B$2,5,1)&amp;"",Data!$A$2:$A$25001,"&lt;"&amp;DATE(Dashboard!$B$2,5+1,1)&amp;""))</f>
        <v/>
      </c>
      <c r="G69" s="50">
        <f>IF($A69="","",SUMIFS(Data!$H$2:$H$25001,Data!$C$2:$C$25001,$A69,Data!$D$2:$D$25001,"Werken",Data!$A$2:$A$25001,"&gt;="&amp;DATE(Dashboard!$B$2,6,1)&amp;"",Data!$A$2:$A$25001,"&lt;"&amp;DATE(Dashboard!$B$2,6+1,1)&amp;""))</f>
        <v/>
      </c>
      <c r="H69" s="50">
        <f>IF($A69="","",SUMIFS(Data!$H$2:$H$25001,Data!$C$2:$C$25001,$A69,Data!$D$2:$D$25001,"Werken",Data!$A$2:$A$25001,"&gt;="&amp;DATE(Dashboard!$B$2,7,1)&amp;"",Data!$A$2:$A$25001,"&lt;"&amp;DATE(Dashboard!$B$2,7+1,1)&amp;""))</f>
        <v/>
      </c>
      <c r="I69" s="50">
        <f>IF($A69="","",SUMIFS(Data!$H$2:$H$25001,Data!$C$2:$C$25001,$A69,Data!$D$2:$D$25001,"Werken",Data!$A$2:$A$25001,"&gt;="&amp;DATE(Dashboard!$B$2,8,1)&amp;"",Data!$A$2:$A$25001,"&lt;"&amp;DATE(Dashboard!$B$2,8+1,1)&amp;""))</f>
        <v/>
      </c>
      <c r="J69" s="50">
        <f>IF($A69="","",SUMIFS(Data!$H$2:$H$25001,Data!$C$2:$C$25001,$A69,Data!$D$2:$D$25001,"Werken",Data!$A$2:$A$25001,"&gt;="&amp;DATE(Dashboard!$B$2,9,1)&amp;"",Data!$A$2:$A$25001,"&lt;"&amp;DATE(Dashboard!$B$2,9+1,1)&amp;""))</f>
        <v/>
      </c>
      <c r="K69" s="50">
        <f>IF($A69="","",SUMIFS(Data!$H$2:$H$25001,Data!$C$2:$C$25001,$A69,Data!$D$2:$D$25001,"Werken",Data!$A$2:$A$25001,"&gt;="&amp;DATE(Dashboard!$B$2,10,1)&amp;"",Data!$A$2:$A$25001,"&lt;"&amp;DATE(Dashboard!$B$2,10+1,1)&amp;""))</f>
        <v/>
      </c>
      <c r="L69" s="50">
        <f>IF($A69="","",SUMIFS(Data!$H$2:$H$25001,Data!$C$2:$C$25001,$A69,Data!$D$2:$D$25001,"Werken",Data!$A$2:$A$25001,"&gt;="&amp;DATE(Dashboard!$B$2,11,1)&amp;"",Data!$A$2:$A$25001,"&lt;"&amp;DATE(Dashboard!$B$2,11+1,1)&amp;""))</f>
        <v/>
      </c>
      <c r="M69" s="50">
        <f>IF($A69="","",SUMIFS(Data!$H$2:$H$25001,Data!$C$2:$C$25001,$A69,Data!$D$2:$D$25001,"Werken",Data!$A$2:$A$25001,"&gt;="&amp;DATE(Dashboard!$B$2,12,1)&amp;"",Data!$A$2:$A$25001,"&lt;"&amp;DATE(Dashboard!$B$2,12+1,1)&amp;""))</f>
        <v/>
      </c>
      <c r="N69" s="46">
        <f>IF($A69="","",SUM(B69:M69))</f>
        <v/>
      </c>
      <c r="O69" s="51" t="n"/>
      <c r="P69" s="52">
        <f>IF(OR($A69="",O69=""),"",N69*O69)</f>
        <v/>
      </c>
    </row>
    <row r="70" ht="15" customHeight="1" s="30">
      <c r="A70" s="49" t="n"/>
      <c r="B70" s="45">
        <f>IF($A70="","",SUMIFS(Data!$H$2:$H$25001,Data!$C$2:$C$25001,$A70,Data!$D$2:$D$25001,"Werken",Data!$A$2:$A$25001,"&gt;="&amp;DATE(Dashboard!$B$2,1,1)&amp;"",Data!$A$2:$A$25001,"&lt;"&amp;DATE(Dashboard!$B$2,1+1,1)&amp;""))</f>
        <v/>
      </c>
      <c r="C70" s="45">
        <f>IF($A70="","",SUMIFS(Data!$H$2:$H$25001,Data!$C$2:$C$25001,$A70,Data!$D$2:$D$25001,"Werken",Data!$A$2:$A$25001,"&gt;="&amp;DATE(Dashboard!$B$2,2,1)&amp;"",Data!$A$2:$A$25001,"&lt;"&amp;DATE(Dashboard!$B$2,2+1,1)&amp;""))</f>
        <v/>
      </c>
      <c r="D70" s="45">
        <f>IF($A70="","",SUMIFS(Data!$H$2:$H$25001,Data!$C$2:$C$25001,$A70,Data!$D$2:$D$25001,"Werken",Data!$A$2:$A$25001,"&gt;="&amp;DATE(Dashboard!$B$2,3,1)&amp;"",Data!$A$2:$A$25001,"&lt;"&amp;DATE(Dashboard!$B$2,3+1,1)&amp;""))</f>
        <v/>
      </c>
      <c r="E70" s="45">
        <f>IF($A70="","",SUMIFS(Data!$H$2:$H$25001,Data!$C$2:$C$25001,$A70,Data!$D$2:$D$25001,"Werken",Data!$A$2:$A$25001,"&gt;="&amp;DATE(Dashboard!$B$2,4,1)&amp;"",Data!$A$2:$A$25001,"&lt;"&amp;DATE(Dashboard!$B$2,4+1,1)&amp;""))</f>
        <v/>
      </c>
      <c r="F70" s="45">
        <f>IF($A70="","",SUMIFS(Data!$H$2:$H$25001,Data!$C$2:$C$25001,$A70,Data!$D$2:$D$25001,"Werken",Data!$A$2:$A$25001,"&gt;="&amp;DATE(Dashboard!$B$2,5,1)&amp;"",Data!$A$2:$A$25001,"&lt;"&amp;DATE(Dashboard!$B$2,5+1,1)&amp;""))</f>
        <v/>
      </c>
      <c r="G70" s="45">
        <f>IF($A70="","",SUMIFS(Data!$H$2:$H$25001,Data!$C$2:$C$25001,$A70,Data!$D$2:$D$25001,"Werken",Data!$A$2:$A$25001,"&gt;="&amp;DATE(Dashboard!$B$2,6,1)&amp;"",Data!$A$2:$A$25001,"&lt;"&amp;DATE(Dashboard!$B$2,6+1,1)&amp;""))</f>
        <v/>
      </c>
      <c r="H70" s="45">
        <f>IF($A70="","",SUMIFS(Data!$H$2:$H$25001,Data!$C$2:$C$25001,$A70,Data!$D$2:$D$25001,"Werken",Data!$A$2:$A$25001,"&gt;="&amp;DATE(Dashboard!$B$2,7,1)&amp;"",Data!$A$2:$A$25001,"&lt;"&amp;DATE(Dashboard!$B$2,7+1,1)&amp;""))</f>
        <v/>
      </c>
      <c r="I70" s="45">
        <f>IF($A70="","",SUMIFS(Data!$H$2:$H$25001,Data!$C$2:$C$25001,$A70,Data!$D$2:$D$25001,"Werken",Data!$A$2:$A$25001,"&gt;="&amp;DATE(Dashboard!$B$2,8,1)&amp;"",Data!$A$2:$A$25001,"&lt;"&amp;DATE(Dashboard!$B$2,8+1,1)&amp;""))</f>
        <v/>
      </c>
      <c r="J70" s="45">
        <f>IF($A70="","",SUMIFS(Data!$H$2:$H$25001,Data!$C$2:$C$25001,$A70,Data!$D$2:$D$25001,"Werken",Data!$A$2:$A$25001,"&gt;="&amp;DATE(Dashboard!$B$2,9,1)&amp;"",Data!$A$2:$A$25001,"&lt;"&amp;DATE(Dashboard!$B$2,9+1,1)&amp;""))</f>
        <v/>
      </c>
      <c r="K70" s="45">
        <f>IF($A70="","",SUMIFS(Data!$H$2:$H$25001,Data!$C$2:$C$25001,$A70,Data!$D$2:$D$25001,"Werken",Data!$A$2:$A$25001,"&gt;="&amp;DATE(Dashboard!$B$2,10,1)&amp;"",Data!$A$2:$A$25001,"&lt;"&amp;DATE(Dashboard!$B$2,10+1,1)&amp;""))</f>
        <v/>
      </c>
      <c r="L70" s="45">
        <f>IF($A70="","",SUMIFS(Data!$H$2:$H$25001,Data!$C$2:$C$25001,$A70,Data!$D$2:$D$25001,"Werken",Data!$A$2:$A$25001,"&gt;="&amp;DATE(Dashboard!$B$2,11,1)&amp;"",Data!$A$2:$A$25001,"&lt;"&amp;DATE(Dashboard!$B$2,11+1,1)&amp;""))</f>
        <v/>
      </c>
      <c r="M70" s="45">
        <f>IF($A70="","",SUMIFS(Data!$H$2:$H$25001,Data!$C$2:$C$25001,$A70,Data!$D$2:$D$25001,"Werken",Data!$A$2:$A$25001,"&gt;="&amp;DATE(Dashboard!$B$2,12,1)&amp;"",Data!$A$2:$A$25001,"&lt;"&amp;DATE(Dashboard!$B$2,12+1,1)&amp;""))</f>
        <v/>
      </c>
      <c r="N70" s="46">
        <f>IF($A70="","",SUM(B70:M70))</f>
        <v/>
      </c>
      <c r="O70" s="51" t="n"/>
      <c r="P70" s="52">
        <f>IF(OR($A70="",O70=""),"",N70*O70)</f>
        <v/>
      </c>
    </row>
    <row r="71" ht="15" customHeight="1" s="30">
      <c r="A71" s="49" t="n"/>
      <c r="B71" s="50">
        <f>IF($A71="","",SUMIFS(Data!$H$2:$H$25001,Data!$C$2:$C$25001,$A71,Data!$D$2:$D$25001,"Werken",Data!$A$2:$A$25001,"&gt;="&amp;DATE(Dashboard!$B$2,1,1)&amp;"",Data!$A$2:$A$25001,"&lt;"&amp;DATE(Dashboard!$B$2,1+1,1)&amp;""))</f>
        <v/>
      </c>
      <c r="C71" s="50">
        <f>IF($A71="","",SUMIFS(Data!$H$2:$H$25001,Data!$C$2:$C$25001,$A71,Data!$D$2:$D$25001,"Werken",Data!$A$2:$A$25001,"&gt;="&amp;DATE(Dashboard!$B$2,2,1)&amp;"",Data!$A$2:$A$25001,"&lt;"&amp;DATE(Dashboard!$B$2,2+1,1)&amp;""))</f>
        <v/>
      </c>
      <c r="D71" s="50">
        <f>IF($A71="","",SUMIFS(Data!$H$2:$H$25001,Data!$C$2:$C$25001,$A71,Data!$D$2:$D$25001,"Werken",Data!$A$2:$A$25001,"&gt;="&amp;DATE(Dashboard!$B$2,3,1)&amp;"",Data!$A$2:$A$25001,"&lt;"&amp;DATE(Dashboard!$B$2,3+1,1)&amp;""))</f>
        <v/>
      </c>
      <c r="E71" s="50">
        <f>IF($A71="","",SUMIFS(Data!$H$2:$H$25001,Data!$C$2:$C$25001,$A71,Data!$D$2:$D$25001,"Werken",Data!$A$2:$A$25001,"&gt;="&amp;DATE(Dashboard!$B$2,4,1)&amp;"",Data!$A$2:$A$25001,"&lt;"&amp;DATE(Dashboard!$B$2,4+1,1)&amp;""))</f>
        <v/>
      </c>
      <c r="F71" s="50">
        <f>IF($A71="","",SUMIFS(Data!$H$2:$H$25001,Data!$C$2:$C$25001,$A71,Data!$D$2:$D$25001,"Werken",Data!$A$2:$A$25001,"&gt;="&amp;DATE(Dashboard!$B$2,5,1)&amp;"",Data!$A$2:$A$25001,"&lt;"&amp;DATE(Dashboard!$B$2,5+1,1)&amp;""))</f>
        <v/>
      </c>
      <c r="G71" s="50">
        <f>IF($A71="","",SUMIFS(Data!$H$2:$H$25001,Data!$C$2:$C$25001,$A71,Data!$D$2:$D$25001,"Werken",Data!$A$2:$A$25001,"&gt;="&amp;DATE(Dashboard!$B$2,6,1)&amp;"",Data!$A$2:$A$25001,"&lt;"&amp;DATE(Dashboard!$B$2,6+1,1)&amp;""))</f>
        <v/>
      </c>
      <c r="H71" s="50">
        <f>IF($A71="","",SUMIFS(Data!$H$2:$H$25001,Data!$C$2:$C$25001,$A71,Data!$D$2:$D$25001,"Werken",Data!$A$2:$A$25001,"&gt;="&amp;DATE(Dashboard!$B$2,7,1)&amp;"",Data!$A$2:$A$25001,"&lt;"&amp;DATE(Dashboard!$B$2,7+1,1)&amp;""))</f>
        <v/>
      </c>
      <c r="I71" s="50">
        <f>IF($A71="","",SUMIFS(Data!$H$2:$H$25001,Data!$C$2:$C$25001,$A71,Data!$D$2:$D$25001,"Werken",Data!$A$2:$A$25001,"&gt;="&amp;DATE(Dashboard!$B$2,8,1)&amp;"",Data!$A$2:$A$25001,"&lt;"&amp;DATE(Dashboard!$B$2,8+1,1)&amp;""))</f>
        <v/>
      </c>
      <c r="J71" s="50">
        <f>IF($A71="","",SUMIFS(Data!$H$2:$H$25001,Data!$C$2:$C$25001,$A71,Data!$D$2:$D$25001,"Werken",Data!$A$2:$A$25001,"&gt;="&amp;DATE(Dashboard!$B$2,9,1)&amp;"",Data!$A$2:$A$25001,"&lt;"&amp;DATE(Dashboard!$B$2,9+1,1)&amp;""))</f>
        <v/>
      </c>
      <c r="K71" s="50">
        <f>IF($A71="","",SUMIFS(Data!$H$2:$H$25001,Data!$C$2:$C$25001,$A71,Data!$D$2:$D$25001,"Werken",Data!$A$2:$A$25001,"&gt;="&amp;DATE(Dashboard!$B$2,10,1)&amp;"",Data!$A$2:$A$25001,"&lt;"&amp;DATE(Dashboard!$B$2,10+1,1)&amp;""))</f>
        <v/>
      </c>
      <c r="L71" s="50">
        <f>IF($A71="","",SUMIFS(Data!$H$2:$H$25001,Data!$C$2:$C$25001,$A71,Data!$D$2:$D$25001,"Werken",Data!$A$2:$A$25001,"&gt;="&amp;DATE(Dashboard!$B$2,11,1)&amp;"",Data!$A$2:$A$25001,"&lt;"&amp;DATE(Dashboard!$B$2,11+1,1)&amp;""))</f>
        <v/>
      </c>
      <c r="M71" s="50">
        <f>IF($A71="","",SUMIFS(Data!$H$2:$H$25001,Data!$C$2:$C$25001,$A71,Data!$D$2:$D$25001,"Werken",Data!$A$2:$A$25001,"&gt;="&amp;DATE(Dashboard!$B$2,12,1)&amp;"",Data!$A$2:$A$25001,"&lt;"&amp;DATE(Dashboard!$B$2,12+1,1)&amp;""))</f>
        <v/>
      </c>
      <c r="N71" s="46">
        <f>IF($A71="","",SUM(B71:M71))</f>
        <v/>
      </c>
      <c r="O71" s="51" t="n"/>
      <c r="P71" s="52">
        <f>IF(OR($A71="",O71=""),"",N71*O71)</f>
        <v/>
      </c>
    </row>
    <row r="72" ht="15" customHeight="1" s="30">
      <c r="A72" s="49" t="n"/>
      <c r="B72" s="45">
        <f>IF($A72="","",SUMIFS(Data!$H$2:$H$25001,Data!$C$2:$C$25001,$A72,Data!$D$2:$D$25001,"Werken",Data!$A$2:$A$25001,"&gt;="&amp;DATE(Dashboard!$B$2,1,1)&amp;"",Data!$A$2:$A$25001,"&lt;"&amp;DATE(Dashboard!$B$2,1+1,1)&amp;""))</f>
        <v/>
      </c>
      <c r="C72" s="45">
        <f>IF($A72="","",SUMIFS(Data!$H$2:$H$25001,Data!$C$2:$C$25001,$A72,Data!$D$2:$D$25001,"Werken",Data!$A$2:$A$25001,"&gt;="&amp;DATE(Dashboard!$B$2,2,1)&amp;"",Data!$A$2:$A$25001,"&lt;"&amp;DATE(Dashboard!$B$2,2+1,1)&amp;""))</f>
        <v/>
      </c>
      <c r="D72" s="45">
        <f>IF($A72="","",SUMIFS(Data!$H$2:$H$25001,Data!$C$2:$C$25001,$A72,Data!$D$2:$D$25001,"Werken",Data!$A$2:$A$25001,"&gt;="&amp;DATE(Dashboard!$B$2,3,1)&amp;"",Data!$A$2:$A$25001,"&lt;"&amp;DATE(Dashboard!$B$2,3+1,1)&amp;""))</f>
        <v/>
      </c>
      <c r="E72" s="45">
        <f>IF($A72="","",SUMIFS(Data!$H$2:$H$25001,Data!$C$2:$C$25001,$A72,Data!$D$2:$D$25001,"Werken",Data!$A$2:$A$25001,"&gt;="&amp;DATE(Dashboard!$B$2,4,1)&amp;"",Data!$A$2:$A$25001,"&lt;"&amp;DATE(Dashboard!$B$2,4+1,1)&amp;""))</f>
        <v/>
      </c>
      <c r="F72" s="45">
        <f>IF($A72="","",SUMIFS(Data!$H$2:$H$25001,Data!$C$2:$C$25001,$A72,Data!$D$2:$D$25001,"Werken",Data!$A$2:$A$25001,"&gt;="&amp;DATE(Dashboard!$B$2,5,1)&amp;"",Data!$A$2:$A$25001,"&lt;"&amp;DATE(Dashboard!$B$2,5+1,1)&amp;""))</f>
        <v/>
      </c>
      <c r="G72" s="45">
        <f>IF($A72="","",SUMIFS(Data!$H$2:$H$25001,Data!$C$2:$C$25001,$A72,Data!$D$2:$D$25001,"Werken",Data!$A$2:$A$25001,"&gt;="&amp;DATE(Dashboard!$B$2,6,1)&amp;"",Data!$A$2:$A$25001,"&lt;"&amp;DATE(Dashboard!$B$2,6+1,1)&amp;""))</f>
        <v/>
      </c>
      <c r="H72" s="45">
        <f>IF($A72="","",SUMIFS(Data!$H$2:$H$25001,Data!$C$2:$C$25001,$A72,Data!$D$2:$D$25001,"Werken",Data!$A$2:$A$25001,"&gt;="&amp;DATE(Dashboard!$B$2,7,1)&amp;"",Data!$A$2:$A$25001,"&lt;"&amp;DATE(Dashboard!$B$2,7+1,1)&amp;""))</f>
        <v/>
      </c>
      <c r="I72" s="45">
        <f>IF($A72="","",SUMIFS(Data!$H$2:$H$25001,Data!$C$2:$C$25001,$A72,Data!$D$2:$D$25001,"Werken",Data!$A$2:$A$25001,"&gt;="&amp;DATE(Dashboard!$B$2,8,1)&amp;"",Data!$A$2:$A$25001,"&lt;"&amp;DATE(Dashboard!$B$2,8+1,1)&amp;""))</f>
        <v/>
      </c>
      <c r="J72" s="45">
        <f>IF($A72="","",SUMIFS(Data!$H$2:$H$25001,Data!$C$2:$C$25001,$A72,Data!$D$2:$D$25001,"Werken",Data!$A$2:$A$25001,"&gt;="&amp;DATE(Dashboard!$B$2,9,1)&amp;"",Data!$A$2:$A$25001,"&lt;"&amp;DATE(Dashboard!$B$2,9+1,1)&amp;""))</f>
        <v/>
      </c>
      <c r="K72" s="45">
        <f>IF($A72="","",SUMIFS(Data!$H$2:$H$25001,Data!$C$2:$C$25001,$A72,Data!$D$2:$D$25001,"Werken",Data!$A$2:$A$25001,"&gt;="&amp;DATE(Dashboard!$B$2,10,1)&amp;"",Data!$A$2:$A$25001,"&lt;"&amp;DATE(Dashboard!$B$2,10+1,1)&amp;""))</f>
        <v/>
      </c>
      <c r="L72" s="45">
        <f>IF($A72="","",SUMIFS(Data!$H$2:$H$25001,Data!$C$2:$C$25001,$A72,Data!$D$2:$D$25001,"Werken",Data!$A$2:$A$25001,"&gt;="&amp;DATE(Dashboard!$B$2,11,1)&amp;"",Data!$A$2:$A$25001,"&lt;"&amp;DATE(Dashboard!$B$2,11+1,1)&amp;""))</f>
        <v/>
      </c>
      <c r="M72" s="45">
        <f>IF($A72="","",SUMIFS(Data!$H$2:$H$25001,Data!$C$2:$C$25001,$A72,Data!$D$2:$D$25001,"Werken",Data!$A$2:$A$25001,"&gt;="&amp;DATE(Dashboard!$B$2,12,1)&amp;"",Data!$A$2:$A$25001,"&lt;"&amp;DATE(Dashboard!$B$2,12+1,1)&amp;""))</f>
        <v/>
      </c>
      <c r="N72" s="46">
        <f>IF($A72="","",SUM(B72:M72))</f>
        <v/>
      </c>
      <c r="O72" s="51" t="n"/>
      <c r="P72" s="52">
        <f>IF(OR($A72="",O72=""),"",N72*O72)</f>
        <v/>
      </c>
    </row>
    <row r="73" ht="15" customHeight="1" s="30">
      <c r="A73" s="49" t="n"/>
      <c r="B73" s="50">
        <f>IF($A73="","",SUMIFS(Data!$H$2:$H$25001,Data!$C$2:$C$25001,$A73,Data!$D$2:$D$25001,"Werken",Data!$A$2:$A$25001,"&gt;="&amp;DATE(Dashboard!$B$2,1,1)&amp;"",Data!$A$2:$A$25001,"&lt;"&amp;DATE(Dashboard!$B$2,1+1,1)&amp;""))</f>
        <v/>
      </c>
      <c r="C73" s="50">
        <f>IF($A73="","",SUMIFS(Data!$H$2:$H$25001,Data!$C$2:$C$25001,$A73,Data!$D$2:$D$25001,"Werken",Data!$A$2:$A$25001,"&gt;="&amp;DATE(Dashboard!$B$2,2,1)&amp;"",Data!$A$2:$A$25001,"&lt;"&amp;DATE(Dashboard!$B$2,2+1,1)&amp;""))</f>
        <v/>
      </c>
      <c r="D73" s="50">
        <f>IF($A73="","",SUMIFS(Data!$H$2:$H$25001,Data!$C$2:$C$25001,$A73,Data!$D$2:$D$25001,"Werken",Data!$A$2:$A$25001,"&gt;="&amp;DATE(Dashboard!$B$2,3,1)&amp;"",Data!$A$2:$A$25001,"&lt;"&amp;DATE(Dashboard!$B$2,3+1,1)&amp;""))</f>
        <v/>
      </c>
      <c r="E73" s="50">
        <f>IF($A73="","",SUMIFS(Data!$H$2:$H$25001,Data!$C$2:$C$25001,$A73,Data!$D$2:$D$25001,"Werken",Data!$A$2:$A$25001,"&gt;="&amp;DATE(Dashboard!$B$2,4,1)&amp;"",Data!$A$2:$A$25001,"&lt;"&amp;DATE(Dashboard!$B$2,4+1,1)&amp;""))</f>
        <v/>
      </c>
      <c r="F73" s="50">
        <f>IF($A73="","",SUMIFS(Data!$H$2:$H$25001,Data!$C$2:$C$25001,$A73,Data!$D$2:$D$25001,"Werken",Data!$A$2:$A$25001,"&gt;="&amp;DATE(Dashboard!$B$2,5,1)&amp;"",Data!$A$2:$A$25001,"&lt;"&amp;DATE(Dashboard!$B$2,5+1,1)&amp;""))</f>
        <v/>
      </c>
      <c r="G73" s="50">
        <f>IF($A73="","",SUMIFS(Data!$H$2:$H$25001,Data!$C$2:$C$25001,$A73,Data!$D$2:$D$25001,"Werken",Data!$A$2:$A$25001,"&gt;="&amp;DATE(Dashboard!$B$2,6,1)&amp;"",Data!$A$2:$A$25001,"&lt;"&amp;DATE(Dashboard!$B$2,6+1,1)&amp;""))</f>
        <v/>
      </c>
      <c r="H73" s="50">
        <f>IF($A73="","",SUMIFS(Data!$H$2:$H$25001,Data!$C$2:$C$25001,$A73,Data!$D$2:$D$25001,"Werken",Data!$A$2:$A$25001,"&gt;="&amp;DATE(Dashboard!$B$2,7,1)&amp;"",Data!$A$2:$A$25001,"&lt;"&amp;DATE(Dashboard!$B$2,7+1,1)&amp;""))</f>
        <v/>
      </c>
      <c r="I73" s="50">
        <f>IF($A73="","",SUMIFS(Data!$H$2:$H$25001,Data!$C$2:$C$25001,$A73,Data!$D$2:$D$25001,"Werken",Data!$A$2:$A$25001,"&gt;="&amp;DATE(Dashboard!$B$2,8,1)&amp;"",Data!$A$2:$A$25001,"&lt;"&amp;DATE(Dashboard!$B$2,8+1,1)&amp;""))</f>
        <v/>
      </c>
      <c r="J73" s="50">
        <f>IF($A73="","",SUMIFS(Data!$H$2:$H$25001,Data!$C$2:$C$25001,$A73,Data!$D$2:$D$25001,"Werken",Data!$A$2:$A$25001,"&gt;="&amp;DATE(Dashboard!$B$2,9,1)&amp;"",Data!$A$2:$A$25001,"&lt;"&amp;DATE(Dashboard!$B$2,9+1,1)&amp;""))</f>
        <v/>
      </c>
      <c r="K73" s="50">
        <f>IF($A73="","",SUMIFS(Data!$H$2:$H$25001,Data!$C$2:$C$25001,$A73,Data!$D$2:$D$25001,"Werken",Data!$A$2:$A$25001,"&gt;="&amp;DATE(Dashboard!$B$2,10,1)&amp;"",Data!$A$2:$A$25001,"&lt;"&amp;DATE(Dashboard!$B$2,10+1,1)&amp;""))</f>
        <v/>
      </c>
      <c r="L73" s="50">
        <f>IF($A73="","",SUMIFS(Data!$H$2:$H$25001,Data!$C$2:$C$25001,$A73,Data!$D$2:$D$25001,"Werken",Data!$A$2:$A$25001,"&gt;="&amp;DATE(Dashboard!$B$2,11,1)&amp;"",Data!$A$2:$A$25001,"&lt;"&amp;DATE(Dashboard!$B$2,11+1,1)&amp;""))</f>
        <v/>
      </c>
      <c r="M73" s="50">
        <f>IF($A73="","",SUMIFS(Data!$H$2:$H$25001,Data!$C$2:$C$25001,$A73,Data!$D$2:$D$25001,"Werken",Data!$A$2:$A$25001,"&gt;="&amp;DATE(Dashboard!$B$2,12,1)&amp;"",Data!$A$2:$A$25001,"&lt;"&amp;DATE(Dashboard!$B$2,12+1,1)&amp;""))</f>
        <v/>
      </c>
      <c r="N73" s="46">
        <f>IF($A73="","",SUM(B73:M73))</f>
        <v/>
      </c>
      <c r="O73" s="51" t="n"/>
      <c r="P73" s="52">
        <f>IF(OR($A73="",O73=""),"",N73*O73)</f>
        <v/>
      </c>
    </row>
    <row r="74" ht="15" customHeight="1" s="30">
      <c r="A74" s="49" t="n"/>
      <c r="B74" s="45">
        <f>IF($A74="","",SUMIFS(Data!$H$2:$H$25001,Data!$C$2:$C$25001,$A74,Data!$D$2:$D$25001,"Werken",Data!$A$2:$A$25001,"&gt;="&amp;DATE(Dashboard!$B$2,1,1)&amp;"",Data!$A$2:$A$25001,"&lt;"&amp;DATE(Dashboard!$B$2,1+1,1)&amp;""))</f>
        <v/>
      </c>
      <c r="C74" s="45">
        <f>IF($A74="","",SUMIFS(Data!$H$2:$H$25001,Data!$C$2:$C$25001,$A74,Data!$D$2:$D$25001,"Werken",Data!$A$2:$A$25001,"&gt;="&amp;DATE(Dashboard!$B$2,2,1)&amp;"",Data!$A$2:$A$25001,"&lt;"&amp;DATE(Dashboard!$B$2,2+1,1)&amp;""))</f>
        <v/>
      </c>
      <c r="D74" s="45">
        <f>IF($A74="","",SUMIFS(Data!$H$2:$H$25001,Data!$C$2:$C$25001,$A74,Data!$D$2:$D$25001,"Werken",Data!$A$2:$A$25001,"&gt;="&amp;DATE(Dashboard!$B$2,3,1)&amp;"",Data!$A$2:$A$25001,"&lt;"&amp;DATE(Dashboard!$B$2,3+1,1)&amp;""))</f>
        <v/>
      </c>
      <c r="E74" s="45">
        <f>IF($A74="","",SUMIFS(Data!$H$2:$H$25001,Data!$C$2:$C$25001,$A74,Data!$D$2:$D$25001,"Werken",Data!$A$2:$A$25001,"&gt;="&amp;DATE(Dashboard!$B$2,4,1)&amp;"",Data!$A$2:$A$25001,"&lt;"&amp;DATE(Dashboard!$B$2,4+1,1)&amp;""))</f>
        <v/>
      </c>
      <c r="F74" s="45">
        <f>IF($A74="","",SUMIFS(Data!$H$2:$H$25001,Data!$C$2:$C$25001,$A74,Data!$D$2:$D$25001,"Werken",Data!$A$2:$A$25001,"&gt;="&amp;DATE(Dashboard!$B$2,5,1)&amp;"",Data!$A$2:$A$25001,"&lt;"&amp;DATE(Dashboard!$B$2,5+1,1)&amp;""))</f>
        <v/>
      </c>
      <c r="G74" s="45">
        <f>IF($A74="","",SUMIFS(Data!$H$2:$H$25001,Data!$C$2:$C$25001,$A74,Data!$D$2:$D$25001,"Werken",Data!$A$2:$A$25001,"&gt;="&amp;DATE(Dashboard!$B$2,6,1)&amp;"",Data!$A$2:$A$25001,"&lt;"&amp;DATE(Dashboard!$B$2,6+1,1)&amp;""))</f>
        <v/>
      </c>
      <c r="H74" s="45">
        <f>IF($A74="","",SUMIFS(Data!$H$2:$H$25001,Data!$C$2:$C$25001,$A74,Data!$D$2:$D$25001,"Werken",Data!$A$2:$A$25001,"&gt;="&amp;DATE(Dashboard!$B$2,7,1)&amp;"",Data!$A$2:$A$25001,"&lt;"&amp;DATE(Dashboard!$B$2,7+1,1)&amp;""))</f>
        <v/>
      </c>
      <c r="I74" s="45">
        <f>IF($A74="","",SUMIFS(Data!$H$2:$H$25001,Data!$C$2:$C$25001,$A74,Data!$D$2:$D$25001,"Werken",Data!$A$2:$A$25001,"&gt;="&amp;DATE(Dashboard!$B$2,8,1)&amp;"",Data!$A$2:$A$25001,"&lt;"&amp;DATE(Dashboard!$B$2,8+1,1)&amp;""))</f>
        <v/>
      </c>
      <c r="J74" s="45">
        <f>IF($A74="","",SUMIFS(Data!$H$2:$H$25001,Data!$C$2:$C$25001,$A74,Data!$D$2:$D$25001,"Werken",Data!$A$2:$A$25001,"&gt;="&amp;DATE(Dashboard!$B$2,9,1)&amp;"",Data!$A$2:$A$25001,"&lt;"&amp;DATE(Dashboard!$B$2,9+1,1)&amp;""))</f>
        <v/>
      </c>
      <c r="K74" s="45">
        <f>IF($A74="","",SUMIFS(Data!$H$2:$H$25001,Data!$C$2:$C$25001,$A74,Data!$D$2:$D$25001,"Werken",Data!$A$2:$A$25001,"&gt;="&amp;DATE(Dashboard!$B$2,10,1)&amp;"",Data!$A$2:$A$25001,"&lt;"&amp;DATE(Dashboard!$B$2,10+1,1)&amp;""))</f>
        <v/>
      </c>
      <c r="L74" s="45">
        <f>IF($A74="","",SUMIFS(Data!$H$2:$H$25001,Data!$C$2:$C$25001,$A74,Data!$D$2:$D$25001,"Werken",Data!$A$2:$A$25001,"&gt;="&amp;DATE(Dashboard!$B$2,11,1)&amp;"",Data!$A$2:$A$25001,"&lt;"&amp;DATE(Dashboard!$B$2,11+1,1)&amp;""))</f>
        <v/>
      </c>
      <c r="M74" s="45">
        <f>IF($A74="","",SUMIFS(Data!$H$2:$H$25001,Data!$C$2:$C$25001,$A74,Data!$D$2:$D$25001,"Werken",Data!$A$2:$A$25001,"&gt;="&amp;DATE(Dashboard!$B$2,12,1)&amp;"",Data!$A$2:$A$25001,"&lt;"&amp;DATE(Dashboard!$B$2,12+1,1)&amp;""))</f>
        <v/>
      </c>
      <c r="N74" s="46">
        <f>IF($A74="","",SUM(B74:M74))</f>
        <v/>
      </c>
      <c r="O74" s="51" t="n"/>
      <c r="P74" s="52">
        <f>IF(OR($A74="",O74=""),"",N74*O74)</f>
        <v/>
      </c>
    </row>
    <row r="75" ht="15" customHeight="1" s="30">
      <c r="A75" s="49" t="n"/>
      <c r="B75" s="50">
        <f>IF($A75="","",SUMIFS(Data!$H$2:$H$25001,Data!$C$2:$C$25001,$A75,Data!$D$2:$D$25001,"Werken",Data!$A$2:$A$25001,"&gt;="&amp;DATE(Dashboard!$B$2,1,1)&amp;"",Data!$A$2:$A$25001,"&lt;"&amp;DATE(Dashboard!$B$2,1+1,1)&amp;""))</f>
        <v/>
      </c>
      <c r="C75" s="50">
        <f>IF($A75="","",SUMIFS(Data!$H$2:$H$25001,Data!$C$2:$C$25001,$A75,Data!$D$2:$D$25001,"Werken",Data!$A$2:$A$25001,"&gt;="&amp;DATE(Dashboard!$B$2,2,1)&amp;"",Data!$A$2:$A$25001,"&lt;"&amp;DATE(Dashboard!$B$2,2+1,1)&amp;""))</f>
        <v/>
      </c>
      <c r="D75" s="50">
        <f>IF($A75="","",SUMIFS(Data!$H$2:$H$25001,Data!$C$2:$C$25001,$A75,Data!$D$2:$D$25001,"Werken",Data!$A$2:$A$25001,"&gt;="&amp;DATE(Dashboard!$B$2,3,1)&amp;"",Data!$A$2:$A$25001,"&lt;"&amp;DATE(Dashboard!$B$2,3+1,1)&amp;""))</f>
        <v/>
      </c>
      <c r="E75" s="50">
        <f>IF($A75="","",SUMIFS(Data!$H$2:$H$25001,Data!$C$2:$C$25001,$A75,Data!$D$2:$D$25001,"Werken",Data!$A$2:$A$25001,"&gt;="&amp;DATE(Dashboard!$B$2,4,1)&amp;"",Data!$A$2:$A$25001,"&lt;"&amp;DATE(Dashboard!$B$2,4+1,1)&amp;""))</f>
        <v/>
      </c>
      <c r="F75" s="50">
        <f>IF($A75="","",SUMIFS(Data!$H$2:$H$25001,Data!$C$2:$C$25001,$A75,Data!$D$2:$D$25001,"Werken",Data!$A$2:$A$25001,"&gt;="&amp;DATE(Dashboard!$B$2,5,1)&amp;"",Data!$A$2:$A$25001,"&lt;"&amp;DATE(Dashboard!$B$2,5+1,1)&amp;""))</f>
        <v/>
      </c>
      <c r="G75" s="50">
        <f>IF($A75="","",SUMIFS(Data!$H$2:$H$25001,Data!$C$2:$C$25001,$A75,Data!$D$2:$D$25001,"Werken",Data!$A$2:$A$25001,"&gt;="&amp;DATE(Dashboard!$B$2,6,1)&amp;"",Data!$A$2:$A$25001,"&lt;"&amp;DATE(Dashboard!$B$2,6+1,1)&amp;""))</f>
        <v/>
      </c>
      <c r="H75" s="50">
        <f>IF($A75="","",SUMIFS(Data!$H$2:$H$25001,Data!$C$2:$C$25001,$A75,Data!$D$2:$D$25001,"Werken",Data!$A$2:$A$25001,"&gt;="&amp;DATE(Dashboard!$B$2,7,1)&amp;"",Data!$A$2:$A$25001,"&lt;"&amp;DATE(Dashboard!$B$2,7+1,1)&amp;""))</f>
        <v/>
      </c>
      <c r="I75" s="50">
        <f>IF($A75="","",SUMIFS(Data!$H$2:$H$25001,Data!$C$2:$C$25001,$A75,Data!$D$2:$D$25001,"Werken",Data!$A$2:$A$25001,"&gt;="&amp;DATE(Dashboard!$B$2,8,1)&amp;"",Data!$A$2:$A$25001,"&lt;"&amp;DATE(Dashboard!$B$2,8+1,1)&amp;""))</f>
        <v/>
      </c>
      <c r="J75" s="50">
        <f>IF($A75="","",SUMIFS(Data!$H$2:$H$25001,Data!$C$2:$C$25001,$A75,Data!$D$2:$D$25001,"Werken",Data!$A$2:$A$25001,"&gt;="&amp;DATE(Dashboard!$B$2,9,1)&amp;"",Data!$A$2:$A$25001,"&lt;"&amp;DATE(Dashboard!$B$2,9+1,1)&amp;""))</f>
        <v/>
      </c>
      <c r="K75" s="50">
        <f>IF($A75="","",SUMIFS(Data!$H$2:$H$25001,Data!$C$2:$C$25001,$A75,Data!$D$2:$D$25001,"Werken",Data!$A$2:$A$25001,"&gt;="&amp;DATE(Dashboard!$B$2,10,1)&amp;"",Data!$A$2:$A$25001,"&lt;"&amp;DATE(Dashboard!$B$2,10+1,1)&amp;""))</f>
        <v/>
      </c>
      <c r="L75" s="50">
        <f>IF($A75="","",SUMIFS(Data!$H$2:$H$25001,Data!$C$2:$C$25001,$A75,Data!$D$2:$D$25001,"Werken",Data!$A$2:$A$25001,"&gt;="&amp;DATE(Dashboard!$B$2,11,1)&amp;"",Data!$A$2:$A$25001,"&lt;"&amp;DATE(Dashboard!$B$2,11+1,1)&amp;""))</f>
        <v/>
      </c>
      <c r="M75" s="50">
        <f>IF($A75="","",SUMIFS(Data!$H$2:$H$25001,Data!$C$2:$C$25001,$A75,Data!$D$2:$D$25001,"Werken",Data!$A$2:$A$25001,"&gt;="&amp;DATE(Dashboard!$B$2,12,1)&amp;"",Data!$A$2:$A$25001,"&lt;"&amp;DATE(Dashboard!$B$2,12+1,1)&amp;""))</f>
        <v/>
      </c>
      <c r="N75" s="46">
        <f>IF($A75="","",SUM(B75:M75))</f>
        <v/>
      </c>
      <c r="O75" s="51" t="n"/>
      <c r="P75" s="52">
        <f>IF(OR($A75="",O75=""),"",N75*O75)</f>
        <v/>
      </c>
    </row>
    <row r="76" ht="15" customHeight="1" s="30">
      <c r="A76" s="49" t="n"/>
      <c r="B76" s="45">
        <f>IF($A76="","",SUMIFS(Data!$H$2:$H$25001,Data!$C$2:$C$25001,$A76,Data!$D$2:$D$25001,"Werken",Data!$A$2:$A$25001,"&gt;="&amp;DATE(Dashboard!$B$2,1,1)&amp;"",Data!$A$2:$A$25001,"&lt;"&amp;DATE(Dashboard!$B$2,1+1,1)&amp;""))</f>
        <v/>
      </c>
      <c r="C76" s="45">
        <f>IF($A76="","",SUMIFS(Data!$H$2:$H$25001,Data!$C$2:$C$25001,$A76,Data!$D$2:$D$25001,"Werken",Data!$A$2:$A$25001,"&gt;="&amp;DATE(Dashboard!$B$2,2,1)&amp;"",Data!$A$2:$A$25001,"&lt;"&amp;DATE(Dashboard!$B$2,2+1,1)&amp;""))</f>
        <v/>
      </c>
      <c r="D76" s="45">
        <f>IF($A76="","",SUMIFS(Data!$H$2:$H$25001,Data!$C$2:$C$25001,$A76,Data!$D$2:$D$25001,"Werken",Data!$A$2:$A$25001,"&gt;="&amp;DATE(Dashboard!$B$2,3,1)&amp;"",Data!$A$2:$A$25001,"&lt;"&amp;DATE(Dashboard!$B$2,3+1,1)&amp;""))</f>
        <v/>
      </c>
      <c r="E76" s="45">
        <f>IF($A76="","",SUMIFS(Data!$H$2:$H$25001,Data!$C$2:$C$25001,$A76,Data!$D$2:$D$25001,"Werken",Data!$A$2:$A$25001,"&gt;="&amp;DATE(Dashboard!$B$2,4,1)&amp;"",Data!$A$2:$A$25001,"&lt;"&amp;DATE(Dashboard!$B$2,4+1,1)&amp;""))</f>
        <v/>
      </c>
      <c r="F76" s="45">
        <f>IF($A76="","",SUMIFS(Data!$H$2:$H$25001,Data!$C$2:$C$25001,$A76,Data!$D$2:$D$25001,"Werken",Data!$A$2:$A$25001,"&gt;="&amp;DATE(Dashboard!$B$2,5,1)&amp;"",Data!$A$2:$A$25001,"&lt;"&amp;DATE(Dashboard!$B$2,5+1,1)&amp;""))</f>
        <v/>
      </c>
      <c r="G76" s="45">
        <f>IF($A76="","",SUMIFS(Data!$H$2:$H$25001,Data!$C$2:$C$25001,$A76,Data!$D$2:$D$25001,"Werken",Data!$A$2:$A$25001,"&gt;="&amp;DATE(Dashboard!$B$2,6,1)&amp;"",Data!$A$2:$A$25001,"&lt;"&amp;DATE(Dashboard!$B$2,6+1,1)&amp;""))</f>
        <v/>
      </c>
      <c r="H76" s="45">
        <f>IF($A76="","",SUMIFS(Data!$H$2:$H$25001,Data!$C$2:$C$25001,$A76,Data!$D$2:$D$25001,"Werken",Data!$A$2:$A$25001,"&gt;="&amp;DATE(Dashboard!$B$2,7,1)&amp;"",Data!$A$2:$A$25001,"&lt;"&amp;DATE(Dashboard!$B$2,7+1,1)&amp;""))</f>
        <v/>
      </c>
      <c r="I76" s="45">
        <f>IF($A76="","",SUMIFS(Data!$H$2:$H$25001,Data!$C$2:$C$25001,$A76,Data!$D$2:$D$25001,"Werken",Data!$A$2:$A$25001,"&gt;="&amp;DATE(Dashboard!$B$2,8,1)&amp;"",Data!$A$2:$A$25001,"&lt;"&amp;DATE(Dashboard!$B$2,8+1,1)&amp;""))</f>
        <v/>
      </c>
      <c r="J76" s="45">
        <f>IF($A76="","",SUMIFS(Data!$H$2:$H$25001,Data!$C$2:$C$25001,$A76,Data!$D$2:$D$25001,"Werken",Data!$A$2:$A$25001,"&gt;="&amp;DATE(Dashboard!$B$2,9,1)&amp;"",Data!$A$2:$A$25001,"&lt;"&amp;DATE(Dashboard!$B$2,9+1,1)&amp;""))</f>
        <v/>
      </c>
      <c r="K76" s="45">
        <f>IF($A76="","",SUMIFS(Data!$H$2:$H$25001,Data!$C$2:$C$25001,$A76,Data!$D$2:$D$25001,"Werken",Data!$A$2:$A$25001,"&gt;="&amp;DATE(Dashboard!$B$2,10,1)&amp;"",Data!$A$2:$A$25001,"&lt;"&amp;DATE(Dashboard!$B$2,10+1,1)&amp;""))</f>
        <v/>
      </c>
      <c r="L76" s="45">
        <f>IF($A76="","",SUMIFS(Data!$H$2:$H$25001,Data!$C$2:$C$25001,$A76,Data!$D$2:$D$25001,"Werken",Data!$A$2:$A$25001,"&gt;="&amp;DATE(Dashboard!$B$2,11,1)&amp;"",Data!$A$2:$A$25001,"&lt;"&amp;DATE(Dashboard!$B$2,11+1,1)&amp;""))</f>
        <v/>
      </c>
      <c r="M76" s="45">
        <f>IF($A76="","",SUMIFS(Data!$H$2:$H$25001,Data!$C$2:$C$25001,$A76,Data!$D$2:$D$25001,"Werken",Data!$A$2:$A$25001,"&gt;="&amp;DATE(Dashboard!$B$2,12,1)&amp;"",Data!$A$2:$A$25001,"&lt;"&amp;DATE(Dashboard!$B$2,12+1,1)&amp;""))</f>
        <v/>
      </c>
      <c r="N76" s="46">
        <f>IF($A76="","",SUM(B76:M76))</f>
        <v/>
      </c>
      <c r="O76" s="51" t="n"/>
      <c r="P76" s="52">
        <f>IF(OR($A76="",O76=""),"",N76*O76)</f>
        <v/>
      </c>
    </row>
    <row r="77" ht="15" customHeight="1" s="30">
      <c r="A77" s="49" t="n"/>
      <c r="B77" s="50">
        <f>IF($A77="","",SUMIFS(Data!$H$2:$H$25001,Data!$C$2:$C$25001,$A77,Data!$D$2:$D$25001,"Werken",Data!$A$2:$A$25001,"&gt;="&amp;DATE(Dashboard!$B$2,1,1)&amp;"",Data!$A$2:$A$25001,"&lt;"&amp;DATE(Dashboard!$B$2,1+1,1)&amp;""))</f>
        <v/>
      </c>
      <c r="C77" s="50">
        <f>IF($A77="","",SUMIFS(Data!$H$2:$H$25001,Data!$C$2:$C$25001,$A77,Data!$D$2:$D$25001,"Werken",Data!$A$2:$A$25001,"&gt;="&amp;DATE(Dashboard!$B$2,2,1)&amp;"",Data!$A$2:$A$25001,"&lt;"&amp;DATE(Dashboard!$B$2,2+1,1)&amp;""))</f>
        <v/>
      </c>
      <c r="D77" s="50">
        <f>IF($A77="","",SUMIFS(Data!$H$2:$H$25001,Data!$C$2:$C$25001,$A77,Data!$D$2:$D$25001,"Werken",Data!$A$2:$A$25001,"&gt;="&amp;DATE(Dashboard!$B$2,3,1)&amp;"",Data!$A$2:$A$25001,"&lt;"&amp;DATE(Dashboard!$B$2,3+1,1)&amp;""))</f>
        <v/>
      </c>
      <c r="E77" s="50">
        <f>IF($A77="","",SUMIFS(Data!$H$2:$H$25001,Data!$C$2:$C$25001,$A77,Data!$D$2:$D$25001,"Werken",Data!$A$2:$A$25001,"&gt;="&amp;DATE(Dashboard!$B$2,4,1)&amp;"",Data!$A$2:$A$25001,"&lt;"&amp;DATE(Dashboard!$B$2,4+1,1)&amp;""))</f>
        <v/>
      </c>
      <c r="F77" s="50">
        <f>IF($A77="","",SUMIFS(Data!$H$2:$H$25001,Data!$C$2:$C$25001,$A77,Data!$D$2:$D$25001,"Werken",Data!$A$2:$A$25001,"&gt;="&amp;DATE(Dashboard!$B$2,5,1)&amp;"",Data!$A$2:$A$25001,"&lt;"&amp;DATE(Dashboard!$B$2,5+1,1)&amp;""))</f>
        <v/>
      </c>
      <c r="G77" s="50">
        <f>IF($A77="","",SUMIFS(Data!$H$2:$H$25001,Data!$C$2:$C$25001,$A77,Data!$D$2:$D$25001,"Werken",Data!$A$2:$A$25001,"&gt;="&amp;DATE(Dashboard!$B$2,6,1)&amp;"",Data!$A$2:$A$25001,"&lt;"&amp;DATE(Dashboard!$B$2,6+1,1)&amp;""))</f>
        <v/>
      </c>
      <c r="H77" s="50">
        <f>IF($A77="","",SUMIFS(Data!$H$2:$H$25001,Data!$C$2:$C$25001,$A77,Data!$D$2:$D$25001,"Werken",Data!$A$2:$A$25001,"&gt;="&amp;DATE(Dashboard!$B$2,7,1)&amp;"",Data!$A$2:$A$25001,"&lt;"&amp;DATE(Dashboard!$B$2,7+1,1)&amp;""))</f>
        <v/>
      </c>
      <c r="I77" s="50">
        <f>IF($A77="","",SUMIFS(Data!$H$2:$H$25001,Data!$C$2:$C$25001,$A77,Data!$D$2:$D$25001,"Werken",Data!$A$2:$A$25001,"&gt;="&amp;DATE(Dashboard!$B$2,8,1)&amp;"",Data!$A$2:$A$25001,"&lt;"&amp;DATE(Dashboard!$B$2,8+1,1)&amp;""))</f>
        <v/>
      </c>
      <c r="J77" s="50">
        <f>IF($A77="","",SUMIFS(Data!$H$2:$H$25001,Data!$C$2:$C$25001,$A77,Data!$D$2:$D$25001,"Werken",Data!$A$2:$A$25001,"&gt;="&amp;DATE(Dashboard!$B$2,9,1)&amp;"",Data!$A$2:$A$25001,"&lt;"&amp;DATE(Dashboard!$B$2,9+1,1)&amp;""))</f>
        <v/>
      </c>
      <c r="K77" s="50">
        <f>IF($A77="","",SUMIFS(Data!$H$2:$H$25001,Data!$C$2:$C$25001,$A77,Data!$D$2:$D$25001,"Werken",Data!$A$2:$A$25001,"&gt;="&amp;DATE(Dashboard!$B$2,10,1)&amp;"",Data!$A$2:$A$25001,"&lt;"&amp;DATE(Dashboard!$B$2,10+1,1)&amp;""))</f>
        <v/>
      </c>
      <c r="L77" s="50">
        <f>IF($A77="","",SUMIFS(Data!$H$2:$H$25001,Data!$C$2:$C$25001,$A77,Data!$D$2:$D$25001,"Werken",Data!$A$2:$A$25001,"&gt;="&amp;DATE(Dashboard!$B$2,11,1)&amp;"",Data!$A$2:$A$25001,"&lt;"&amp;DATE(Dashboard!$B$2,11+1,1)&amp;""))</f>
        <v/>
      </c>
      <c r="M77" s="50">
        <f>IF($A77="","",SUMIFS(Data!$H$2:$H$25001,Data!$C$2:$C$25001,$A77,Data!$D$2:$D$25001,"Werken",Data!$A$2:$A$25001,"&gt;="&amp;DATE(Dashboard!$B$2,12,1)&amp;"",Data!$A$2:$A$25001,"&lt;"&amp;DATE(Dashboard!$B$2,12+1,1)&amp;""))</f>
        <v/>
      </c>
      <c r="N77" s="46">
        <f>IF($A77="","",SUM(B77:M77))</f>
        <v/>
      </c>
      <c r="O77" s="51" t="n"/>
      <c r="P77" s="52">
        <f>IF(OR($A77="",O77=""),"",N77*O77)</f>
        <v/>
      </c>
    </row>
    <row r="78" ht="15" customHeight="1" s="30">
      <c r="A78" s="49" t="n"/>
      <c r="B78" s="45">
        <f>IF($A78="","",SUMIFS(Data!$H$2:$H$25001,Data!$C$2:$C$25001,$A78,Data!$D$2:$D$25001,"Werken",Data!$A$2:$A$25001,"&gt;="&amp;DATE(Dashboard!$B$2,1,1)&amp;"",Data!$A$2:$A$25001,"&lt;"&amp;DATE(Dashboard!$B$2,1+1,1)&amp;""))</f>
        <v/>
      </c>
      <c r="C78" s="45">
        <f>IF($A78="","",SUMIFS(Data!$H$2:$H$25001,Data!$C$2:$C$25001,$A78,Data!$D$2:$D$25001,"Werken",Data!$A$2:$A$25001,"&gt;="&amp;DATE(Dashboard!$B$2,2,1)&amp;"",Data!$A$2:$A$25001,"&lt;"&amp;DATE(Dashboard!$B$2,2+1,1)&amp;""))</f>
        <v/>
      </c>
      <c r="D78" s="45">
        <f>IF($A78="","",SUMIFS(Data!$H$2:$H$25001,Data!$C$2:$C$25001,$A78,Data!$D$2:$D$25001,"Werken",Data!$A$2:$A$25001,"&gt;="&amp;DATE(Dashboard!$B$2,3,1)&amp;"",Data!$A$2:$A$25001,"&lt;"&amp;DATE(Dashboard!$B$2,3+1,1)&amp;""))</f>
        <v/>
      </c>
      <c r="E78" s="45">
        <f>IF($A78="","",SUMIFS(Data!$H$2:$H$25001,Data!$C$2:$C$25001,$A78,Data!$D$2:$D$25001,"Werken",Data!$A$2:$A$25001,"&gt;="&amp;DATE(Dashboard!$B$2,4,1)&amp;"",Data!$A$2:$A$25001,"&lt;"&amp;DATE(Dashboard!$B$2,4+1,1)&amp;""))</f>
        <v/>
      </c>
      <c r="F78" s="45">
        <f>IF($A78="","",SUMIFS(Data!$H$2:$H$25001,Data!$C$2:$C$25001,$A78,Data!$D$2:$D$25001,"Werken",Data!$A$2:$A$25001,"&gt;="&amp;DATE(Dashboard!$B$2,5,1)&amp;"",Data!$A$2:$A$25001,"&lt;"&amp;DATE(Dashboard!$B$2,5+1,1)&amp;""))</f>
        <v/>
      </c>
      <c r="G78" s="45">
        <f>IF($A78="","",SUMIFS(Data!$H$2:$H$25001,Data!$C$2:$C$25001,$A78,Data!$D$2:$D$25001,"Werken",Data!$A$2:$A$25001,"&gt;="&amp;DATE(Dashboard!$B$2,6,1)&amp;"",Data!$A$2:$A$25001,"&lt;"&amp;DATE(Dashboard!$B$2,6+1,1)&amp;""))</f>
        <v/>
      </c>
      <c r="H78" s="45">
        <f>IF($A78="","",SUMIFS(Data!$H$2:$H$25001,Data!$C$2:$C$25001,$A78,Data!$D$2:$D$25001,"Werken",Data!$A$2:$A$25001,"&gt;="&amp;DATE(Dashboard!$B$2,7,1)&amp;"",Data!$A$2:$A$25001,"&lt;"&amp;DATE(Dashboard!$B$2,7+1,1)&amp;""))</f>
        <v/>
      </c>
      <c r="I78" s="45">
        <f>IF($A78="","",SUMIFS(Data!$H$2:$H$25001,Data!$C$2:$C$25001,$A78,Data!$D$2:$D$25001,"Werken",Data!$A$2:$A$25001,"&gt;="&amp;DATE(Dashboard!$B$2,8,1)&amp;"",Data!$A$2:$A$25001,"&lt;"&amp;DATE(Dashboard!$B$2,8+1,1)&amp;""))</f>
        <v/>
      </c>
      <c r="J78" s="45">
        <f>IF($A78="","",SUMIFS(Data!$H$2:$H$25001,Data!$C$2:$C$25001,$A78,Data!$D$2:$D$25001,"Werken",Data!$A$2:$A$25001,"&gt;="&amp;DATE(Dashboard!$B$2,9,1)&amp;"",Data!$A$2:$A$25001,"&lt;"&amp;DATE(Dashboard!$B$2,9+1,1)&amp;""))</f>
        <v/>
      </c>
      <c r="K78" s="45">
        <f>IF($A78="","",SUMIFS(Data!$H$2:$H$25001,Data!$C$2:$C$25001,$A78,Data!$D$2:$D$25001,"Werken",Data!$A$2:$A$25001,"&gt;="&amp;DATE(Dashboard!$B$2,10,1)&amp;"",Data!$A$2:$A$25001,"&lt;"&amp;DATE(Dashboard!$B$2,10+1,1)&amp;""))</f>
        <v/>
      </c>
      <c r="L78" s="45">
        <f>IF($A78="","",SUMIFS(Data!$H$2:$H$25001,Data!$C$2:$C$25001,$A78,Data!$D$2:$D$25001,"Werken",Data!$A$2:$A$25001,"&gt;="&amp;DATE(Dashboard!$B$2,11,1)&amp;"",Data!$A$2:$A$25001,"&lt;"&amp;DATE(Dashboard!$B$2,11+1,1)&amp;""))</f>
        <v/>
      </c>
      <c r="M78" s="45">
        <f>IF($A78="","",SUMIFS(Data!$H$2:$H$25001,Data!$C$2:$C$25001,$A78,Data!$D$2:$D$25001,"Werken",Data!$A$2:$A$25001,"&gt;="&amp;DATE(Dashboard!$B$2,12,1)&amp;"",Data!$A$2:$A$25001,"&lt;"&amp;DATE(Dashboard!$B$2,12+1,1)&amp;""))</f>
        <v/>
      </c>
      <c r="N78" s="46">
        <f>IF($A78="","",SUM(B78:M78))</f>
        <v/>
      </c>
      <c r="O78" s="51" t="n"/>
      <c r="P78" s="52">
        <f>IF(OR($A78="",O78=""),"",N78*O78)</f>
        <v/>
      </c>
    </row>
    <row r="79" ht="15" customHeight="1" s="30">
      <c r="A79" s="49" t="n"/>
      <c r="B79" s="50">
        <f>IF($A79="","",SUMIFS(Data!$H$2:$H$25001,Data!$C$2:$C$25001,$A79,Data!$D$2:$D$25001,"Werken",Data!$A$2:$A$25001,"&gt;="&amp;DATE(Dashboard!$B$2,1,1)&amp;"",Data!$A$2:$A$25001,"&lt;"&amp;DATE(Dashboard!$B$2,1+1,1)&amp;""))</f>
        <v/>
      </c>
      <c r="C79" s="50">
        <f>IF($A79="","",SUMIFS(Data!$H$2:$H$25001,Data!$C$2:$C$25001,$A79,Data!$D$2:$D$25001,"Werken",Data!$A$2:$A$25001,"&gt;="&amp;DATE(Dashboard!$B$2,2,1)&amp;"",Data!$A$2:$A$25001,"&lt;"&amp;DATE(Dashboard!$B$2,2+1,1)&amp;""))</f>
        <v/>
      </c>
      <c r="D79" s="50">
        <f>IF($A79="","",SUMIFS(Data!$H$2:$H$25001,Data!$C$2:$C$25001,$A79,Data!$D$2:$D$25001,"Werken",Data!$A$2:$A$25001,"&gt;="&amp;DATE(Dashboard!$B$2,3,1)&amp;"",Data!$A$2:$A$25001,"&lt;"&amp;DATE(Dashboard!$B$2,3+1,1)&amp;""))</f>
        <v/>
      </c>
      <c r="E79" s="50">
        <f>IF($A79="","",SUMIFS(Data!$H$2:$H$25001,Data!$C$2:$C$25001,$A79,Data!$D$2:$D$25001,"Werken",Data!$A$2:$A$25001,"&gt;="&amp;DATE(Dashboard!$B$2,4,1)&amp;"",Data!$A$2:$A$25001,"&lt;"&amp;DATE(Dashboard!$B$2,4+1,1)&amp;""))</f>
        <v/>
      </c>
      <c r="F79" s="50">
        <f>IF($A79="","",SUMIFS(Data!$H$2:$H$25001,Data!$C$2:$C$25001,$A79,Data!$D$2:$D$25001,"Werken",Data!$A$2:$A$25001,"&gt;="&amp;DATE(Dashboard!$B$2,5,1)&amp;"",Data!$A$2:$A$25001,"&lt;"&amp;DATE(Dashboard!$B$2,5+1,1)&amp;""))</f>
        <v/>
      </c>
      <c r="G79" s="50">
        <f>IF($A79="","",SUMIFS(Data!$H$2:$H$25001,Data!$C$2:$C$25001,$A79,Data!$D$2:$D$25001,"Werken",Data!$A$2:$A$25001,"&gt;="&amp;DATE(Dashboard!$B$2,6,1)&amp;"",Data!$A$2:$A$25001,"&lt;"&amp;DATE(Dashboard!$B$2,6+1,1)&amp;""))</f>
        <v/>
      </c>
      <c r="H79" s="50">
        <f>IF($A79="","",SUMIFS(Data!$H$2:$H$25001,Data!$C$2:$C$25001,$A79,Data!$D$2:$D$25001,"Werken",Data!$A$2:$A$25001,"&gt;="&amp;DATE(Dashboard!$B$2,7,1)&amp;"",Data!$A$2:$A$25001,"&lt;"&amp;DATE(Dashboard!$B$2,7+1,1)&amp;""))</f>
        <v/>
      </c>
      <c r="I79" s="50">
        <f>IF($A79="","",SUMIFS(Data!$H$2:$H$25001,Data!$C$2:$C$25001,$A79,Data!$D$2:$D$25001,"Werken",Data!$A$2:$A$25001,"&gt;="&amp;DATE(Dashboard!$B$2,8,1)&amp;"",Data!$A$2:$A$25001,"&lt;"&amp;DATE(Dashboard!$B$2,8+1,1)&amp;""))</f>
        <v/>
      </c>
      <c r="J79" s="50">
        <f>IF($A79="","",SUMIFS(Data!$H$2:$H$25001,Data!$C$2:$C$25001,$A79,Data!$D$2:$D$25001,"Werken",Data!$A$2:$A$25001,"&gt;="&amp;DATE(Dashboard!$B$2,9,1)&amp;"",Data!$A$2:$A$25001,"&lt;"&amp;DATE(Dashboard!$B$2,9+1,1)&amp;""))</f>
        <v/>
      </c>
      <c r="K79" s="50">
        <f>IF($A79="","",SUMIFS(Data!$H$2:$H$25001,Data!$C$2:$C$25001,$A79,Data!$D$2:$D$25001,"Werken",Data!$A$2:$A$25001,"&gt;="&amp;DATE(Dashboard!$B$2,10,1)&amp;"",Data!$A$2:$A$25001,"&lt;"&amp;DATE(Dashboard!$B$2,10+1,1)&amp;""))</f>
        <v/>
      </c>
      <c r="L79" s="50">
        <f>IF($A79="","",SUMIFS(Data!$H$2:$H$25001,Data!$C$2:$C$25001,$A79,Data!$D$2:$D$25001,"Werken",Data!$A$2:$A$25001,"&gt;="&amp;DATE(Dashboard!$B$2,11,1)&amp;"",Data!$A$2:$A$25001,"&lt;"&amp;DATE(Dashboard!$B$2,11+1,1)&amp;""))</f>
        <v/>
      </c>
      <c r="M79" s="50">
        <f>IF($A79="","",SUMIFS(Data!$H$2:$H$25001,Data!$C$2:$C$25001,$A79,Data!$D$2:$D$25001,"Werken",Data!$A$2:$A$25001,"&gt;="&amp;DATE(Dashboard!$B$2,12,1)&amp;"",Data!$A$2:$A$25001,"&lt;"&amp;DATE(Dashboard!$B$2,12+1,1)&amp;""))</f>
        <v/>
      </c>
      <c r="N79" s="46">
        <f>IF($A79="","",SUM(B79:M79))</f>
        <v/>
      </c>
      <c r="O79" s="51" t="n"/>
      <c r="P79" s="52">
        <f>IF(OR($A79="",O79=""),"",N79*O79)</f>
        <v/>
      </c>
    </row>
    <row r="80" ht="15" customHeight="1" s="30">
      <c r="A80" s="49" t="n"/>
      <c r="B80" s="45">
        <f>IF($A80="","",SUMIFS(Data!$H$2:$H$25001,Data!$C$2:$C$25001,$A80,Data!$D$2:$D$25001,"Werken",Data!$A$2:$A$25001,"&gt;="&amp;DATE(Dashboard!$B$2,1,1)&amp;"",Data!$A$2:$A$25001,"&lt;"&amp;DATE(Dashboard!$B$2,1+1,1)&amp;""))</f>
        <v/>
      </c>
      <c r="C80" s="45">
        <f>IF($A80="","",SUMIFS(Data!$H$2:$H$25001,Data!$C$2:$C$25001,$A80,Data!$D$2:$D$25001,"Werken",Data!$A$2:$A$25001,"&gt;="&amp;DATE(Dashboard!$B$2,2,1)&amp;"",Data!$A$2:$A$25001,"&lt;"&amp;DATE(Dashboard!$B$2,2+1,1)&amp;""))</f>
        <v/>
      </c>
      <c r="D80" s="45">
        <f>IF($A80="","",SUMIFS(Data!$H$2:$H$25001,Data!$C$2:$C$25001,$A80,Data!$D$2:$D$25001,"Werken",Data!$A$2:$A$25001,"&gt;="&amp;DATE(Dashboard!$B$2,3,1)&amp;"",Data!$A$2:$A$25001,"&lt;"&amp;DATE(Dashboard!$B$2,3+1,1)&amp;""))</f>
        <v/>
      </c>
      <c r="E80" s="45">
        <f>IF($A80="","",SUMIFS(Data!$H$2:$H$25001,Data!$C$2:$C$25001,$A80,Data!$D$2:$D$25001,"Werken",Data!$A$2:$A$25001,"&gt;="&amp;DATE(Dashboard!$B$2,4,1)&amp;"",Data!$A$2:$A$25001,"&lt;"&amp;DATE(Dashboard!$B$2,4+1,1)&amp;""))</f>
        <v/>
      </c>
      <c r="F80" s="45">
        <f>IF($A80="","",SUMIFS(Data!$H$2:$H$25001,Data!$C$2:$C$25001,$A80,Data!$D$2:$D$25001,"Werken",Data!$A$2:$A$25001,"&gt;="&amp;DATE(Dashboard!$B$2,5,1)&amp;"",Data!$A$2:$A$25001,"&lt;"&amp;DATE(Dashboard!$B$2,5+1,1)&amp;""))</f>
        <v/>
      </c>
      <c r="G80" s="45">
        <f>IF($A80="","",SUMIFS(Data!$H$2:$H$25001,Data!$C$2:$C$25001,$A80,Data!$D$2:$D$25001,"Werken",Data!$A$2:$A$25001,"&gt;="&amp;DATE(Dashboard!$B$2,6,1)&amp;"",Data!$A$2:$A$25001,"&lt;"&amp;DATE(Dashboard!$B$2,6+1,1)&amp;""))</f>
        <v/>
      </c>
      <c r="H80" s="45">
        <f>IF($A80="","",SUMIFS(Data!$H$2:$H$25001,Data!$C$2:$C$25001,$A80,Data!$D$2:$D$25001,"Werken",Data!$A$2:$A$25001,"&gt;="&amp;DATE(Dashboard!$B$2,7,1)&amp;"",Data!$A$2:$A$25001,"&lt;"&amp;DATE(Dashboard!$B$2,7+1,1)&amp;""))</f>
        <v/>
      </c>
      <c r="I80" s="45">
        <f>IF($A80="","",SUMIFS(Data!$H$2:$H$25001,Data!$C$2:$C$25001,$A80,Data!$D$2:$D$25001,"Werken",Data!$A$2:$A$25001,"&gt;="&amp;DATE(Dashboard!$B$2,8,1)&amp;"",Data!$A$2:$A$25001,"&lt;"&amp;DATE(Dashboard!$B$2,8+1,1)&amp;""))</f>
        <v/>
      </c>
      <c r="J80" s="45">
        <f>IF($A80="","",SUMIFS(Data!$H$2:$H$25001,Data!$C$2:$C$25001,$A80,Data!$D$2:$D$25001,"Werken",Data!$A$2:$A$25001,"&gt;="&amp;DATE(Dashboard!$B$2,9,1)&amp;"",Data!$A$2:$A$25001,"&lt;"&amp;DATE(Dashboard!$B$2,9+1,1)&amp;""))</f>
        <v/>
      </c>
      <c r="K80" s="45">
        <f>IF($A80="","",SUMIFS(Data!$H$2:$H$25001,Data!$C$2:$C$25001,$A80,Data!$D$2:$D$25001,"Werken",Data!$A$2:$A$25001,"&gt;="&amp;DATE(Dashboard!$B$2,10,1)&amp;"",Data!$A$2:$A$25001,"&lt;"&amp;DATE(Dashboard!$B$2,10+1,1)&amp;""))</f>
        <v/>
      </c>
      <c r="L80" s="45">
        <f>IF($A80="","",SUMIFS(Data!$H$2:$H$25001,Data!$C$2:$C$25001,$A80,Data!$D$2:$D$25001,"Werken",Data!$A$2:$A$25001,"&gt;="&amp;DATE(Dashboard!$B$2,11,1)&amp;"",Data!$A$2:$A$25001,"&lt;"&amp;DATE(Dashboard!$B$2,11+1,1)&amp;""))</f>
        <v/>
      </c>
      <c r="M80" s="45">
        <f>IF($A80="","",SUMIFS(Data!$H$2:$H$25001,Data!$C$2:$C$25001,$A80,Data!$D$2:$D$25001,"Werken",Data!$A$2:$A$25001,"&gt;="&amp;DATE(Dashboard!$B$2,12,1)&amp;"",Data!$A$2:$A$25001,"&lt;"&amp;DATE(Dashboard!$B$2,12+1,1)&amp;""))</f>
        <v/>
      </c>
      <c r="N80" s="46">
        <f>IF($A80="","",SUM(B80:M80))</f>
        <v/>
      </c>
      <c r="O80" s="51" t="n"/>
      <c r="P80" s="52">
        <f>IF(OR($A80="",O80=""),"",N80*O80)</f>
        <v/>
      </c>
    </row>
    <row r="81" ht="15" customHeight="1" s="30">
      <c r="A81" s="49" t="n"/>
      <c r="B81" s="50">
        <f>IF($A81="","",SUMIFS(Data!$H$2:$H$25001,Data!$C$2:$C$25001,$A81,Data!$D$2:$D$25001,"Werken",Data!$A$2:$A$25001,"&gt;="&amp;DATE(Dashboard!$B$2,1,1)&amp;"",Data!$A$2:$A$25001,"&lt;"&amp;DATE(Dashboard!$B$2,1+1,1)&amp;""))</f>
        <v/>
      </c>
      <c r="C81" s="50">
        <f>IF($A81="","",SUMIFS(Data!$H$2:$H$25001,Data!$C$2:$C$25001,$A81,Data!$D$2:$D$25001,"Werken",Data!$A$2:$A$25001,"&gt;="&amp;DATE(Dashboard!$B$2,2,1)&amp;"",Data!$A$2:$A$25001,"&lt;"&amp;DATE(Dashboard!$B$2,2+1,1)&amp;""))</f>
        <v/>
      </c>
      <c r="D81" s="50">
        <f>IF($A81="","",SUMIFS(Data!$H$2:$H$25001,Data!$C$2:$C$25001,$A81,Data!$D$2:$D$25001,"Werken",Data!$A$2:$A$25001,"&gt;="&amp;DATE(Dashboard!$B$2,3,1)&amp;"",Data!$A$2:$A$25001,"&lt;"&amp;DATE(Dashboard!$B$2,3+1,1)&amp;""))</f>
        <v/>
      </c>
      <c r="E81" s="50">
        <f>IF($A81="","",SUMIFS(Data!$H$2:$H$25001,Data!$C$2:$C$25001,$A81,Data!$D$2:$D$25001,"Werken",Data!$A$2:$A$25001,"&gt;="&amp;DATE(Dashboard!$B$2,4,1)&amp;"",Data!$A$2:$A$25001,"&lt;"&amp;DATE(Dashboard!$B$2,4+1,1)&amp;""))</f>
        <v/>
      </c>
      <c r="F81" s="50">
        <f>IF($A81="","",SUMIFS(Data!$H$2:$H$25001,Data!$C$2:$C$25001,$A81,Data!$D$2:$D$25001,"Werken",Data!$A$2:$A$25001,"&gt;="&amp;DATE(Dashboard!$B$2,5,1)&amp;"",Data!$A$2:$A$25001,"&lt;"&amp;DATE(Dashboard!$B$2,5+1,1)&amp;""))</f>
        <v/>
      </c>
      <c r="G81" s="50">
        <f>IF($A81="","",SUMIFS(Data!$H$2:$H$25001,Data!$C$2:$C$25001,$A81,Data!$D$2:$D$25001,"Werken",Data!$A$2:$A$25001,"&gt;="&amp;DATE(Dashboard!$B$2,6,1)&amp;"",Data!$A$2:$A$25001,"&lt;"&amp;DATE(Dashboard!$B$2,6+1,1)&amp;""))</f>
        <v/>
      </c>
      <c r="H81" s="50">
        <f>IF($A81="","",SUMIFS(Data!$H$2:$H$25001,Data!$C$2:$C$25001,$A81,Data!$D$2:$D$25001,"Werken",Data!$A$2:$A$25001,"&gt;="&amp;DATE(Dashboard!$B$2,7,1)&amp;"",Data!$A$2:$A$25001,"&lt;"&amp;DATE(Dashboard!$B$2,7+1,1)&amp;""))</f>
        <v/>
      </c>
      <c r="I81" s="50">
        <f>IF($A81="","",SUMIFS(Data!$H$2:$H$25001,Data!$C$2:$C$25001,$A81,Data!$D$2:$D$25001,"Werken",Data!$A$2:$A$25001,"&gt;="&amp;DATE(Dashboard!$B$2,8,1)&amp;"",Data!$A$2:$A$25001,"&lt;"&amp;DATE(Dashboard!$B$2,8+1,1)&amp;""))</f>
        <v/>
      </c>
      <c r="J81" s="50">
        <f>IF($A81="","",SUMIFS(Data!$H$2:$H$25001,Data!$C$2:$C$25001,$A81,Data!$D$2:$D$25001,"Werken",Data!$A$2:$A$25001,"&gt;="&amp;DATE(Dashboard!$B$2,9,1)&amp;"",Data!$A$2:$A$25001,"&lt;"&amp;DATE(Dashboard!$B$2,9+1,1)&amp;""))</f>
        <v/>
      </c>
      <c r="K81" s="50">
        <f>IF($A81="","",SUMIFS(Data!$H$2:$H$25001,Data!$C$2:$C$25001,$A81,Data!$D$2:$D$25001,"Werken",Data!$A$2:$A$25001,"&gt;="&amp;DATE(Dashboard!$B$2,10,1)&amp;"",Data!$A$2:$A$25001,"&lt;"&amp;DATE(Dashboard!$B$2,10+1,1)&amp;""))</f>
        <v/>
      </c>
      <c r="L81" s="50">
        <f>IF($A81="","",SUMIFS(Data!$H$2:$H$25001,Data!$C$2:$C$25001,$A81,Data!$D$2:$D$25001,"Werken",Data!$A$2:$A$25001,"&gt;="&amp;DATE(Dashboard!$B$2,11,1)&amp;"",Data!$A$2:$A$25001,"&lt;"&amp;DATE(Dashboard!$B$2,11+1,1)&amp;""))</f>
        <v/>
      </c>
      <c r="M81" s="50">
        <f>IF($A81="","",SUMIFS(Data!$H$2:$H$25001,Data!$C$2:$C$25001,$A81,Data!$D$2:$D$25001,"Werken",Data!$A$2:$A$25001,"&gt;="&amp;DATE(Dashboard!$B$2,12,1)&amp;"",Data!$A$2:$A$25001,"&lt;"&amp;DATE(Dashboard!$B$2,12+1,1)&amp;""))</f>
        <v/>
      </c>
      <c r="N81" s="46">
        <f>IF($A81="","",SUM(B81:M81))</f>
        <v/>
      </c>
      <c r="O81" s="51" t="n"/>
      <c r="P81" s="52">
        <f>IF(OR($A81="",O81=""),"",N81*O81)</f>
        <v/>
      </c>
    </row>
    <row r="82" ht="15" customHeight="1" s="30">
      <c r="A82" s="49" t="n"/>
      <c r="B82" s="45">
        <f>IF($A82="","",SUMIFS(Data!$H$2:$H$25001,Data!$C$2:$C$25001,$A82,Data!$D$2:$D$25001,"Werken",Data!$A$2:$A$25001,"&gt;="&amp;DATE(Dashboard!$B$2,1,1)&amp;"",Data!$A$2:$A$25001,"&lt;"&amp;DATE(Dashboard!$B$2,1+1,1)&amp;""))</f>
        <v/>
      </c>
      <c r="C82" s="45">
        <f>IF($A82="","",SUMIFS(Data!$H$2:$H$25001,Data!$C$2:$C$25001,$A82,Data!$D$2:$D$25001,"Werken",Data!$A$2:$A$25001,"&gt;="&amp;DATE(Dashboard!$B$2,2,1)&amp;"",Data!$A$2:$A$25001,"&lt;"&amp;DATE(Dashboard!$B$2,2+1,1)&amp;""))</f>
        <v/>
      </c>
      <c r="D82" s="45">
        <f>IF($A82="","",SUMIFS(Data!$H$2:$H$25001,Data!$C$2:$C$25001,$A82,Data!$D$2:$D$25001,"Werken",Data!$A$2:$A$25001,"&gt;="&amp;DATE(Dashboard!$B$2,3,1)&amp;"",Data!$A$2:$A$25001,"&lt;"&amp;DATE(Dashboard!$B$2,3+1,1)&amp;""))</f>
        <v/>
      </c>
      <c r="E82" s="45">
        <f>IF($A82="","",SUMIFS(Data!$H$2:$H$25001,Data!$C$2:$C$25001,$A82,Data!$D$2:$D$25001,"Werken",Data!$A$2:$A$25001,"&gt;="&amp;DATE(Dashboard!$B$2,4,1)&amp;"",Data!$A$2:$A$25001,"&lt;"&amp;DATE(Dashboard!$B$2,4+1,1)&amp;""))</f>
        <v/>
      </c>
      <c r="F82" s="45">
        <f>IF($A82="","",SUMIFS(Data!$H$2:$H$25001,Data!$C$2:$C$25001,$A82,Data!$D$2:$D$25001,"Werken",Data!$A$2:$A$25001,"&gt;="&amp;DATE(Dashboard!$B$2,5,1)&amp;"",Data!$A$2:$A$25001,"&lt;"&amp;DATE(Dashboard!$B$2,5+1,1)&amp;""))</f>
        <v/>
      </c>
      <c r="G82" s="45">
        <f>IF($A82="","",SUMIFS(Data!$H$2:$H$25001,Data!$C$2:$C$25001,$A82,Data!$D$2:$D$25001,"Werken",Data!$A$2:$A$25001,"&gt;="&amp;DATE(Dashboard!$B$2,6,1)&amp;"",Data!$A$2:$A$25001,"&lt;"&amp;DATE(Dashboard!$B$2,6+1,1)&amp;""))</f>
        <v/>
      </c>
      <c r="H82" s="45">
        <f>IF($A82="","",SUMIFS(Data!$H$2:$H$25001,Data!$C$2:$C$25001,$A82,Data!$D$2:$D$25001,"Werken",Data!$A$2:$A$25001,"&gt;="&amp;DATE(Dashboard!$B$2,7,1)&amp;"",Data!$A$2:$A$25001,"&lt;"&amp;DATE(Dashboard!$B$2,7+1,1)&amp;""))</f>
        <v/>
      </c>
      <c r="I82" s="45">
        <f>IF($A82="","",SUMIFS(Data!$H$2:$H$25001,Data!$C$2:$C$25001,$A82,Data!$D$2:$D$25001,"Werken",Data!$A$2:$A$25001,"&gt;="&amp;DATE(Dashboard!$B$2,8,1)&amp;"",Data!$A$2:$A$25001,"&lt;"&amp;DATE(Dashboard!$B$2,8+1,1)&amp;""))</f>
        <v/>
      </c>
      <c r="J82" s="45">
        <f>IF($A82="","",SUMIFS(Data!$H$2:$H$25001,Data!$C$2:$C$25001,$A82,Data!$D$2:$D$25001,"Werken",Data!$A$2:$A$25001,"&gt;="&amp;DATE(Dashboard!$B$2,9,1)&amp;"",Data!$A$2:$A$25001,"&lt;"&amp;DATE(Dashboard!$B$2,9+1,1)&amp;""))</f>
        <v/>
      </c>
      <c r="K82" s="45">
        <f>IF($A82="","",SUMIFS(Data!$H$2:$H$25001,Data!$C$2:$C$25001,$A82,Data!$D$2:$D$25001,"Werken",Data!$A$2:$A$25001,"&gt;="&amp;DATE(Dashboard!$B$2,10,1)&amp;"",Data!$A$2:$A$25001,"&lt;"&amp;DATE(Dashboard!$B$2,10+1,1)&amp;""))</f>
        <v/>
      </c>
      <c r="L82" s="45">
        <f>IF($A82="","",SUMIFS(Data!$H$2:$H$25001,Data!$C$2:$C$25001,$A82,Data!$D$2:$D$25001,"Werken",Data!$A$2:$A$25001,"&gt;="&amp;DATE(Dashboard!$B$2,11,1)&amp;"",Data!$A$2:$A$25001,"&lt;"&amp;DATE(Dashboard!$B$2,11+1,1)&amp;""))</f>
        <v/>
      </c>
      <c r="M82" s="45">
        <f>IF($A82="","",SUMIFS(Data!$H$2:$H$25001,Data!$C$2:$C$25001,$A82,Data!$D$2:$D$25001,"Werken",Data!$A$2:$A$25001,"&gt;="&amp;DATE(Dashboard!$B$2,12,1)&amp;"",Data!$A$2:$A$25001,"&lt;"&amp;DATE(Dashboard!$B$2,12+1,1)&amp;""))</f>
        <v/>
      </c>
      <c r="N82" s="46">
        <f>IF($A82="","",SUM(B82:M82))</f>
        <v/>
      </c>
      <c r="O82" s="51" t="n"/>
      <c r="P82" s="52">
        <f>IF(OR($A82="",O82=""),"",N82*O82)</f>
        <v/>
      </c>
    </row>
    <row r="83" ht="15" customHeight="1" s="30">
      <c r="A83" s="49" t="n"/>
      <c r="B83" s="50">
        <f>IF($A83="","",SUMIFS(Data!$H$2:$H$25001,Data!$C$2:$C$25001,$A83,Data!$D$2:$D$25001,"Werken",Data!$A$2:$A$25001,"&gt;="&amp;DATE(Dashboard!$B$2,1,1)&amp;"",Data!$A$2:$A$25001,"&lt;"&amp;DATE(Dashboard!$B$2,1+1,1)&amp;""))</f>
        <v/>
      </c>
      <c r="C83" s="50">
        <f>IF($A83="","",SUMIFS(Data!$H$2:$H$25001,Data!$C$2:$C$25001,$A83,Data!$D$2:$D$25001,"Werken",Data!$A$2:$A$25001,"&gt;="&amp;DATE(Dashboard!$B$2,2,1)&amp;"",Data!$A$2:$A$25001,"&lt;"&amp;DATE(Dashboard!$B$2,2+1,1)&amp;""))</f>
        <v/>
      </c>
      <c r="D83" s="50">
        <f>IF($A83="","",SUMIFS(Data!$H$2:$H$25001,Data!$C$2:$C$25001,$A83,Data!$D$2:$D$25001,"Werken",Data!$A$2:$A$25001,"&gt;="&amp;DATE(Dashboard!$B$2,3,1)&amp;"",Data!$A$2:$A$25001,"&lt;"&amp;DATE(Dashboard!$B$2,3+1,1)&amp;""))</f>
        <v/>
      </c>
      <c r="E83" s="50">
        <f>IF($A83="","",SUMIFS(Data!$H$2:$H$25001,Data!$C$2:$C$25001,$A83,Data!$D$2:$D$25001,"Werken",Data!$A$2:$A$25001,"&gt;="&amp;DATE(Dashboard!$B$2,4,1)&amp;"",Data!$A$2:$A$25001,"&lt;"&amp;DATE(Dashboard!$B$2,4+1,1)&amp;""))</f>
        <v/>
      </c>
      <c r="F83" s="50">
        <f>IF($A83="","",SUMIFS(Data!$H$2:$H$25001,Data!$C$2:$C$25001,$A83,Data!$D$2:$D$25001,"Werken",Data!$A$2:$A$25001,"&gt;="&amp;DATE(Dashboard!$B$2,5,1)&amp;"",Data!$A$2:$A$25001,"&lt;"&amp;DATE(Dashboard!$B$2,5+1,1)&amp;""))</f>
        <v/>
      </c>
      <c r="G83" s="50">
        <f>IF($A83="","",SUMIFS(Data!$H$2:$H$25001,Data!$C$2:$C$25001,$A83,Data!$D$2:$D$25001,"Werken",Data!$A$2:$A$25001,"&gt;="&amp;DATE(Dashboard!$B$2,6,1)&amp;"",Data!$A$2:$A$25001,"&lt;"&amp;DATE(Dashboard!$B$2,6+1,1)&amp;""))</f>
        <v/>
      </c>
      <c r="H83" s="50">
        <f>IF($A83="","",SUMIFS(Data!$H$2:$H$25001,Data!$C$2:$C$25001,$A83,Data!$D$2:$D$25001,"Werken",Data!$A$2:$A$25001,"&gt;="&amp;DATE(Dashboard!$B$2,7,1)&amp;"",Data!$A$2:$A$25001,"&lt;"&amp;DATE(Dashboard!$B$2,7+1,1)&amp;""))</f>
        <v/>
      </c>
      <c r="I83" s="50">
        <f>IF($A83="","",SUMIFS(Data!$H$2:$H$25001,Data!$C$2:$C$25001,$A83,Data!$D$2:$D$25001,"Werken",Data!$A$2:$A$25001,"&gt;="&amp;DATE(Dashboard!$B$2,8,1)&amp;"",Data!$A$2:$A$25001,"&lt;"&amp;DATE(Dashboard!$B$2,8+1,1)&amp;""))</f>
        <v/>
      </c>
      <c r="J83" s="50">
        <f>IF($A83="","",SUMIFS(Data!$H$2:$H$25001,Data!$C$2:$C$25001,$A83,Data!$D$2:$D$25001,"Werken",Data!$A$2:$A$25001,"&gt;="&amp;DATE(Dashboard!$B$2,9,1)&amp;"",Data!$A$2:$A$25001,"&lt;"&amp;DATE(Dashboard!$B$2,9+1,1)&amp;""))</f>
        <v/>
      </c>
      <c r="K83" s="50">
        <f>IF($A83="","",SUMIFS(Data!$H$2:$H$25001,Data!$C$2:$C$25001,$A83,Data!$D$2:$D$25001,"Werken",Data!$A$2:$A$25001,"&gt;="&amp;DATE(Dashboard!$B$2,10,1)&amp;"",Data!$A$2:$A$25001,"&lt;"&amp;DATE(Dashboard!$B$2,10+1,1)&amp;""))</f>
        <v/>
      </c>
      <c r="L83" s="50">
        <f>IF($A83="","",SUMIFS(Data!$H$2:$H$25001,Data!$C$2:$C$25001,$A83,Data!$D$2:$D$25001,"Werken",Data!$A$2:$A$25001,"&gt;="&amp;DATE(Dashboard!$B$2,11,1)&amp;"",Data!$A$2:$A$25001,"&lt;"&amp;DATE(Dashboard!$B$2,11+1,1)&amp;""))</f>
        <v/>
      </c>
      <c r="M83" s="50">
        <f>IF($A83="","",SUMIFS(Data!$H$2:$H$25001,Data!$C$2:$C$25001,$A83,Data!$D$2:$D$25001,"Werken",Data!$A$2:$A$25001,"&gt;="&amp;DATE(Dashboard!$B$2,12,1)&amp;"",Data!$A$2:$A$25001,"&lt;"&amp;DATE(Dashboard!$B$2,12+1,1)&amp;""))</f>
        <v/>
      </c>
      <c r="N83" s="46">
        <f>IF($A83="","",SUM(B83:M83))</f>
        <v/>
      </c>
      <c r="O83" s="51" t="n"/>
      <c r="P83" s="52">
        <f>IF(OR($A83="",O83=""),"",N83*O83)</f>
        <v/>
      </c>
    </row>
    <row r="84" ht="15" customHeight="1" s="30">
      <c r="A84" s="49" t="n"/>
      <c r="B84" s="45">
        <f>IF($A84="","",SUMIFS(Data!$H$2:$H$25001,Data!$C$2:$C$25001,$A84,Data!$D$2:$D$25001,"Werken",Data!$A$2:$A$25001,"&gt;="&amp;DATE(Dashboard!$B$2,1,1)&amp;"",Data!$A$2:$A$25001,"&lt;"&amp;DATE(Dashboard!$B$2,1+1,1)&amp;""))</f>
        <v/>
      </c>
      <c r="C84" s="45">
        <f>IF($A84="","",SUMIFS(Data!$H$2:$H$25001,Data!$C$2:$C$25001,$A84,Data!$D$2:$D$25001,"Werken",Data!$A$2:$A$25001,"&gt;="&amp;DATE(Dashboard!$B$2,2,1)&amp;"",Data!$A$2:$A$25001,"&lt;"&amp;DATE(Dashboard!$B$2,2+1,1)&amp;""))</f>
        <v/>
      </c>
      <c r="D84" s="45">
        <f>IF($A84="","",SUMIFS(Data!$H$2:$H$25001,Data!$C$2:$C$25001,$A84,Data!$D$2:$D$25001,"Werken",Data!$A$2:$A$25001,"&gt;="&amp;DATE(Dashboard!$B$2,3,1)&amp;"",Data!$A$2:$A$25001,"&lt;"&amp;DATE(Dashboard!$B$2,3+1,1)&amp;""))</f>
        <v/>
      </c>
      <c r="E84" s="45">
        <f>IF($A84="","",SUMIFS(Data!$H$2:$H$25001,Data!$C$2:$C$25001,$A84,Data!$D$2:$D$25001,"Werken",Data!$A$2:$A$25001,"&gt;="&amp;DATE(Dashboard!$B$2,4,1)&amp;"",Data!$A$2:$A$25001,"&lt;"&amp;DATE(Dashboard!$B$2,4+1,1)&amp;""))</f>
        <v/>
      </c>
      <c r="F84" s="45">
        <f>IF($A84="","",SUMIFS(Data!$H$2:$H$25001,Data!$C$2:$C$25001,$A84,Data!$D$2:$D$25001,"Werken",Data!$A$2:$A$25001,"&gt;="&amp;DATE(Dashboard!$B$2,5,1)&amp;"",Data!$A$2:$A$25001,"&lt;"&amp;DATE(Dashboard!$B$2,5+1,1)&amp;""))</f>
        <v/>
      </c>
      <c r="G84" s="45">
        <f>IF($A84="","",SUMIFS(Data!$H$2:$H$25001,Data!$C$2:$C$25001,$A84,Data!$D$2:$D$25001,"Werken",Data!$A$2:$A$25001,"&gt;="&amp;DATE(Dashboard!$B$2,6,1)&amp;"",Data!$A$2:$A$25001,"&lt;"&amp;DATE(Dashboard!$B$2,6+1,1)&amp;""))</f>
        <v/>
      </c>
      <c r="H84" s="45">
        <f>IF($A84="","",SUMIFS(Data!$H$2:$H$25001,Data!$C$2:$C$25001,$A84,Data!$D$2:$D$25001,"Werken",Data!$A$2:$A$25001,"&gt;="&amp;DATE(Dashboard!$B$2,7,1)&amp;"",Data!$A$2:$A$25001,"&lt;"&amp;DATE(Dashboard!$B$2,7+1,1)&amp;""))</f>
        <v/>
      </c>
      <c r="I84" s="45">
        <f>IF($A84="","",SUMIFS(Data!$H$2:$H$25001,Data!$C$2:$C$25001,$A84,Data!$D$2:$D$25001,"Werken",Data!$A$2:$A$25001,"&gt;="&amp;DATE(Dashboard!$B$2,8,1)&amp;"",Data!$A$2:$A$25001,"&lt;"&amp;DATE(Dashboard!$B$2,8+1,1)&amp;""))</f>
        <v/>
      </c>
      <c r="J84" s="45">
        <f>IF($A84="","",SUMIFS(Data!$H$2:$H$25001,Data!$C$2:$C$25001,$A84,Data!$D$2:$D$25001,"Werken",Data!$A$2:$A$25001,"&gt;="&amp;DATE(Dashboard!$B$2,9,1)&amp;"",Data!$A$2:$A$25001,"&lt;"&amp;DATE(Dashboard!$B$2,9+1,1)&amp;""))</f>
        <v/>
      </c>
      <c r="K84" s="45">
        <f>IF($A84="","",SUMIFS(Data!$H$2:$H$25001,Data!$C$2:$C$25001,$A84,Data!$D$2:$D$25001,"Werken",Data!$A$2:$A$25001,"&gt;="&amp;DATE(Dashboard!$B$2,10,1)&amp;"",Data!$A$2:$A$25001,"&lt;"&amp;DATE(Dashboard!$B$2,10+1,1)&amp;""))</f>
        <v/>
      </c>
      <c r="L84" s="45">
        <f>IF($A84="","",SUMIFS(Data!$H$2:$H$25001,Data!$C$2:$C$25001,$A84,Data!$D$2:$D$25001,"Werken",Data!$A$2:$A$25001,"&gt;="&amp;DATE(Dashboard!$B$2,11,1)&amp;"",Data!$A$2:$A$25001,"&lt;"&amp;DATE(Dashboard!$B$2,11+1,1)&amp;""))</f>
        <v/>
      </c>
      <c r="M84" s="45">
        <f>IF($A84="","",SUMIFS(Data!$H$2:$H$25001,Data!$C$2:$C$25001,$A84,Data!$D$2:$D$25001,"Werken",Data!$A$2:$A$25001,"&gt;="&amp;DATE(Dashboard!$B$2,12,1)&amp;"",Data!$A$2:$A$25001,"&lt;"&amp;DATE(Dashboard!$B$2,12+1,1)&amp;""))</f>
        <v/>
      </c>
      <c r="N84" s="46">
        <f>IF($A84="","",SUM(B84:M84))</f>
        <v/>
      </c>
      <c r="O84" s="51" t="n"/>
      <c r="P84" s="52">
        <f>IF(OR($A84="",O84=""),"",N84*O84)</f>
        <v/>
      </c>
    </row>
    <row r="85" ht="15" customHeight="1" s="30">
      <c r="A85" s="49" t="n"/>
      <c r="B85" s="50">
        <f>IF($A85="","",SUMIFS(Data!$H$2:$H$25001,Data!$C$2:$C$25001,$A85,Data!$D$2:$D$25001,"Werken",Data!$A$2:$A$25001,"&gt;="&amp;DATE(Dashboard!$B$2,1,1)&amp;"",Data!$A$2:$A$25001,"&lt;"&amp;DATE(Dashboard!$B$2,1+1,1)&amp;""))</f>
        <v/>
      </c>
      <c r="C85" s="50">
        <f>IF($A85="","",SUMIFS(Data!$H$2:$H$25001,Data!$C$2:$C$25001,$A85,Data!$D$2:$D$25001,"Werken",Data!$A$2:$A$25001,"&gt;="&amp;DATE(Dashboard!$B$2,2,1)&amp;"",Data!$A$2:$A$25001,"&lt;"&amp;DATE(Dashboard!$B$2,2+1,1)&amp;""))</f>
        <v/>
      </c>
      <c r="D85" s="50">
        <f>IF($A85="","",SUMIFS(Data!$H$2:$H$25001,Data!$C$2:$C$25001,$A85,Data!$D$2:$D$25001,"Werken",Data!$A$2:$A$25001,"&gt;="&amp;DATE(Dashboard!$B$2,3,1)&amp;"",Data!$A$2:$A$25001,"&lt;"&amp;DATE(Dashboard!$B$2,3+1,1)&amp;""))</f>
        <v/>
      </c>
      <c r="E85" s="50">
        <f>IF($A85="","",SUMIFS(Data!$H$2:$H$25001,Data!$C$2:$C$25001,$A85,Data!$D$2:$D$25001,"Werken",Data!$A$2:$A$25001,"&gt;="&amp;DATE(Dashboard!$B$2,4,1)&amp;"",Data!$A$2:$A$25001,"&lt;"&amp;DATE(Dashboard!$B$2,4+1,1)&amp;""))</f>
        <v/>
      </c>
      <c r="F85" s="50">
        <f>IF($A85="","",SUMIFS(Data!$H$2:$H$25001,Data!$C$2:$C$25001,$A85,Data!$D$2:$D$25001,"Werken",Data!$A$2:$A$25001,"&gt;="&amp;DATE(Dashboard!$B$2,5,1)&amp;"",Data!$A$2:$A$25001,"&lt;"&amp;DATE(Dashboard!$B$2,5+1,1)&amp;""))</f>
        <v/>
      </c>
      <c r="G85" s="50">
        <f>IF($A85="","",SUMIFS(Data!$H$2:$H$25001,Data!$C$2:$C$25001,$A85,Data!$D$2:$D$25001,"Werken",Data!$A$2:$A$25001,"&gt;="&amp;DATE(Dashboard!$B$2,6,1)&amp;"",Data!$A$2:$A$25001,"&lt;"&amp;DATE(Dashboard!$B$2,6+1,1)&amp;""))</f>
        <v/>
      </c>
      <c r="H85" s="50">
        <f>IF($A85="","",SUMIFS(Data!$H$2:$H$25001,Data!$C$2:$C$25001,$A85,Data!$D$2:$D$25001,"Werken",Data!$A$2:$A$25001,"&gt;="&amp;DATE(Dashboard!$B$2,7,1)&amp;"",Data!$A$2:$A$25001,"&lt;"&amp;DATE(Dashboard!$B$2,7+1,1)&amp;""))</f>
        <v/>
      </c>
      <c r="I85" s="50">
        <f>IF($A85="","",SUMIFS(Data!$H$2:$H$25001,Data!$C$2:$C$25001,$A85,Data!$D$2:$D$25001,"Werken",Data!$A$2:$A$25001,"&gt;="&amp;DATE(Dashboard!$B$2,8,1)&amp;"",Data!$A$2:$A$25001,"&lt;"&amp;DATE(Dashboard!$B$2,8+1,1)&amp;""))</f>
        <v/>
      </c>
      <c r="J85" s="50">
        <f>IF($A85="","",SUMIFS(Data!$H$2:$H$25001,Data!$C$2:$C$25001,$A85,Data!$D$2:$D$25001,"Werken",Data!$A$2:$A$25001,"&gt;="&amp;DATE(Dashboard!$B$2,9,1)&amp;"",Data!$A$2:$A$25001,"&lt;"&amp;DATE(Dashboard!$B$2,9+1,1)&amp;""))</f>
        <v/>
      </c>
      <c r="K85" s="50">
        <f>IF($A85="","",SUMIFS(Data!$H$2:$H$25001,Data!$C$2:$C$25001,$A85,Data!$D$2:$D$25001,"Werken",Data!$A$2:$A$25001,"&gt;="&amp;DATE(Dashboard!$B$2,10,1)&amp;"",Data!$A$2:$A$25001,"&lt;"&amp;DATE(Dashboard!$B$2,10+1,1)&amp;""))</f>
        <v/>
      </c>
      <c r="L85" s="50">
        <f>IF($A85="","",SUMIFS(Data!$H$2:$H$25001,Data!$C$2:$C$25001,$A85,Data!$D$2:$D$25001,"Werken",Data!$A$2:$A$25001,"&gt;="&amp;DATE(Dashboard!$B$2,11,1)&amp;"",Data!$A$2:$A$25001,"&lt;"&amp;DATE(Dashboard!$B$2,11+1,1)&amp;""))</f>
        <v/>
      </c>
      <c r="M85" s="50">
        <f>IF($A85="","",SUMIFS(Data!$H$2:$H$25001,Data!$C$2:$C$25001,$A85,Data!$D$2:$D$25001,"Werken",Data!$A$2:$A$25001,"&gt;="&amp;DATE(Dashboard!$B$2,12,1)&amp;"",Data!$A$2:$A$25001,"&lt;"&amp;DATE(Dashboard!$B$2,12+1,1)&amp;""))</f>
        <v/>
      </c>
      <c r="N85" s="46">
        <f>IF($A85="","",SUM(B85:M85))</f>
        <v/>
      </c>
      <c r="O85" s="51" t="n"/>
      <c r="P85" s="52">
        <f>IF(OR($A85="",O85=""),"",N85*O85)</f>
        <v/>
      </c>
    </row>
    <row r="86" ht="15" customHeight="1" s="30">
      <c r="A86" s="49" t="n"/>
      <c r="B86" s="45">
        <f>IF($A86="","",SUMIFS(Data!$H$2:$H$25001,Data!$C$2:$C$25001,$A86,Data!$D$2:$D$25001,"Werken",Data!$A$2:$A$25001,"&gt;="&amp;DATE(Dashboard!$B$2,1,1)&amp;"",Data!$A$2:$A$25001,"&lt;"&amp;DATE(Dashboard!$B$2,1+1,1)&amp;""))</f>
        <v/>
      </c>
      <c r="C86" s="45">
        <f>IF($A86="","",SUMIFS(Data!$H$2:$H$25001,Data!$C$2:$C$25001,$A86,Data!$D$2:$D$25001,"Werken",Data!$A$2:$A$25001,"&gt;="&amp;DATE(Dashboard!$B$2,2,1)&amp;"",Data!$A$2:$A$25001,"&lt;"&amp;DATE(Dashboard!$B$2,2+1,1)&amp;""))</f>
        <v/>
      </c>
      <c r="D86" s="45">
        <f>IF($A86="","",SUMIFS(Data!$H$2:$H$25001,Data!$C$2:$C$25001,$A86,Data!$D$2:$D$25001,"Werken",Data!$A$2:$A$25001,"&gt;="&amp;DATE(Dashboard!$B$2,3,1)&amp;"",Data!$A$2:$A$25001,"&lt;"&amp;DATE(Dashboard!$B$2,3+1,1)&amp;""))</f>
        <v/>
      </c>
      <c r="E86" s="45">
        <f>IF($A86="","",SUMIFS(Data!$H$2:$H$25001,Data!$C$2:$C$25001,$A86,Data!$D$2:$D$25001,"Werken",Data!$A$2:$A$25001,"&gt;="&amp;DATE(Dashboard!$B$2,4,1)&amp;"",Data!$A$2:$A$25001,"&lt;"&amp;DATE(Dashboard!$B$2,4+1,1)&amp;""))</f>
        <v/>
      </c>
      <c r="F86" s="45">
        <f>IF($A86="","",SUMIFS(Data!$H$2:$H$25001,Data!$C$2:$C$25001,$A86,Data!$D$2:$D$25001,"Werken",Data!$A$2:$A$25001,"&gt;="&amp;DATE(Dashboard!$B$2,5,1)&amp;"",Data!$A$2:$A$25001,"&lt;"&amp;DATE(Dashboard!$B$2,5+1,1)&amp;""))</f>
        <v/>
      </c>
      <c r="G86" s="45">
        <f>IF($A86="","",SUMIFS(Data!$H$2:$H$25001,Data!$C$2:$C$25001,$A86,Data!$D$2:$D$25001,"Werken",Data!$A$2:$A$25001,"&gt;="&amp;DATE(Dashboard!$B$2,6,1)&amp;"",Data!$A$2:$A$25001,"&lt;"&amp;DATE(Dashboard!$B$2,6+1,1)&amp;""))</f>
        <v/>
      </c>
      <c r="H86" s="45">
        <f>IF($A86="","",SUMIFS(Data!$H$2:$H$25001,Data!$C$2:$C$25001,$A86,Data!$D$2:$D$25001,"Werken",Data!$A$2:$A$25001,"&gt;="&amp;DATE(Dashboard!$B$2,7,1)&amp;"",Data!$A$2:$A$25001,"&lt;"&amp;DATE(Dashboard!$B$2,7+1,1)&amp;""))</f>
        <v/>
      </c>
      <c r="I86" s="45">
        <f>IF($A86="","",SUMIFS(Data!$H$2:$H$25001,Data!$C$2:$C$25001,$A86,Data!$D$2:$D$25001,"Werken",Data!$A$2:$A$25001,"&gt;="&amp;DATE(Dashboard!$B$2,8,1)&amp;"",Data!$A$2:$A$25001,"&lt;"&amp;DATE(Dashboard!$B$2,8+1,1)&amp;""))</f>
        <v/>
      </c>
      <c r="J86" s="45">
        <f>IF($A86="","",SUMIFS(Data!$H$2:$H$25001,Data!$C$2:$C$25001,$A86,Data!$D$2:$D$25001,"Werken",Data!$A$2:$A$25001,"&gt;="&amp;DATE(Dashboard!$B$2,9,1)&amp;"",Data!$A$2:$A$25001,"&lt;"&amp;DATE(Dashboard!$B$2,9+1,1)&amp;""))</f>
        <v/>
      </c>
      <c r="K86" s="45">
        <f>IF($A86="","",SUMIFS(Data!$H$2:$H$25001,Data!$C$2:$C$25001,$A86,Data!$D$2:$D$25001,"Werken",Data!$A$2:$A$25001,"&gt;="&amp;DATE(Dashboard!$B$2,10,1)&amp;"",Data!$A$2:$A$25001,"&lt;"&amp;DATE(Dashboard!$B$2,10+1,1)&amp;""))</f>
        <v/>
      </c>
      <c r="L86" s="45">
        <f>IF($A86="","",SUMIFS(Data!$H$2:$H$25001,Data!$C$2:$C$25001,$A86,Data!$D$2:$D$25001,"Werken",Data!$A$2:$A$25001,"&gt;="&amp;DATE(Dashboard!$B$2,11,1)&amp;"",Data!$A$2:$A$25001,"&lt;"&amp;DATE(Dashboard!$B$2,11+1,1)&amp;""))</f>
        <v/>
      </c>
      <c r="M86" s="45">
        <f>IF($A86="","",SUMIFS(Data!$H$2:$H$25001,Data!$C$2:$C$25001,$A86,Data!$D$2:$D$25001,"Werken",Data!$A$2:$A$25001,"&gt;="&amp;DATE(Dashboard!$B$2,12,1)&amp;"",Data!$A$2:$A$25001,"&lt;"&amp;DATE(Dashboard!$B$2,12+1,1)&amp;""))</f>
        <v/>
      </c>
      <c r="N86" s="46">
        <f>IF($A86="","",SUM(B86:M86))</f>
        <v/>
      </c>
      <c r="O86" s="51" t="n"/>
      <c r="P86" s="52">
        <f>IF(OR($A86="",O86=""),"",N86*O86)</f>
        <v/>
      </c>
    </row>
    <row r="87" ht="15" customHeight="1" s="30">
      <c r="A87" s="49" t="n"/>
      <c r="B87" s="50">
        <f>IF($A87="","",SUMIFS(Data!$H$2:$H$25001,Data!$C$2:$C$25001,$A87,Data!$D$2:$D$25001,"Werken",Data!$A$2:$A$25001,"&gt;="&amp;DATE(Dashboard!$B$2,1,1)&amp;"",Data!$A$2:$A$25001,"&lt;"&amp;DATE(Dashboard!$B$2,1+1,1)&amp;""))</f>
        <v/>
      </c>
      <c r="C87" s="50">
        <f>IF($A87="","",SUMIFS(Data!$H$2:$H$25001,Data!$C$2:$C$25001,$A87,Data!$D$2:$D$25001,"Werken",Data!$A$2:$A$25001,"&gt;="&amp;DATE(Dashboard!$B$2,2,1)&amp;"",Data!$A$2:$A$25001,"&lt;"&amp;DATE(Dashboard!$B$2,2+1,1)&amp;""))</f>
        <v/>
      </c>
      <c r="D87" s="50">
        <f>IF($A87="","",SUMIFS(Data!$H$2:$H$25001,Data!$C$2:$C$25001,$A87,Data!$D$2:$D$25001,"Werken",Data!$A$2:$A$25001,"&gt;="&amp;DATE(Dashboard!$B$2,3,1)&amp;"",Data!$A$2:$A$25001,"&lt;"&amp;DATE(Dashboard!$B$2,3+1,1)&amp;""))</f>
        <v/>
      </c>
      <c r="E87" s="50">
        <f>IF($A87="","",SUMIFS(Data!$H$2:$H$25001,Data!$C$2:$C$25001,$A87,Data!$D$2:$D$25001,"Werken",Data!$A$2:$A$25001,"&gt;="&amp;DATE(Dashboard!$B$2,4,1)&amp;"",Data!$A$2:$A$25001,"&lt;"&amp;DATE(Dashboard!$B$2,4+1,1)&amp;""))</f>
        <v/>
      </c>
      <c r="F87" s="50">
        <f>IF($A87="","",SUMIFS(Data!$H$2:$H$25001,Data!$C$2:$C$25001,$A87,Data!$D$2:$D$25001,"Werken",Data!$A$2:$A$25001,"&gt;="&amp;DATE(Dashboard!$B$2,5,1)&amp;"",Data!$A$2:$A$25001,"&lt;"&amp;DATE(Dashboard!$B$2,5+1,1)&amp;""))</f>
        <v/>
      </c>
      <c r="G87" s="50">
        <f>IF($A87="","",SUMIFS(Data!$H$2:$H$25001,Data!$C$2:$C$25001,$A87,Data!$D$2:$D$25001,"Werken",Data!$A$2:$A$25001,"&gt;="&amp;DATE(Dashboard!$B$2,6,1)&amp;"",Data!$A$2:$A$25001,"&lt;"&amp;DATE(Dashboard!$B$2,6+1,1)&amp;""))</f>
        <v/>
      </c>
      <c r="H87" s="50">
        <f>IF($A87="","",SUMIFS(Data!$H$2:$H$25001,Data!$C$2:$C$25001,$A87,Data!$D$2:$D$25001,"Werken",Data!$A$2:$A$25001,"&gt;="&amp;DATE(Dashboard!$B$2,7,1)&amp;"",Data!$A$2:$A$25001,"&lt;"&amp;DATE(Dashboard!$B$2,7+1,1)&amp;""))</f>
        <v/>
      </c>
      <c r="I87" s="50">
        <f>IF($A87="","",SUMIFS(Data!$H$2:$H$25001,Data!$C$2:$C$25001,$A87,Data!$D$2:$D$25001,"Werken",Data!$A$2:$A$25001,"&gt;="&amp;DATE(Dashboard!$B$2,8,1)&amp;"",Data!$A$2:$A$25001,"&lt;"&amp;DATE(Dashboard!$B$2,8+1,1)&amp;""))</f>
        <v/>
      </c>
      <c r="J87" s="50">
        <f>IF($A87="","",SUMIFS(Data!$H$2:$H$25001,Data!$C$2:$C$25001,$A87,Data!$D$2:$D$25001,"Werken",Data!$A$2:$A$25001,"&gt;="&amp;DATE(Dashboard!$B$2,9,1)&amp;"",Data!$A$2:$A$25001,"&lt;"&amp;DATE(Dashboard!$B$2,9+1,1)&amp;""))</f>
        <v/>
      </c>
      <c r="K87" s="50">
        <f>IF($A87="","",SUMIFS(Data!$H$2:$H$25001,Data!$C$2:$C$25001,$A87,Data!$D$2:$D$25001,"Werken",Data!$A$2:$A$25001,"&gt;="&amp;DATE(Dashboard!$B$2,10,1)&amp;"",Data!$A$2:$A$25001,"&lt;"&amp;DATE(Dashboard!$B$2,10+1,1)&amp;""))</f>
        <v/>
      </c>
      <c r="L87" s="50">
        <f>IF($A87="","",SUMIFS(Data!$H$2:$H$25001,Data!$C$2:$C$25001,$A87,Data!$D$2:$D$25001,"Werken",Data!$A$2:$A$25001,"&gt;="&amp;DATE(Dashboard!$B$2,11,1)&amp;"",Data!$A$2:$A$25001,"&lt;"&amp;DATE(Dashboard!$B$2,11+1,1)&amp;""))</f>
        <v/>
      </c>
      <c r="M87" s="50">
        <f>IF($A87="","",SUMIFS(Data!$H$2:$H$25001,Data!$C$2:$C$25001,$A87,Data!$D$2:$D$25001,"Werken",Data!$A$2:$A$25001,"&gt;="&amp;DATE(Dashboard!$B$2,12,1)&amp;"",Data!$A$2:$A$25001,"&lt;"&amp;DATE(Dashboard!$B$2,12+1,1)&amp;""))</f>
        <v/>
      </c>
      <c r="N87" s="46">
        <f>IF($A87="","",SUM(B87:M87))</f>
        <v/>
      </c>
      <c r="O87" s="51" t="n"/>
      <c r="P87" s="52">
        <f>IF(OR($A87="",O87=""),"",N87*O87)</f>
        <v/>
      </c>
    </row>
    <row r="88" ht="15" customHeight="1" s="30">
      <c r="A88" s="49" t="n"/>
      <c r="B88" s="45">
        <f>IF($A88="","",SUMIFS(Data!$H$2:$H$25001,Data!$C$2:$C$25001,$A88,Data!$D$2:$D$25001,"Werken",Data!$A$2:$A$25001,"&gt;="&amp;DATE(Dashboard!$B$2,1,1)&amp;"",Data!$A$2:$A$25001,"&lt;"&amp;DATE(Dashboard!$B$2,1+1,1)&amp;""))</f>
        <v/>
      </c>
      <c r="C88" s="45">
        <f>IF($A88="","",SUMIFS(Data!$H$2:$H$25001,Data!$C$2:$C$25001,$A88,Data!$D$2:$D$25001,"Werken",Data!$A$2:$A$25001,"&gt;="&amp;DATE(Dashboard!$B$2,2,1)&amp;"",Data!$A$2:$A$25001,"&lt;"&amp;DATE(Dashboard!$B$2,2+1,1)&amp;""))</f>
        <v/>
      </c>
      <c r="D88" s="45">
        <f>IF($A88="","",SUMIFS(Data!$H$2:$H$25001,Data!$C$2:$C$25001,$A88,Data!$D$2:$D$25001,"Werken",Data!$A$2:$A$25001,"&gt;="&amp;DATE(Dashboard!$B$2,3,1)&amp;"",Data!$A$2:$A$25001,"&lt;"&amp;DATE(Dashboard!$B$2,3+1,1)&amp;""))</f>
        <v/>
      </c>
      <c r="E88" s="45">
        <f>IF($A88="","",SUMIFS(Data!$H$2:$H$25001,Data!$C$2:$C$25001,$A88,Data!$D$2:$D$25001,"Werken",Data!$A$2:$A$25001,"&gt;="&amp;DATE(Dashboard!$B$2,4,1)&amp;"",Data!$A$2:$A$25001,"&lt;"&amp;DATE(Dashboard!$B$2,4+1,1)&amp;""))</f>
        <v/>
      </c>
      <c r="F88" s="45">
        <f>IF($A88="","",SUMIFS(Data!$H$2:$H$25001,Data!$C$2:$C$25001,$A88,Data!$D$2:$D$25001,"Werken",Data!$A$2:$A$25001,"&gt;="&amp;DATE(Dashboard!$B$2,5,1)&amp;"",Data!$A$2:$A$25001,"&lt;"&amp;DATE(Dashboard!$B$2,5+1,1)&amp;""))</f>
        <v/>
      </c>
      <c r="G88" s="45">
        <f>IF($A88="","",SUMIFS(Data!$H$2:$H$25001,Data!$C$2:$C$25001,$A88,Data!$D$2:$D$25001,"Werken",Data!$A$2:$A$25001,"&gt;="&amp;DATE(Dashboard!$B$2,6,1)&amp;"",Data!$A$2:$A$25001,"&lt;"&amp;DATE(Dashboard!$B$2,6+1,1)&amp;""))</f>
        <v/>
      </c>
      <c r="H88" s="45">
        <f>IF($A88="","",SUMIFS(Data!$H$2:$H$25001,Data!$C$2:$C$25001,$A88,Data!$D$2:$D$25001,"Werken",Data!$A$2:$A$25001,"&gt;="&amp;DATE(Dashboard!$B$2,7,1)&amp;"",Data!$A$2:$A$25001,"&lt;"&amp;DATE(Dashboard!$B$2,7+1,1)&amp;""))</f>
        <v/>
      </c>
      <c r="I88" s="45">
        <f>IF($A88="","",SUMIFS(Data!$H$2:$H$25001,Data!$C$2:$C$25001,$A88,Data!$D$2:$D$25001,"Werken",Data!$A$2:$A$25001,"&gt;="&amp;DATE(Dashboard!$B$2,8,1)&amp;"",Data!$A$2:$A$25001,"&lt;"&amp;DATE(Dashboard!$B$2,8+1,1)&amp;""))</f>
        <v/>
      </c>
      <c r="J88" s="45">
        <f>IF($A88="","",SUMIFS(Data!$H$2:$H$25001,Data!$C$2:$C$25001,$A88,Data!$D$2:$D$25001,"Werken",Data!$A$2:$A$25001,"&gt;="&amp;DATE(Dashboard!$B$2,9,1)&amp;"",Data!$A$2:$A$25001,"&lt;"&amp;DATE(Dashboard!$B$2,9+1,1)&amp;""))</f>
        <v/>
      </c>
      <c r="K88" s="45">
        <f>IF($A88="","",SUMIFS(Data!$H$2:$H$25001,Data!$C$2:$C$25001,$A88,Data!$D$2:$D$25001,"Werken",Data!$A$2:$A$25001,"&gt;="&amp;DATE(Dashboard!$B$2,10,1)&amp;"",Data!$A$2:$A$25001,"&lt;"&amp;DATE(Dashboard!$B$2,10+1,1)&amp;""))</f>
        <v/>
      </c>
      <c r="L88" s="45">
        <f>IF($A88="","",SUMIFS(Data!$H$2:$H$25001,Data!$C$2:$C$25001,$A88,Data!$D$2:$D$25001,"Werken",Data!$A$2:$A$25001,"&gt;="&amp;DATE(Dashboard!$B$2,11,1)&amp;"",Data!$A$2:$A$25001,"&lt;"&amp;DATE(Dashboard!$B$2,11+1,1)&amp;""))</f>
        <v/>
      </c>
      <c r="M88" s="45">
        <f>IF($A88="","",SUMIFS(Data!$H$2:$H$25001,Data!$C$2:$C$25001,$A88,Data!$D$2:$D$25001,"Werken",Data!$A$2:$A$25001,"&gt;="&amp;DATE(Dashboard!$B$2,12,1)&amp;"",Data!$A$2:$A$25001,"&lt;"&amp;DATE(Dashboard!$B$2,12+1,1)&amp;""))</f>
        <v/>
      </c>
      <c r="N88" s="46">
        <f>IF($A88="","",SUM(B88:M88))</f>
        <v/>
      </c>
      <c r="O88" s="51" t="n"/>
      <c r="P88" s="52">
        <f>IF(OR($A88="",O88=""),"",N88*O88)</f>
        <v/>
      </c>
    </row>
    <row r="89" ht="15" customHeight="1" s="30">
      <c r="A89" s="49" t="n"/>
      <c r="B89" s="50">
        <f>IF($A89="","",SUMIFS(Data!$H$2:$H$25001,Data!$C$2:$C$25001,$A89,Data!$D$2:$D$25001,"Werken",Data!$A$2:$A$25001,"&gt;="&amp;DATE(Dashboard!$B$2,1,1)&amp;"",Data!$A$2:$A$25001,"&lt;"&amp;DATE(Dashboard!$B$2,1+1,1)&amp;""))</f>
        <v/>
      </c>
      <c r="C89" s="50">
        <f>IF($A89="","",SUMIFS(Data!$H$2:$H$25001,Data!$C$2:$C$25001,$A89,Data!$D$2:$D$25001,"Werken",Data!$A$2:$A$25001,"&gt;="&amp;DATE(Dashboard!$B$2,2,1)&amp;"",Data!$A$2:$A$25001,"&lt;"&amp;DATE(Dashboard!$B$2,2+1,1)&amp;""))</f>
        <v/>
      </c>
      <c r="D89" s="50">
        <f>IF($A89="","",SUMIFS(Data!$H$2:$H$25001,Data!$C$2:$C$25001,$A89,Data!$D$2:$D$25001,"Werken",Data!$A$2:$A$25001,"&gt;="&amp;DATE(Dashboard!$B$2,3,1)&amp;"",Data!$A$2:$A$25001,"&lt;"&amp;DATE(Dashboard!$B$2,3+1,1)&amp;""))</f>
        <v/>
      </c>
      <c r="E89" s="50">
        <f>IF($A89="","",SUMIFS(Data!$H$2:$H$25001,Data!$C$2:$C$25001,$A89,Data!$D$2:$D$25001,"Werken",Data!$A$2:$A$25001,"&gt;="&amp;DATE(Dashboard!$B$2,4,1)&amp;"",Data!$A$2:$A$25001,"&lt;"&amp;DATE(Dashboard!$B$2,4+1,1)&amp;""))</f>
        <v/>
      </c>
      <c r="F89" s="50">
        <f>IF($A89="","",SUMIFS(Data!$H$2:$H$25001,Data!$C$2:$C$25001,$A89,Data!$D$2:$D$25001,"Werken",Data!$A$2:$A$25001,"&gt;="&amp;DATE(Dashboard!$B$2,5,1)&amp;"",Data!$A$2:$A$25001,"&lt;"&amp;DATE(Dashboard!$B$2,5+1,1)&amp;""))</f>
        <v/>
      </c>
      <c r="G89" s="50">
        <f>IF($A89="","",SUMIFS(Data!$H$2:$H$25001,Data!$C$2:$C$25001,$A89,Data!$D$2:$D$25001,"Werken",Data!$A$2:$A$25001,"&gt;="&amp;DATE(Dashboard!$B$2,6,1)&amp;"",Data!$A$2:$A$25001,"&lt;"&amp;DATE(Dashboard!$B$2,6+1,1)&amp;""))</f>
        <v/>
      </c>
      <c r="H89" s="50">
        <f>IF($A89="","",SUMIFS(Data!$H$2:$H$25001,Data!$C$2:$C$25001,$A89,Data!$D$2:$D$25001,"Werken",Data!$A$2:$A$25001,"&gt;="&amp;DATE(Dashboard!$B$2,7,1)&amp;"",Data!$A$2:$A$25001,"&lt;"&amp;DATE(Dashboard!$B$2,7+1,1)&amp;""))</f>
        <v/>
      </c>
      <c r="I89" s="50">
        <f>IF($A89="","",SUMIFS(Data!$H$2:$H$25001,Data!$C$2:$C$25001,$A89,Data!$D$2:$D$25001,"Werken",Data!$A$2:$A$25001,"&gt;="&amp;DATE(Dashboard!$B$2,8,1)&amp;"",Data!$A$2:$A$25001,"&lt;"&amp;DATE(Dashboard!$B$2,8+1,1)&amp;""))</f>
        <v/>
      </c>
      <c r="J89" s="50">
        <f>IF($A89="","",SUMIFS(Data!$H$2:$H$25001,Data!$C$2:$C$25001,$A89,Data!$D$2:$D$25001,"Werken",Data!$A$2:$A$25001,"&gt;="&amp;DATE(Dashboard!$B$2,9,1)&amp;"",Data!$A$2:$A$25001,"&lt;"&amp;DATE(Dashboard!$B$2,9+1,1)&amp;""))</f>
        <v/>
      </c>
      <c r="K89" s="50">
        <f>IF($A89="","",SUMIFS(Data!$H$2:$H$25001,Data!$C$2:$C$25001,$A89,Data!$D$2:$D$25001,"Werken",Data!$A$2:$A$25001,"&gt;="&amp;DATE(Dashboard!$B$2,10,1)&amp;"",Data!$A$2:$A$25001,"&lt;"&amp;DATE(Dashboard!$B$2,10+1,1)&amp;""))</f>
        <v/>
      </c>
      <c r="L89" s="50">
        <f>IF($A89="","",SUMIFS(Data!$H$2:$H$25001,Data!$C$2:$C$25001,$A89,Data!$D$2:$D$25001,"Werken",Data!$A$2:$A$25001,"&gt;="&amp;DATE(Dashboard!$B$2,11,1)&amp;"",Data!$A$2:$A$25001,"&lt;"&amp;DATE(Dashboard!$B$2,11+1,1)&amp;""))</f>
        <v/>
      </c>
      <c r="M89" s="50">
        <f>IF($A89="","",SUMIFS(Data!$H$2:$H$25001,Data!$C$2:$C$25001,$A89,Data!$D$2:$D$25001,"Werken",Data!$A$2:$A$25001,"&gt;="&amp;DATE(Dashboard!$B$2,12,1)&amp;"",Data!$A$2:$A$25001,"&lt;"&amp;DATE(Dashboard!$B$2,12+1,1)&amp;""))</f>
        <v/>
      </c>
      <c r="N89" s="46">
        <f>IF($A89="","",SUM(B89:M89))</f>
        <v/>
      </c>
      <c r="O89" s="51" t="n"/>
      <c r="P89" s="52">
        <f>IF(OR($A89="",O89=""),"",N89*O89)</f>
        <v/>
      </c>
    </row>
    <row r="90" ht="15" customHeight="1" s="30">
      <c r="A90" s="49" t="n"/>
      <c r="B90" s="45">
        <f>IF($A90="","",SUMIFS(Data!$H$2:$H$25001,Data!$C$2:$C$25001,$A90,Data!$D$2:$D$25001,"Werken",Data!$A$2:$A$25001,"&gt;="&amp;DATE(Dashboard!$B$2,1,1)&amp;"",Data!$A$2:$A$25001,"&lt;"&amp;DATE(Dashboard!$B$2,1+1,1)&amp;""))</f>
        <v/>
      </c>
      <c r="C90" s="45">
        <f>IF($A90="","",SUMIFS(Data!$H$2:$H$25001,Data!$C$2:$C$25001,$A90,Data!$D$2:$D$25001,"Werken",Data!$A$2:$A$25001,"&gt;="&amp;DATE(Dashboard!$B$2,2,1)&amp;"",Data!$A$2:$A$25001,"&lt;"&amp;DATE(Dashboard!$B$2,2+1,1)&amp;""))</f>
        <v/>
      </c>
      <c r="D90" s="45">
        <f>IF($A90="","",SUMIFS(Data!$H$2:$H$25001,Data!$C$2:$C$25001,$A90,Data!$D$2:$D$25001,"Werken",Data!$A$2:$A$25001,"&gt;="&amp;DATE(Dashboard!$B$2,3,1)&amp;"",Data!$A$2:$A$25001,"&lt;"&amp;DATE(Dashboard!$B$2,3+1,1)&amp;""))</f>
        <v/>
      </c>
      <c r="E90" s="45">
        <f>IF($A90="","",SUMIFS(Data!$H$2:$H$25001,Data!$C$2:$C$25001,$A90,Data!$D$2:$D$25001,"Werken",Data!$A$2:$A$25001,"&gt;="&amp;DATE(Dashboard!$B$2,4,1)&amp;"",Data!$A$2:$A$25001,"&lt;"&amp;DATE(Dashboard!$B$2,4+1,1)&amp;""))</f>
        <v/>
      </c>
      <c r="F90" s="45">
        <f>IF($A90="","",SUMIFS(Data!$H$2:$H$25001,Data!$C$2:$C$25001,$A90,Data!$D$2:$D$25001,"Werken",Data!$A$2:$A$25001,"&gt;="&amp;DATE(Dashboard!$B$2,5,1)&amp;"",Data!$A$2:$A$25001,"&lt;"&amp;DATE(Dashboard!$B$2,5+1,1)&amp;""))</f>
        <v/>
      </c>
      <c r="G90" s="45">
        <f>IF($A90="","",SUMIFS(Data!$H$2:$H$25001,Data!$C$2:$C$25001,$A90,Data!$D$2:$D$25001,"Werken",Data!$A$2:$A$25001,"&gt;="&amp;DATE(Dashboard!$B$2,6,1)&amp;"",Data!$A$2:$A$25001,"&lt;"&amp;DATE(Dashboard!$B$2,6+1,1)&amp;""))</f>
        <v/>
      </c>
      <c r="H90" s="45">
        <f>IF($A90="","",SUMIFS(Data!$H$2:$H$25001,Data!$C$2:$C$25001,$A90,Data!$D$2:$D$25001,"Werken",Data!$A$2:$A$25001,"&gt;="&amp;DATE(Dashboard!$B$2,7,1)&amp;"",Data!$A$2:$A$25001,"&lt;"&amp;DATE(Dashboard!$B$2,7+1,1)&amp;""))</f>
        <v/>
      </c>
      <c r="I90" s="45">
        <f>IF($A90="","",SUMIFS(Data!$H$2:$H$25001,Data!$C$2:$C$25001,$A90,Data!$D$2:$D$25001,"Werken",Data!$A$2:$A$25001,"&gt;="&amp;DATE(Dashboard!$B$2,8,1)&amp;"",Data!$A$2:$A$25001,"&lt;"&amp;DATE(Dashboard!$B$2,8+1,1)&amp;""))</f>
        <v/>
      </c>
      <c r="J90" s="45">
        <f>IF($A90="","",SUMIFS(Data!$H$2:$H$25001,Data!$C$2:$C$25001,$A90,Data!$D$2:$D$25001,"Werken",Data!$A$2:$A$25001,"&gt;="&amp;DATE(Dashboard!$B$2,9,1)&amp;"",Data!$A$2:$A$25001,"&lt;"&amp;DATE(Dashboard!$B$2,9+1,1)&amp;""))</f>
        <v/>
      </c>
      <c r="K90" s="45">
        <f>IF($A90="","",SUMIFS(Data!$H$2:$H$25001,Data!$C$2:$C$25001,$A90,Data!$D$2:$D$25001,"Werken",Data!$A$2:$A$25001,"&gt;="&amp;DATE(Dashboard!$B$2,10,1)&amp;"",Data!$A$2:$A$25001,"&lt;"&amp;DATE(Dashboard!$B$2,10+1,1)&amp;""))</f>
        <v/>
      </c>
      <c r="L90" s="45">
        <f>IF($A90="","",SUMIFS(Data!$H$2:$H$25001,Data!$C$2:$C$25001,$A90,Data!$D$2:$D$25001,"Werken",Data!$A$2:$A$25001,"&gt;="&amp;DATE(Dashboard!$B$2,11,1)&amp;"",Data!$A$2:$A$25001,"&lt;"&amp;DATE(Dashboard!$B$2,11+1,1)&amp;""))</f>
        <v/>
      </c>
      <c r="M90" s="45">
        <f>IF($A90="","",SUMIFS(Data!$H$2:$H$25001,Data!$C$2:$C$25001,$A90,Data!$D$2:$D$25001,"Werken",Data!$A$2:$A$25001,"&gt;="&amp;DATE(Dashboard!$B$2,12,1)&amp;"",Data!$A$2:$A$25001,"&lt;"&amp;DATE(Dashboard!$B$2,12+1,1)&amp;""))</f>
        <v/>
      </c>
      <c r="N90" s="46">
        <f>IF($A90="","",SUM(B90:M90))</f>
        <v/>
      </c>
      <c r="O90" s="51" t="n"/>
      <c r="P90" s="52">
        <f>IF(OR($A90="",O90=""),"",N90*O90)</f>
        <v/>
      </c>
    </row>
    <row r="91" ht="15" customHeight="1" s="30">
      <c r="A91" s="49" t="n"/>
      <c r="B91" s="50">
        <f>IF($A91="","",SUMIFS(Data!$H$2:$H$25001,Data!$C$2:$C$25001,$A91,Data!$D$2:$D$25001,"Werken",Data!$A$2:$A$25001,"&gt;="&amp;DATE(Dashboard!$B$2,1,1)&amp;"",Data!$A$2:$A$25001,"&lt;"&amp;DATE(Dashboard!$B$2,1+1,1)&amp;""))</f>
        <v/>
      </c>
      <c r="C91" s="50">
        <f>IF($A91="","",SUMIFS(Data!$H$2:$H$25001,Data!$C$2:$C$25001,$A91,Data!$D$2:$D$25001,"Werken",Data!$A$2:$A$25001,"&gt;="&amp;DATE(Dashboard!$B$2,2,1)&amp;"",Data!$A$2:$A$25001,"&lt;"&amp;DATE(Dashboard!$B$2,2+1,1)&amp;""))</f>
        <v/>
      </c>
      <c r="D91" s="50">
        <f>IF($A91="","",SUMIFS(Data!$H$2:$H$25001,Data!$C$2:$C$25001,$A91,Data!$D$2:$D$25001,"Werken",Data!$A$2:$A$25001,"&gt;="&amp;DATE(Dashboard!$B$2,3,1)&amp;"",Data!$A$2:$A$25001,"&lt;"&amp;DATE(Dashboard!$B$2,3+1,1)&amp;""))</f>
        <v/>
      </c>
      <c r="E91" s="50">
        <f>IF($A91="","",SUMIFS(Data!$H$2:$H$25001,Data!$C$2:$C$25001,$A91,Data!$D$2:$D$25001,"Werken",Data!$A$2:$A$25001,"&gt;="&amp;DATE(Dashboard!$B$2,4,1)&amp;"",Data!$A$2:$A$25001,"&lt;"&amp;DATE(Dashboard!$B$2,4+1,1)&amp;""))</f>
        <v/>
      </c>
      <c r="F91" s="50">
        <f>IF($A91="","",SUMIFS(Data!$H$2:$H$25001,Data!$C$2:$C$25001,$A91,Data!$D$2:$D$25001,"Werken",Data!$A$2:$A$25001,"&gt;="&amp;DATE(Dashboard!$B$2,5,1)&amp;"",Data!$A$2:$A$25001,"&lt;"&amp;DATE(Dashboard!$B$2,5+1,1)&amp;""))</f>
        <v/>
      </c>
      <c r="G91" s="50">
        <f>IF($A91="","",SUMIFS(Data!$H$2:$H$25001,Data!$C$2:$C$25001,$A91,Data!$D$2:$D$25001,"Werken",Data!$A$2:$A$25001,"&gt;="&amp;DATE(Dashboard!$B$2,6,1)&amp;"",Data!$A$2:$A$25001,"&lt;"&amp;DATE(Dashboard!$B$2,6+1,1)&amp;""))</f>
        <v/>
      </c>
      <c r="H91" s="50">
        <f>IF($A91="","",SUMIFS(Data!$H$2:$H$25001,Data!$C$2:$C$25001,$A91,Data!$D$2:$D$25001,"Werken",Data!$A$2:$A$25001,"&gt;="&amp;DATE(Dashboard!$B$2,7,1)&amp;"",Data!$A$2:$A$25001,"&lt;"&amp;DATE(Dashboard!$B$2,7+1,1)&amp;""))</f>
        <v/>
      </c>
      <c r="I91" s="50">
        <f>IF($A91="","",SUMIFS(Data!$H$2:$H$25001,Data!$C$2:$C$25001,$A91,Data!$D$2:$D$25001,"Werken",Data!$A$2:$A$25001,"&gt;="&amp;DATE(Dashboard!$B$2,8,1)&amp;"",Data!$A$2:$A$25001,"&lt;"&amp;DATE(Dashboard!$B$2,8+1,1)&amp;""))</f>
        <v/>
      </c>
      <c r="J91" s="50">
        <f>IF($A91="","",SUMIFS(Data!$H$2:$H$25001,Data!$C$2:$C$25001,$A91,Data!$D$2:$D$25001,"Werken",Data!$A$2:$A$25001,"&gt;="&amp;DATE(Dashboard!$B$2,9,1)&amp;"",Data!$A$2:$A$25001,"&lt;"&amp;DATE(Dashboard!$B$2,9+1,1)&amp;""))</f>
        <v/>
      </c>
      <c r="K91" s="50">
        <f>IF($A91="","",SUMIFS(Data!$H$2:$H$25001,Data!$C$2:$C$25001,$A91,Data!$D$2:$D$25001,"Werken",Data!$A$2:$A$25001,"&gt;="&amp;DATE(Dashboard!$B$2,10,1)&amp;"",Data!$A$2:$A$25001,"&lt;"&amp;DATE(Dashboard!$B$2,10+1,1)&amp;""))</f>
        <v/>
      </c>
      <c r="L91" s="50">
        <f>IF($A91="","",SUMIFS(Data!$H$2:$H$25001,Data!$C$2:$C$25001,$A91,Data!$D$2:$D$25001,"Werken",Data!$A$2:$A$25001,"&gt;="&amp;DATE(Dashboard!$B$2,11,1)&amp;"",Data!$A$2:$A$25001,"&lt;"&amp;DATE(Dashboard!$B$2,11+1,1)&amp;""))</f>
        <v/>
      </c>
      <c r="M91" s="50">
        <f>IF($A91="","",SUMIFS(Data!$H$2:$H$25001,Data!$C$2:$C$25001,$A91,Data!$D$2:$D$25001,"Werken",Data!$A$2:$A$25001,"&gt;="&amp;DATE(Dashboard!$B$2,12,1)&amp;"",Data!$A$2:$A$25001,"&lt;"&amp;DATE(Dashboard!$B$2,12+1,1)&amp;""))</f>
        <v/>
      </c>
      <c r="N91" s="46">
        <f>IF($A91="","",SUM(B91:M91))</f>
        <v/>
      </c>
      <c r="O91" s="51" t="n"/>
      <c r="P91" s="52">
        <f>IF(OR($A91="",O91=""),"",N91*O91)</f>
        <v/>
      </c>
    </row>
    <row r="92" ht="15" customHeight="1" s="30">
      <c r="A92" s="49" t="n"/>
      <c r="B92" s="45">
        <f>IF($A92="","",SUMIFS(Data!$H$2:$H$25001,Data!$C$2:$C$25001,$A92,Data!$D$2:$D$25001,"Werken",Data!$A$2:$A$25001,"&gt;="&amp;DATE(Dashboard!$B$2,1,1)&amp;"",Data!$A$2:$A$25001,"&lt;"&amp;DATE(Dashboard!$B$2,1+1,1)&amp;""))</f>
        <v/>
      </c>
      <c r="C92" s="45">
        <f>IF($A92="","",SUMIFS(Data!$H$2:$H$25001,Data!$C$2:$C$25001,$A92,Data!$D$2:$D$25001,"Werken",Data!$A$2:$A$25001,"&gt;="&amp;DATE(Dashboard!$B$2,2,1)&amp;"",Data!$A$2:$A$25001,"&lt;"&amp;DATE(Dashboard!$B$2,2+1,1)&amp;""))</f>
        <v/>
      </c>
      <c r="D92" s="45">
        <f>IF($A92="","",SUMIFS(Data!$H$2:$H$25001,Data!$C$2:$C$25001,$A92,Data!$D$2:$D$25001,"Werken",Data!$A$2:$A$25001,"&gt;="&amp;DATE(Dashboard!$B$2,3,1)&amp;"",Data!$A$2:$A$25001,"&lt;"&amp;DATE(Dashboard!$B$2,3+1,1)&amp;""))</f>
        <v/>
      </c>
      <c r="E92" s="45">
        <f>IF($A92="","",SUMIFS(Data!$H$2:$H$25001,Data!$C$2:$C$25001,$A92,Data!$D$2:$D$25001,"Werken",Data!$A$2:$A$25001,"&gt;="&amp;DATE(Dashboard!$B$2,4,1)&amp;"",Data!$A$2:$A$25001,"&lt;"&amp;DATE(Dashboard!$B$2,4+1,1)&amp;""))</f>
        <v/>
      </c>
      <c r="F92" s="45">
        <f>IF($A92="","",SUMIFS(Data!$H$2:$H$25001,Data!$C$2:$C$25001,$A92,Data!$D$2:$D$25001,"Werken",Data!$A$2:$A$25001,"&gt;="&amp;DATE(Dashboard!$B$2,5,1)&amp;"",Data!$A$2:$A$25001,"&lt;"&amp;DATE(Dashboard!$B$2,5+1,1)&amp;""))</f>
        <v/>
      </c>
      <c r="G92" s="45">
        <f>IF($A92="","",SUMIFS(Data!$H$2:$H$25001,Data!$C$2:$C$25001,$A92,Data!$D$2:$D$25001,"Werken",Data!$A$2:$A$25001,"&gt;="&amp;DATE(Dashboard!$B$2,6,1)&amp;"",Data!$A$2:$A$25001,"&lt;"&amp;DATE(Dashboard!$B$2,6+1,1)&amp;""))</f>
        <v/>
      </c>
      <c r="H92" s="45">
        <f>IF($A92="","",SUMIFS(Data!$H$2:$H$25001,Data!$C$2:$C$25001,$A92,Data!$D$2:$D$25001,"Werken",Data!$A$2:$A$25001,"&gt;="&amp;DATE(Dashboard!$B$2,7,1)&amp;"",Data!$A$2:$A$25001,"&lt;"&amp;DATE(Dashboard!$B$2,7+1,1)&amp;""))</f>
        <v/>
      </c>
      <c r="I92" s="45">
        <f>IF($A92="","",SUMIFS(Data!$H$2:$H$25001,Data!$C$2:$C$25001,$A92,Data!$D$2:$D$25001,"Werken",Data!$A$2:$A$25001,"&gt;="&amp;DATE(Dashboard!$B$2,8,1)&amp;"",Data!$A$2:$A$25001,"&lt;"&amp;DATE(Dashboard!$B$2,8+1,1)&amp;""))</f>
        <v/>
      </c>
      <c r="J92" s="45">
        <f>IF($A92="","",SUMIFS(Data!$H$2:$H$25001,Data!$C$2:$C$25001,$A92,Data!$D$2:$D$25001,"Werken",Data!$A$2:$A$25001,"&gt;="&amp;DATE(Dashboard!$B$2,9,1)&amp;"",Data!$A$2:$A$25001,"&lt;"&amp;DATE(Dashboard!$B$2,9+1,1)&amp;""))</f>
        <v/>
      </c>
      <c r="K92" s="45">
        <f>IF($A92="","",SUMIFS(Data!$H$2:$H$25001,Data!$C$2:$C$25001,$A92,Data!$D$2:$D$25001,"Werken",Data!$A$2:$A$25001,"&gt;="&amp;DATE(Dashboard!$B$2,10,1)&amp;"",Data!$A$2:$A$25001,"&lt;"&amp;DATE(Dashboard!$B$2,10+1,1)&amp;""))</f>
        <v/>
      </c>
      <c r="L92" s="45">
        <f>IF($A92="","",SUMIFS(Data!$H$2:$H$25001,Data!$C$2:$C$25001,$A92,Data!$D$2:$D$25001,"Werken",Data!$A$2:$A$25001,"&gt;="&amp;DATE(Dashboard!$B$2,11,1)&amp;"",Data!$A$2:$A$25001,"&lt;"&amp;DATE(Dashboard!$B$2,11+1,1)&amp;""))</f>
        <v/>
      </c>
      <c r="M92" s="45">
        <f>IF($A92="","",SUMIFS(Data!$H$2:$H$25001,Data!$C$2:$C$25001,$A92,Data!$D$2:$D$25001,"Werken",Data!$A$2:$A$25001,"&gt;="&amp;DATE(Dashboard!$B$2,12,1)&amp;"",Data!$A$2:$A$25001,"&lt;"&amp;DATE(Dashboard!$B$2,12+1,1)&amp;""))</f>
        <v/>
      </c>
      <c r="N92" s="46">
        <f>IF($A92="","",SUM(B92:M92))</f>
        <v/>
      </c>
      <c r="O92" s="51" t="n"/>
      <c r="P92" s="52">
        <f>IF(OR($A92="",O92=""),"",N92*O92)</f>
        <v/>
      </c>
    </row>
    <row r="93" ht="15" customHeight="1" s="30">
      <c r="A93" s="49" t="n"/>
      <c r="B93" s="50">
        <f>IF($A93="","",SUMIFS(Data!$H$2:$H$25001,Data!$C$2:$C$25001,$A93,Data!$D$2:$D$25001,"Werken",Data!$A$2:$A$25001,"&gt;="&amp;DATE(Dashboard!$B$2,1,1)&amp;"",Data!$A$2:$A$25001,"&lt;"&amp;DATE(Dashboard!$B$2,1+1,1)&amp;""))</f>
        <v/>
      </c>
      <c r="C93" s="50">
        <f>IF($A93="","",SUMIFS(Data!$H$2:$H$25001,Data!$C$2:$C$25001,$A93,Data!$D$2:$D$25001,"Werken",Data!$A$2:$A$25001,"&gt;="&amp;DATE(Dashboard!$B$2,2,1)&amp;"",Data!$A$2:$A$25001,"&lt;"&amp;DATE(Dashboard!$B$2,2+1,1)&amp;""))</f>
        <v/>
      </c>
      <c r="D93" s="50">
        <f>IF($A93="","",SUMIFS(Data!$H$2:$H$25001,Data!$C$2:$C$25001,$A93,Data!$D$2:$D$25001,"Werken",Data!$A$2:$A$25001,"&gt;="&amp;DATE(Dashboard!$B$2,3,1)&amp;"",Data!$A$2:$A$25001,"&lt;"&amp;DATE(Dashboard!$B$2,3+1,1)&amp;""))</f>
        <v/>
      </c>
      <c r="E93" s="50">
        <f>IF($A93="","",SUMIFS(Data!$H$2:$H$25001,Data!$C$2:$C$25001,$A93,Data!$D$2:$D$25001,"Werken",Data!$A$2:$A$25001,"&gt;="&amp;DATE(Dashboard!$B$2,4,1)&amp;"",Data!$A$2:$A$25001,"&lt;"&amp;DATE(Dashboard!$B$2,4+1,1)&amp;""))</f>
        <v/>
      </c>
      <c r="F93" s="50">
        <f>IF($A93="","",SUMIFS(Data!$H$2:$H$25001,Data!$C$2:$C$25001,$A93,Data!$D$2:$D$25001,"Werken",Data!$A$2:$A$25001,"&gt;="&amp;DATE(Dashboard!$B$2,5,1)&amp;"",Data!$A$2:$A$25001,"&lt;"&amp;DATE(Dashboard!$B$2,5+1,1)&amp;""))</f>
        <v/>
      </c>
      <c r="G93" s="50">
        <f>IF($A93="","",SUMIFS(Data!$H$2:$H$25001,Data!$C$2:$C$25001,$A93,Data!$D$2:$D$25001,"Werken",Data!$A$2:$A$25001,"&gt;="&amp;DATE(Dashboard!$B$2,6,1)&amp;"",Data!$A$2:$A$25001,"&lt;"&amp;DATE(Dashboard!$B$2,6+1,1)&amp;""))</f>
        <v/>
      </c>
      <c r="H93" s="50">
        <f>IF($A93="","",SUMIFS(Data!$H$2:$H$25001,Data!$C$2:$C$25001,$A93,Data!$D$2:$D$25001,"Werken",Data!$A$2:$A$25001,"&gt;="&amp;DATE(Dashboard!$B$2,7,1)&amp;"",Data!$A$2:$A$25001,"&lt;"&amp;DATE(Dashboard!$B$2,7+1,1)&amp;""))</f>
        <v/>
      </c>
      <c r="I93" s="50">
        <f>IF($A93="","",SUMIFS(Data!$H$2:$H$25001,Data!$C$2:$C$25001,$A93,Data!$D$2:$D$25001,"Werken",Data!$A$2:$A$25001,"&gt;="&amp;DATE(Dashboard!$B$2,8,1)&amp;"",Data!$A$2:$A$25001,"&lt;"&amp;DATE(Dashboard!$B$2,8+1,1)&amp;""))</f>
        <v/>
      </c>
      <c r="J93" s="50">
        <f>IF($A93="","",SUMIFS(Data!$H$2:$H$25001,Data!$C$2:$C$25001,$A93,Data!$D$2:$D$25001,"Werken",Data!$A$2:$A$25001,"&gt;="&amp;DATE(Dashboard!$B$2,9,1)&amp;"",Data!$A$2:$A$25001,"&lt;"&amp;DATE(Dashboard!$B$2,9+1,1)&amp;""))</f>
        <v/>
      </c>
      <c r="K93" s="50">
        <f>IF($A93="","",SUMIFS(Data!$H$2:$H$25001,Data!$C$2:$C$25001,$A93,Data!$D$2:$D$25001,"Werken",Data!$A$2:$A$25001,"&gt;="&amp;DATE(Dashboard!$B$2,10,1)&amp;"",Data!$A$2:$A$25001,"&lt;"&amp;DATE(Dashboard!$B$2,10+1,1)&amp;""))</f>
        <v/>
      </c>
      <c r="L93" s="50">
        <f>IF($A93="","",SUMIFS(Data!$H$2:$H$25001,Data!$C$2:$C$25001,$A93,Data!$D$2:$D$25001,"Werken",Data!$A$2:$A$25001,"&gt;="&amp;DATE(Dashboard!$B$2,11,1)&amp;"",Data!$A$2:$A$25001,"&lt;"&amp;DATE(Dashboard!$B$2,11+1,1)&amp;""))</f>
        <v/>
      </c>
      <c r="M93" s="50">
        <f>IF($A93="","",SUMIFS(Data!$H$2:$H$25001,Data!$C$2:$C$25001,$A93,Data!$D$2:$D$25001,"Werken",Data!$A$2:$A$25001,"&gt;="&amp;DATE(Dashboard!$B$2,12,1)&amp;"",Data!$A$2:$A$25001,"&lt;"&amp;DATE(Dashboard!$B$2,12+1,1)&amp;""))</f>
        <v/>
      </c>
      <c r="N93" s="46">
        <f>IF($A93="","",SUM(B93:M93))</f>
        <v/>
      </c>
      <c r="O93" s="51" t="n"/>
      <c r="P93" s="52">
        <f>IF(OR($A93="",O93=""),"",N93*O93)</f>
        <v/>
      </c>
    </row>
    <row r="94" ht="15" customHeight="1" s="30">
      <c r="A94" s="49" t="n"/>
      <c r="B94" s="45">
        <f>IF($A94="","",SUMIFS(Data!$H$2:$H$25001,Data!$C$2:$C$25001,$A94,Data!$D$2:$D$25001,"Werken",Data!$A$2:$A$25001,"&gt;="&amp;DATE(Dashboard!$B$2,1,1)&amp;"",Data!$A$2:$A$25001,"&lt;"&amp;DATE(Dashboard!$B$2,1+1,1)&amp;""))</f>
        <v/>
      </c>
      <c r="C94" s="45">
        <f>IF($A94="","",SUMIFS(Data!$H$2:$H$25001,Data!$C$2:$C$25001,$A94,Data!$D$2:$D$25001,"Werken",Data!$A$2:$A$25001,"&gt;="&amp;DATE(Dashboard!$B$2,2,1)&amp;"",Data!$A$2:$A$25001,"&lt;"&amp;DATE(Dashboard!$B$2,2+1,1)&amp;""))</f>
        <v/>
      </c>
      <c r="D94" s="45">
        <f>IF($A94="","",SUMIFS(Data!$H$2:$H$25001,Data!$C$2:$C$25001,$A94,Data!$D$2:$D$25001,"Werken",Data!$A$2:$A$25001,"&gt;="&amp;DATE(Dashboard!$B$2,3,1)&amp;"",Data!$A$2:$A$25001,"&lt;"&amp;DATE(Dashboard!$B$2,3+1,1)&amp;""))</f>
        <v/>
      </c>
      <c r="E94" s="45">
        <f>IF($A94="","",SUMIFS(Data!$H$2:$H$25001,Data!$C$2:$C$25001,$A94,Data!$D$2:$D$25001,"Werken",Data!$A$2:$A$25001,"&gt;="&amp;DATE(Dashboard!$B$2,4,1)&amp;"",Data!$A$2:$A$25001,"&lt;"&amp;DATE(Dashboard!$B$2,4+1,1)&amp;""))</f>
        <v/>
      </c>
      <c r="F94" s="45">
        <f>IF($A94="","",SUMIFS(Data!$H$2:$H$25001,Data!$C$2:$C$25001,$A94,Data!$D$2:$D$25001,"Werken",Data!$A$2:$A$25001,"&gt;="&amp;DATE(Dashboard!$B$2,5,1)&amp;"",Data!$A$2:$A$25001,"&lt;"&amp;DATE(Dashboard!$B$2,5+1,1)&amp;""))</f>
        <v/>
      </c>
      <c r="G94" s="45">
        <f>IF($A94="","",SUMIFS(Data!$H$2:$H$25001,Data!$C$2:$C$25001,$A94,Data!$D$2:$D$25001,"Werken",Data!$A$2:$A$25001,"&gt;="&amp;DATE(Dashboard!$B$2,6,1)&amp;"",Data!$A$2:$A$25001,"&lt;"&amp;DATE(Dashboard!$B$2,6+1,1)&amp;""))</f>
        <v/>
      </c>
      <c r="H94" s="45">
        <f>IF($A94="","",SUMIFS(Data!$H$2:$H$25001,Data!$C$2:$C$25001,$A94,Data!$D$2:$D$25001,"Werken",Data!$A$2:$A$25001,"&gt;="&amp;DATE(Dashboard!$B$2,7,1)&amp;"",Data!$A$2:$A$25001,"&lt;"&amp;DATE(Dashboard!$B$2,7+1,1)&amp;""))</f>
        <v/>
      </c>
      <c r="I94" s="45">
        <f>IF($A94="","",SUMIFS(Data!$H$2:$H$25001,Data!$C$2:$C$25001,$A94,Data!$D$2:$D$25001,"Werken",Data!$A$2:$A$25001,"&gt;="&amp;DATE(Dashboard!$B$2,8,1)&amp;"",Data!$A$2:$A$25001,"&lt;"&amp;DATE(Dashboard!$B$2,8+1,1)&amp;""))</f>
        <v/>
      </c>
      <c r="J94" s="45">
        <f>IF($A94="","",SUMIFS(Data!$H$2:$H$25001,Data!$C$2:$C$25001,$A94,Data!$D$2:$D$25001,"Werken",Data!$A$2:$A$25001,"&gt;="&amp;DATE(Dashboard!$B$2,9,1)&amp;"",Data!$A$2:$A$25001,"&lt;"&amp;DATE(Dashboard!$B$2,9+1,1)&amp;""))</f>
        <v/>
      </c>
      <c r="K94" s="45">
        <f>IF($A94="","",SUMIFS(Data!$H$2:$H$25001,Data!$C$2:$C$25001,$A94,Data!$D$2:$D$25001,"Werken",Data!$A$2:$A$25001,"&gt;="&amp;DATE(Dashboard!$B$2,10,1)&amp;"",Data!$A$2:$A$25001,"&lt;"&amp;DATE(Dashboard!$B$2,10+1,1)&amp;""))</f>
        <v/>
      </c>
      <c r="L94" s="45">
        <f>IF($A94="","",SUMIFS(Data!$H$2:$H$25001,Data!$C$2:$C$25001,$A94,Data!$D$2:$D$25001,"Werken",Data!$A$2:$A$25001,"&gt;="&amp;DATE(Dashboard!$B$2,11,1)&amp;"",Data!$A$2:$A$25001,"&lt;"&amp;DATE(Dashboard!$B$2,11+1,1)&amp;""))</f>
        <v/>
      </c>
      <c r="M94" s="45">
        <f>IF($A94="","",SUMIFS(Data!$H$2:$H$25001,Data!$C$2:$C$25001,$A94,Data!$D$2:$D$25001,"Werken",Data!$A$2:$A$25001,"&gt;="&amp;DATE(Dashboard!$B$2,12,1)&amp;"",Data!$A$2:$A$25001,"&lt;"&amp;DATE(Dashboard!$B$2,12+1,1)&amp;""))</f>
        <v/>
      </c>
      <c r="N94" s="46">
        <f>IF($A94="","",SUM(B94:M94))</f>
        <v/>
      </c>
      <c r="O94" s="51" t="n"/>
      <c r="P94" s="52">
        <f>IF(OR($A94="",O94=""),"",N94*O94)</f>
        <v/>
      </c>
    </row>
    <row r="95" ht="15" customHeight="1" s="30">
      <c r="A95" s="49" t="n"/>
      <c r="B95" s="50">
        <f>IF($A95="","",SUMIFS(Data!$H$2:$H$25001,Data!$C$2:$C$25001,$A95,Data!$D$2:$D$25001,"Werken",Data!$A$2:$A$25001,"&gt;="&amp;DATE(Dashboard!$B$2,1,1)&amp;"",Data!$A$2:$A$25001,"&lt;"&amp;DATE(Dashboard!$B$2,1+1,1)&amp;""))</f>
        <v/>
      </c>
      <c r="C95" s="50">
        <f>IF($A95="","",SUMIFS(Data!$H$2:$H$25001,Data!$C$2:$C$25001,$A95,Data!$D$2:$D$25001,"Werken",Data!$A$2:$A$25001,"&gt;="&amp;DATE(Dashboard!$B$2,2,1)&amp;"",Data!$A$2:$A$25001,"&lt;"&amp;DATE(Dashboard!$B$2,2+1,1)&amp;""))</f>
        <v/>
      </c>
      <c r="D95" s="50">
        <f>IF($A95="","",SUMIFS(Data!$H$2:$H$25001,Data!$C$2:$C$25001,$A95,Data!$D$2:$D$25001,"Werken",Data!$A$2:$A$25001,"&gt;="&amp;DATE(Dashboard!$B$2,3,1)&amp;"",Data!$A$2:$A$25001,"&lt;"&amp;DATE(Dashboard!$B$2,3+1,1)&amp;""))</f>
        <v/>
      </c>
      <c r="E95" s="50">
        <f>IF($A95="","",SUMIFS(Data!$H$2:$H$25001,Data!$C$2:$C$25001,$A95,Data!$D$2:$D$25001,"Werken",Data!$A$2:$A$25001,"&gt;="&amp;DATE(Dashboard!$B$2,4,1)&amp;"",Data!$A$2:$A$25001,"&lt;"&amp;DATE(Dashboard!$B$2,4+1,1)&amp;""))</f>
        <v/>
      </c>
      <c r="F95" s="50">
        <f>IF($A95="","",SUMIFS(Data!$H$2:$H$25001,Data!$C$2:$C$25001,$A95,Data!$D$2:$D$25001,"Werken",Data!$A$2:$A$25001,"&gt;="&amp;DATE(Dashboard!$B$2,5,1)&amp;"",Data!$A$2:$A$25001,"&lt;"&amp;DATE(Dashboard!$B$2,5+1,1)&amp;""))</f>
        <v/>
      </c>
      <c r="G95" s="50">
        <f>IF($A95="","",SUMIFS(Data!$H$2:$H$25001,Data!$C$2:$C$25001,$A95,Data!$D$2:$D$25001,"Werken",Data!$A$2:$A$25001,"&gt;="&amp;DATE(Dashboard!$B$2,6,1)&amp;"",Data!$A$2:$A$25001,"&lt;"&amp;DATE(Dashboard!$B$2,6+1,1)&amp;""))</f>
        <v/>
      </c>
      <c r="H95" s="50">
        <f>IF($A95="","",SUMIFS(Data!$H$2:$H$25001,Data!$C$2:$C$25001,$A95,Data!$D$2:$D$25001,"Werken",Data!$A$2:$A$25001,"&gt;="&amp;DATE(Dashboard!$B$2,7,1)&amp;"",Data!$A$2:$A$25001,"&lt;"&amp;DATE(Dashboard!$B$2,7+1,1)&amp;""))</f>
        <v/>
      </c>
      <c r="I95" s="50">
        <f>IF($A95="","",SUMIFS(Data!$H$2:$H$25001,Data!$C$2:$C$25001,$A95,Data!$D$2:$D$25001,"Werken",Data!$A$2:$A$25001,"&gt;="&amp;DATE(Dashboard!$B$2,8,1)&amp;"",Data!$A$2:$A$25001,"&lt;"&amp;DATE(Dashboard!$B$2,8+1,1)&amp;""))</f>
        <v/>
      </c>
      <c r="J95" s="50">
        <f>IF($A95="","",SUMIFS(Data!$H$2:$H$25001,Data!$C$2:$C$25001,$A95,Data!$D$2:$D$25001,"Werken",Data!$A$2:$A$25001,"&gt;="&amp;DATE(Dashboard!$B$2,9,1)&amp;"",Data!$A$2:$A$25001,"&lt;"&amp;DATE(Dashboard!$B$2,9+1,1)&amp;""))</f>
        <v/>
      </c>
      <c r="K95" s="50">
        <f>IF($A95="","",SUMIFS(Data!$H$2:$H$25001,Data!$C$2:$C$25001,$A95,Data!$D$2:$D$25001,"Werken",Data!$A$2:$A$25001,"&gt;="&amp;DATE(Dashboard!$B$2,10,1)&amp;"",Data!$A$2:$A$25001,"&lt;"&amp;DATE(Dashboard!$B$2,10+1,1)&amp;""))</f>
        <v/>
      </c>
      <c r="L95" s="50">
        <f>IF($A95="","",SUMIFS(Data!$H$2:$H$25001,Data!$C$2:$C$25001,$A95,Data!$D$2:$D$25001,"Werken",Data!$A$2:$A$25001,"&gt;="&amp;DATE(Dashboard!$B$2,11,1)&amp;"",Data!$A$2:$A$25001,"&lt;"&amp;DATE(Dashboard!$B$2,11+1,1)&amp;""))</f>
        <v/>
      </c>
      <c r="M95" s="50">
        <f>IF($A95="","",SUMIFS(Data!$H$2:$H$25001,Data!$C$2:$C$25001,$A95,Data!$D$2:$D$25001,"Werken",Data!$A$2:$A$25001,"&gt;="&amp;DATE(Dashboard!$B$2,12,1)&amp;"",Data!$A$2:$A$25001,"&lt;"&amp;DATE(Dashboard!$B$2,12+1,1)&amp;""))</f>
        <v/>
      </c>
      <c r="N95" s="46">
        <f>IF($A95="","",SUM(B95:M95))</f>
        <v/>
      </c>
      <c r="O95" s="51" t="n"/>
      <c r="P95" s="52">
        <f>IF(OR($A95="",O95=""),"",N95*O95)</f>
        <v/>
      </c>
    </row>
    <row r="96" ht="15" customHeight="1" s="30">
      <c r="A96" s="49" t="n"/>
      <c r="B96" s="45">
        <f>IF($A96="","",SUMIFS(Data!$H$2:$H$25001,Data!$C$2:$C$25001,$A96,Data!$D$2:$D$25001,"Werken",Data!$A$2:$A$25001,"&gt;="&amp;DATE(Dashboard!$B$2,1,1)&amp;"",Data!$A$2:$A$25001,"&lt;"&amp;DATE(Dashboard!$B$2,1+1,1)&amp;""))</f>
        <v/>
      </c>
      <c r="C96" s="45">
        <f>IF($A96="","",SUMIFS(Data!$H$2:$H$25001,Data!$C$2:$C$25001,$A96,Data!$D$2:$D$25001,"Werken",Data!$A$2:$A$25001,"&gt;="&amp;DATE(Dashboard!$B$2,2,1)&amp;"",Data!$A$2:$A$25001,"&lt;"&amp;DATE(Dashboard!$B$2,2+1,1)&amp;""))</f>
        <v/>
      </c>
      <c r="D96" s="45">
        <f>IF($A96="","",SUMIFS(Data!$H$2:$H$25001,Data!$C$2:$C$25001,$A96,Data!$D$2:$D$25001,"Werken",Data!$A$2:$A$25001,"&gt;="&amp;DATE(Dashboard!$B$2,3,1)&amp;"",Data!$A$2:$A$25001,"&lt;"&amp;DATE(Dashboard!$B$2,3+1,1)&amp;""))</f>
        <v/>
      </c>
      <c r="E96" s="45">
        <f>IF($A96="","",SUMIFS(Data!$H$2:$H$25001,Data!$C$2:$C$25001,$A96,Data!$D$2:$D$25001,"Werken",Data!$A$2:$A$25001,"&gt;="&amp;DATE(Dashboard!$B$2,4,1)&amp;"",Data!$A$2:$A$25001,"&lt;"&amp;DATE(Dashboard!$B$2,4+1,1)&amp;""))</f>
        <v/>
      </c>
      <c r="F96" s="45">
        <f>IF($A96="","",SUMIFS(Data!$H$2:$H$25001,Data!$C$2:$C$25001,$A96,Data!$D$2:$D$25001,"Werken",Data!$A$2:$A$25001,"&gt;="&amp;DATE(Dashboard!$B$2,5,1)&amp;"",Data!$A$2:$A$25001,"&lt;"&amp;DATE(Dashboard!$B$2,5+1,1)&amp;""))</f>
        <v/>
      </c>
      <c r="G96" s="45">
        <f>IF($A96="","",SUMIFS(Data!$H$2:$H$25001,Data!$C$2:$C$25001,$A96,Data!$D$2:$D$25001,"Werken",Data!$A$2:$A$25001,"&gt;="&amp;DATE(Dashboard!$B$2,6,1)&amp;"",Data!$A$2:$A$25001,"&lt;"&amp;DATE(Dashboard!$B$2,6+1,1)&amp;""))</f>
        <v/>
      </c>
      <c r="H96" s="45">
        <f>IF($A96="","",SUMIFS(Data!$H$2:$H$25001,Data!$C$2:$C$25001,$A96,Data!$D$2:$D$25001,"Werken",Data!$A$2:$A$25001,"&gt;="&amp;DATE(Dashboard!$B$2,7,1)&amp;"",Data!$A$2:$A$25001,"&lt;"&amp;DATE(Dashboard!$B$2,7+1,1)&amp;""))</f>
        <v/>
      </c>
      <c r="I96" s="45">
        <f>IF($A96="","",SUMIFS(Data!$H$2:$H$25001,Data!$C$2:$C$25001,$A96,Data!$D$2:$D$25001,"Werken",Data!$A$2:$A$25001,"&gt;="&amp;DATE(Dashboard!$B$2,8,1)&amp;"",Data!$A$2:$A$25001,"&lt;"&amp;DATE(Dashboard!$B$2,8+1,1)&amp;""))</f>
        <v/>
      </c>
      <c r="J96" s="45">
        <f>IF($A96="","",SUMIFS(Data!$H$2:$H$25001,Data!$C$2:$C$25001,$A96,Data!$D$2:$D$25001,"Werken",Data!$A$2:$A$25001,"&gt;="&amp;DATE(Dashboard!$B$2,9,1)&amp;"",Data!$A$2:$A$25001,"&lt;"&amp;DATE(Dashboard!$B$2,9+1,1)&amp;""))</f>
        <v/>
      </c>
      <c r="K96" s="45">
        <f>IF($A96="","",SUMIFS(Data!$H$2:$H$25001,Data!$C$2:$C$25001,$A96,Data!$D$2:$D$25001,"Werken",Data!$A$2:$A$25001,"&gt;="&amp;DATE(Dashboard!$B$2,10,1)&amp;"",Data!$A$2:$A$25001,"&lt;"&amp;DATE(Dashboard!$B$2,10+1,1)&amp;""))</f>
        <v/>
      </c>
      <c r="L96" s="45">
        <f>IF($A96="","",SUMIFS(Data!$H$2:$H$25001,Data!$C$2:$C$25001,$A96,Data!$D$2:$D$25001,"Werken",Data!$A$2:$A$25001,"&gt;="&amp;DATE(Dashboard!$B$2,11,1)&amp;"",Data!$A$2:$A$25001,"&lt;"&amp;DATE(Dashboard!$B$2,11+1,1)&amp;""))</f>
        <v/>
      </c>
      <c r="M96" s="45">
        <f>IF($A96="","",SUMIFS(Data!$H$2:$H$25001,Data!$C$2:$C$25001,$A96,Data!$D$2:$D$25001,"Werken",Data!$A$2:$A$25001,"&gt;="&amp;DATE(Dashboard!$B$2,12,1)&amp;"",Data!$A$2:$A$25001,"&lt;"&amp;DATE(Dashboard!$B$2,12+1,1)&amp;""))</f>
        <v/>
      </c>
      <c r="N96" s="46">
        <f>IF($A96="","",SUM(B96:M96))</f>
        <v/>
      </c>
      <c r="O96" s="51" t="n"/>
      <c r="P96" s="52">
        <f>IF(OR($A96="",O96=""),"",N96*O96)</f>
        <v/>
      </c>
    </row>
    <row r="97" ht="15" customHeight="1" s="30">
      <c r="A97" s="49" t="n"/>
      <c r="B97" s="50">
        <f>IF($A97="","",SUMIFS(Data!$H$2:$H$25001,Data!$C$2:$C$25001,$A97,Data!$D$2:$D$25001,"Werken",Data!$A$2:$A$25001,"&gt;="&amp;DATE(Dashboard!$B$2,1,1)&amp;"",Data!$A$2:$A$25001,"&lt;"&amp;DATE(Dashboard!$B$2,1+1,1)&amp;""))</f>
        <v/>
      </c>
      <c r="C97" s="50">
        <f>IF($A97="","",SUMIFS(Data!$H$2:$H$25001,Data!$C$2:$C$25001,$A97,Data!$D$2:$D$25001,"Werken",Data!$A$2:$A$25001,"&gt;="&amp;DATE(Dashboard!$B$2,2,1)&amp;"",Data!$A$2:$A$25001,"&lt;"&amp;DATE(Dashboard!$B$2,2+1,1)&amp;""))</f>
        <v/>
      </c>
      <c r="D97" s="50">
        <f>IF($A97="","",SUMIFS(Data!$H$2:$H$25001,Data!$C$2:$C$25001,$A97,Data!$D$2:$D$25001,"Werken",Data!$A$2:$A$25001,"&gt;="&amp;DATE(Dashboard!$B$2,3,1)&amp;"",Data!$A$2:$A$25001,"&lt;"&amp;DATE(Dashboard!$B$2,3+1,1)&amp;""))</f>
        <v/>
      </c>
      <c r="E97" s="50">
        <f>IF($A97="","",SUMIFS(Data!$H$2:$H$25001,Data!$C$2:$C$25001,$A97,Data!$D$2:$D$25001,"Werken",Data!$A$2:$A$25001,"&gt;="&amp;DATE(Dashboard!$B$2,4,1)&amp;"",Data!$A$2:$A$25001,"&lt;"&amp;DATE(Dashboard!$B$2,4+1,1)&amp;""))</f>
        <v/>
      </c>
      <c r="F97" s="50">
        <f>IF($A97="","",SUMIFS(Data!$H$2:$H$25001,Data!$C$2:$C$25001,$A97,Data!$D$2:$D$25001,"Werken",Data!$A$2:$A$25001,"&gt;="&amp;DATE(Dashboard!$B$2,5,1)&amp;"",Data!$A$2:$A$25001,"&lt;"&amp;DATE(Dashboard!$B$2,5+1,1)&amp;""))</f>
        <v/>
      </c>
      <c r="G97" s="50">
        <f>IF($A97="","",SUMIFS(Data!$H$2:$H$25001,Data!$C$2:$C$25001,$A97,Data!$D$2:$D$25001,"Werken",Data!$A$2:$A$25001,"&gt;="&amp;DATE(Dashboard!$B$2,6,1)&amp;"",Data!$A$2:$A$25001,"&lt;"&amp;DATE(Dashboard!$B$2,6+1,1)&amp;""))</f>
        <v/>
      </c>
      <c r="H97" s="50">
        <f>IF($A97="","",SUMIFS(Data!$H$2:$H$25001,Data!$C$2:$C$25001,$A97,Data!$D$2:$D$25001,"Werken",Data!$A$2:$A$25001,"&gt;="&amp;DATE(Dashboard!$B$2,7,1)&amp;"",Data!$A$2:$A$25001,"&lt;"&amp;DATE(Dashboard!$B$2,7+1,1)&amp;""))</f>
        <v/>
      </c>
      <c r="I97" s="50">
        <f>IF($A97="","",SUMIFS(Data!$H$2:$H$25001,Data!$C$2:$C$25001,$A97,Data!$D$2:$D$25001,"Werken",Data!$A$2:$A$25001,"&gt;="&amp;DATE(Dashboard!$B$2,8,1)&amp;"",Data!$A$2:$A$25001,"&lt;"&amp;DATE(Dashboard!$B$2,8+1,1)&amp;""))</f>
        <v/>
      </c>
      <c r="J97" s="50">
        <f>IF($A97="","",SUMIFS(Data!$H$2:$H$25001,Data!$C$2:$C$25001,$A97,Data!$D$2:$D$25001,"Werken",Data!$A$2:$A$25001,"&gt;="&amp;DATE(Dashboard!$B$2,9,1)&amp;"",Data!$A$2:$A$25001,"&lt;"&amp;DATE(Dashboard!$B$2,9+1,1)&amp;""))</f>
        <v/>
      </c>
      <c r="K97" s="50">
        <f>IF($A97="","",SUMIFS(Data!$H$2:$H$25001,Data!$C$2:$C$25001,$A97,Data!$D$2:$D$25001,"Werken",Data!$A$2:$A$25001,"&gt;="&amp;DATE(Dashboard!$B$2,10,1)&amp;"",Data!$A$2:$A$25001,"&lt;"&amp;DATE(Dashboard!$B$2,10+1,1)&amp;""))</f>
        <v/>
      </c>
      <c r="L97" s="50">
        <f>IF($A97="","",SUMIFS(Data!$H$2:$H$25001,Data!$C$2:$C$25001,$A97,Data!$D$2:$D$25001,"Werken",Data!$A$2:$A$25001,"&gt;="&amp;DATE(Dashboard!$B$2,11,1)&amp;"",Data!$A$2:$A$25001,"&lt;"&amp;DATE(Dashboard!$B$2,11+1,1)&amp;""))</f>
        <v/>
      </c>
      <c r="M97" s="50">
        <f>IF($A97="","",SUMIFS(Data!$H$2:$H$25001,Data!$C$2:$C$25001,$A97,Data!$D$2:$D$25001,"Werken",Data!$A$2:$A$25001,"&gt;="&amp;DATE(Dashboard!$B$2,12,1)&amp;"",Data!$A$2:$A$25001,"&lt;"&amp;DATE(Dashboard!$B$2,12+1,1)&amp;""))</f>
        <v/>
      </c>
      <c r="N97" s="46">
        <f>IF($A97="","",SUM(B97:M97))</f>
        <v/>
      </c>
      <c r="O97" s="51" t="n"/>
      <c r="P97" s="52">
        <f>IF(OR($A97="",O97=""),"",N97*O97)</f>
        <v/>
      </c>
    </row>
    <row r="98" ht="15" customHeight="1" s="30">
      <c r="A98" s="49" t="n"/>
      <c r="B98" s="45">
        <f>IF($A98="","",SUMIFS(Data!$H$2:$H$25001,Data!$C$2:$C$25001,$A98,Data!$D$2:$D$25001,"Werken",Data!$A$2:$A$25001,"&gt;="&amp;DATE(Dashboard!$B$2,1,1)&amp;"",Data!$A$2:$A$25001,"&lt;"&amp;DATE(Dashboard!$B$2,1+1,1)&amp;""))</f>
        <v/>
      </c>
      <c r="C98" s="45">
        <f>IF($A98="","",SUMIFS(Data!$H$2:$H$25001,Data!$C$2:$C$25001,$A98,Data!$D$2:$D$25001,"Werken",Data!$A$2:$A$25001,"&gt;="&amp;DATE(Dashboard!$B$2,2,1)&amp;"",Data!$A$2:$A$25001,"&lt;"&amp;DATE(Dashboard!$B$2,2+1,1)&amp;""))</f>
        <v/>
      </c>
      <c r="D98" s="45">
        <f>IF($A98="","",SUMIFS(Data!$H$2:$H$25001,Data!$C$2:$C$25001,$A98,Data!$D$2:$D$25001,"Werken",Data!$A$2:$A$25001,"&gt;="&amp;DATE(Dashboard!$B$2,3,1)&amp;"",Data!$A$2:$A$25001,"&lt;"&amp;DATE(Dashboard!$B$2,3+1,1)&amp;""))</f>
        <v/>
      </c>
      <c r="E98" s="45">
        <f>IF($A98="","",SUMIFS(Data!$H$2:$H$25001,Data!$C$2:$C$25001,$A98,Data!$D$2:$D$25001,"Werken",Data!$A$2:$A$25001,"&gt;="&amp;DATE(Dashboard!$B$2,4,1)&amp;"",Data!$A$2:$A$25001,"&lt;"&amp;DATE(Dashboard!$B$2,4+1,1)&amp;""))</f>
        <v/>
      </c>
      <c r="F98" s="45">
        <f>IF($A98="","",SUMIFS(Data!$H$2:$H$25001,Data!$C$2:$C$25001,$A98,Data!$D$2:$D$25001,"Werken",Data!$A$2:$A$25001,"&gt;="&amp;DATE(Dashboard!$B$2,5,1)&amp;"",Data!$A$2:$A$25001,"&lt;"&amp;DATE(Dashboard!$B$2,5+1,1)&amp;""))</f>
        <v/>
      </c>
      <c r="G98" s="45">
        <f>IF($A98="","",SUMIFS(Data!$H$2:$H$25001,Data!$C$2:$C$25001,$A98,Data!$D$2:$D$25001,"Werken",Data!$A$2:$A$25001,"&gt;="&amp;DATE(Dashboard!$B$2,6,1)&amp;"",Data!$A$2:$A$25001,"&lt;"&amp;DATE(Dashboard!$B$2,6+1,1)&amp;""))</f>
        <v/>
      </c>
      <c r="H98" s="45">
        <f>IF($A98="","",SUMIFS(Data!$H$2:$H$25001,Data!$C$2:$C$25001,$A98,Data!$D$2:$D$25001,"Werken",Data!$A$2:$A$25001,"&gt;="&amp;DATE(Dashboard!$B$2,7,1)&amp;"",Data!$A$2:$A$25001,"&lt;"&amp;DATE(Dashboard!$B$2,7+1,1)&amp;""))</f>
        <v/>
      </c>
      <c r="I98" s="45">
        <f>IF($A98="","",SUMIFS(Data!$H$2:$H$25001,Data!$C$2:$C$25001,$A98,Data!$D$2:$D$25001,"Werken",Data!$A$2:$A$25001,"&gt;="&amp;DATE(Dashboard!$B$2,8,1)&amp;"",Data!$A$2:$A$25001,"&lt;"&amp;DATE(Dashboard!$B$2,8+1,1)&amp;""))</f>
        <v/>
      </c>
      <c r="J98" s="45">
        <f>IF($A98="","",SUMIFS(Data!$H$2:$H$25001,Data!$C$2:$C$25001,$A98,Data!$D$2:$D$25001,"Werken",Data!$A$2:$A$25001,"&gt;="&amp;DATE(Dashboard!$B$2,9,1)&amp;"",Data!$A$2:$A$25001,"&lt;"&amp;DATE(Dashboard!$B$2,9+1,1)&amp;""))</f>
        <v/>
      </c>
      <c r="K98" s="45">
        <f>IF($A98="","",SUMIFS(Data!$H$2:$H$25001,Data!$C$2:$C$25001,$A98,Data!$D$2:$D$25001,"Werken",Data!$A$2:$A$25001,"&gt;="&amp;DATE(Dashboard!$B$2,10,1)&amp;"",Data!$A$2:$A$25001,"&lt;"&amp;DATE(Dashboard!$B$2,10+1,1)&amp;""))</f>
        <v/>
      </c>
      <c r="L98" s="45">
        <f>IF($A98="","",SUMIFS(Data!$H$2:$H$25001,Data!$C$2:$C$25001,$A98,Data!$D$2:$D$25001,"Werken",Data!$A$2:$A$25001,"&gt;="&amp;DATE(Dashboard!$B$2,11,1)&amp;"",Data!$A$2:$A$25001,"&lt;"&amp;DATE(Dashboard!$B$2,11+1,1)&amp;""))</f>
        <v/>
      </c>
      <c r="M98" s="45">
        <f>IF($A98="","",SUMIFS(Data!$H$2:$H$25001,Data!$C$2:$C$25001,$A98,Data!$D$2:$D$25001,"Werken",Data!$A$2:$A$25001,"&gt;="&amp;DATE(Dashboard!$B$2,12,1)&amp;"",Data!$A$2:$A$25001,"&lt;"&amp;DATE(Dashboard!$B$2,12+1,1)&amp;""))</f>
        <v/>
      </c>
      <c r="N98" s="46">
        <f>IF($A98="","",SUM(B98:M98))</f>
        <v/>
      </c>
      <c r="O98" s="51" t="n"/>
      <c r="P98" s="52">
        <f>IF(OR($A98="",O98=""),"",N98*O98)</f>
        <v/>
      </c>
    </row>
    <row r="99" ht="15" customHeight="1" s="30">
      <c r="A99" s="49" t="n"/>
      <c r="B99" s="50">
        <f>IF($A99="","",SUMIFS(Data!$H$2:$H$25001,Data!$C$2:$C$25001,$A99,Data!$D$2:$D$25001,"Werken",Data!$A$2:$A$25001,"&gt;="&amp;DATE(Dashboard!$B$2,1,1)&amp;"",Data!$A$2:$A$25001,"&lt;"&amp;DATE(Dashboard!$B$2,1+1,1)&amp;""))</f>
        <v/>
      </c>
      <c r="C99" s="50">
        <f>IF($A99="","",SUMIFS(Data!$H$2:$H$25001,Data!$C$2:$C$25001,$A99,Data!$D$2:$D$25001,"Werken",Data!$A$2:$A$25001,"&gt;="&amp;DATE(Dashboard!$B$2,2,1)&amp;"",Data!$A$2:$A$25001,"&lt;"&amp;DATE(Dashboard!$B$2,2+1,1)&amp;""))</f>
        <v/>
      </c>
      <c r="D99" s="50">
        <f>IF($A99="","",SUMIFS(Data!$H$2:$H$25001,Data!$C$2:$C$25001,$A99,Data!$D$2:$D$25001,"Werken",Data!$A$2:$A$25001,"&gt;="&amp;DATE(Dashboard!$B$2,3,1)&amp;"",Data!$A$2:$A$25001,"&lt;"&amp;DATE(Dashboard!$B$2,3+1,1)&amp;""))</f>
        <v/>
      </c>
      <c r="E99" s="50">
        <f>IF($A99="","",SUMIFS(Data!$H$2:$H$25001,Data!$C$2:$C$25001,$A99,Data!$D$2:$D$25001,"Werken",Data!$A$2:$A$25001,"&gt;="&amp;DATE(Dashboard!$B$2,4,1)&amp;"",Data!$A$2:$A$25001,"&lt;"&amp;DATE(Dashboard!$B$2,4+1,1)&amp;""))</f>
        <v/>
      </c>
      <c r="F99" s="50">
        <f>IF($A99="","",SUMIFS(Data!$H$2:$H$25001,Data!$C$2:$C$25001,$A99,Data!$D$2:$D$25001,"Werken",Data!$A$2:$A$25001,"&gt;="&amp;DATE(Dashboard!$B$2,5,1)&amp;"",Data!$A$2:$A$25001,"&lt;"&amp;DATE(Dashboard!$B$2,5+1,1)&amp;""))</f>
        <v/>
      </c>
      <c r="G99" s="50">
        <f>IF($A99="","",SUMIFS(Data!$H$2:$H$25001,Data!$C$2:$C$25001,$A99,Data!$D$2:$D$25001,"Werken",Data!$A$2:$A$25001,"&gt;="&amp;DATE(Dashboard!$B$2,6,1)&amp;"",Data!$A$2:$A$25001,"&lt;"&amp;DATE(Dashboard!$B$2,6+1,1)&amp;""))</f>
        <v/>
      </c>
      <c r="H99" s="50">
        <f>IF($A99="","",SUMIFS(Data!$H$2:$H$25001,Data!$C$2:$C$25001,$A99,Data!$D$2:$D$25001,"Werken",Data!$A$2:$A$25001,"&gt;="&amp;DATE(Dashboard!$B$2,7,1)&amp;"",Data!$A$2:$A$25001,"&lt;"&amp;DATE(Dashboard!$B$2,7+1,1)&amp;""))</f>
        <v/>
      </c>
      <c r="I99" s="50">
        <f>IF($A99="","",SUMIFS(Data!$H$2:$H$25001,Data!$C$2:$C$25001,$A99,Data!$D$2:$D$25001,"Werken",Data!$A$2:$A$25001,"&gt;="&amp;DATE(Dashboard!$B$2,8,1)&amp;"",Data!$A$2:$A$25001,"&lt;"&amp;DATE(Dashboard!$B$2,8+1,1)&amp;""))</f>
        <v/>
      </c>
      <c r="J99" s="50">
        <f>IF($A99="","",SUMIFS(Data!$H$2:$H$25001,Data!$C$2:$C$25001,$A99,Data!$D$2:$D$25001,"Werken",Data!$A$2:$A$25001,"&gt;="&amp;DATE(Dashboard!$B$2,9,1)&amp;"",Data!$A$2:$A$25001,"&lt;"&amp;DATE(Dashboard!$B$2,9+1,1)&amp;""))</f>
        <v/>
      </c>
      <c r="K99" s="50">
        <f>IF($A99="","",SUMIFS(Data!$H$2:$H$25001,Data!$C$2:$C$25001,$A99,Data!$D$2:$D$25001,"Werken",Data!$A$2:$A$25001,"&gt;="&amp;DATE(Dashboard!$B$2,10,1)&amp;"",Data!$A$2:$A$25001,"&lt;"&amp;DATE(Dashboard!$B$2,10+1,1)&amp;""))</f>
        <v/>
      </c>
      <c r="L99" s="50">
        <f>IF($A99="","",SUMIFS(Data!$H$2:$H$25001,Data!$C$2:$C$25001,$A99,Data!$D$2:$D$25001,"Werken",Data!$A$2:$A$25001,"&gt;="&amp;DATE(Dashboard!$B$2,11,1)&amp;"",Data!$A$2:$A$25001,"&lt;"&amp;DATE(Dashboard!$B$2,11+1,1)&amp;""))</f>
        <v/>
      </c>
      <c r="M99" s="50">
        <f>IF($A99="","",SUMIFS(Data!$H$2:$H$25001,Data!$C$2:$C$25001,$A99,Data!$D$2:$D$25001,"Werken",Data!$A$2:$A$25001,"&gt;="&amp;DATE(Dashboard!$B$2,12,1)&amp;"",Data!$A$2:$A$25001,"&lt;"&amp;DATE(Dashboard!$B$2,12+1,1)&amp;""))</f>
        <v/>
      </c>
      <c r="N99" s="46">
        <f>IF($A99="","",SUM(B99:M99))</f>
        <v/>
      </c>
      <c r="O99" s="51" t="n"/>
      <c r="P99" s="52">
        <f>IF(OR($A99="",O99=""),"",N99*O99)</f>
        <v/>
      </c>
    </row>
    <row r="100" ht="15" customHeight="1" s="30">
      <c r="A100" s="49" t="n"/>
      <c r="B100" s="45">
        <f>IF($A100="","",SUMIFS(Data!$H$2:$H$25001,Data!$C$2:$C$25001,$A100,Data!$D$2:$D$25001,"Werken",Data!$A$2:$A$25001,"&gt;="&amp;DATE(Dashboard!$B$2,1,1)&amp;"",Data!$A$2:$A$25001,"&lt;"&amp;DATE(Dashboard!$B$2,1+1,1)&amp;""))</f>
        <v/>
      </c>
      <c r="C100" s="45">
        <f>IF($A100="","",SUMIFS(Data!$H$2:$H$25001,Data!$C$2:$C$25001,$A100,Data!$D$2:$D$25001,"Werken",Data!$A$2:$A$25001,"&gt;="&amp;DATE(Dashboard!$B$2,2,1)&amp;"",Data!$A$2:$A$25001,"&lt;"&amp;DATE(Dashboard!$B$2,2+1,1)&amp;""))</f>
        <v/>
      </c>
      <c r="D100" s="45">
        <f>IF($A100="","",SUMIFS(Data!$H$2:$H$25001,Data!$C$2:$C$25001,$A100,Data!$D$2:$D$25001,"Werken",Data!$A$2:$A$25001,"&gt;="&amp;DATE(Dashboard!$B$2,3,1)&amp;"",Data!$A$2:$A$25001,"&lt;"&amp;DATE(Dashboard!$B$2,3+1,1)&amp;""))</f>
        <v/>
      </c>
      <c r="E100" s="45">
        <f>IF($A100="","",SUMIFS(Data!$H$2:$H$25001,Data!$C$2:$C$25001,$A100,Data!$D$2:$D$25001,"Werken",Data!$A$2:$A$25001,"&gt;="&amp;DATE(Dashboard!$B$2,4,1)&amp;"",Data!$A$2:$A$25001,"&lt;"&amp;DATE(Dashboard!$B$2,4+1,1)&amp;""))</f>
        <v/>
      </c>
      <c r="F100" s="45">
        <f>IF($A100="","",SUMIFS(Data!$H$2:$H$25001,Data!$C$2:$C$25001,$A100,Data!$D$2:$D$25001,"Werken",Data!$A$2:$A$25001,"&gt;="&amp;DATE(Dashboard!$B$2,5,1)&amp;"",Data!$A$2:$A$25001,"&lt;"&amp;DATE(Dashboard!$B$2,5+1,1)&amp;""))</f>
        <v/>
      </c>
      <c r="G100" s="45">
        <f>IF($A100="","",SUMIFS(Data!$H$2:$H$25001,Data!$C$2:$C$25001,$A100,Data!$D$2:$D$25001,"Werken",Data!$A$2:$A$25001,"&gt;="&amp;DATE(Dashboard!$B$2,6,1)&amp;"",Data!$A$2:$A$25001,"&lt;"&amp;DATE(Dashboard!$B$2,6+1,1)&amp;""))</f>
        <v/>
      </c>
      <c r="H100" s="45">
        <f>IF($A100="","",SUMIFS(Data!$H$2:$H$25001,Data!$C$2:$C$25001,$A100,Data!$D$2:$D$25001,"Werken",Data!$A$2:$A$25001,"&gt;="&amp;DATE(Dashboard!$B$2,7,1)&amp;"",Data!$A$2:$A$25001,"&lt;"&amp;DATE(Dashboard!$B$2,7+1,1)&amp;""))</f>
        <v/>
      </c>
      <c r="I100" s="45">
        <f>IF($A100="","",SUMIFS(Data!$H$2:$H$25001,Data!$C$2:$C$25001,$A100,Data!$D$2:$D$25001,"Werken",Data!$A$2:$A$25001,"&gt;="&amp;DATE(Dashboard!$B$2,8,1)&amp;"",Data!$A$2:$A$25001,"&lt;"&amp;DATE(Dashboard!$B$2,8+1,1)&amp;""))</f>
        <v/>
      </c>
      <c r="J100" s="45">
        <f>IF($A100="","",SUMIFS(Data!$H$2:$H$25001,Data!$C$2:$C$25001,$A100,Data!$D$2:$D$25001,"Werken",Data!$A$2:$A$25001,"&gt;="&amp;DATE(Dashboard!$B$2,9,1)&amp;"",Data!$A$2:$A$25001,"&lt;"&amp;DATE(Dashboard!$B$2,9+1,1)&amp;""))</f>
        <v/>
      </c>
      <c r="K100" s="45">
        <f>IF($A100="","",SUMIFS(Data!$H$2:$H$25001,Data!$C$2:$C$25001,$A100,Data!$D$2:$D$25001,"Werken",Data!$A$2:$A$25001,"&gt;="&amp;DATE(Dashboard!$B$2,10,1)&amp;"",Data!$A$2:$A$25001,"&lt;"&amp;DATE(Dashboard!$B$2,10+1,1)&amp;""))</f>
        <v/>
      </c>
      <c r="L100" s="45">
        <f>IF($A100="","",SUMIFS(Data!$H$2:$H$25001,Data!$C$2:$C$25001,$A100,Data!$D$2:$D$25001,"Werken",Data!$A$2:$A$25001,"&gt;="&amp;DATE(Dashboard!$B$2,11,1)&amp;"",Data!$A$2:$A$25001,"&lt;"&amp;DATE(Dashboard!$B$2,11+1,1)&amp;""))</f>
        <v/>
      </c>
      <c r="M100" s="45">
        <f>IF($A100="","",SUMIFS(Data!$H$2:$H$25001,Data!$C$2:$C$25001,$A100,Data!$D$2:$D$25001,"Werken",Data!$A$2:$A$25001,"&gt;="&amp;DATE(Dashboard!$B$2,12,1)&amp;"",Data!$A$2:$A$25001,"&lt;"&amp;DATE(Dashboard!$B$2,12+1,1)&amp;""))</f>
        <v/>
      </c>
      <c r="N100" s="46">
        <f>IF($A100="","",SUM(B100:M100))</f>
        <v/>
      </c>
      <c r="O100" s="51" t="n"/>
      <c r="P100" s="52">
        <f>IF(OR($A100="",O100=""),"",N100*O100)</f>
        <v/>
      </c>
    </row>
    <row r="101" ht="15" customHeight="1" s="30">
      <c r="A101" s="49" t="n"/>
      <c r="B101" s="50">
        <f>IF($A101="","",SUMIFS(Data!$H$2:$H$25001,Data!$C$2:$C$25001,$A101,Data!$D$2:$D$25001,"Werken",Data!$A$2:$A$25001,"&gt;="&amp;DATE(Dashboard!$B$2,1,1)&amp;"",Data!$A$2:$A$25001,"&lt;"&amp;DATE(Dashboard!$B$2,1+1,1)&amp;""))</f>
        <v/>
      </c>
      <c r="C101" s="50">
        <f>IF($A101="","",SUMIFS(Data!$H$2:$H$25001,Data!$C$2:$C$25001,$A101,Data!$D$2:$D$25001,"Werken",Data!$A$2:$A$25001,"&gt;="&amp;DATE(Dashboard!$B$2,2,1)&amp;"",Data!$A$2:$A$25001,"&lt;"&amp;DATE(Dashboard!$B$2,2+1,1)&amp;""))</f>
        <v/>
      </c>
      <c r="D101" s="50">
        <f>IF($A101="","",SUMIFS(Data!$H$2:$H$25001,Data!$C$2:$C$25001,$A101,Data!$D$2:$D$25001,"Werken",Data!$A$2:$A$25001,"&gt;="&amp;DATE(Dashboard!$B$2,3,1)&amp;"",Data!$A$2:$A$25001,"&lt;"&amp;DATE(Dashboard!$B$2,3+1,1)&amp;""))</f>
        <v/>
      </c>
      <c r="E101" s="50">
        <f>IF($A101="","",SUMIFS(Data!$H$2:$H$25001,Data!$C$2:$C$25001,$A101,Data!$D$2:$D$25001,"Werken",Data!$A$2:$A$25001,"&gt;="&amp;DATE(Dashboard!$B$2,4,1)&amp;"",Data!$A$2:$A$25001,"&lt;"&amp;DATE(Dashboard!$B$2,4+1,1)&amp;""))</f>
        <v/>
      </c>
      <c r="F101" s="50">
        <f>IF($A101="","",SUMIFS(Data!$H$2:$H$25001,Data!$C$2:$C$25001,$A101,Data!$D$2:$D$25001,"Werken",Data!$A$2:$A$25001,"&gt;="&amp;DATE(Dashboard!$B$2,5,1)&amp;"",Data!$A$2:$A$25001,"&lt;"&amp;DATE(Dashboard!$B$2,5+1,1)&amp;""))</f>
        <v/>
      </c>
      <c r="G101" s="50">
        <f>IF($A101="","",SUMIFS(Data!$H$2:$H$25001,Data!$C$2:$C$25001,$A101,Data!$D$2:$D$25001,"Werken",Data!$A$2:$A$25001,"&gt;="&amp;DATE(Dashboard!$B$2,6,1)&amp;"",Data!$A$2:$A$25001,"&lt;"&amp;DATE(Dashboard!$B$2,6+1,1)&amp;""))</f>
        <v/>
      </c>
      <c r="H101" s="50">
        <f>IF($A101="","",SUMIFS(Data!$H$2:$H$25001,Data!$C$2:$C$25001,$A101,Data!$D$2:$D$25001,"Werken",Data!$A$2:$A$25001,"&gt;="&amp;DATE(Dashboard!$B$2,7,1)&amp;"",Data!$A$2:$A$25001,"&lt;"&amp;DATE(Dashboard!$B$2,7+1,1)&amp;""))</f>
        <v/>
      </c>
      <c r="I101" s="50">
        <f>IF($A101="","",SUMIFS(Data!$H$2:$H$25001,Data!$C$2:$C$25001,$A101,Data!$D$2:$D$25001,"Werken",Data!$A$2:$A$25001,"&gt;="&amp;DATE(Dashboard!$B$2,8,1)&amp;"",Data!$A$2:$A$25001,"&lt;"&amp;DATE(Dashboard!$B$2,8+1,1)&amp;""))</f>
        <v/>
      </c>
      <c r="J101" s="50">
        <f>IF($A101="","",SUMIFS(Data!$H$2:$H$25001,Data!$C$2:$C$25001,$A101,Data!$D$2:$D$25001,"Werken",Data!$A$2:$A$25001,"&gt;="&amp;DATE(Dashboard!$B$2,9,1)&amp;"",Data!$A$2:$A$25001,"&lt;"&amp;DATE(Dashboard!$B$2,9+1,1)&amp;""))</f>
        <v/>
      </c>
      <c r="K101" s="50">
        <f>IF($A101="","",SUMIFS(Data!$H$2:$H$25001,Data!$C$2:$C$25001,$A101,Data!$D$2:$D$25001,"Werken",Data!$A$2:$A$25001,"&gt;="&amp;DATE(Dashboard!$B$2,10,1)&amp;"",Data!$A$2:$A$25001,"&lt;"&amp;DATE(Dashboard!$B$2,10+1,1)&amp;""))</f>
        <v/>
      </c>
      <c r="L101" s="50">
        <f>IF($A101="","",SUMIFS(Data!$H$2:$H$25001,Data!$C$2:$C$25001,$A101,Data!$D$2:$D$25001,"Werken",Data!$A$2:$A$25001,"&gt;="&amp;DATE(Dashboard!$B$2,11,1)&amp;"",Data!$A$2:$A$25001,"&lt;"&amp;DATE(Dashboard!$B$2,11+1,1)&amp;""))</f>
        <v/>
      </c>
      <c r="M101" s="50">
        <f>IF($A101="","",SUMIFS(Data!$H$2:$H$25001,Data!$C$2:$C$25001,$A101,Data!$D$2:$D$25001,"Werken",Data!$A$2:$A$25001,"&gt;="&amp;DATE(Dashboard!$B$2,12,1)&amp;"",Data!$A$2:$A$25001,"&lt;"&amp;DATE(Dashboard!$B$2,12+1,1)&amp;""))</f>
        <v/>
      </c>
      <c r="N101" s="46">
        <f>IF($A101="","",SUM(B101:M101))</f>
        <v/>
      </c>
      <c r="O101" s="51" t="n"/>
      <c r="P101" s="52">
        <f>IF(OR($A101="",O101=""),"",N101*O101)</f>
        <v/>
      </c>
    </row>
    <row r="102" ht="15" customHeight="1" s="30">
      <c r="A102" s="49" t="n"/>
      <c r="B102" s="45">
        <f>IF($A102="","",SUMIFS(Data!$H$2:$H$25001,Data!$C$2:$C$25001,$A102,Data!$D$2:$D$25001,"Werken",Data!$A$2:$A$25001,"&gt;="&amp;DATE(Dashboard!$B$2,1,1)&amp;"",Data!$A$2:$A$25001,"&lt;"&amp;DATE(Dashboard!$B$2,1+1,1)&amp;""))</f>
        <v/>
      </c>
      <c r="C102" s="45">
        <f>IF($A102="","",SUMIFS(Data!$H$2:$H$25001,Data!$C$2:$C$25001,$A102,Data!$D$2:$D$25001,"Werken",Data!$A$2:$A$25001,"&gt;="&amp;DATE(Dashboard!$B$2,2,1)&amp;"",Data!$A$2:$A$25001,"&lt;"&amp;DATE(Dashboard!$B$2,2+1,1)&amp;""))</f>
        <v/>
      </c>
      <c r="D102" s="45">
        <f>IF($A102="","",SUMIFS(Data!$H$2:$H$25001,Data!$C$2:$C$25001,$A102,Data!$D$2:$D$25001,"Werken",Data!$A$2:$A$25001,"&gt;="&amp;DATE(Dashboard!$B$2,3,1)&amp;"",Data!$A$2:$A$25001,"&lt;"&amp;DATE(Dashboard!$B$2,3+1,1)&amp;""))</f>
        <v/>
      </c>
      <c r="E102" s="45">
        <f>IF($A102="","",SUMIFS(Data!$H$2:$H$25001,Data!$C$2:$C$25001,$A102,Data!$D$2:$D$25001,"Werken",Data!$A$2:$A$25001,"&gt;="&amp;DATE(Dashboard!$B$2,4,1)&amp;"",Data!$A$2:$A$25001,"&lt;"&amp;DATE(Dashboard!$B$2,4+1,1)&amp;""))</f>
        <v/>
      </c>
      <c r="F102" s="45">
        <f>IF($A102="","",SUMIFS(Data!$H$2:$H$25001,Data!$C$2:$C$25001,$A102,Data!$D$2:$D$25001,"Werken",Data!$A$2:$A$25001,"&gt;="&amp;DATE(Dashboard!$B$2,5,1)&amp;"",Data!$A$2:$A$25001,"&lt;"&amp;DATE(Dashboard!$B$2,5+1,1)&amp;""))</f>
        <v/>
      </c>
      <c r="G102" s="45">
        <f>IF($A102="","",SUMIFS(Data!$H$2:$H$25001,Data!$C$2:$C$25001,$A102,Data!$D$2:$D$25001,"Werken",Data!$A$2:$A$25001,"&gt;="&amp;DATE(Dashboard!$B$2,6,1)&amp;"",Data!$A$2:$A$25001,"&lt;"&amp;DATE(Dashboard!$B$2,6+1,1)&amp;""))</f>
        <v/>
      </c>
      <c r="H102" s="45">
        <f>IF($A102="","",SUMIFS(Data!$H$2:$H$25001,Data!$C$2:$C$25001,$A102,Data!$D$2:$D$25001,"Werken",Data!$A$2:$A$25001,"&gt;="&amp;DATE(Dashboard!$B$2,7,1)&amp;"",Data!$A$2:$A$25001,"&lt;"&amp;DATE(Dashboard!$B$2,7+1,1)&amp;""))</f>
        <v/>
      </c>
      <c r="I102" s="45">
        <f>IF($A102="","",SUMIFS(Data!$H$2:$H$25001,Data!$C$2:$C$25001,$A102,Data!$D$2:$D$25001,"Werken",Data!$A$2:$A$25001,"&gt;="&amp;DATE(Dashboard!$B$2,8,1)&amp;"",Data!$A$2:$A$25001,"&lt;"&amp;DATE(Dashboard!$B$2,8+1,1)&amp;""))</f>
        <v/>
      </c>
      <c r="J102" s="45">
        <f>IF($A102="","",SUMIFS(Data!$H$2:$H$25001,Data!$C$2:$C$25001,$A102,Data!$D$2:$D$25001,"Werken",Data!$A$2:$A$25001,"&gt;="&amp;DATE(Dashboard!$B$2,9,1)&amp;"",Data!$A$2:$A$25001,"&lt;"&amp;DATE(Dashboard!$B$2,9+1,1)&amp;""))</f>
        <v/>
      </c>
      <c r="K102" s="45">
        <f>IF($A102="","",SUMIFS(Data!$H$2:$H$25001,Data!$C$2:$C$25001,$A102,Data!$D$2:$D$25001,"Werken",Data!$A$2:$A$25001,"&gt;="&amp;DATE(Dashboard!$B$2,10,1)&amp;"",Data!$A$2:$A$25001,"&lt;"&amp;DATE(Dashboard!$B$2,10+1,1)&amp;""))</f>
        <v/>
      </c>
      <c r="L102" s="45">
        <f>IF($A102="","",SUMIFS(Data!$H$2:$H$25001,Data!$C$2:$C$25001,$A102,Data!$D$2:$D$25001,"Werken",Data!$A$2:$A$25001,"&gt;="&amp;DATE(Dashboard!$B$2,11,1)&amp;"",Data!$A$2:$A$25001,"&lt;"&amp;DATE(Dashboard!$B$2,11+1,1)&amp;""))</f>
        <v/>
      </c>
      <c r="M102" s="45">
        <f>IF($A102="","",SUMIFS(Data!$H$2:$H$25001,Data!$C$2:$C$25001,$A102,Data!$D$2:$D$25001,"Werken",Data!$A$2:$A$25001,"&gt;="&amp;DATE(Dashboard!$B$2,12,1)&amp;"",Data!$A$2:$A$25001,"&lt;"&amp;DATE(Dashboard!$B$2,12+1,1)&amp;""))</f>
        <v/>
      </c>
      <c r="N102" s="46">
        <f>IF($A102="","",SUM(B102:M102))</f>
        <v/>
      </c>
      <c r="O102" s="51" t="n"/>
      <c r="P102" s="52">
        <f>IF(OR($A102="",O102=""),"",N102*O102)</f>
        <v/>
      </c>
    </row>
    <row r="103" ht="15" customHeight="1" s="30">
      <c r="A103" s="49" t="n"/>
      <c r="B103" s="50">
        <f>IF($A103="","",SUMIFS(Data!$H$2:$H$25001,Data!$C$2:$C$25001,$A103,Data!$D$2:$D$25001,"Werken",Data!$A$2:$A$25001,"&gt;="&amp;DATE(Dashboard!$B$2,1,1)&amp;"",Data!$A$2:$A$25001,"&lt;"&amp;DATE(Dashboard!$B$2,1+1,1)&amp;""))</f>
        <v/>
      </c>
      <c r="C103" s="50">
        <f>IF($A103="","",SUMIFS(Data!$H$2:$H$25001,Data!$C$2:$C$25001,$A103,Data!$D$2:$D$25001,"Werken",Data!$A$2:$A$25001,"&gt;="&amp;DATE(Dashboard!$B$2,2,1)&amp;"",Data!$A$2:$A$25001,"&lt;"&amp;DATE(Dashboard!$B$2,2+1,1)&amp;""))</f>
        <v/>
      </c>
      <c r="D103" s="50">
        <f>IF($A103="","",SUMIFS(Data!$H$2:$H$25001,Data!$C$2:$C$25001,$A103,Data!$D$2:$D$25001,"Werken",Data!$A$2:$A$25001,"&gt;="&amp;DATE(Dashboard!$B$2,3,1)&amp;"",Data!$A$2:$A$25001,"&lt;"&amp;DATE(Dashboard!$B$2,3+1,1)&amp;""))</f>
        <v/>
      </c>
      <c r="E103" s="50">
        <f>IF($A103="","",SUMIFS(Data!$H$2:$H$25001,Data!$C$2:$C$25001,$A103,Data!$D$2:$D$25001,"Werken",Data!$A$2:$A$25001,"&gt;="&amp;DATE(Dashboard!$B$2,4,1)&amp;"",Data!$A$2:$A$25001,"&lt;"&amp;DATE(Dashboard!$B$2,4+1,1)&amp;""))</f>
        <v/>
      </c>
      <c r="F103" s="50">
        <f>IF($A103="","",SUMIFS(Data!$H$2:$H$25001,Data!$C$2:$C$25001,$A103,Data!$D$2:$D$25001,"Werken",Data!$A$2:$A$25001,"&gt;="&amp;DATE(Dashboard!$B$2,5,1)&amp;"",Data!$A$2:$A$25001,"&lt;"&amp;DATE(Dashboard!$B$2,5+1,1)&amp;""))</f>
        <v/>
      </c>
      <c r="G103" s="50">
        <f>IF($A103="","",SUMIFS(Data!$H$2:$H$25001,Data!$C$2:$C$25001,$A103,Data!$D$2:$D$25001,"Werken",Data!$A$2:$A$25001,"&gt;="&amp;DATE(Dashboard!$B$2,6,1)&amp;"",Data!$A$2:$A$25001,"&lt;"&amp;DATE(Dashboard!$B$2,6+1,1)&amp;""))</f>
        <v/>
      </c>
      <c r="H103" s="50">
        <f>IF($A103="","",SUMIFS(Data!$H$2:$H$25001,Data!$C$2:$C$25001,$A103,Data!$D$2:$D$25001,"Werken",Data!$A$2:$A$25001,"&gt;="&amp;DATE(Dashboard!$B$2,7,1)&amp;"",Data!$A$2:$A$25001,"&lt;"&amp;DATE(Dashboard!$B$2,7+1,1)&amp;""))</f>
        <v/>
      </c>
      <c r="I103" s="50">
        <f>IF($A103="","",SUMIFS(Data!$H$2:$H$25001,Data!$C$2:$C$25001,$A103,Data!$D$2:$D$25001,"Werken",Data!$A$2:$A$25001,"&gt;="&amp;DATE(Dashboard!$B$2,8,1)&amp;"",Data!$A$2:$A$25001,"&lt;"&amp;DATE(Dashboard!$B$2,8+1,1)&amp;""))</f>
        <v/>
      </c>
      <c r="J103" s="50">
        <f>IF($A103="","",SUMIFS(Data!$H$2:$H$25001,Data!$C$2:$C$25001,$A103,Data!$D$2:$D$25001,"Werken",Data!$A$2:$A$25001,"&gt;="&amp;DATE(Dashboard!$B$2,9,1)&amp;"",Data!$A$2:$A$25001,"&lt;"&amp;DATE(Dashboard!$B$2,9+1,1)&amp;""))</f>
        <v/>
      </c>
      <c r="K103" s="50">
        <f>IF($A103="","",SUMIFS(Data!$H$2:$H$25001,Data!$C$2:$C$25001,$A103,Data!$D$2:$D$25001,"Werken",Data!$A$2:$A$25001,"&gt;="&amp;DATE(Dashboard!$B$2,10,1)&amp;"",Data!$A$2:$A$25001,"&lt;"&amp;DATE(Dashboard!$B$2,10+1,1)&amp;""))</f>
        <v/>
      </c>
      <c r="L103" s="50">
        <f>IF($A103="","",SUMIFS(Data!$H$2:$H$25001,Data!$C$2:$C$25001,$A103,Data!$D$2:$D$25001,"Werken",Data!$A$2:$A$25001,"&gt;="&amp;DATE(Dashboard!$B$2,11,1)&amp;"",Data!$A$2:$A$25001,"&lt;"&amp;DATE(Dashboard!$B$2,11+1,1)&amp;""))</f>
        <v/>
      </c>
      <c r="M103" s="50">
        <f>IF($A103="","",SUMIFS(Data!$H$2:$H$25001,Data!$C$2:$C$25001,$A103,Data!$D$2:$D$25001,"Werken",Data!$A$2:$A$25001,"&gt;="&amp;DATE(Dashboard!$B$2,12,1)&amp;"",Data!$A$2:$A$25001,"&lt;"&amp;DATE(Dashboard!$B$2,12+1,1)&amp;""))</f>
        <v/>
      </c>
      <c r="N103" s="46">
        <f>IF($A103="","",SUM(B103:M103))</f>
        <v/>
      </c>
      <c r="O103" s="51" t="n"/>
      <c r="P103" s="52">
        <f>IF(OR($A103="",O103=""),"",N103*O103)</f>
        <v/>
      </c>
    </row>
    <row r="104" ht="15" customHeight="1" s="30">
      <c r="A104" s="49" t="n"/>
      <c r="B104" s="45">
        <f>IF($A104="","",SUMIFS(Data!$H$2:$H$25001,Data!$C$2:$C$25001,$A104,Data!$D$2:$D$25001,"Werken",Data!$A$2:$A$25001,"&gt;="&amp;DATE(Dashboard!$B$2,1,1)&amp;"",Data!$A$2:$A$25001,"&lt;"&amp;DATE(Dashboard!$B$2,1+1,1)&amp;""))</f>
        <v/>
      </c>
      <c r="C104" s="45">
        <f>IF($A104="","",SUMIFS(Data!$H$2:$H$25001,Data!$C$2:$C$25001,$A104,Data!$D$2:$D$25001,"Werken",Data!$A$2:$A$25001,"&gt;="&amp;DATE(Dashboard!$B$2,2,1)&amp;"",Data!$A$2:$A$25001,"&lt;"&amp;DATE(Dashboard!$B$2,2+1,1)&amp;""))</f>
        <v/>
      </c>
      <c r="D104" s="45">
        <f>IF($A104="","",SUMIFS(Data!$H$2:$H$25001,Data!$C$2:$C$25001,$A104,Data!$D$2:$D$25001,"Werken",Data!$A$2:$A$25001,"&gt;="&amp;DATE(Dashboard!$B$2,3,1)&amp;"",Data!$A$2:$A$25001,"&lt;"&amp;DATE(Dashboard!$B$2,3+1,1)&amp;""))</f>
        <v/>
      </c>
      <c r="E104" s="45">
        <f>IF($A104="","",SUMIFS(Data!$H$2:$H$25001,Data!$C$2:$C$25001,$A104,Data!$D$2:$D$25001,"Werken",Data!$A$2:$A$25001,"&gt;="&amp;DATE(Dashboard!$B$2,4,1)&amp;"",Data!$A$2:$A$25001,"&lt;"&amp;DATE(Dashboard!$B$2,4+1,1)&amp;""))</f>
        <v/>
      </c>
      <c r="F104" s="45">
        <f>IF($A104="","",SUMIFS(Data!$H$2:$H$25001,Data!$C$2:$C$25001,$A104,Data!$D$2:$D$25001,"Werken",Data!$A$2:$A$25001,"&gt;="&amp;DATE(Dashboard!$B$2,5,1)&amp;"",Data!$A$2:$A$25001,"&lt;"&amp;DATE(Dashboard!$B$2,5+1,1)&amp;""))</f>
        <v/>
      </c>
      <c r="G104" s="45">
        <f>IF($A104="","",SUMIFS(Data!$H$2:$H$25001,Data!$C$2:$C$25001,$A104,Data!$D$2:$D$25001,"Werken",Data!$A$2:$A$25001,"&gt;="&amp;DATE(Dashboard!$B$2,6,1)&amp;"",Data!$A$2:$A$25001,"&lt;"&amp;DATE(Dashboard!$B$2,6+1,1)&amp;""))</f>
        <v/>
      </c>
      <c r="H104" s="45">
        <f>IF($A104="","",SUMIFS(Data!$H$2:$H$25001,Data!$C$2:$C$25001,$A104,Data!$D$2:$D$25001,"Werken",Data!$A$2:$A$25001,"&gt;="&amp;DATE(Dashboard!$B$2,7,1)&amp;"",Data!$A$2:$A$25001,"&lt;"&amp;DATE(Dashboard!$B$2,7+1,1)&amp;""))</f>
        <v/>
      </c>
      <c r="I104" s="45">
        <f>IF($A104="","",SUMIFS(Data!$H$2:$H$25001,Data!$C$2:$C$25001,$A104,Data!$D$2:$D$25001,"Werken",Data!$A$2:$A$25001,"&gt;="&amp;DATE(Dashboard!$B$2,8,1)&amp;"",Data!$A$2:$A$25001,"&lt;"&amp;DATE(Dashboard!$B$2,8+1,1)&amp;""))</f>
        <v/>
      </c>
      <c r="J104" s="45">
        <f>IF($A104="","",SUMIFS(Data!$H$2:$H$25001,Data!$C$2:$C$25001,$A104,Data!$D$2:$D$25001,"Werken",Data!$A$2:$A$25001,"&gt;="&amp;DATE(Dashboard!$B$2,9,1)&amp;"",Data!$A$2:$A$25001,"&lt;"&amp;DATE(Dashboard!$B$2,9+1,1)&amp;""))</f>
        <v/>
      </c>
      <c r="K104" s="45">
        <f>IF($A104="","",SUMIFS(Data!$H$2:$H$25001,Data!$C$2:$C$25001,$A104,Data!$D$2:$D$25001,"Werken",Data!$A$2:$A$25001,"&gt;="&amp;DATE(Dashboard!$B$2,10,1)&amp;"",Data!$A$2:$A$25001,"&lt;"&amp;DATE(Dashboard!$B$2,10+1,1)&amp;""))</f>
        <v/>
      </c>
      <c r="L104" s="45">
        <f>IF($A104="","",SUMIFS(Data!$H$2:$H$25001,Data!$C$2:$C$25001,$A104,Data!$D$2:$D$25001,"Werken",Data!$A$2:$A$25001,"&gt;="&amp;DATE(Dashboard!$B$2,11,1)&amp;"",Data!$A$2:$A$25001,"&lt;"&amp;DATE(Dashboard!$B$2,11+1,1)&amp;""))</f>
        <v/>
      </c>
      <c r="M104" s="45">
        <f>IF($A104="","",SUMIFS(Data!$H$2:$H$25001,Data!$C$2:$C$25001,$A104,Data!$D$2:$D$25001,"Werken",Data!$A$2:$A$25001,"&gt;="&amp;DATE(Dashboard!$B$2,12,1)&amp;"",Data!$A$2:$A$25001,"&lt;"&amp;DATE(Dashboard!$B$2,12+1,1)&amp;""))</f>
        <v/>
      </c>
      <c r="N104" s="46">
        <f>IF($A104="","",SUM(B104:M104))</f>
        <v/>
      </c>
      <c r="O104" s="51" t="n"/>
      <c r="P104" s="52">
        <f>IF(OR($A104="",O104=""),"",N104*O104)</f>
        <v/>
      </c>
    </row>
    <row r="105" ht="15" customHeight="1" s="30">
      <c r="A105" s="49" t="n"/>
      <c r="B105" s="50">
        <f>IF($A105="","",SUMIFS(Data!$H$2:$H$25001,Data!$C$2:$C$25001,$A105,Data!$D$2:$D$25001,"Werken",Data!$A$2:$A$25001,"&gt;="&amp;DATE(Dashboard!$B$2,1,1)&amp;"",Data!$A$2:$A$25001,"&lt;"&amp;DATE(Dashboard!$B$2,1+1,1)&amp;""))</f>
        <v/>
      </c>
      <c r="C105" s="50">
        <f>IF($A105="","",SUMIFS(Data!$H$2:$H$25001,Data!$C$2:$C$25001,$A105,Data!$D$2:$D$25001,"Werken",Data!$A$2:$A$25001,"&gt;="&amp;DATE(Dashboard!$B$2,2,1)&amp;"",Data!$A$2:$A$25001,"&lt;"&amp;DATE(Dashboard!$B$2,2+1,1)&amp;""))</f>
        <v/>
      </c>
      <c r="D105" s="50">
        <f>IF($A105="","",SUMIFS(Data!$H$2:$H$25001,Data!$C$2:$C$25001,$A105,Data!$D$2:$D$25001,"Werken",Data!$A$2:$A$25001,"&gt;="&amp;DATE(Dashboard!$B$2,3,1)&amp;"",Data!$A$2:$A$25001,"&lt;"&amp;DATE(Dashboard!$B$2,3+1,1)&amp;""))</f>
        <v/>
      </c>
      <c r="E105" s="50">
        <f>IF($A105="","",SUMIFS(Data!$H$2:$H$25001,Data!$C$2:$C$25001,$A105,Data!$D$2:$D$25001,"Werken",Data!$A$2:$A$25001,"&gt;="&amp;DATE(Dashboard!$B$2,4,1)&amp;"",Data!$A$2:$A$25001,"&lt;"&amp;DATE(Dashboard!$B$2,4+1,1)&amp;""))</f>
        <v/>
      </c>
      <c r="F105" s="50">
        <f>IF($A105="","",SUMIFS(Data!$H$2:$H$25001,Data!$C$2:$C$25001,$A105,Data!$D$2:$D$25001,"Werken",Data!$A$2:$A$25001,"&gt;="&amp;DATE(Dashboard!$B$2,5,1)&amp;"",Data!$A$2:$A$25001,"&lt;"&amp;DATE(Dashboard!$B$2,5+1,1)&amp;""))</f>
        <v/>
      </c>
      <c r="G105" s="50">
        <f>IF($A105="","",SUMIFS(Data!$H$2:$H$25001,Data!$C$2:$C$25001,$A105,Data!$D$2:$D$25001,"Werken",Data!$A$2:$A$25001,"&gt;="&amp;DATE(Dashboard!$B$2,6,1)&amp;"",Data!$A$2:$A$25001,"&lt;"&amp;DATE(Dashboard!$B$2,6+1,1)&amp;""))</f>
        <v/>
      </c>
      <c r="H105" s="50">
        <f>IF($A105="","",SUMIFS(Data!$H$2:$H$25001,Data!$C$2:$C$25001,$A105,Data!$D$2:$D$25001,"Werken",Data!$A$2:$A$25001,"&gt;="&amp;DATE(Dashboard!$B$2,7,1)&amp;"",Data!$A$2:$A$25001,"&lt;"&amp;DATE(Dashboard!$B$2,7+1,1)&amp;""))</f>
        <v/>
      </c>
      <c r="I105" s="50">
        <f>IF($A105="","",SUMIFS(Data!$H$2:$H$25001,Data!$C$2:$C$25001,$A105,Data!$D$2:$D$25001,"Werken",Data!$A$2:$A$25001,"&gt;="&amp;DATE(Dashboard!$B$2,8,1)&amp;"",Data!$A$2:$A$25001,"&lt;"&amp;DATE(Dashboard!$B$2,8+1,1)&amp;""))</f>
        <v/>
      </c>
      <c r="J105" s="50">
        <f>IF($A105="","",SUMIFS(Data!$H$2:$H$25001,Data!$C$2:$C$25001,$A105,Data!$D$2:$D$25001,"Werken",Data!$A$2:$A$25001,"&gt;="&amp;DATE(Dashboard!$B$2,9,1)&amp;"",Data!$A$2:$A$25001,"&lt;"&amp;DATE(Dashboard!$B$2,9+1,1)&amp;""))</f>
        <v/>
      </c>
      <c r="K105" s="50">
        <f>IF($A105="","",SUMIFS(Data!$H$2:$H$25001,Data!$C$2:$C$25001,$A105,Data!$D$2:$D$25001,"Werken",Data!$A$2:$A$25001,"&gt;="&amp;DATE(Dashboard!$B$2,10,1)&amp;"",Data!$A$2:$A$25001,"&lt;"&amp;DATE(Dashboard!$B$2,10+1,1)&amp;""))</f>
        <v/>
      </c>
      <c r="L105" s="50">
        <f>IF($A105="","",SUMIFS(Data!$H$2:$H$25001,Data!$C$2:$C$25001,$A105,Data!$D$2:$D$25001,"Werken",Data!$A$2:$A$25001,"&gt;="&amp;DATE(Dashboard!$B$2,11,1)&amp;"",Data!$A$2:$A$25001,"&lt;"&amp;DATE(Dashboard!$B$2,11+1,1)&amp;""))</f>
        <v/>
      </c>
      <c r="M105" s="50">
        <f>IF($A105="","",SUMIFS(Data!$H$2:$H$25001,Data!$C$2:$C$25001,$A105,Data!$D$2:$D$25001,"Werken",Data!$A$2:$A$25001,"&gt;="&amp;DATE(Dashboard!$B$2,12,1)&amp;"",Data!$A$2:$A$25001,"&lt;"&amp;DATE(Dashboard!$B$2,12+1,1)&amp;""))</f>
        <v/>
      </c>
      <c r="N105" s="46">
        <f>IF($A105="","",SUM(B105:M105))</f>
        <v/>
      </c>
      <c r="O105" s="51" t="n"/>
      <c r="P105" s="52">
        <f>IF(OR($A105="",O105=""),"",N105*O105)</f>
        <v/>
      </c>
    </row>
    <row r="106" ht="15" customHeight="1" s="30">
      <c r="A106" s="49" t="n"/>
      <c r="B106" s="45">
        <f>IF($A106="","",SUMIFS(Data!$H$2:$H$25001,Data!$C$2:$C$25001,$A106,Data!$D$2:$D$25001,"Werken",Data!$A$2:$A$25001,"&gt;="&amp;DATE(Dashboard!$B$2,1,1)&amp;"",Data!$A$2:$A$25001,"&lt;"&amp;DATE(Dashboard!$B$2,1+1,1)&amp;""))</f>
        <v/>
      </c>
      <c r="C106" s="45">
        <f>IF($A106="","",SUMIFS(Data!$H$2:$H$25001,Data!$C$2:$C$25001,$A106,Data!$D$2:$D$25001,"Werken",Data!$A$2:$A$25001,"&gt;="&amp;DATE(Dashboard!$B$2,2,1)&amp;"",Data!$A$2:$A$25001,"&lt;"&amp;DATE(Dashboard!$B$2,2+1,1)&amp;""))</f>
        <v/>
      </c>
      <c r="D106" s="45">
        <f>IF($A106="","",SUMIFS(Data!$H$2:$H$25001,Data!$C$2:$C$25001,$A106,Data!$D$2:$D$25001,"Werken",Data!$A$2:$A$25001,"&gt;="&amp;DATE(Dashboard!$B$2,3,1)&amp;"",Data!$A$2:$A$25001,"&lt;"&amp;DATE(Dashboard!$B$2,3+1,1)&amp;""))</f>
        <v/>
      </c>
      <c r="E106" s="45">
        <f>IF($A106="","",SUMIFS(Data!$H$2:$H$25001,Data!$C$2:$C$25001,$A106,Data!$D$2:$D$25001,"Werken",Data!$A$2:$A$25001,"&gt;="&amp;DATE(Dashboard!$B$2,4,1)&amp;"",Data!$A$2:$A$25001,"&lt;"&amp;DATE(Dashboard!$B$2,4+1,1)&amp;""))</f>
        <v/>
      </c>
      <c r="F106" s="45">
        <f>IF($A106="","",SUMIFS(Data!$H$2:$H$25001,Data!$C$2:$C$25001,$A106,Data!$D$2:$D$25001,"Werken",Data!$A$2:$A$25001,"&gt;="&amp;DATE(Dashboard!$B$2,5,1)&amp;"",Data!$A$2:$A$25001,"&lt;"&amp;DATE(Dashboard!$B$2,5+1,1)&amp;""))</f>
        <v/>
      </c>
      <c r="G106" s="45">
        <f>IF($A106="","",SUMIFS(Data!$H$2:$H$25001,Data!$C$2:$C$25001,$A106,Data!$D$2:$D$25001,"Werken",Data!$A$2:$A$25001,"&gt;="&amp;DATE(Dashboard!$B$2,6,1)&amp;"",Data!$A$2:$A$25001,"&lt;"&amp;DATE(Dashboard!$B$2,6+1,1)&amp;""))</f>
        <v/>
      </c>
      <c r="H106" s="45">
        <f>IF($A106="","",SUMIFS(Data!$H$2:$H$25001,Data!$C$2:$C$25001,$A106,Data!$D$2:$D$25001,"Werken",Data!$A$2:$A$25001,"&gt;="&amp;DATE(Dashboard!$B$2,7,1)&amp;"",Data!$A$2:$A$25001,"&lt;"&amp;DATE(Dashboard!$B$2,7+1,1)&amp;""))</f>
        <v/>
      </c>
      <c r="I106" s="45">
        <f>IF($A106="","",SUMIFS(Data!$H$2:$H$25001,Data!$C$2:$C$25001,$A106,Data!$D$2:$D$25001,"Werken",Data!$A$2:$A$25001,"&gt;="&amp;DATE(Dashboard!$B$2,8,1)&amp;"",Data!$A$2:$A$25001,"&lt;"&amp;DATE(Dashboard!$B$2,8+1,1)&amp;""))</f>
        <v/>
      </c>
      <c r="J106" s="45">
        <f>IF($A106="","",SUMIFS(Data!$H$2:$H$25001,Data!$C$2:$C$25001,$A106,Data!$D$2:$D$25001,"Werken",Data!$A$2:$A$25001,"&gt;="&amp;DATE(Dashboard!$B$2,9,1)&amp;"",Data!$A$2:$A$25001,"&lt;"&amp;DATE(Dashboard!$B$2,9+1,1)&amp;""))</f>
        <v/>
      </c>
      <c r="K106" s="45">
        <f>IF($A106="","",SUMIFS(Data!$H$2:$H$25001,Data!$C$2:$C$25001,$A106,Data!$D$2:$D$25001,"Werken",Data!$A$2:$A$25001,"&gt;="&amp;DATE(Dashboard!$B$2,10,1)&amp;"",Data!$A$2:$A$25001,"&lt;"&amp;DATE(Dashboard!$B$2,10+1,1)&amp;""))</f>
        <v/>
      </c>
      <c r="L106" s="45">
        <f>IF($A106="","",SUMIFS(Data!$H$2:$H$25001,Data!$C$2:$C$25001,$A106,Data!$D$2:$D$25001,"Werken",Data!$A$2:$A$25001,"&gt;="&amp;DATE(Dashboard!$B$2,11,1)&amp;"",Data!$A$2:$A$25001,"&lt;"&amp;DATE(Dashboard!$B$2,11+1,1)&amp;""))</f>
        <v/>
      </c>
      <c r="M106" s="45">
        <f>IF($A106="","",SUMIFS(Data!$H$2:$H$25001,Data!$C$2:$C$25001,$A106,Data!$D$2:$D$25001,"Werken",Data!$A$2:$A$25001,"&gt;="&amp;DATE(Dashboard!$B$2,12,1)&amp;"",Data!$A$2:$A$25001,"&lt;"&amp;DATE(Dashboard!$B$2,12+1,1)&amp;""))</f>
        <v/>
      </c>
      <c r="N106" s="46">
        <f>IF($A106="","",SUM(B106:M106))</f>
        <v/>
      </c>
      <c r="O106" s="51" t="n"/>
      <c r="P106" s="52">
        <f>IF(OR($A106="",O106=""),"",N106*O106)</f>
        <v/>
      </c>
    </row>
    <row r="107" ht="15" customHeight="1" s="30">
      <c r="A107" s="49" t="n"/>
      <c r="B107" s="50">
        <f>IF($A107="","",SUMIFS(Data!$H$2:$H$25001,Data!$C$2:$C$25001,$A107,Data!$D$2:$D$25001,"Werken",Data!$A$2:$A$25001,"&gt;="&amp;DATE(Dashboard!$B$2,1,1)&amp;"",Data!$A$2:$A$25001,"&lt;"&amp;DATE(Dashboard!$B$2,1+1,1)&amp;""))</f>
        <v/>
      </c>
      <c r="C107" s="50">
        <f>IF($A107="","",SUMIFS(Data!$H$2:$H$25001,Data!$C$2:$C$25001,$A107,Data!$D$2:$D$25001,"Werken",Data!$A$2:$A$25001,"&gt;="&amp;DATE(Dashboard!$B$2,2,1)&amp;"",Data!$A$2:$A$25001,"&lt;"&amp;DATE(Dashboard!$B$2,2+1,1)&amp;""))</f>
        <v/>
      </c>
      <c r="D107" s="50">
        <f>IF($A107="","",SUMIFS(Data!$H$2:$H$25001,Data!$C$2:$C$25001,$A107,Data!$D$2:$D$25001,"Werken",Data!$A$2:$A$25001,"&gt;="&amp;DATE(Dashboard!$B$2,3,1)&amp;"",Data!$A$2:$A$25001,"&lt;"&amp;DATE(Dashboard!$B$2,3+1,1)&amp;""))</f>
        <v/>
      </c>
      <c r="E107" s="50">
        <f>IF($A107="","",SUMIFS(Data!$H$2:$H$25001,Data!$C$2:$C$25001,$A107,Data!$D$2:$D$25001,"Werken",Data!$A$2:$A$25001,"&gt;="&amp;DATE(Dashboard!$B$2,4,1)&amp;"",Data!$A$2:$A$25001,"&lt;"&amp;DATE(Dashboard!$B$2,4+1,1)&amp;""))</f>
        <v/>
      </c>
      <c r="F107" s="50">
        <f>IF($A107="","",SUMIFS(Data!$H$2:$H$25001,Data!$C$2:$C$25001,$A107,Data!$D$2:$D$25001,"Werken",Data!$A$2:$A$25001,"&gt;="&amp;DATE(Dashboard!$B$2,5,1)&amp;"",Data!$A$2:$A$25001,"&lt;"&amp;DATE(Dashboard!$B$2,5+1,1)&amp;""))</f>
        <v/>
      </c>
      <c r="G107" s="50">
        <f>IF($A107="","",SUMIFS(Data!$H$2:$H$25001,Data!$C$2:$C$25001,$A107,Data!$D$2:$D$25001,"Werken",Data!$A$2:$A$25001,"&gt;="&amp;DATE(Dashboard!$B$2,6,1)&amp;"",Data!$A$2:$A$25001,"&lt;"&amp;DATE(Dashboard!$B$2,6+1,1)&amp;""))</f>
        <v/>
      </c>
      <c r="H107" s="50">
        <f>IF($A107="","",SUMIFS(Data!$H$2:$H$25001,Data!$C$2:$C$25001,$A107,Data!$D$2:$D$25001,"Werken",Data!$A$2:$A$25001,"&gt;="&amp;DATE(Dashboard!$B$2,7,1)&amp;"",Data!$A$2:$A$25001,"&lt;"&amp;DATE(Dashboard!$B$2,7+1,1)&amp;""))</f>
        <v/>
      </c>
      <c r="I107" s="50">
        <f>IF($A107="","",SUMIFS(Data!$H$2:$H$25001,Data!$C$2:$C$25001,$A107,Data!$D$2:$D$25001,"Werken",Data!$A$2:$A$25001,"&gt;="&amp;DATE(Dashboard!$B$2,8,1)&amp;"",Data!$A$2:$A$25001,"&lt;"&amp;DATE(Dashboard!$B$2,8+1,1)&amp;""))</f>
        <v/>
      </c>
      <c r="J107" s="50">
        <f>IF($A107="","",SUMIFS(Data!$H$2:$H$25001,Data!$C$2:$C$25001,$A107,Data!$D$2:$D$25001,"Werken",Data!$A$2:$A$25001,"&gt;="&amp;DATE(Dashboard!$B$2,9,1)&amp;"",Data!$A$2:$A$25001,"&lt;"&amp;DATE(Dashboard!$B$2,9+1,1)&amp;""))</f>
        <v/>
      </c>
      <c r="K107" s="50">
        <f>IF($A107="","",SUMIFS(Data!$H$2:$H$25001,Data!$C$2:$C$25001,$A107,Data!$D$2:$D$25001,"Werken",Data!$A$2:$A$25001,"&gt;="&amp;DATE(Dashboard!$B$2,10,1)&amp;"",Data!$A$2:$A$25001,"&lt;"&amp;DATE(Dashboard!$B$2,10+1,1)&amp;""))</f>
        <v/>
      </c>
      <c r="L107" s="50">
        <f>IF($A107="","",SUMIFS(Data!$H$2:$H$25001,Data!$C$2:$C$25001,$A107,Data!$D$2:$D$25001,"Werken",Data!$A$2:$A$25001,"&gt;="&amp;DATE(Dashboard!$B$2,11,1)&amp;"",Data!$A$2:$A$25001,"&lt;"&amp;DATE(Dashboard!$B$2,11+1,1)&amp;""))</f>
        <v/>
      </c>
      <c r="M107" s="50">
        <f>IF($A107="","",SUMIFS(Data!$H$2:$H$25001,Data!$C$2:$C$25001,$A107,Data!$D$2:$D$25001,"Werken",Data!$A$2:$A$25001,"&gt;="&amp;DATE(Dashboard!$B$2,12,1)&amp;"",Data!$A$2:$A$25001,"&lt;"&amp;DATE(Dashboard!$B$2,12+1,1)&amp;""))</f>
        <v/>
      </c>
      <c r="N107" s="46">
        <f>IF($A107="","",SUM(B107:M107))</f>
        <v/>
      </c>
      <c r="O107" s="51" t="n"/>
      <c r="P107" s="52">
        <f>IF(OR($A107="",O107=""),"",N107*O107)</f>
        <v/>
      </c>
    </row>
    <row r="108" ht="15" customHeight="1" s="30">
      <c r="A108" s="49" t="n"/>
      <c r="B108" s="45">
        <f>IF($A108="","",SUMIFS(Data!$H$2:$H$25001,Data!$C$2:$C$25001,$A108,Data!$D$2:$D$25001,"Werken",Data!$A$2:$A$25001,"&gt;="&amp;DATE(Dashboard!$B$2,1,1)&amp;"",Data!$A$2:$A$25001,"&lt;"&amp;DATE(Dashboard!$B$2,1+1,1)&amp;""))</f>
        <v/>
      </c>
      <c r="C108" s="45">
        <f>IF($A108="","",SUMIFS(Data!$H$2:$H$25001,Data!$C$2:$C$25001,$A108,Data!$D$2:$D$25001,"Werken",Data!$A$2:$A$25001,"&gt;="&amp;DATE(Dashboard!$B$2,2,1)&amp;"",Data!$A$2:$A$25001,"&lt;"&amp;DATE(Dashboard!$B$2,2+1,1)&amp;""))</f>
        <v/>
      </c>
      <c r="D108" s="45">
        <f>IF($A108="","",SUMIFS(Data!$H$2:$H$25001,Data!$C$2:$C$25001,$A108,Data!$D$2:$D$25001,"Werken",Data!$A$2:$A$25001,"&gt;="&amp;DATE(Dashboard!$B$2,3,1)&amp;"",Data!$A$2:$A$25001,"&lt;"&amp;DATE(Dashboard!$B$2,3+1,1)&amp;""))</f>
        <v/>
      </c>
      <c r="E108" s="45">
        <f>IF($A108="","",SUMIFS(Data!$H$2:$H$25001,Data!$C$2:$C$25001,$A108,Data!$D$2:$D$25001,"Werken",Data!$A$2:$A$25001,"&gt;="&amp;DATE(Dashboard!$B$2,4,1)&amp;"",Data!$A$2:$A$25001,"&lt;"&amp;DATE(Dashboard!$B$2,4+1,1)&amp;""))</f>
        <v/>
      </c>
      <c r="F108" s="45">
        <f>IF($A108="","",SUMIFS(Data!$H$2:$H$25001,Data!$C$2:$C$25001,$A108,Data!$D$2:$D$25001,"Werken",Data!$A$2:$A$25001,"&gt;="&amp;DATE(Dashboard!$B$2,5,1)&amp;"",Data!$A$2:$A$25001,"&lt;"&amp;DATE(Dashboard!$B$2,5+1,1)&amp;""))</f>
        <v/>
      </c>
      <c r="G108" s="45">
        <f>IF($A108="","",SUMIFS(Data!$H$2:$H$25001,Data!$C$2:$C$25001,$A108,Data!$D$2:$D$25001,"Werken",Data!$A$2:$A$25001,"&gt;="&amp;DATE(Dashboard!$B$2,6,1)&amp;"",Data!$A$2:$A$25001,"&lt;"&amp;DATE(Dashboard!$B$2,6+1,1)&amp;""))</f>
        <v/>
      </c>
      <c r="H108" s="45">
        <f>IF($A108="","",SUMIFS(Data!$H$2:$H$25001,Data!$C$2:$C$25001,$A108,Data!$D$2:$D$25001,"Werken",Data!$A$2:$A$25001,"&gt;="&amp;DATE(Dashboard!$B$2,7,1)&amp;"",Data!$A$2:$A$25001,"&lt;"&amp;DATE(Dashboard!$B$2,7+1,1)&amp;""))</f>
        <v/>
      </c>
      <c r="I108" s="45">
        <f>IF($A108="","",SUMIFS(Data!$H$2:$H$25001,Data!$C$2:$C$25001,$A108,Data!$D$2:$D$25001,"Werken",Data!$A$2:$A$25001,"&gt;="&amp;DATE(Dashboard!$B$2,8,1)&amp;"",Data!$A$2:$A$25001,"&lt;"&amp;DATE(Dashboard!$B$2,8+1,1)&amp;""))</f>
        <v/>
      </c>
      <c r="J108" s="45">
        <f>IF($A108="","",SUMIFS(Data!$H$2:$H$25001,Data!$C$2:$C$25001,$A108,Data!$D$2:$D$25001,"Werken",Data!$A$2:$A$25001,"&gt;="&amp;DATE(Dashboard!$B$2,9,1)&amp;"",Data!$A$2:$A$25001,"&lt;"&amp;DATE(Dashboard!$B$2,9+1,1)&amp;""))</f>
        <v/>
      </c>
      <c r="K108" s="45">
        <f>IF($A108="","",SUMIFS(Data!$H$2:$H$25001,Data!$C$2:$C$25001,$A108,Data!$D$2:$D$25001,"Werken",Data!$A$2:$A$25001,"&gt;="&amp;DATE(Dashboard!$B$2,10,1)&amp;"",Data!$A$2:$A$25001,"&lt;"&amp;DATE(Dashboard!$B$2,10+1,1)&amp;""))</f>
        <v/>
      </c>
      <c r="L108" s="45">
        <f>IF($A108="","",SUMIFS(Data!$H$2:$H$25001,Data!$C$2:$C$25001,$A108,Data!$D$2:$D$25001,"Werken",Data!$A$2:$A$25001,"&gt;="&amp;DATE(Dashboard!$B$2,11,1)&amp;"",Data!$A$2:$A$25001,"&lt;"&amp;DATE(Dashboard!$B$2,11+1,1)&amp;""))</f>
        <v/>
      </c>
      <c r="M108" s="45">
        <f>IF($A108="","",SUMIFS(Data!$H$2:$H$25001,Data!$C$2:$C$25001,$A108,Data!$D$2:$D$25001,"Werken",Data!$A$2:$A$25001,"&gt;="&amp;DATE(Dashboard!$B$2,12,1)&amp;"",Data!$A$2:$A$25001,"&lt;"&amp;DATE(Dashboard!$B$2,12+1,1)&amp;""))</f>
        <v/>
      </c>
      <c r="N108" s="46">
        <f>IF($A108="","",SUM(B108:M108))</f>
        <v/>
      </c>
      <c r="O108" s="51" t="n"/>
      <c r="P108" s="52">
        <f>IF(OR($A108="",O108=""),"",N108*O108)</f>
        <v/>
      </c>
    </row>
    <row r="109" ht="15" customHeight="1" s="30">
      <c r="A109" s="49" t="n"/>
      <c r="B109" s="50">
        <f>IF($A109="","",SUMIFS(Data!$H$2:$H$25001,Data!$C$2:$C$25001,$A109,Data!$D$2:$D$25001,"Werken",Data!$A$2:$A$25001,"&gt;="&amp;DATE(Dashboard!$B$2,1,1)&amp;"",Data!$A$2:$A$25001,"&lt;"&amp;DATE(Dashboard!$B$2,1+1,1)&amp;""))</f>
        <v/>
      </c>
      <c r="C109" s="50">
        <f>IF($A109="","",SUMIFS(Data!$H$2:$H$25001,Data!$C$2:$C$25001,$A109,Data!$D$2:$D$25001,"Werken",Data!$A$2:$A$25001,"&gt;="&amp;DATE(Dashboard!$B$2,2,1)&amp;"",Data!$A$2:$A$25001,"&lt;"&amp;DATE(Dashboard!$B$2,2+1,1)&amp;""))</f>
        <v/>
      </c>
      <c r="D109" s="50">
        <f>IF($A109="","",SUMIFS(Data!$H$2:$H$25001,Data!$C$2:$C$25001,$A109,Data!$D$2:$D$25001,"Werken",Data!$A$2:$A$25001,"&gt;="&amp;DATE(Dashboard!$B$2,3,1)&amp;"",Data!$A$2:$A$25001,"&lt;"&amp;DATE(Dashboard!$B$2,3+1,1)&amp;""))</f>
        <v/>
      </c>
      <c r="E109" s="50">
        <f>IF($A109="","",SUMIFS(Data!$H$2:$H$25001,Data!$C$2:$C$25001,$A109,Data!$D$2:$D$25001,"Werken",Data!$A$2:$A$25001,"&gt;="&amp;DATE(Dashboard!$B$2,4,1)&amp;"",Data!$A$2:$A$25001,"&lt;"&amp;DATE(Dashboard!$B$2,4+1,1)&amp;""))</f>
        <v/>
      </c>
      <c r="F109" s="50">
        <f>IF($A109="","",SUMIFS(Data!$H$2:$H$25001,Data!$C$2:$C$25001,$A109,Data!$D$2:$D$25001,"Werken",Data!$A$2:$A$25001,"&gt;="&amp;DATE(Dashboard!$B$2,5,1)&amp;"",Data!$A$2:$A$25001,"&lt;"&amp;DATE(Dashboard!$B$2,5+1,1)&amp;""))</f>
        <v/>
      </c>
      <c r="G109" s="50">
        <f>IF($A109="","",SUMIFS(Data!$H$2:$H$25001,Data!$C$2:$C$25001,$A109,Data!$D$2:$D$25001,"Werken",Data!$A$2:$A$25001,"&gt;="&amp;DATE(Dashboard!$B$2,6,1)&amp;"",Data!$A$2:$A$25001,"&lt;"&amp;DATE(Dashboard!$B$2,6+1,1)&amp;""))</f>
        <v/>
      </c>
      <c r="H109" s="50">
        <f>IF($A109="","",SUMIFS(Data!$H$2:$H$25001,Data!$C$2:$C$25001,$A109,Data!$D$2:$D$25001,"Werken",Data!$A$2:$A$25001,"&gt;="&amp;DATE(Dashboard!$B$2,7,1)&amp;"",Data!$A$2:$A$25001,"&lt;"&amp;DATE(Dashboard!$B$2,7+1,1)&amp;""))</f>
        <v/>
      </c>
      <c r="I109" s="50">
        <f>IF($A109="","",SUMIFS(Data!$H$2:$H$25001,Data!$C$2:$C$25001,$A109,Data!$D$2:$D$25001,"Werken",Data!$A$2:$A$25001,"&gt;="&amp;DATE(Dashboard!$B$2,8,1)&amp;"",Data!$A$2:$A$25001,"&lt;"&amp;DATE(Dashboard!$B$2,8+1,1)&amp;""))</f>
        <v/>
      </c>
      <c r="J109" s="50">
        <f>IF($A109="","",SUMIFS(Data!$H$2:$H$25001,Data!$C$2:$C$25001,$A109,Data!$D$2:$D$25001,"Werken",Data!$A$2:$A$25001,"&gt;="&amp;DATE(Dashboard!$B$2,9,1)&amp;"",Data!$A$2:$A$25001,"&lt;"&amp;DATE(Dashboard!$B$2,9+1,1)&amp;""))</f>
        <v/>
      </c>
      <c r="K109" s="50">
        <f>IF($A109="","",SUMIFS(Data!$H$2:$H$25001,Data!$C$2:$C$25001,$A109,Data!$D$2:$D$25001,"Werken",Data!$A$2:$A$25001,"&gt;="&amp;DATE(Dashboard!$B$2,10,1)&amp;"",Data!$A$2:$A$25001,"&lt;"&amp;DATE(Dashboard!$B$2,10+1,1)&amp;""))</f>
        <v/>
      </c>
      <c r="L109" s="50">
        <f>IF($A109="","",SUMIFS(Data!$H$2:$H$25001,Data!$C$2:$C$25001,$A109,Data!$D$2:$D$25001,"Werken",Data!$A$2:$A$25001,"&gt;="&amp;DATE(Dashboard!$B$2,11,1)&amp;"",Data!$A$2:$A$25001,"&lt;"&amp;DATE(Dashboard!$B$2,11+1,1)&amp;""))</f>
        <v/>
      </c>
      <c r="M109" s="50">
        <f>IF($A109="","",SUMIFS(Data!$H$2:$H$25001,Data!$C$2:$C$25001,$A109,Data!$D$2:$D$25001,"Werken",Data!$A$2:$A$25001,"&gt;="&amp;DATE(Dashboard!$B$2,12,1)&amp;"",Data!$A$2:$A$25001,"&lt;"&amp;DATE(Dashboard!$B$2,12+1,1)&amp;""))</f>
        <v/>
      </c>
      <c r="N109" s="46">
        <f>IF($A109="","",SUM(B109:M109))</f>
        <v/>
      </c>
      <c r="O109" s="51" t="n"/>
      <c r="P109" s="52">
        <f>IF(OR($A109="",O109=""),"",N109*O109)</f>
        <v/>
      </c>
    </row>
    <row r="110" ht="15" customHeight="1" s="30">
      <c r="A110" s="49" t="n"/>
      <c r="B110" s="45">
        <f>IF($A110="","",SUMIFS(Data!$H$2:$H$25001,Data!$C$2:$C$25001,$A110,Data!$D$2:$D$25001,"Werken",Data!$A$2:$A$25001,"&gt;="&amp;DATE(Dashboard!$B$2,1,1)&amp;"",Data!$A$2:$A$25001,"&lt;"&amp;DATE(Dashboard!$B$2,1+1,1)&amp;""))</f>
        <v/>
      </c>
      <c r="C110" s="45">
        <f>IF($A110="","",SUMIFS(Data!$H$2:$H$25001,Data!$C$2:$C$25001,$A110,Data!$D$2:$D$25001,"Werken",Data!$A$2:$A$25001,"&gt;="&amp;DATE(Dashboard!$B$2,2,1)&amp;"",Data!$A$2:$A$25001,"&lt;"&amp;DATE(Dashboard!$B$2,2+1,1)&amp;""))</f>
        <v/>
      </c>
      <c r="D110" s="45">
        <f>IF($A110="","",SUMIFS(Data!$H$2:$H$25001,Data!$C$2:$C$25001,$A110,Data!$D$2:$D$25001,"Werken",Data!$A$2:$A$25001,"&gt;="&amp;DATE(Dashboard!$B$2,3,1)&amp;"",Data!$A$2:$A$25001,"&lt;"&amp;DATE(Dashboard!$B$2,3+1,1)&amp;""))</f>
        <v/>
      </c>
      <c r="E110" s="45">
        <f>IF($A110="","",SUMIFS(Data!$H$2:$H$25001,Data!$C$2:$C$25001,$A110,Data!$D$2:$D$25001,"Werken",Data!$A$2:$A$25001,"&gt;="&amp;DATE(Dashboard!$B$2,4,1)&amp;"",Data!$A$2:$A$25001,"&lt;"&amp;DATE(Dashboard!$B$2,4+1,1)&amp;""))</f>
        <v/>
      </c>
      <c r="F110" s="45">
        <f>IF($A110="","",SUMIFS(Data!$H$2:$H$25001,Data!$C$2:$C$25001,$A110,Data!$D$2:$D$25001,"Werken",Data!$A$2:$A$25001,"&gt;="&amp;DATE(Dashboard!$B$2,5,1)&amp;"",Data!$A$2:$A$25001,"&lt;"&amp;DATE(Dashboard!$B$2,5+1,1)&amp;""))</f>
        <v/>
      </c>
      <c r="G110" s="45">
        <f>IF($A110="","",SUMIFS(Data!$H$2:$H$25001,Data!$C$2:$C$25001,$A110,Data!$D$2:$D$25001,"Werken",Data!$A$2:$A$25001,"&gt;="&amp;DATE(Dashboard!$B$2,6,1)&amp;"",Data!$A$2:$A$25001,"&lt;"&amp;DATE(Dashboard!$B$2,6+1,1)&amp;""))</f>
        <v/>
      </c>
      <c r="H110" s="45">
        <f>IF($A110="","",SUMIFS(Data!$H$2:$H$25001,Data!$C$2:$C$25001,$A110,Data!$D$2:$D$25001,"Werken",Data!$A$2:$A$25001,"&gt;="&amp;DATE(Dashboard!$B$2,7,1)&amp;"",Data!$A$2:$A$25001,"&lt;"&amp;DATE(Dashboard!$B$2,7+1,1)&amp;""))</f>
        <v/>
      </c>
      <c r="I110" s="45">
        <f>IF($A110="","",SUMIFS(Data!$H$2:$H$25001,Data!$C$2:$C$25001,$A110,Data!$D$2:$D$25001,"Werken",Data!$A$2:$A$25001,"&gt;="&amp;DATE(Dashboard!$B$2,8,1)&amp;"",Data!$A$2:$A$25001,"&lt;"&amp;DATE(Dashboard!$B$2,8+1,1)&amp;""))</f>
        <v/>
      </c>
      <c r="J110" s="45">
        <f>IF($A110="","",SUMIFS(Data!$H$2:$H$25001,Data!$C$2:$C$25001,$A110,Data!$D$2:$D$25001,"Werken",Data!$A$2:$A$25001,"&gt;="&amp;DATE(Dashboard!$B$2,9,1)&amp;"",Data!$A$2:$A$25001,"&lt;"&amp;DATE(Dashboard!$B$2,9+1,1)&amp;""))</f>
        <v/>
      </c>
      <c r="K110" s="45">
        <f>IF($A110="","",SUMIFS(Data!$H$2:$H$25001,Data!$C$2:$C$25001,$A110,Data!$D$2:$D$25001,"Werken",Data!$A$2:$A$25001,"&gt;="&amp;DATE(Dashboard!$B$2,10,1)&amp;"",Data!$A$2:$A$25001,"&lt;"&amp;DATE(Dashboard!$B$2,10+1,1)&amp;""))</f>
        <v/>
      </c>
      <c r="L110" s="45">
        <f>IF($A110="","",SUMIFS(Data!$H$2:$H$25001,Data!$C$2:$C$25001,$A110,Data!$D$2:$D$25001,"Werken",Data!$A$2:$A$25001,"&gt;="&amp;DATE(Dashboard!$B$2,11,1)&amp;"",Data!$A$2:$A$25001,"&lt;"&amp;DATE(Dashboard!$B$2,11+1,1)&amp;""))</f>
        <v/>
      </c>
      <c r="M110" s="45">
        <f>IF($A110="","",SUMIFS(Data!$H$2:$H$25001,Data!$C$2:$C$25001,$A110,Data!$D$2:$D$25001,"Werken",Data!$A$2:$A$25001,"&gt;="&amp;DATE(Dashboard!$B$2,12,1)&amp;"",Data!$A$2:$A$25001,"&lt;"&amp;DATE(Dashboard!$B$2,12+1,1)&amp;""))</f>
        <v/>
      </c>
      <c r="N110" s="46">
        <f>IF($A110="","",SUM(B110:M110))</f>
        <v/>
      </c>
      <c r="O110" s="51" t="n"/>
      <c r="P110" s="52">
        <f>IF(OR($A110="",O110=""),"",N110*O110)</f>
        <v/>
      </c>
    </row>
    <row r="111" ht="15" customHeight="1" s="30">
      <c r="A111" s="49" t="n"/>
      <c r="B111" s="50">
        <f>IF($A111="","",SUMIFS(Data!$H$2:$H$25001,Data!$C$2:$C$25001,$A111,Data!$D$2:$D$25001,"Werken",Data!$A$2:$A$25001,"&gt;="&amp;DATE(Dashboard!$B$2,1,1)&amp;"",Data!$A$2:$A$25001,"&lt;"&amp;DATE(Dashboard!$B$2,1+1,1)&amp;""))</f>
        <v/>
      </c>
      <c r="C111" s="50">
        <f>IF($A111="","",SUMIFS(Data!$H$2:$H$25001,Data!$C$2:$C$25001,$A111,Data!$D$2:$D$25001,"Werken",Data!$A$2:$A$25001,"&gt;="&amp;DATE(Dashboard!$B$2,2,1)&amp;"",Data!$A$2:$A$25001,"&lt;"&amp;DATE(Dashboard!$B$2,2+1,1)&amp;""))</f>
        <v/>
      </c>
      <c r="D111" s="50">
        <f>IF($A111="","",SUMIFS(Data!$H$2:$H$25001,Data!$C$2:$C$25001,$A111,Data!$D$2:$D$25001,"Werken",Data!$A$2:$A$25001,"&gt;="&amp;DATE(Dashboard!$B$2,3,1)&amp;"",Data!$A$2:$A$25001,"&lt;"&amp;DATE(Dashboard!$B$2,3+1,1)&amp;""))</f>
        <v/>
      </c>
      <c r="E111" s="50">
        <f>IF($A111="","",SUMIFS(Data!$H$2:$H$25001,Data!$C$2:$C$25001,$A111,Data!$D$2:$D$25001,"Werken",Data!$A$2:$A$25001,"&gt;="&amp;DATE(Dashboard!$B$2,4,1)&amp;"",Data!$A$2:$A$25001,"&lt;"&amp;DATE(Dashboard!$B$2,4+1,1)&amp;""))</f>
        <v/>
      </c>
      <c r="F111" s="50">
        <f>IF($A111="","",SUMIFS(Data!$H$2:$H$25001,Data!$C$2:$C$25001,$A111,Data!$D$2:$D$25001,"Werken",Data!$A$2:$A$25001,"&gt;="&amp;DATE(Dashboard!$B$2,5,1)&amp;"",Data!$A$2:$A$25001,"&lt;"&amp;DATE(Dashboard!$B$2,5+1,1)&amp;""))</f>
        <v/>
      </c>
      <c r="G111" s="50">
        <f>IF($A111="","",SUMIFS(Data!$H$2:$H$25001,Data!$C$2:$C$25001,$A111,Data!$D$2:$D$25001,"Werken",Data!$A$2:$A$25001,"&gt;="&amp;DATE(Dashboard!$B$2,6,1)&amp;"",Data!$A$2:$A$25001,"&lt;"&amp;DATE(Dashboard!$B$2,6+1,1)&amp;""))</f>
        <v/>
      </c>
      <c r="H111" s="50">
        <f>IF($A111="","",SUMIFS(Data!$H$2:$H$25001,Data!$C$2:$C$25001,$A111,Data!$D$2:$D$25001,"Werken",Data!$A$2:$A$25001,"&gt;="&amp;DATE(Dashboard!$B$2,7,1)&amp;"",Data!$A$2:$A$25001,"&lt;"&amp;DATE(Dashboard!$B$2,7+1,1)&amp;""))</f>
        <v/>
      </c>
      <c r="I111" s="50">
        <f>IF($A111="","",SUMIFS(Data!$H$2:$H$25001,Data!$C$2:$C$25001,$A111,Data!$D$2:$D$25001,"Werken",Data!$A$2:$A$25001,"&gt;="&amp;DATE(Dashboard!$B$2,8,1)&amp;"",Data!$A$2:$A$25001,"&lt;"&amp;DATE(Dashboard!$B$2,8+1,1)&amp;""))</f>
        <v/>
      </c>
      <c r="J111" s="50">
        <f>IF($A111="","",SUMIFS(Data!$H$2:$H$25001,Data!$C$2:$C$25001,$A111,Data!$D$2:$D$25001,"Werken",Data!$A$2:$A$25001,"&gt;="&amp;DATE(Dashboard!$B$2,9,1)&amp;"",Data!$A$2:$A$25001,"&lt;"&amp;DATE(Dashboard!$B$2,9+1,1)&amp;""))</f>
        <v/>
      </c>
      <c r="K111" s="50">
        <f>IF($A111="","",SUMIFS(Data!$H$2:$H$25001,Data!$C$2:$C$25001,$A111,Data!$D$2:$D$25001,"Werken",Data!$A$2:$A$25001,"&gt;="&amp;DATE(Dashboard!$B$2,10,1)&amp;"",Data!$A$2:$A$25001,"&lt;"&amp;DATE(Dashboard!$B$2,10+1,1)&amp;""))</f>
        <v/>
      </c>
      <c r="L111" s="50">
        <f>IF($A111="","",SUMIFS(Data!$H$2:$H$25001,Data!$C$2:$C$25001,$A111,Data!$D$2:$D$25001,"Werken",Data!$A$2:$A$25001,"&gt;="&amp;DATE(Dashboard!$B$2,11,1)&amp;"",Data!$A$2:$A$25001,"&lt;"&amp;DATE(Dashboard!$B$2,11+1,1)&amp;""))</f>
        <v/>
      </c>
      <c r="M111" s="50">
        <f>IF($A111="","",SUMIFS(Data!$H$2:$H$25001,Data!$C$2:$C$25001,$A111,Data!$D$2:$D$25001,"Werken",Data!$A$2:$A$25001,"&gt;="&amp;DATE(Dashboard!$B$2,12,1)&amp;"",Data!$A$2:$A$25001,"&lt;"&amp;DATE(Dashboard!$B$2,12+1,1)&amp;""))</f>
        <v/>
      </c>
      <c r="N111" s="46">
        <f>IF($A111="","",SUM(B111:M111))</f>
        <v/>
      </c>
      <c r="O111" s="51" t="n"/>
      <c r="P111" s="52">
        <f>IF(OR($A111="",O111=""),"",N111*O111)</f>
        <v/>
      </c>
    </row>
    <row r="112" ht="15" customHeight="1" s="30">
      <c r="A112" s="49" t="n"/>
      <c r="B112" s="45">
        <f>IF($A112="","",SUMIFS(Data!$H$2:$H$25001,Data!$C$2:$C$25001,$A112,Data!$D$2:$D$25001,"Werken",Data!$A$2:$A$25001,"&gt;="&amp;DATE(Dashboard!$B$2,1,1)&amp;"",Data!$A$2:$A$25001,"&lt;"&amp;DATE(Dashboard!$B$2,1+1,1)&amp;""))</f>
        <v/>
      </c>
      <c r="C112" s="45">
        <f>IF($A112="","",SUMIFS(Data!$H$2:$H$25001,Data!$C$2:$C$25001,$A112,Data!$D$2:$D$25001,"Werken",Data!$A$2:$A$25001,"&gt;="&amp;DATE(Dashboard!$B$2,2,1)&amp;"",Data!$A$2:$A$25001,"&lt;"&amp;DATE(Dashboard!$B$2,2+1,1)&amp;""))</f>
        <v/>
      </c>
      <c r="D112" s="45">
        <f>IF($A112="","",SUMIFS(Data!$H$2:$H$25001,Data!$C$2:$C$25001,$A112,Data!$D$2:$D$25001,"Werken",Data!$A$2:$A$25001,"&gt;="&amp;DATE(Dashboard!$B$2,3,1)&amp;"",Data!$A$2:$A$25001,"&lt;"&amp;DATE(Dashboard!$B$2,3+1,1)&amp;""))</f>
        <v/>
      </c>
      <c r="E112" s="45">
        <f>IF($A112="","",SUMIFS(Data!$H$2:$H$25001,Data!$C$2:$C$25001,$A112,Data!$D$2:$D$25001,"Werken",Data!$A$2:$A$25001,"&gt;="&amp;DATE(Dashboard!$B$2,4,1)&amp;"",Data!$A$2:$A$25001,"&lt;"&amp;DATE(Dashboard!$B$2,4+1,1)&amp;""))</f>
        <v/>
      </c>
      <c r="F112" s="45">
        <f>IF($A112="","",SUMIFS(Data!$H$2:$H$25001,Data!$C$2:$C$25001,$A112,Data!$D$2:$D$25001,"Werken",Data!$A$2:$A$25001,"&gt;="&amp;DATE(Dashboard!$B$2,5,1)&amp;"",Data!$A$2:$A$25001,"&lt;"&amp;DATE(Dashboard!$B$2,5+1,1)&amp;""))</f>
        <v/>
      </c>
      <c r="G112" s="45">
        <f>IF($A112="","",SUMIFS(Data!$H$2:$H$25001,Data!$C$2:$C$25001,$A112,Data!$D$2:$D$25001,"Werken",Data!$A$2:$A$25001,"&gt;="&amp;DATE(Dashboard!$B$2,6,1)&amp;"",Data!$A$2:$A$25001,"&lt;"&amp;DATE(Dashboard!$B$2,6+1,1)&amp;""))</f>
        <v/>
      </c>
      <c r="H112" s="45">
        <f>IF($A112="","",SUMIFS(Data!$H$2:$H$25001,Data!$C$2:$C$25001,$A112,Data!$D$2:$D$25001,"Werken",Data!$A$2:$A$25001,"&gt;="&amp;DATE(Dashboard!$B$2,7,1)&amp;"",Data!$A$2:$A$25001,"&lt;"&amp;DATE(Dashboard!$B$2,7+1,1)&amp;""))</f>
        <v/>
      </c>
      <c r="I112" s="45">
        <f>IF($A112="","",SUMIFS(Data!$H$2:$H$25001,Data!$C$2:$C$25001,$A112,Data!$D$2:$D$25001,"Werken",Data!$A$2:$A$25001,"&gt;="&amp;DATE(Dashboard!$B$2,8,1)&amp;"",Data!$A$2:$A$25001,"&lt;"&amp;DATE(Dashboard!$B$2,8+1,1)&amp;""))</f>
        <v/>
      </c>
      <c r="J112" s="45">
        <f>IF($A112="","",SUMIFS(Data!$H$2:$H$25001,Data!$C$2:$C$25001,$A112,Data!$D$2:$D$25001,"Werken",Data!$A$2:$A$25001,"&gt;="&amp;DATE(Dashboard!$B$2,9,1)&amp;"",Data!$A$2:$A$25001,"&lt;"&amp;DATE(Dashboard!$B$2,9+1,1)&amp;""))</f>
        <v/>
      </c>
      <c r="K112" s="45">
        <f>IF($A112="","",SUMIFS(Data!$H$2:$H$25001,Data!$C$2:$C$25001,$A112,Data!$D$2:$D$25001,"Werken",Data!$A$2:$A$25001,"&gt;="&amp;DATE(Dashboard!$B$2,10,1)&amp;"",Data!$A$2:$A$25001,"&lt;"&amp;DATE(Dashboard!$B$2,10+1,1)&amp;""))</f>
        <v/>
      </c>
      <c r="L112" s="45">
        <f>IF($A112="","",SUMIFS(Data!$H$2:$H$25001,Data!$C$2:$C$25001,$A112,Data!$D$2:$D$25001,"Werken",Data!$A$2:$A$25001,"&gt;="&amp;DATE(Dashboard!$B$2,11,1)&amp;"",Data!$A$2:$A$25001,"&lt;"&amp;DATE(Dashboard!$B$2,11+1,1)&amp;""))</f>
        <v/>
      </c>
      <c r="M112" s="45">
        <f>IF($A112="","",SUMIFS(Data!$H$2:$H$25001,Data!$C$2:$C$25001,$A112,Data!$D$2:$D$25001,"Werken",Data!$A$2:$A$25001,"&gt;="&amp;DATE(Dashboard!$B$2,12,1)&amp;"",Data!$A$2:$A$25001,"&lt;"&amp;DATE(Dashboard!$B$2,12+1,1)&amp;""))</f>
        <v/>
      </c>
      <c r="N112" s="46">
        <f>IF($A112="","",SUM(B112:M112))</f>
        <v/>
      </c>
      <c r="O112" s="51" t="n"/>
      <c r="P112" s="52">
        <f>IF(OR($A112="",O112=""),"",N112*O112)</f>
        <v/>
      </c>
    </row>
    <row r="113" ht="15" customHeight="1" s="30">
      <c r="A113" s="49" t="n"/>
      <c r="B113" s="50">
        <f>IF($A113="","",SUMIFS(Data!$H$2:$H$25001,Data!$C$2:$C$25001,$A113,Data!$D$2:$D$25001,"Werken",Data!$A$2:$A$25001,"&gt;="&amp;DATE(Dashboard!$B$2,1,1)&amp;"",Data!$A$2:$A$25001,"&lt;"&amp;DATE(Dashboard!$B$2,1+1,1)&amp;""))</f>
        <v/>
      </c>
      <c r="C113" s="50">
        <f>IF($A113="","",SUMIFS(Data!$H$2:$H$25001,Data!$C$2:$C$25001,$A113,Data!$D$2:$D$25001,"Werken",Data!$A$2:$A$25001,"&gt;="&amp;DATE(Dashboard!$B$2,2,1)&amp;"",Data!$A$2:$A$25001,"&lt;"&amp;DATE(Dashboard!$B$2,2+1,1)&amp;""))</f>
        <v/>
      </c>
      <c r="D113" s="50">
        <f>IF($A113="","",SUMIFS(Data!$H$2:$H$25001,Data!$C$2:$C$25001,$A113,Data!$D$2:$D$25001,"Werken",Data!$A$2:$A$25001,"&gt;="&amp;DATE(Dashboard!$B$2,3,1)&amp;"",Data!$A$2:$A$25001,"&lt;"&amp;DATE(Dashboard!$B$2,3+1,1)&amp;""))</f>
        <v/>
      </c>
      <c r="E113" s="50">
        <f>IF($A113="","",SUMIFS(Data!$H$2:$H$25001,Data!$C$2:$C$25001,$A113,Data!$D$2:$D$25001,"Werken",Data!$A$2:$A$25001,"&gt;="&amp;DATE(Dashboard!$B$2,4,1)&amp;"",Data!$A$2:$A$25001,"&lt;"&amp;DATE(Dashboard!$B$2,4+1,1)&amp;""))</f>
        <v/>
      </c>
      <c r="F113" s="50">
        <f>IF($A113="","",SUMIFS(Data!$H$2:$H$25001,Data!$C$2:$C$25001,$A113,Data!$D$2:$D$25001,"Werken",Data!$A$2:$A$25001,"&gt;="&amp;DATE(Dashboard!$B$2,5,1)&amp;"",Data!$A$2:$A$25001,"&lt;"&amp;DATE(Dashboard!$B$2,5+1,1)&amp;""))</f>
        <v/>
      </c>
      <c r="G113" s="50">
        <f>IF($A113="","",SUMIFS(Data!$H$2:$H$25001,Data!$C$2:$C$25001,$A113,Data!$D$2:$D$25001,"Werken",Data!$A$2:$A$25001,"&gt;="&amp;DATE(Dashboard!$B$2,6,1)&amp;"",Data!$A$2:$A$25001,"&lt;"&amp;DATE(Dashboard!$B$2,6+1,1)&amp;""))</f>
        <v/>
      </c>
      <c r="H113" s="50">
        <f>IF($A113="","",SUMIFS(Data!$H$2:$H$25001,Data!$C$2:$C$25001,$A113,Data!$D$2:$D$25001,"Werken",Data!$A$2:$A$25001,"&gt;="&amp;DATE(Dashboard!$B$2,7,1)&amp;"",Data!$A$2:$A$25001,"&lt;"&amp;DATE(Dashboard!$B$2,7+1,1)&amp;""))</f>
        <v/>
      </c>
      <c r="I113" s="50">
        <f>IF($A113="","",SUMIFS(Data!$H$2:$H$25001,Data!$C$2:$C$25001,$A113,Data!$D$2:$D$25001,"Werken",Data!$A$2:$A$25001,"&gt;="&amp;DATE(Dashboard!$B$2,8,1)&amp;"",Data!$A$2:$A$25001,"&lt;"&amp;DATE(Dashboard!$B$2,8+1,1)&amp;""))</f>
        <v/>
      </c>
      <c r="J113" s="50">
        <f>IF($A113="","",SUMIFS(Data!$H$2:$H$25001,Data!$C$2:$C$25001,$A113,Data!$D$2:$D$25001,"Werken",Data!$A$2:$A$25001,"&gt;="&amp;DATE(Dashboard!$B$2,9,1)&amp;"",Data!$A$2:$A$25001,"&lt;"&amp;DATE(Dashboard!$B$2,9+1,1)&amp;""))</f>
        <v/>
      </c>
      <c r="K113" s="50">
        <f>IF($A113="","",SUMIFS(Data!$H$2:$H$25001,Data!$C$2:$C$25001,$A113,Data!$D$2:$D$25001,"Werken",Data!$A$2:$A$25001,"&gt;="&amp;DATE(Dashboard!$B$2,10,1)&amp;"",Data!$A$2:$A$25001,"&lt;"&amp;DATE(Dashboard!$B$2,10+1,1)&amp;""))</f>
        <v/>
      </c>
      <c r="L113" s="50">
        <f>IF($A113="","",SUMIFS(Data!$H$2:$H$25001,Data!$C$2:$C$25001,$A113,Data!$D$2:$D$25001,"Werken",Data!$A$2:$A$25001,"&gt;="&amp;DATE(Dashboard!$B$2,11,1)&amp;"",Data!$A$2:$A$25001,"&lt;"&amp;DATE(Dashboard!$B$2,11+1,1)&amp;""))</f>
        <v/>
      </c>
      <c r="M113" s="50">
        <f>IF($A113="","",SUMIFS(Data!$H$2:$H$25001,Data!$C$2:$C$25001,$A113,Data!$D$2:$D$25001,"Werken",Data!$A$2:$A$25001,"&gt;="&amp;DATE(Dashboard!$B$2,12,1)&amp;"",Data!$A$2:$A$25001,"&lt;"&amp;DATE(Dashboard!$B$2,12+1,1)&amp;""))</f>
        <v/>
      </c>
      <c r="N113" s="46">
        <f>IF($A113="","",SUM(B113:M113))</f>
        <v/>
      </c>
      <c r="O113" s="51" t="n"/>
      <c r="P113" s="52">
        <f>IF(OR($A113="",O113=""),"",N113*O113)</f>
        <v/>
      </c>
    </row>
    <row r="114" ht="15" customHeight="1" s="30">
      <c r="A114" s="49" t="n"/>
      <c r="B114" s="45">
        <f>IF($A114="","",SUMIFS(Data!$H$2:$H$25001,Data!$C$2:$C$25001,$A114,Data!$D$2:$D$25001,"Werken",Data!$A$2:$A$25001,"&gt;="&amp;DATE(Dashboard!$B$2,1,1)&amp;"",Data!$A$2:$A$25001,"&lt;"&amp;DATE(Dashboard!$B$2,1+1,1)&amp;""))</f>
        <v/>
      </c>
      <c r="C114" s="45">
        <f>IF($A114="","",SUMIFS(Data!$H$2:$H$25001,Data!$C$2:$C$25001,$A114,Data!$D$2:$D$25001,"Werken",Data!$A$2:$A$25001,"&gt;="&amp;DATE(Dashboard!$B$2,2,1)&amp;"",Data!$A$2:$A$25001,"&lt;"&amp;DATE(Dashboard!$B$2,2+1,1)&amp;""))</f>
        <v/>
      </c>
      <c r="D114" s="45">
        <f>IF($A114="","",SUMIFS(Data!$H$2:$H$25001,Data!$C$2:$C$25001,$A114,Data!$D$2:$D$25001,"Werken",Data!$A$2:$A$25001,"&gt;="&amp;DATE(Dashboard!$B$2,3,1)&amp;"",Data!$A$2:$A$25001,"&lt;"&amp;DATE(Dashboard!$B$2,3+1,1)&amp;""))</f>
        <v/>
      </c>
      <c r="E114" s="45">
        <f>IF($A114="","",SUMIFS(Data!$H$2:$H$25001,Data!$C$2:$C$25001,$A114,Data!$D$2:$D$25001,"Werken",Data!$A$2:$A$25001,"&gt;="&amp;DATE(Dashboard!$B$2,4,1)&amp;"",Data!$A$2:$A$25001,"&lt;"&amp;DATE(Dashboard!$B$2,4+1,1)&amp;""))</f>
        <v/>
      </c>
      <c r="F114" s="45">
        <f>IF($A114="","",SUMIFS(Data!$H$2:$H$25001,Data!$C$2:$C$25001,$A114,Data!$D$2:$D$25001,"Werken",Data!$A$2:$A$25001,"&gt;="&amp;DATE(Dashboard!$B$2,5,1)&amp;"",Data!$A$2:$A$25001,"&lt;"&amp;DATE(Dashboard!$B$2,5+1,1)&amp;""))</f>
        <v/>
      </c>
      <c r="G114" s="45">
        <f>IF($A114="","",SUMIFS(Data!$H$2:$H$25001,Data!$C$2:$C$25001,$A114,Data!$D$2:$D$25001,"Werken",Data!$A$2:$A$25001,"&gt;="&amp;DATE(Dashboard!$B$2,6,1)&amp;"",Data!$A$2:$A$25001,"&lt;"&amp;DATE(Dashboard!$B$2,6+1,1)&amp;""))</f>
        <v/>
      </c>
      <c r="H114" s="45">
        <f>IF($A114="","",SUMIFS(Data!$H$2:$H$25001,Data!$C$2:$C$25001,$A114,Data!$D$2:$D$25001,"Werken",Data!$A$2:$A$25001,"&gt;="&amp;DATE(Dashboard!$B$2,7,1)&amp;"",Data!$A$2:$A$25001,"&lt;"&amp;DATE(Dashboard!$B$2,7+1,1)&amp;""))</f>
        <v/>
      </c>
      <c r="I114" s="45">
        <f>IF($A114="","",SUMIFS(Data!$H$2:$H$25001,Data!$C$2:$C$25001,$A114,Data!$D$2:$D$25001,"Werken",Data!$A$2:$A$25001,"&gt;="&amp;DATE(Dashboard!$B$2,8,1)&amp;"",Data!$A$2:$A$25001,"&lt;"&amp;DATE(Dashboard!$B$2,8+1,1)&amp;""))</f>
        <v/>
      </c>
      <c r="J114" s="45">
        <f>IF($A114="","",SUMIFS(Data!$H$2:$H$25001,Data!$C$2:$C$25001,$A114,Data!$D$2:$D$25001,"Werken",Data!$A$2:$A$25001,"&gt;="&amp;DATE(Dashboard!$B$2,9,1)&amp;"",Data!$A$2:$A$25001,"&lt;"&amp;DATE(Dashboard!$B$2,9+1,1)&amp;""))</f>
        <v/>
      </c>
      <c r="K114" s="45">
        <f>IF($A114="","",SUMIFS(Data!$H$2:$H$25001,Data!$C$2:$C$25001,$A114,Data!$D$2:$D$25001,"Werken",Data!$A$2:$A$25001,"&gt;="&amp;DATE(Dashboard!$B$2,10,1)&amp;"",Data!$A$2:$A$25001,"&lt;"&amp;DATE(Dashboard!$B$2,10+1,1)&amp;""))</f>
        <v/>
      </c>
      <c r="L114" s="45">
        <f>IF($A114="","",SUMIFS(Data!$H$2:$H$25001,Data!$C$2:$C$25001,$A114,Data!$D$2:$D$25001,"Werken",Data!$A$2:$A$25001,"&gt;="&amp;DATE(Dashboard!$B$2,11,1)&amp;"",Data!$A$2:$A$25001,"&lt;"&amp;DATE(Dashboard!$B$2,11+1,1)&amp;""))</f>
        <v/>
      </c>
      <c r="M114" s="45">
        <f>IF($A114="","",SUMIFS(Data!$H$2:$H$25001,Data!$C$2:$C$25001,$A114,Data!$D$2:$D$25001,"Werken",Data!$A$2:$A$25001,"&gt;="&amp;DATE(Dashboard!$B$2,12,1)&amp;"",Data!$A$2:$A$25001,"&lt;"&amp;DATE(Dashboard!$B$2,12+1,1)&amp;""))</f>
        <v/>
      </c>
      <c r="N114" s="46">
        <f>IF($A114="","",SUM(B114:M114))</f>
        <v/>
      </c>
      <c r="O114" s="51" t="n"/>
      <c r="P114" s="52">
        <f>IF(OR($A114="",O114=""),"",N114*O114)</f>
        <v/>
      </c>
    </row>
    <row r="115" ht="15" customHeight="1" s="30">
      <c r="A115" s="49" t="n"/>
      <c r="B115" s="50">
        <f>IF($A115="","",SUMIFS(Data!$H$2:$H$25001,Data!$C$2:$C$25001,$A115,Data!$D$2:$D$25001,"Werken",Data!$A$2:$A$25001,"&gt;="&amp;DATE(Dashboard!$B$2,1,1)&amp;"",Data!$A$2:$A$25001,"&lt;"&amp;DATE(Dashboard!$B$2,1+1,1)&amp;""))</f>
        <v/>
      </c>
      <c r="C115" s="50">
        <f>IF($A115="","",SUMIFS(Data!$H$2:$H$25001,Data!$C$2:$C$25001,$A115,Data!$D$2:$D$25001,"Werken",Data!$A$2:$A$25001,"&gt;="&amp;DATE(Dashboard!$B$2,2,1)&amp;"",Data!$A$2:$A$25001,"&lt;"&amp;DATE(Dashboard!$B$2,2+1,1)&amp;""))</f>
        <v/>
      </c>
      <c r="D115" s="50">
        <f>IF($A115="","",SUMIFS(Data!$H$2:$H$25001,Data!$C$2:$C$25001,$A115,Data!$D$2:$D$25001,"Werken",Data!$A$2:$A$25001,"&gt;="&amp;DATE(Dashboard!$B$2,3,1)&amp;"",Data!$A$2:$A$25001,"&lt;"&amp;DATE(Dashboard!$B$2,3+1,1)&amp;""))</f>
        <v/>
      </c>
      <c r="E115" s="50">
        <f>IF($A115="","",SUMIFS(Data!$H$2:$H$25001,Data!$C$2:$C$25001,$A115,Data!$D$2:$D$25001,"Werken",Data!$A$2:$A$25001,"&gt;="&amp;DATE(Dashboard!$B$2,4,1)&amp;"",Data!$A$2:$A$25001,"&lt;"&amp;DATE(Dashboard!$B$2,4+1,1)&amp;""))</f>
        <v/>
      </c>
      <c r="F115" s="50">
        <f>IF($A115="","",SUMIFS(Data!$H$2:$H$25001,Data!$C$2:$C$25001,$A115,Data!$D$2:$D$25001,"Werken",Data!$A$2:$A$25001,"&gt;="&amp;DATE(Dashboard!$B$2,5,1)&amp;"",Data!$A$2:$A$25001,"&lt;"&amp;DATE(Dashboard!$B$2,5+1,1)&amp;""))</f>
        <v/>
      </c>
      <c r="G115" s="50">
        <f>IF($A115="","",SUMIFS(Data!$H$2:$H$25001,Data!$C$2:$C$25001,$A115,Data!$D$2:$D$25001,"Werken",Data!$A$2:$A$25001,"&gt;="&amp;DATE(Dashboard!$B$2,6,1)&amp;"",Data!$A$2:$A$25001,"&lt;"&amp;DATE(Dashboard!$B$2,6+1,1)&amp;""))</f>
        <v/>
      </c>
      <c r="H115" s="50">
        <f>IF($A115="","",SUMIFS(Data!$H$2:$H$25001,Data!$C$2:$C$25001,$A115,Data!$D$2:$D$25001,"Werken",Data!$A$2:$A$25001,"&gt;="&amp;DATE(Dashboard!$B$2,7,1)&amp;"",Data!$A$2:$A$25001,"&lt;"&amp;DATE(Dashboard!$B$2,7+1,1)&amp;""))</f>
        <v/>
      </c>
      <c r="I115" s="50">
        <f>IF($A115="","",SUMIFS(Data!$H$2:$H$25001,Data!$C$2:$C$25001,$A115,Data!$D$2:$D$25001,"Werken",Data!$A$2:$A$25001,"&gt;="&amp;DATE(Dashboard!$B$2,8,1)&amp;"",Data!$A$2:$A$25001,"&lt;"&amp;DATE(Dashboard!$B$2,8+1,1)&amp;""))</f>
        <v/>
      </c>
      <c r="J115" s="50">
        <f>IF($A115="","",SUMIFS(Data!$H$2:$H$25001,Data!$C$2:$C$25001,$A115,Data!$D$2:$D$25001,"Werken",Data!$A$2:$A$25001,"&gt;="&amp;DATE(Dashboard!$B$2,9,1)&amp;"",Data!$A$2:$A$25001,"&lt;"&amp;DATE(Dashboard!$B$2,9+1,1)&amp;""))</f>
        <v/>
      </c>
      <c r="K115" s="50">
        <f>IF($A115="","",SUMIFS(Data!$H$2:$H$25001,Data!$C$2:$C$25001,$A115,Data!$D$2:$D$25001,"Werken",Data!$A$2:$A$25001,"&gt;="&amp;DATE(Dashboard!$B$2,10,1)&amp;"",Data!$A$2:$A$25001,"&lt;"&amp;DATE(Dashboard!$B$2,10+1,1)&amp;""))</f>
        <v/>
      </c>
      <c r="L115" s="50">
        <f>IF($A115="","",SUMIFS(Data!$H$2:$H$25001,Data!$C$2:$C$25001,$A115,Data!$D$2:$D$25001,"Werken",Data!$A$2:$A$25001,"&gt;="&amp;DATE(Dashboard!$B$2,11,1)&amp;"",Data!$A$2:$A$25001,"&lt;"&amp;DATE(Dashboard!$B$2,11+1,1)&amp;""))</f>
        <v/>
      </c>
      <c r="M115" s="50">
        <f>IF($A115="","",SUMIFS(Data!$H$2:$H$25001,Data!$C$2:$C$25001,$A115,Data!$D$2:$D$25001,"Werken",Data!$A$2:$A$25001,"&gt;="&amp;DATE(Dashboard!$B$2,12,1)&amp;"",Data!$A$2:$A$25001,"&lt;"&amp;DATE(Dashboard!$B$2,12+1,1)&amp;""))</f>
        <v/>
      </c>
      <c r="N115" s="46">
        <f>IF($A115="","",SUM(B115:M115))</f>
        <v/>
      </c>
      <c r="O115" s="51" t="n"/>
      <c r="P115" s="52">
        <f>IF(OR($A115="",O115=""),"",N115*O115)</f>
        <v/>
      </c>
    </row>
    <row r="116" ht="15" customHeight="1" s="30">
      <c r="A116" s="49" t="n"/>
      <c r="B116" s="45">
        <f>IF($A116="","",SUMIFS(Data!$H$2:$H$25001,Data!$C$2:$C$25001,$A116,Data!$D$2:$D$25001,"Werken",Data!$A$2:$A$25001,"&gt;="&amp;DATE(Dashboard!$B$2,1,1)&amp;"",Data!$A$2:$A$25001,"&lt;"&amp;DATE(Dashboard!$B$2,1+1,1)&amp;""))</f>
        <v/>
      </c>
      <c r="C116" s="45">
        <f>IF($A116="","",SUMIFS(Data!$H$2:$H$25001,Data!$C$2:$C$25001,$A116,Data!$D$2:$D$25001,"Werken",Data!$A$2:$A$25001,"&gt;="&amp;DATE(Dashboard!$B$2,2,1)&amp;"",Data!$A$2:$A$25001,"&lt;"&amp;DATE(Dashboard!$B$2,2+1,1)&amp;""))</f>
        <v/>
      </c>
      <c r="D116" s="45">
        <f>IF($A116="","",SUMIFS(Data!$H$2:$H$25001,Data!$C$2:$C$25001,$A116,Data!$D$2:$D$25001,"Werken",Data!$A$2:$A$25001,"&gt;="&amp;DATE(Dashboard!$B$2,3,1)&amp;"",Data!$A$2:$A$25001,"&lt;"&amp;DATE(Dashboard!$B$2,3+1,1)&amp;""))</f>
        <v/>
      </c>
      <c r="E116" s="45">
        <f>IF($A116="","",SUMIFS(Data!$H$2:$H$25001,Data!$C$2:$C$25001,$A116,Data!$D$2:$D$25001,"Werken",Data!$A$2:$A$25001,"&gt;="&amp;DATE(Dashboard!$B$2,4,1)&amp;"",Data!$A$2:$A$25001,"&lt;"&amp;DATE(Dashboard!$B$2,4+1,1)&amp;""))</f>
        <v/>
      </c>
      <c r="F116" s="45">
        <f>IF($A116="","",SUMIFS(Data!$H$2:$H$25001,Data!$C$2:$C$25001,$A116,Data!$D$2:$D$25001,"Werken",Data!$A$2:$A$25001,"&gt;="&amp;DATE(Dashboard!$B$2,5,1)&amp;"",Data!$A$2:$A$25001,"&lt;"&amp;DATE(Dashboard!$B$2,5+1,1)&amp;""))</f>
        <v/>
      </c>
      <c r="G116" s="45">
        <f>IF($A116="","",SUMIFS(Data!$H$2:$H$25001,Data!$C$2:$C$25001,$A116,Data!$D$2:$D$25001,"Werken",Data!$A$2:$A$25001,"&gt;="&amp;DATE(Dashboard!$B$2,6,1)&amp;"",Data!$A$2:$A$25001,"&lt;"&amp;DATE(Dashboard!$B$2,6+1,1)&amp;""))</f>
        <v/>
      </c>
      <c r="H116" s="45">
        <f>IF($A116="","",SUMIFS(Data!$H$2:$H$25001,Data!$C$2:$C$25001,$A116,Data!$D$2:$D$25001,"Werken",Data!$A$2:$A$25001,"&gt;="&amp;DATE(Dashboard!$B$2,7,1)&amp;"",Data!$A$2:$A$25001,"&lt;"&amp;DATE(Dashboard!$B$2,7+1,1)&amp;""))</f>
        <v/>
      </c>
      <c r="I116" s="45">
        <f>IF($A116="","",SUMIFS(Data!$H$2:$H$25001,Data!$C$2:$C$25001,$A116,Data!$D$2:$D$25001,"Werken",Data!$A$2:$A$25001,"&gt;="&amp;DATE(Dashboard!$B$2,8,1)&amp;"",Data!$A$2:$A$25001,"&lt;"&amp;DATE(Dashboard!$B$2,8+1,1)&amp;""))</f>
        <v/>
      </c>
      <c r="J116" s="45">
        <f>IF($A116="","",SUMIFS(Data!$H$2:$H$25001,Data!$C$2:$C$25001,$A116,Data!$D$2:$D$25001,"Werken",Data!$A$2:$A$25001,"&gt;="&amp;DATE(Dashboard!$B$2,9,1)&amp;"",Data!$A$2:$A$25001,"&lt;"&amp;DATE(Dashboard!$B$2,9+1,1)&amp;""))</f>
        <v/>
      </c>
      <c r="K116" s="45">
        <f>IF($A116="","",SUMIFS(Data!$H$2:$H$25001,Data!$C$2:$C$25001,$A116,Data!$D$2:$D$25001,"Werken",Data!$A$2:$A$25001,"&gt;="&amp;DATE(Dashboard!$B$2,10,1)&amp;"",Data!$A$2:$A$25001,"&lt;"&amp;DATE(Dashboard!$B$2,10+1,1)&amp;""))</f>
        <v/>
      </c>
      <c r="L116" s="45">
        <f>IF($A116="","",SUMIFS(Data!$H$2:$H$25001,Data!$C$2:$C$25001,$A116,Data!$D$2:$D$25001,"Werken",Data!$A$2:$A$25001,"&gt;="&amp;DATE(Dashboard!$B$2,11,1)&amp;"",Data!$A$2:$A$25001,"&lt;"&amp;DATE(Dashboard!$B$2,11+1,1)&amp;""))</f>
        <v/>
      </c>
      <c r="M116" s="45">
        <f>IF($A116="","",SUMIFS(Data!$H$2:$H$25001,Data!$C$2:$C$25001,$A116,Data!$D$2:$D$25001,"Werken",Data!$A$2:$A$25001,"&gt;="&amp;DATE(Dashboard!$B$2,12,1)&amp;"",Data!$A$2:$A$25001,"&lt;"&amp;DATE(Dashboard!$B$2,12+1,1)&amp;""))</f>
        <v/>
      </c>
      <c r="N116" s="46">
        <f>IF($A116="","",SUM(B116:M116))</f>
        <v/>
      </c>
      <c r="O116" s="51" t="n"/>
      <c r="P116" s="52">
        <f>IF(OR($A116="",O116=""),"",N116*O116)</f>
        <v/>
      </c>
    </row>
    <row r="117" ht="15" customHeight="1" s="30">
      <c r="A117" s="49" t="n"/>
      <c r="B117" s="50">
        <f>IF($A117="","",SUMIFS(Data!$H$2:$H$25001,Data!$C$2:$C$25001,$A117,Data!$D$2:$D$25001,"Werken",Data!$A$2:$A$25001,"&gt;="&amp;DATE(Dashboard!$B$2,1,1)&amp;"",Data!$A$2:$A$25001,"&lt;"&amp;DATE(Dashboard!$B$2,1+1,1)&amp;""))</f>
        <v/>
      </c>
      <c r="C117" s="50">
        <f>IF($A117="","",SUMIFS(Data!$H$2:$H$25001,Data!$C$2:$C$25001,$A117,Data!$D$2:$D$25001,"Werken",Data!$A$2:$A$25001,"&gt;="&amp;DATE(Dashboard!$B$2,2,1)&amp;"",Data!$A$2:$A$25001,"&lt;"&amp;DATE(Dashboard!$B$2,2+1,1)&amp;""))</f>
        <v/>
      </c>
      <c r="D117" s="50">
        <f>IF($A117="","",SUMIFS(Data!$H$2:$H$25001,Data!$C$2:$C$25001,$A117,Data!$D$2:$D$25001,"Werken",Data!$A$2:$A$25001,"&gt;="&amp;DATE(Dashboard!$B$2,3,1)&amp;"",Data!$A$2:$A$25001,"&lt;"&amp;DATE(Dashboard!$B$2,3+1,1)&amp;""))</f>
        <v/>
      </c>
      <c r="E117" s="50">
        <f>IF($A117="","",SUMIFS(Data!$H$2:$H$25001,Data!$C$2:$C$25001,$A117,Data!$D$2:$D$25001,"Werken",Data!$A$2:$A$25001,"&gt;="&amp;DATE(Dashboard!$B$2,4,1)&amp;"",Data!$A$2:$A$25001,"&lt;"&amp;DATE(Dashboard!$B$2,4+1,1)&amp;""))</f>
        <v/>
      </c>
      <c r="F117" s="50">
        <f>IF($A117="","",SUMIFS(Data!$H$2:$H$25001,Data!$C$2:$C$25001,$A117,Data!$D$2:$D$25001,"Werken",Data!$A$2:$A$25001,"&gt;="&amp;DATE(Dashboard!$B$2,5,1)&amp;"",Data!$A$2:$A$25001,"&lt;"&amp;DATE(Dashboard!$B$2,5+1,1)&amp;""))</f>
        <v/>
      </c>
      <c r="G117" s="50">
        <f>IF($A117="","",SUMIFS(Data!$H$2:$H$25001,Data!$C$2:$C$25001,$A117,Data!$D$2:$D$25001,"Werken",Data!$A$2:$A$25001,"&gt;="&amp;DATE(Dashboard!$B$2,6,1)&amp;"",Data!$A$2:$A$25001,"&lt;"&amp;DATE(Dashboard!$B$2,6+1,1)&amp;""))</f>
        <v/>
      </c>
      <c r="H117" s="50">
        <f>IF($A117="","",SUMIFS(Data!$H$2:$H$25001,Data!$C$2:$C$25001,$A117,Data!$D$2:$D$25001,"Werken",Data!$A$2:$A$25001,"&gt;="&amp;DATE(Dashboard!$B$2,7,1)&amp;"",Data!$A$2:$A$25001,"&lt;"&amp;DATE(Dashboard!$B$2,7+1,1)&amp;""))</f>
        <v/>
      </c>
      <c r="I117" s="50">
        <f>IF($A117="","",SUMIFS(Data!$H$2:$H$25001,Data!$C$2:$C$25001,$A117,Data!$D$2:$D$25001,"Werken",Data!$A$2:$A$25001,"&gt;="&amp;DATE(Dashboard!$B$2,8,1)&amp;"",Data!$A$2:$A$25001,"&lt;"&amp;DATE(Dashboard!$B$2,8+1,1)&amp;""))</f>
        <v/>
      </c>
      <c r="J117" s="50">
        <f>IF($A117="","",SUMIFS(Data!$H$2:$H$25001,Data!$C$2:$C$25001,$A117,Data!$D$2:$D$25001,"Werken",Data!$A$2:$A$25001,"&gt;="&amp;DATE(Dashboard!$B$2,9,1)&amp;"",Data!$A$2:$A$25001,"&lt;"&amp;DATE(Dashboard!$B$2,9+1,1)&amp;""))</f>
        <v/>
      </c>
      <c r="K117" s="50">
        <f>IF($A117="","",SUMIFS(Data!$H$2:$H$25001,Data!$C$2:$C$25001,$A117,Data!$D$2:$D$25001,"Werken",Data!$A$2:$A$25001,"&gt;="&amp;DATE(Dashboard!$B$2,10,1)&amp;"",Data!$A$2:$A$25001,"&lt;"&amp;DATE(Dashboard!$B$2,10+1,1)&amp;""))</f>
        <v/>
      </c>
      <c r="L117" s="50">
        <f>IF($A117="","",SUMIFS(Data!$H$2:$H$25001,Data!$C$2:$C$25001,$A117,Data!$D$2:$D$25001,"Werken",Data!$A$2:$A$25001,"&gt;="&amp;DATE(Dashboard!$B$2,11,1)&amp;"",Data!$A$2:$A$25001,"&lt;"&amp;DATE(Dashboard!$B$2,11+1,1)&amp;""))</f>
        <v/>
      </c>
      <c r="M117" s="50">
        <f>IF($A117="","",SUMIFS(Data!$H$2:$H$25001,Data!$C$2:$C$25001,$A117,Data!$D$2:$D$25001,"Werken",Data!$A$2:$A$25001,"&gt;="&amp;DATE(Dashboard!$B$2,12,1)&amp;"",Data!$A$2:$A$25001,"&lt;"&amp;DATE(Dashboard!$B$2,12+1,1)&amp;""))</f>
        <v/>
      </c>
      <c r="N117" s="46">
        <f>IF($A117="","",SUM(B117:M117))</f>
        <v/>
      </c>
      <c r="O117" s="51" t="n"/>
      <c r="P117" s="52">
        <f>IF(OR($A117="",O117=""),"",N117*O117)</f>
        <v/>
      </c>
    </row>
    <row r="118" ht="15" customHeight="1" s="30">
      <c r="A118" s="49" t="n"/>
      <c r="B118" s="45">
        <f>IF($A118="","",SUMIFS(Data!$H$2:$H$25001,Data!$C$2:$C$25001,$A118,Data!$D$2:$D$25001,"Werken",Data!$A$2:$A$25001,"&gt;="&amp;DATE(Dashboard!$B$2,1,1)&amp;"",Data!$A$2:$A$25001,"&lt;"&amp;DATE(Dashboard!$B$2,1+1,1)&amp;""))</f>
        <v/>
      </c>
      <c r="C118" s="45">
        <f>IF($A118="","",SUMIFS(Data!$H$2:$H$25001,Data!$C$2:$C$25001,$A118,Data!$D$2:$D$25001,"Werken",Data!$A$2:$A$25001,"&gt;="&amp;DATE(Dashboard!$B$2,2,1)&amp;"",Data!$A$2:$A$25001,"&lt;"&amp;DATE(Dashboard!$B$2,2+1,1)&amp;""))</f>
        <v/>
      </c>
      <c r="D118" s="45">
        <f>IF($A118="","",SUMIFS(Data!$H$2:$H$25001,Data!$C$2:$C$25001,$A118,Data!$D$2:$D$25001,"Werken",Data!$A$2:$A$25001,"&gt;="&amp;DATE(Dashboard!$B$2,3,1)&amp;"",Data!$A$2:$A$25001,"&lt;"&amp;DATE(Dashboard!$B$2,3+1,1)&amp;""))</f>
        <v/>
      </c>
      <c r="E118" s="45">
        <f>IF($A118="","",SUMIFS(Data!$H$2:$H$25001,Data!$C$2:$C$25001,$A118,Data!$D$2:$D$25001,"Werken",Data!$A$2:$A$25001,"&gt;="&amp;DATE(Dashboard!$B$2,4,1)&amp;"",Data!$A$2:$A$25001,"&lt;"&amp;DATE(Dashboard!$B$2,4+1,1)&amp;""))</f>
        <v/>
      </c>
      <c r="F118" s="45">
        <f>IF($A118="","",SUMIFS(Data!$H$2:$H$25001,Data!$C$2:$C$25001,$A118,Data!$D$2:$D$25001,"Werken",Data!$A$2:$A$25001,"&gt;="&amp;DATE(Dashboard!$B$2,5,1)&amp;"",Data!$A$2:$A$25001,"&lt;"&amp;DATE(Dashboard!$B$2,5+1,1)&amp;""))</f>
        <v/>
      </c>
      <c r="G118" s="45">
        <f>IF($A118="","",SUMIFS(Data!$H$2:$H$25001,Data!$C$2:$C$25001,$A118,Data!$D$2:$D$25001,"Werken",Data!$A$2:$A$25001,"&gt;="&amp;DATE(Dashboard!$B$2,6,1)&amp;"",Data!$A$2:$A$25001,"&lt;"&amp;DATE(Dashboard!$B$2,6+1,1)&amp;""))</f>
        <v/>
      </c>
      <c r="H118" s="45">
        <f>IF($A118="","",SUMIFS(Data!$H$2:$H$25001,Data!$C$2:$C$25001,$A118,Data!$D$2:$D$25001,"Werken",Data!$A$2:$A$25001,"&gt;="&amp;DATE(Dashboard!$B$2,7,1)&amp;"",Data!$A$2:$A$25001,"&lt;"&amp;DATE(Dashboard!$B$2,7+1,1)&amp;""))</f>
        <v/>
      </c>
      <c r="I118" s="45">
        <f>IF($A118="","",SUMIFS(Data!$H$2:$H$25001,Data!$C$2:$C$25001,$A118,Data!$D$2:$D$25001,"Werken",Data!$A$2:$A$25001,"&gt;="&amp;DATE(Dashboard!$B$2,8,1)&amp;"",Data!$A$2:$A$25001,"&lt;"&amp;DATE(Dashboard!$B$2,8+1,1)&amp;""))</f>
        <v/>
      </c>
      <c r="J118" s="45">
        <f>IF($A118="","",SUMIFS(Data!$H$2:$H$25001,Data!$C$2:$C$25001,$A118,Data!$D$2:$D$25001,"Werken",Data!$A$2:$A$25001,"&gt;="&amp;DATE(Dashboard!$B$2,9,1)&amp;"",Data!$A$2:$A$25001,"&lt;"&amp;DATE(Dashboard!$B$2,9+1,1)&amp;""))</f>
        <v/>
      </c>
      <c r="K118" s="45">
        <f>IF($A118="","",SUMIFS(Data!$H$2:$H$25001,Data!$C$2:$C$25001,$A118,Data!$D$2:$D$25001,"Werken",Data!$A$2:$A$25001,"&gt;="&amp;DATE(Dashboard!$B$2,10,1)&amp;"",Data!$A$2:$A$25001,"&lt;"&amp;DATE(Dashboard!$B$2,10+1,1)&amp;""))</f>
        <v/>
      </c>
      <c r="L118" s="45">
        <f>IF($A118="","",SUMIFS(Data!$H$2:$H$25001,Data!$C$2:$C$25001,$A118,Data!$D$2:$D$25001,"Werken",Data!$A$2:$A$25001,"&gt;="&amp;DATE(Dashboard!$B$2,11,1)&amp;"",Data!$A$2:$A$25001,"&lt;"&amp;DATE(Dashboard!$B$2,11+1,1)&amp;""))</f>
        <v/>
      </c>
      <c r="M118" s="45">
        <f>IF($A118="","",SUMIFS(Data!$H$2:$H$25001,Data!$C$2:$C$25001,$A118,Data!$D$2:$D$25001,"Werken",Data!$A$2:$A$25001,"&gt;="&amp;DATE(Dashboard!$B$2,12,1)&amp;"",Data!$A$2:$A$25001,"&lt;"&amp;DATE(Dashboard!$B$2,12+1,1)&amp;""))</f>
        <v/>
      </c>
      <c r="N118" s="46">
        <f>IF($A118="","",SUM(B118:M118))</f>
        <v/>
      </c>
      <c r="O118" s="51" t="n"/>
      <c r="P118" s="52">
        <f>IF(OR($A118="",O118=""),"",N118*O118)</f>
        <v/>
      </c>
    </row>
    <row r="119" ht="15" customHeight="1" s="30">
      <c r="A119" s="49" t="n"/>
      <c r="B119" s="50">
        <f>IF($A119="","",SUMIFS(Data!$H$2:$H$25001,Data!$C$2:$C$25001,$A119,Data!$D$2:$D$25001,"Werken",Data!$A$2:$A$25001,"&gt;="&amp;DATE(Dashboard!$B$2,1,1)&amp;"",Data!$A$2:$A$25001,"&lt;"&amp;DATE(Dashboard!$B$2,1+1,1)&amp;""))</f>
        <v/>
      </c>
      <c r="C119" s="50">
        <f>IF($A119="","",SUMIFS(Data!$H$2:$H$25001,Data!$C$2:$C$25001,$A119,Data!$D$2:$D$25001,"Werken",Data!$A$2:$A$25001,"&gt;="&amp;DATE(Dashboard!$B$2,2,1)&amp;"",Data!$A$2:$A$25001,"&lt;"&amp;DATE(Dashboard!$B$2,2+1,1)&amp;""))</f>
        <v/>
      </c>
      <c r="D119" s="50">
        <f>IF($A119="","",SUMIFS(Data!$H$2:$H$25001,Data!$C$2:$C$25001,$A119,Data!$D$2:$D$25001,"Werken",Data!$A$2:$A$25001,"&gt;="&amp;DATE(Dashboard!$B$2,3,1)&amp;"",Data!$A$2:$A$25001,"&lt;"&amp;DATE(Dashboard!$B$2,3+1,1)&amp;""))</f>
        <v/>
      </c>
      <c r="E119" s="50">
        <f>IF($A119="","",SUMIFS(Data!$H$2:$H$25001,Data!$C$2:$C$25001,$A119,Data!$D$2:$D$25001,"Werken",Data!$A$2:$A$25001,"&gt;="&amp;DATE(Dashboard!$B$2,4,1)&amp;"",Data!$A$2:$A$25001,"&lt;"&amp;DATE(Dashboard!$B$2,4+1,1)&amp;""))</f>
        <v/>
      </c>
      <c r="F119" s="50">
        <f>IF($A119="","",SUMIFS(Data!$H$2:$H$25001,Data!$C$2:$C$25001,$A119,Data!$D$2:$D$25001,"Werken",Data!$A$2:$A$25001,"&gt;="&amp;DATE(Dashboard!$B$2,5,1)&amp;"",Data!$A$2:$A$25001,"&lt;"&amp;DATE(Dashboard!$B$2,5+1,1)&amp;""))</f>
        <v/>
      </c>
      <c r="G119" s="50">
        <f>IF($A119="","",SUMIFS(Data!$H$2:$H$25001,Data!$C$2:$C$25001,$A119,Data!$D$2:$D$25001,"Werken",Data!$A$2:$A$25001,"&gt;="&amp;DATE(Dashboard!$B$2,6,1)&amp;"",Data!$A$2:$A$25001,"&lt;"&amp;DATE(Dashboard!$B$2,6+1,1)&amp;""))</f>
        <v/>
      </c>
      <c r="H119" s="50">
        <f>IF($A119="","",SUMIFS(Data!$H$2:$H$25001,Data!$C$2:$C$25001,$A119,Data!$D$2:$D$25001,"Werken",Data!$A$2:$A$25001,"&gt;="&amp;DATE(Dashboard!$B$2,7,1)&amp;"",Data!$A$2:$A$25001,"&lt;"&amp;DATE(Dashboard!$B$2,7+1,1)&amp;""))</f>
        <v/>
      </c>
      <c r="I119" s="50">
        <f>IF($A119="","",SUMIFS(Data!$H$2:$H$25001,Data!$C$2:$C$25001,$A119,Data!$D$2:$D$25001,"Werken",Data!$A$2:$A$25001,"&gt;="&amp;DATE(Dashboard!$B$2,8,1)&amp;"",Data!$A$2:$A$25001,"&lt;"&amp;DATE(Dashboard!$B$2,8+1,1)&amp;""))</f>
        <v/>
      </c>
      <c r="J119" s="50">
        <f>IF($A119="","",SUMIFS(Data!$H$2:$H$25001,Data!$C$2:$C$25001,$A119,Data!$D$2:$D$25001,"Werken",Data!$A$2:$A$25001,"&gt;="&amp;DATE(Dashboard!$B$2,9,1)&amp;"",Data!$A$2:$A$25001,"&lt;"&amp;DATE(Dashboard!$B$2,9+1,1)&amp;""))</f>
        <v/>
      </c>
      <c r="K119" s="50">
        <f>IF($A119="","",SUMIFS(Data!$H$2:$H$25001,Data!$C$2:$C$25001,$A119,Data!$D$2:$D$25001,"Werken",Data!$A$2:$A$25001,"&gt;="&amp;DATE(Dashboard!$B$2,10,1)&amp;"",Data!$A$2:$A$25001,"&lt;"&amp;DATE(Dashboard!$B$2,10+1,1)&amp;""))</f>
        <v/>
      </c>
      <c r="L119" s="50">
        <f>IF($A119="","",SUMIFS(Data!$H$2:$H$25001,Data!$C$2:$C$25001,$A119,Data!$D$2:$D$25001,"Werken",Data!$A$2:$A$25001,"&gt;="&amp;DATE(Dashboard!$B$2,11,1)&amp;"",Data!$A$2:$A$25001,"&lt;"&amp;DATE(Dashboard!$B$2,11+1,1)&amp;""))</f>
        <v/>
      </c>
      <c r="M119" s="50">
        <f>IF($A119="","",SUMIFS(Data!$H$2:$H$25001,Data!$C$2:$C$25001,$A119,Data!$D$2:$D$25001,"Werken",Data!$A$2:$A$25001,"&gt;="&amp;DATE(Dashboard!$B$2,12,1)&amp;"",Data!$A$2:$A$25001,"&lt;"&amp;DATE(Dashboard!$B$2,12+1,1)&amp;""))</f>
        <v/>
      </c>
      <c r="N119" s="46">
        <f>IF($A119="","",SUM(B119:M119))</f>
        <v/>
      </c>
      <c r="O119" s="51" t="n"/>
      <c r="P119" s="52">
        <f>IF(OR($A119="",O119=""),"",N119*O119)</f>
        <v/>
      </c>
    </row>
    <row r="120" ht="15" customHeight="1" s="30">
      <c r="A120" s="49" t="n"/>
      <c r="B120" s="45">
        <f>IF($A120="","",SUMIFS(Data!$H$2:$H$25001,Data!$C$2:$C$25001,$A120,Data!$D$2:$D$25001,"Werken",Data!$A$2:$A$25001,"&gt;="&amp;DATE(Dashboard!$B$2,1,1)&amp;"",Data!$A$2:$A$25001,"&lt;"&amp;DATE(Dashboard!$B$2,1+1,1)&amp;""))</f>
        <v/>
      </c>
      <c r="C120" s="45">
        <f>IF($A120="","",SUMIFS(Data!$H$2:$H$25001,Data!$C$2:$C$25001,$A120,Data!$D$2:$D$25001,"Werken",Data!$A$2:$A$25001,"&gt;="&amp;DATE(Dashboard!$B$2,2,1)&amp;"",Data!$A$2:$A$25001,"&lt;"&amp;DATE(Dashboard!$B$2,2+1,1)&amp;""))</f>
        <v/>
      </c>
      <c r="D120" s="45">
        <f>IF($A120="","",SUMIFS(Data!$H$2:$H$25001,Data!$C$2:$C$25001,$A120,Data!$D$2:$D$25001,"Werken",Data!$A$2:$A$25001,"&gt;="&amp;DATE(Dashboard!$B$2,3,1)&amp;"",Data!$A$2:$A$25001,"&lt;"&amp;DATE(Dashboard!$B$2,3+1,1)&amp;""))</f>
        <v/>
      </c>
      <c r="E120" s="45">
        <f>IF($A120="","",SUMIFS(Data!$H$2:$H$25001,Data!$C$2:$C$25001,$A120,Data!$D$2:$D$25001,"Werken",Data!$A$2:$A$25001,"&gt;="&amp;DATE(Dashboard!$B$2,4,1)&amp;"",Data!$A$2:$A$25001,"&lt;"&amp;DATE(Dashboard!$B$2,4+1,1)&amp;""))</f>
        <v/>
      </c>
      <c r="F120" s="45">
        <f>IF($A120="","",SUMIFS(Data!$H$2:$H$25001,Data!$C$2:$C$25001,$A120,Data!$D$2:$D$25001,"Werken",Data!$A$2:$A$25001,"&gt;="&amp;DATE(Dashboard!$B$2,5,1)&amp;"",Data!$A$2:$A$25001,"&lt;"&amp;DATE(Dashboard!$B$2,5+1,1)&amp;""))</f>
        <v/>
      </c>
      <c r="G120" s="45">
        <f>IF($A120="","",SUMIFS(Data!$H$2:$H$25001,Data!$C$2:$C$25001,$A120,Data!$D$2:$D$25001,"Werken",Data!$A$2:$A$25001,"&gt;="&amp;DATE(Dashboard!$B$2,6,1)&amp;"",Data!$A$2:$A$25001,"&lt;"&amp;DATE(Dashboard!$B$2,6+1,1)&amp;""))</f>
        <v/>
      </c>
      <c r="H120" s="45">
        <f>IF($A120="","",SUMIFS(Data!$H$2:$H$25001,Data!$C$2:$C$25001,$A120,Data!$D$2:$D$25001,"Werken",Data!$A$2:$A$25001,"&gt;="&amp;DATE(Dashboard!$B$2,7,1)&amp;"",Data!$A$2:$A$25001,"&lt;"&amp;DATE(Dashboard!$B$2,7+1,1)&amp;""))</f>
        <v/>
      </c>
      <c r="I120" s="45">
        <f>IF($A120="","",SUMIFS(Data!$H$2:$H$25001,Data!$C$2:$C$25001,$A120,Data!$D$2:$D$25001,"Werken",Data!$A$2:$A$25001,"&gt;="&amp;DATE(Dashboard!$B$2,8,1)&amp;"",Data!$A$2:$A$25001,"&lt;"&amp;DATE(Dashboard!$B$2,8+1,1)&amp;""))</f>
        <v/>
      </c>
      <c r="J120" s="45">
        <f>IF($A120="","",SUMIFS(Data!$H$2:$H$25001,Data!$C$2:$C$25001,$A120,Data!$D$2:$D$25001,"Werken",Data!$A$2:$A$25001,"&gt;="&amp;DATE(Dashboard!$B$2,9,1)&amp;"",Data!$A$2:$A$25001,"&lt;"&amp;DATE(Dashboard!$B$2,9+1,1)&amp;""))</f>
        <v/>
      </c>
      <c r="K120" s="45">
        <f>IF($A120="","",SUMIFS(Data!$H$2:$H$25001,Data!$C$2:$C$25001,$A120,Data!$D$2:$D$25001,"Werken",Data!$A$2:$A$25001,"&gt;="&amp;DATE(Dashboard!$B$2,10,1)&amp;"",Data!$A$2:$A$25001,"&lt;"&amp;DATE(Dashboard!$B$2,10+1,1)&amp;""))</f>
        <v/>
      </c>
      <c r="L120" s="45">
        <f>IF($A120="","",SUMIFS(Data!$H$2:$H$25001,Data!$C$2:$C$25001,$A120,Data!$D$2:$D$25001,"Werken",Data!$A$2:$A$25001,"&gt;="&amp;DATE(Dashboard!$B$2,11,1)&amp;"",Data!$A$2:$A$25001,"&lt;"&amp;DATE(Dashboard!$B$2,11+1,1)&amp;""))</f>
        <v/>
      </c>
      <c r="M120" s="45">
        <f>IF($A120="","",SUMIFS(Data!$H$2:$H$25001,Data!$C$2:$C$25001,$A120,Data!$D$2:$D$25001,"Werken",Data!$A$2:$A$25001,"&gt;="&amp;DATE(Dashboard!$B$2,12,1)&amp;"",Data!$A$2:$A$25001,"&lt;"&amp;DATE(Dashboard!$B$2,12+1,1)&amp;""))</f>
        <v/>
      </c>
      <c r="N120" s="46">
        <f>IF($A120="","",SUM(B120:M120))</f>
        <v/>
      </c>
      <c r="O120" s="51" t="n"/>
      <c r="P120" s="52">
        <f>IF(OR($A120="",O120=""),"",N120*O120)</f>
        <v/>
      </c>
    </row>
    <row r="121" ht="15" customHeight="1" s="30">
      <c r="A121" s="49" t="n"/>
      <c r="B121" s="50">
        <f>IF($A121="","",SUMIFS(Data!$H$2:$H$25001,Data!$C$2:$C$25001,$A121,Data!$D$2:$D$25001,"Werken",Data!$A$2:$A$25001,"&gt;="&amp;DATE(Dashboard!$B$2,1,1)&amp;"",Data!$A$2:$A$25001,"&lt;"&amp;DATE(Dashboard!$B$2,1+1,1)&amp;""))</f>
        <v/>
      </c>
      <c r="C121" s="50">
        <f>IF($A121="","",SUMIFS(Data!$H$2:$H$25001,Data!$C$2:$C$25001,$A121,Data!$D$2:$D$25001,"Werken",Data!$A$2:$A$25001,"&gt;="&amp;DATE(Dashboard!$B$2,2,1)&amp;"",Data!$A$2:$A$25001,"&lt;"&amp;DATE(Dashboard!$B$2,2+1,1)&amp;""))</f>
        <v/>
      </c>
      <c r="D121" s="50">
        <f>IF($A121="","",SUMIFS(Data!$H$2:$H$25001,Data!$C$2:$C$25001,$A121,Data!$D$2:$D$25001,"Werken",Data!$A$2:$A$25001,"&gt;="&amp;DATE(Dashboard!$B$2,3,1)&amp;"",Data!$A$2:$A$25001,"&lt;"&amp;DATE(Dashboard!$B$2,3+1,1)&amp;""))</f>
        <v/>
      </c>
      <c r="E121" s="50">
        <f>IF($A121="","",SUMIFS(Data!$H$2:$H$25001,Data!$C$2:$C$25001,$A121,Data!$D$2:$D$25001,"Werken",Data!$A$2:$A$25001,"&gt;="&amp;DATE(Dashboard!$B$2,4,1)&amp;"",Data!$A$2:$A$25001,"&lt;"&amp;DATE(Dashboard!$B$2,4+1,1)&amp;""))</f>
        <v/>
      </c>
      <c r="F121" s="50">
        <f>IF($A121="","",SUMIFS(Data!$H$2:$H$25001,Data!$C$2:$C$25001,$A121,Data!$D$2:$D$25001,"Werken",Data!$A$2:$A$25001,"&gt;="&amp;DATE(Dashboard!$B$2,5,1)&amp;"",Data!$A$2:$A$25001,"&lt;"&amp;DATE(Dashboard!$B$2,5+1,1)&amp;""))</f>
        <v/>
      </c>
      <c r="G121" s="50">
        <f>IF($A121="","",SUMIFS(Data!$H$2:$H$25001,Data!$C$2:$C$25001,$A121,Data!$D$2:$D$25001,"Werken",Data!$A$2:$A$25001,"&gt;="&amp;DATE(Dashboard!$B$2,6,1)&amp;"",Data!$A$2:$A$25001,"&lt;"&amp;DATE(Dashboard!$B$2,6+1,1)&amp;""))</f>
        <v/>
      </c>
      <c r="H121" s="50">
        <f>IF($A121="","",SUMIFS(Data!$H$2:$H$25001,Data!$C$2:$C$25001,$A121,Data!$D$2:$D$25001,"Werken",Data!$A$2:$A$25001,"&gt;="&amp;DATE(Dashboard!$B$2,7,1)&amp;"",Data!$A$2:$A$25001,"&lt;"&amp;DATE(Dashboard!$B$2,7+1,1)&amp;""))</f>
        <v/>
      </c>
      <c r="I121" s="50">
        <f>IF($A121="","",SUMIFS(Data!$H$2:$H$25001,Data!$C$2:$C$25001,$A121,Data!$D$2:$D$25001,"Werken",Data!$A$2:$A$25001,"&gt;="&amp;DATE(Dashboard!$B$2,8,1)&amp;"",Data!$A$2:$A$25001,"&lt;"&amp;DATE(Dashboard!$B$2,8+1,1)&amp;""))</f>
        <v/>
      </c>
      <c r="J121" s="50">
        <f>IF($A121="","",SUMIFS(Data!$H$2:$H$25001,Data!$C$2:$C$25001,$A121,Data!$D$2:$D$25001,"Werken",Data!$A$2:$A$25001,"&gt;="&amp;DATE(Dashboard!$B$2,9,1)&amp;"",Data!$A$2:$A$25001,"&lt;"&amp;DATE(Dashboard!$B$2,9+1,1)&amp;""))</f>
        <v/>
      </c>
      <c r="K121" s="50">
        <f>IF($A121="","",SUMIFS(Data!$H$2:$H$25001,Data!$C$2:$C$25001,$A121,Data!$D$2:$D$25001,"Werken",Data!$A$2:$A$25001,"&gt;="&amp;DATE(Dashboard!$B$2,10,1)&amp;"",Data!$A$2:$A$25001,"&lt;"&amp;DATE(Dashboard!$B$2,10+1,1)&amp;""))</f>
        <v/>
      </c>
      <c r="L121" s="50">
        <f>IF($A121="","",SUMIFS(Data!$H$2:$H$25001,Data!$C$2:$C$25001,$A121,Data!$D$2:$D$25001,"Werken",Data!$A$2:$A$25001,"&gt;="&amp;DATE(Dashboard!$B$2,11,1)&amp;"",Data!$A$2:$A$25001,"&lt;"&amp;DATE(Dashboard!$B$2,11+1,1)&amp;""))</f>
        <v/>
      </c>
      <c r="M121" s="50">
        <f>IF($A121="","",SUMIFS(Data!$H$2:$H$25001,Data!$C$2:$C$25001,$A121,Data!$D$2:$D$25001,"Werken",Data!$A$2:$A$25001,"&gt;="&amp;DATE(Dashboard!$B$2,12,1)&amp;"",Data!$A$2:$A$25001,"&lt;"&amp;DATE(Dashboard!$B$2,12+1,1)&amp;""))</f>
        <v/>
      </c>
      <c r="N121" s="46">
        <f>IF($A121="","",SUM(B121:M121))</f>
        <v/>
      </c>
      <c r="O121" s="51" t="n"/>
      <c r="P121" s="52">
        <f>IF(OR($A121="",O121=""),"",N121*O121)</f>
        <v/>
      </c>
    </row>
    <row r="122" ht="15" customHeight="1" s="30">
      <c r="A122" s="49" t="n"/>
      <c r="B122" s="45">
        <f>IF($A122="","",SUMIFS(Data!$H$2:$H$25001,Data!$C$2:$C$25001,$A122,Data!$D$2:$D$25001,"Werken",Data!$A$2:$A$25001,"&gt;="&amp;DATE(Dashboard!$B$2,1,1)&amp;"",Data!$A$2:$A$25001,"&lt;"&amp;DATE(Dashboard!$B$2,1+1,1)&amp;""))</f>
        <v/>
      </c>
      <c r="C122" s="45">
        <f>IF($A122="","",SUMIFS(Data!$H$2:$H$25001,Data!$C$2:$C$25001,$A122,Data!$D$2:$D$25001,"Werken",Data!$A$2:$A$25001,"&gt;="&amp;DATE(Dashboard!$B$2,2,1)&amp;"",Data!$A$2:$A$25001,"&lt;"&amp;DATE(Dashboard!$B$2,2+1,1)&amp;""))</f>
        <v/>
      </c>
      <c r="D122" s="45">
        <f>IF($A122="","",SUMIFS(Data!$H$2:$H$25001,Data!$C$2:$C$25001,$A122,Data!$D$2:$D$25001,"Werken",Data!$A$2:$A$25001,"&gt;="&amp;DATE(Dashboard!$B$2,3,1)&amp;"",Data!$A$2:$A$25001,"&lt;"&amp;DATE(Dashboard!$B$2,3+1,1)&amp;""))</f>
        <v/>
      </c>
      <c r="E122" s="45">
        <f>IF($A122="","",SUMIFS(Data!$H$2:$H$25001,Data!$C$2:$C$25001,$A122,Data!$D$2:$D$25001,"Werken",Data!$A$2:$A$25001,"&gt;="&amp;DATE(Dashboard!$B$2,4,1)&amp;"",Data!$A$2:$A$25001,"&lt;"&amp;DATE(Dashboard!$B$2,4+1,1)&amp;""))</f>
        <v/>
      </c>
      <c r="F122" s="45">
        <f>IF($A122="","",SUMIFS(Data!$H$2:$H$25001,Data!$C$2:$C$25001,$A122,Data!$D$2:$D$25001,"Werken",Data!$A$2:$A$25001,"&gt;="&amp;DATE(Dashboard!$B$2,5,1)&amp;"",Data!$A$2:$A$25001,"&lt;"&amp;DATE(Dashboard!$B$2,5+1,1)&amp;""))</f>
        <v/>
      </c>
      <c r="G122" s="45">
        <f>IF($A122="","",SUMIFS(Data!$H$2:$H$25001,Data!$C$2:$C$25001,$A122,Data!$D$2:$D$25001,"Werken",Data!$A$2:$A$25001,"&gt;="&amp;DATE(Dashboard!$B$2,6,1)&amp;"",Data!$A$2:$A$25001,"&lt;"&amp;DATE(Dashboard!$B$2,6+1,1)&amp;""))</f>
        <v/>
      </c>
      <c r="H122" s="45">
        <f>IF($A122="","",SUMIFS(Data!$H$2:$H$25001,Data!$C$2:$C$25001,$A122,Data!$D$2:$D$25001,"Werken",Data!$A$2:$A$25001,"&gt;="&amp;DATE(Dashboard!$B$2,7,1)&amp;"",Data!$A$2:$A$25001,"&lt;"&amp;DATE(Dashboard!$B$2,7+1,1)&amp;""))</f>
        <v/>
      </c>
      <c r="I122" s="45">
        <f>IF($A122="","",SUMIFS(Data!$H$2:$H$25001,Data!$C$2:$C$25001,$A122,Data!$D$2:$D$25001,"Werken",Data!$A$2:$A$25001,"&gt;="&amp;DATE(Dashboard!$B$2,8,1)&amp;"",Data!$A$2:$A$25001,"&lt;"&amp;DATE(Dashboard!$B$2,8+1,1)&amp;""))</f>
        <v/>
      </c>
      <c r="J122" s="45">
        <f>IF($A122="","",SUMIFS(Data!$H$2:$H$25001,Data!$C$2:$C$25001,$A122,Data!$D$2:$D$25001,"Werken",Data!$A$2:$A$25001,"&gt;="&amp;DATE(Dashboard!$B$2,9,1)&amp;"",Data!$A$2:$A$25001,"&lt;"&amp;DATE(Dashboard!$B$2,9+1,1)&amp;""))</f>
        <v/>
      </c>
      <c r="K122" s="45">
        <f>IF($A122="","",SUMIFS(Data!$H$2:$H$25001,Data!$C$2:$C$25001,$A122,Data!$D$2:$D$25001,"Werken",Data!$A$2:$A$25001,"&gt;="&amp;DATE(Dashboard!$B$2,10,1)&amp;"",Data!$A$2:$A$25001,"&lt;"&amp;DATE(Dashboard!$B$2,10+1,1)&amp;""))</f>
        <v/>
      </c>
      <c r="L122" s="45">
        <f>IF($A122="","",SUMIFS(Data!$H$2:$H$25001,Data!$C$2:$C$25001,$A122,Data!$D$2:$D$25001,"Werken",Data!$A$2:$A$25001,"&gt;="&amp;DATE(Dashboard!$B$2,11,1)&amp;"",Data!$A$2:$A$25001,"&lt;"&amp;DATE(Dashboard!$B$2,11+1,1)&amp;""))</f>
        <v/>
      </c>
      <c r="M122" s="45">
        <f>IF($A122="","",SUMIFS(Data!$H$2:$H$25001,Data!$C$2:$C$25001,$A122,Data!$D$2:$D$25001,"Werken",Data!$A$2:$A$25001,"&gt;="&amp;DATE(Dashboard!$B$2,12,1)&amp;"",Data!$A$2:$A$25001,"&lt;"&amp;DATE(Dashboard!$B$2,12+1,1)&amp;""))</f>
        <v/>
      </c>
      <c r="N122" s="46">
        <f>IF($A122="","",SUM(B122:M122))</f>
        <v/>
      </c>
      <c r="O122" s="51" t="n"/>
      <c r="P122" s="52">
        <f>IF(OR($A122="",O122=""),"",N122*O122)</f>
        <v/>
      </c>
    </row>
    <row r="123" ht="15" customHeight="1" s="30">
      <c r="A123" s="49" t="n"/>
      <c r="B123" s="50">
        <f>IF($A123="","",SUMIFS(Data!$H$2:$H$25001,Data!$C$2:$C$25001,$A123,Data!$D$2:$D$25001,"Werken",Data!$A$2:$A$25001,"&gt;="&amp;DATE(Dashboard!$B$2,1,1)&amp;"",Data!$A$2:$A$25001,"&lt;"&amp;DATE(Dashboard!$B$2,1+1,1)&amp;""))</f>
        <v/>
      </c>
      <c r="C123" s="50">
        <f>IF($A123="","",SUMIFS(Data!$H$2:$H$25001,Data!$C$2:$C$25001,$A123,Data!$D$2:$D$25001,"Werken",Data!$A$2:$A$25001,"&gt;="&amp;DATE(Dashboard!$B$2,2,1)&amp;"",Data!$A$2:$A$25001,"&lt;"&amp;DATE(Dashboard!$B$2,2+1,1)&amp;""))</f>
        <v/>
      </c>
      <c r="D123" s="50">
        <f>IF($A123="","",SUMIFS(Data!$H$2:$H$25001,Data!$C$2:$C$25001,$A123,Data!$D$2:$D$25001,"Werken",Data!$A$2:$A$25001,"&gt;="&amp;DATE(Dashboard!$B$2,3,1)&amp;"",Data!$A$2:$A$25001,"&lt;"&amp;DATE(Dashboard!$B$2,3+1,1)&amp;""))</f>
        <v/>
      </c>
      <c r="E123" s="50">
        <f>IF($A123="","",SUMIFS(Data!$H$2:$H$25001,Data!$C$2:$C$25001,$A123,Data!$D$2:$D$25001,"Werken",Data!$A$2:$A$25001,"&gt;="&amp;DATE(Dashboard!$B$2,4,1)&amp;"",Data!$A$2:$A$25001,"&lt;"&amp;DATE(Dashboard!$B$2,4+1,1)&amp;""))</f>
        <v/>
      </c>
      <c r="F123" s="50">
        <f>IF($A123="","",SUMIFS(Data!$H$2:$H$25001,Data!$C$2:$C$25001,$A123,Data!$D$2:$D$25001,"Werken",Data!$A$2:$A$25001,"&gt;="&amp;DATE(Dashboard!$B$2,5,1)&amp;"",Data!$A$2:$A$25001,"&lt;"&amp;DATE(Dashboard!$B$2,5+1,1)&amp;""))</f>
        <v/>
      </c>
      <c r="G123" s="50">
        <f>IF($A123="","",SUMIFS(Data!$H$2:$H$25001,Data!$C$2:$C$25001,$A123,Data!$D$2:$D$25001,"Werken",Data!$A$2:$A$25001,"&gt;="&amp;DATE(Dashboard!$B$2,6,1)&amp;"",Data!$A$2:$A$25001,"&lt;"&amp;DATE(Dashboard!$B$2,6+1,1)&amp;""))</f>
        <v/>
      </c>
      <c r="H123" s="50">
        <f>IF($A123="","",SUMIFS(Data!$H$2:$H$25001,Data!$C$2:$C$25001,$A123,Data!$D$2:$D$25001,"Werken",Data!$A$2:$A$25001,"&gt;="&amp;DATE(Dashboard!$B$2,7,1)&amp;"",Data!$A$2:$A$25001,"&lt;"&amp;DATE(Dashboard!$B$2,7+1,1)&amp;""))</f>
        <v/>
      </c>
      <c r="I123" s="50">
        <f>IF($A123="","",SUMIFS(Data!$H$2:$H$25001,Data!$C$2:$C$25001,$A123,Data!$D$2:$D$25001,"Werken",Data!$A$2:$A$25001,"&gt;="&amp;DATE(Dashboard!$B$2,8,1)&amp;"",Data!$A$2:$A$25001,"&lt;"&amp;DATE(Dashboard!$B$2,8+1,1)&amp;""))</f>
        <v/>
      </c>
      <c r="J123" s="50">
        <f>IF($A123="","",SUMIFS(Data!$H$2:$H$25001,Data!$C$2:$C$25001,$A123,Data!$D$2:$D$25001,"Werken",Data!$A$2:$A$25001,"&gt;="&amp;DATE(Dashboard!$B$2,9,1)&amp;"",Data!$A$2:$A$25001,"&lt;"&amp;DATE(Dashboard!$B$2,9+1,1)&amp;""))</f>
        <v/>
      </c>
      <c r="K123" s="50">
        <f>IF($A123="","",SUMIFS(Data!$H$2:$H$25001,Data!$C$2:$C$25001,$A123,Data!$D$2:$D$25001,"Werken",Data!$A$2:$A$25001,"&gt;="&amp;DATE(Dashboard!$B$2,10,1)&amp;"",Data!$A$2:$A$25001,"&lt;"&amp;DATE(Dashboard!$B$2,10+1,1)&amp;""))</f>
        <v/>
      </c>
      <c r="L123" s="50">
        <f>IF($A123="","",SUMIFS(Data!$H$2:$H$25001,Data!$C$2:$C$25001,$A123,Data!$D$2:$D$25001,"Werken",Data!$A$2:$A$25001,"&gt;="&amp;DATE(Dashboard!$B$2,11,1)&amp;"",Data!$A$2:$A$25001,"&lt;"&amp;DATE(Dashboard!$B$2,11+1,1)&amp;""))</f>
        <v/>
      </c>
      <c r="M123" s="50">
        <f>IF($A123="","",SUMIFS(Data!$H$2:$H$25001,Data!$C$2:$C$25001,$A123,Data!$D$2:$D$25001,"Werken",Data!$A$2:$A$25001,"&gt;="&amp;DATE(Dashboard!$B$2,12,1)&amp;"",Data!$A$2:$A$25001,"&lt;"&amp;DATE(Dashboard!$B$2,12+1,1)&amp;""))</f>
        <v/>
      </c>
      <c r="N123" s="46">
        <f>IF($A123="","",SUM(B123:M123))</f>
        <v/>
      </c>
      <c r="O123" s="51" t="n"/>
      <c r="P123" s="52">
        <f>IF(OR($A123="",O123=""),"",N123*O123)</f>
        <v/>
      </c>
    </row>
    <row r="124" ht="15" customHeight="1" s="30">
      <c r="A124" s="49" t="n"/>
      <c r="B124" s="45">
        <f>IF($A124="","",SUMIFS(Data!$H$2:$H$25001,Data!$C$2:$C$25001,$A124,Data!$D$2:$D$25001,"Werken",Data!$A$2:$A$25001,"&gt;="&amp;DATE(Dashboard!$B$2,1,1)&amp;"",Data!$A$2:$A$25001,"&lt;"&amp;DATE(Dashboard!$B$2,1+1,1)&amp;""))</f>
        <v/>
      </c>
      <c r="C124" s="45">
        <f>IF($A124="","",SUMIFS(Data!$H$2:$H$25001,Data!$C$2:$C$25001,$A124,Data!$D$2:$D$25001,"Werken",Data!$A$2:$A$25001,"&gt;="&amp;DATE(Dashboard!$B$2,2,1)&amp;"",Data!$A$2:$A$25001,"&lt;"&amp;DATE(Dashboard!$B$2,2+1,1)&amp;""))</f>
        <v/>
      </c>
      <c r="D124" s="45">
        <f>IF($A124="","",SUMIFS(Data!$H$2:$H$25001,Data!$C$2:$C$25001,$A124,Data!$D$2:$D$25001,"Werken",Data!$A$2:$A$25001,"&gt;="&amp;DATE(Dashboard!$B$2,3,1)&amp;"",Data!$A$2:$A$25001,"&lt;"&amp;DATE(Dashboard!$B$2,3+1,1)&amp;""))</f>
        <v/>
      </c>
      <c r="E124" s="45">
        <f>IF($A124="","",SUMIFS(Data!$H$2:$H$25001,Data!$C$2:$C$25001,$A124,Data!$D$2:$D$25001,"Werken",Data!$A$2:$A$25001,"&gt;="&amp;DATE(Dashboard!$B$2,4,1)&amp;"",Data!$A$2:$A$25001,"&lt;"&amp;DATE(Dashboard!$B$2,4+1,1)&amp;""))</f>
        <v/>
      </c>
      <c r="F124" s="45">
        <f>IF($A124="","",SUMIFS(Data!$H$2:$H$25001,Data!$C$2:$C$25001,$A124,Data!$D$2:$D$25001,"Werken",Data!$A$2:$A$25001,"&gt;="&amp;DATE(Dashboard!$B$2,5,1)&amp;"",Data!$A$2:$A$25001,"&lt;"&amp;DATE(Dashboard!$B$2,5+1,1)&amp;""))</f>
        <v/>
      </c>
      <c r="G124" s="45">
        <f>IF($A124="","",SUMIFS(Data!$H$2:$H$25001,Data!$C$2:$C$25001,$A124,Data!$D$2:$D$25001,"Werken",Data!$A$2:$A$25001,"&gt;="&amp;DATE(Dashboard!$B$2,6,1)&amp;"",Data!$A$2:$A$25001,"&lt;"&amp;DATE(Dashboard!$B$2,6+1,1)&amp;""))</f>
        <v/>
      </c>
      <c r="H124" s="45">
        <f>IF($A124="","",SUMIFS(Data!$H$2:$H$25001,Data!$C$2:$C$25001,$A124,Data!$D$2:$D$25001,"Werken",Data!$A$2:$A$25001,"&gt;="&amp;DATE(Dashboard!$B$2,7,1)&amp;"",Data!$A$2:$A$25001,"&lt;"&amp;DATE(Dashboard!$B$2,7+1,1)&amp;""))</f>
        <v/>
      </c>
      <c r="I124" s="45">
        <f>IF($A124="","",SUMIFS(Data!$H$2:$H$25001,Data!$C$2:$C$25001,$A124,Data!$D$2:$D$25001,"Werken",Data!$A$2:$A$25001,"&gt;="&amp;DATE(Dashboard!$B$2,8,1)&amp;"",Data!$A$2:$A$25001,"&lt;"&amp;DATE(Dashboard!$B$2,8+1,1)&amp;""))</f>
        <v/>
      </c>
      <c r="J124" s="45">
        <f>IF($A124="","",SUMIFS(Data!$H$2:$H$25001,Data!$C$2:$C$25001,$A124,Data!$D$2:$D$25001,"Werken",Data!$A$2:$A$25001,"&gt;="&amp;DATE(Dashboard!$B$2,9,1)&amp;"",Data!$A$2:$A$25001,"&lt;"&amp;DATE(Dashboard!$B$2,9+1,1)&amp;""))</f>
        <v/>
      </c>
      <c r="K124" s="45">
        <f>IF($A124="","",SUMIFS(Data!$H$2:$H$25001,Data!$C$2:$C$25001,$A124,Data!$D$2:$D$25001,"Werken",Data!$A$2:$A$25001,"&gt;="&amp;DATE(Dashboard!$B$2,10,1)&amp;"",Data!$A$2:$A$25001,"&lt;"&amp;DATE(Dashboard!$B$2,10+1,1)&amp;""))</f>
        <v/>
      </c>
      <c r="L124" s="45">
        <f>IF($A124="","",SUMIFS(Data!$H$2:$H$25001,Data!$C$2:$C$25001,$A124,Data!$D$2:$D$25001,"Werken",Data!$A$2:$A$25001,"&gt;="&amp;DATE(Dashboard!$B$2,11,1)&amp;"",Data!$A$2:$A$25001,"&lt;"&amp;DATE(Dashboard!$B$2,11+1,1)&amp;""))</f>
        <v/>
      </c>
      <c r="M124" s="45">
        <f>IF($A124="","",SUMIFS(Data!$H$2:$H$25001,Data!$C$2:$C$25001,$A124,Data!$D$2:$D$25001,"Werken",Data!$A$2:$A$25001,"&gt;="&amp;DATE(Dashboard!$B$2,12,1)&amp;"",Data!$A$2:$A$25001,"&lt;"&amp;DATE(Dashboard!$B$2,12+1,1)&amp;""))</f>
        <v/>
      </c>
      <c r="N124" s="46">
        <f>IF($A124="","",SUM(B124:M124))</f>
        <v/>
      </c>
      <c r="O124" s="51" t="n"/>
      <c r="P124" s="52">
        <f>IF(OR($A124="",O124=""),"",N124*O124)</f>
        <v/>
      </c>
    </row>
    <row r="125" ht="15" customHeight="1" s="30">
      <c r="A125" s="49" t="n"/>
      <c r="B125" s="50">
        <f>IF($A125="","",SUMIFS(Data!$H$2:$H$25001,Data!$C$2:$C$25001,$A125,Data!$D$2:$D$25001,"Werken",Data!$A$2:$A$25001,"&gt;="&amp;DATE(Dashboard!$B$2,1,1)&amp;"",Data!$A$2:$A$25001,"&lt;"&amp;DATE(Dashboard!$B$2,1+1,1)&amp;""))</f>
        <v/>
      </c>
      <c r="C125" s="50">
        <f>IF($A125="","",SUMIFS(Data!$H$2:$H$25001,Data!$C$2:$C$25001,$A125,Data!$D$2:$D$25001,"Werken",Data!$A$2:$A$25001,"&gt;="&amp;DATE(Dashboard!$B$2,2,1)&amp;"",Data!$A$2:$A$25001,"&lt;"&amp;DATE(Dashboard!$B$2,2+1,1)&amp;""))</f>
        <v/>
      </c>
      <c r="D125" s="50">
        <f>IF($A125="","",SUMIFS(Data!$H$2:$H$25001,Data!$C$2:$C$25001,$A125,Data!$D$2:$D$25001,"Werken",Data!$A$2:$A$25001,"&gt;="&amp;DATE(Dashboard!$B$2,3,1)&amp;"",Data!$A$2:$A$25001,"&lt;"&amp;DATE(Dashboard!$B$2,3+1,1)&amp;""))</f>
        <v/>
      </c>
      <c r="E125" s="50">
        <f>IF($A125="","",SUMIFS(Data!$H$2:$H$25001,Data!$C$2:$C$25001,$A125,Data!$D$2:$D$25001,"Werken",Data!$A$2:$A$25001,"&gt;="&amp;DATE(Dashboard!$B$2,4,1)&amp;"",Data!$A$2:$A$25001,"&lt;"&amp;DATE(Dashboard!$B$2,4+1,1)&amp;""))</f>
        <v/>
      </c>
      <c r="F125" s="50">
        <f>IF($A125="","",SUMIFS(Data!$H$2:$H$25001,Data!$C$2:$C$25001,$A125,Data!$D$2:$D$25001,"Werken",Data!$A$2:$A$25001,"&gt;="&amp;DATE(Dashboard!$B$2,5,1)&amp;"",Data!$A$2:$A$25001,"&lt;"&amp;DATE(Dashboard!$B$2,5+1,1)&amp;""))</f>
        <v/>
      </c>
      <c r="G125" s="50">
        <f>IF($A125="","",SUMIFS(Data!$H$2:$H$25001,Data!$C$2:$C$25001,$A125,Data!$D$2:$D$25001,"Werken",Data!$A$2:$A$25001,"&gt;="&amp;DATE(Dashboard!$B$2,6,1)&amp;"",Data!$A$2:$A$25001,"&lt;"&amp;DATE(Dashboard!$B$2,6+1,1)&amp;""))</f>
        <v/>
      </c>
      <c r="H125" s="50">
        <f>IF($A125="","",SUMIFS(Data!$H$2:$H$25001,Data!$C$2:$C$25001,$A125,Data!$D$2:$D$25001,"Werken",Data!$A$2:$A$25001,"&gt;="&amp;DATE(Dashboard!$B$2,7,1)&amp;"",Data!$A$2:$A$25001,"&lt;"&amp;DATE(Dashboard!$B$2,7+1,1)&amp;""))</f>
        <v/>
      </c>
      <c r="I125" s="50">
        <f>IF($A125="","",SUMIFS(Data!$H$2:$H$25001,Data!$C$2:$C$25001,$A125,Data!$D$2:$D$25001,"Werken",Data!$A$2:$A$25001,"&gt;="&amp;DATE(Dashboard!$B$2,8,1)&amp;"",Data!$A$2:$A$25001,"&lt;"&amp;DATE(Dashboard!$B$2,8+1,1)&amp;""))</f>
        <v/>
      </c>
      <c r="J125" s="50">
        <f>IF($A125="","",SUMIFS(Data!$H$2:$H$25001,Data!$C$2:$C$25001,$A125,Data!$D$2:$D$25001,"Werken",Data!$A$2:$A$25001,"&gt;="&amp;DATE(Dashboard!$B$2,9,1)&amp;"",Data!$A$2:$A$25001,"&lt;"&amp;DATE(Dashboard!$B$2,9+1,1)&amp;""))</f>
        <v/>
      </c>
      <c r="K125" s="50">
        <f>IF($A125="","",SUMIFS(Data!$H$2:$H$25001,Data!$C$2:$C$25001,$A125,Data!$D$2:$D$25001,"Werken",Data!$A$2:$A$25001,"&gt;="&amp;DATE(Dashboard!$B$2,10,1)&amp;"",Data!$A$2:$A$25001,"&lt;"&amp;DATE(Dashboard!$B$2,10+1,1)&amp;""))</f>
        <v/>
      </c>
      <c r="L125" s="50">
        <f>IF($A125="","",SUMIFS(Data!$H$2:$H$25001,Data!$C$2:$C$25001,$A125,Data!$D$2:$D$25001,"Werken",Data!$A$2:$A$25001,"&gt;="&amp;DATE(Dashboard!$B$2,11,1)&amp;"",Data!$A$2:$A$25001,"&lt;"&amp;DATE(Dashboard!$B$2,11+1,1)&amp;""))</f>
        <v/>
      </c>
      <c r="M125" s="50">
        <f>IF($A125="","",SUMIFS(Data!$H$2:$H$25001,Data!$C$2:$C$25001,$A125,Data!$D$2:$D$25001,"Werken",Data!$A$2:$A$25001,"&gt;="&amp;DATE(Dashboard!$B$2,12,1)&amp;"",Data!$A$2:$A$25001,"&lt;"&amp;DATE(Dashboard!$B$2,12+1,1)&amp;""))</f>
        <v/>
      </c>
      <c r="N125" s="46">
        <f>IF($A125="","",SUM(B125:M125))</f>
        <v/>
      </c>
      <c r="O125" s="51" t="n"/>
      <c r="P125" s="52">
        <f>IF(OR($A125="",O125=""),"",N125*O125)</f>
        <v/>
      </c>
    </row>
    <row r="126" ht="15" customHeight="1" s="30">
      <c r="A126" s="49" t="n"/>
      <c r="B126" s="45">
        <f>IF($A126="","",SUMIFS(Data!$H$2:$H$25001,Data!$C$2:$C$25001,$A126,Data!$D$2:$D$25001,"Werken",Data!$A$2:$A$25001,"&gt;="&amp;DATE(Dashboard!$B$2,1,1)&amp;"",Data!$A$2:$A$25001,"&lt;"&amp;DATE(Dashboard!$B$2,1+1,1)&amp;""))</f>
        <v/>
      </c>
      <c r="C126" s="45">
        <f>IF($A126="","",SUMIFS(Data!$H$2:$H$25001,Data!$C$2:$C$25001,$A126,Data!$D$2:$D$25001,"Werken",Data!$A$2:$A$25001,"&gt;="&amp;DATE(Dashboard!$B$2,2,1)&amp;"",Data!$A$2:$A$25001,"&lt;"&amp;DATE(Dashboard!$B$2,2+1,1)&amp;""))</f>
        <v/>
      </c>
      <c r="D126" s="45">
        <f>IF($A126="","",SUMIFS(Data!$H$2:$H$25001,Data!$C$2:$C$25001,$A126,Data!$D$2:$D$25001,"Werken",Data!$A$2:$A$25001,"&gt;="&amp;DATE(Dashboard!$B$2,3,1)&amp;"",Data!$A$2:$A$25001,"&lt;"&amp;DATE(Dashboard!$B$2,3+1,1)&amp;""))</f>
        <v/>
      </c>
      <c r="E126" s="45">
        <f>IF($A126="","",SUMIFS(Data!$H$2:$H$25001,Data!$C$2:$C$25001,$A126,Data!$D$2:$D$25001,"Werken",Data!$A$2:$A$25001,"&gt;="&amp;DATE(Dashboard!$B$2,4,1)&amp;"",Data!$A$2:$A$25001,"&lt;"&amp;DATE(Dashboard!$B$2,4+1,1)&amp;""))</f>
        <v/>
      </c>
      <c r="F126" s="45">
        <f>IF($A126="","",SUMIFS(Data!$H$2:$H$25001,Data!$C$2:$C$25001,$A126,Data!$D$2:$D$25001,"Werken",Data!$A$2:$A$25001,"&gt;="&amp;DATE(Dashboard!$B$2,5,1)&amp;"",Data!$A$2:$A$25001,"&lt;"&amp;DATE(Dashboard!$B$2,5+1,1)&amp;""))</f>
        <v/>
      </c>
      <c r="G126" s="45">
        <f>IF($A126="","",SUMIFS(Data!$H$2:$H$25001,Data!$C$2:$C$25001,$A126,Data!$D$2:$D$25001,"Werken",Data!$A$2:$A$25001,"&gt;="&amp;DATE(Dashboard!$B$2,6,1)&amp;"",Data!$A$2:$A$25001,"&lt;"&amp;DATE(Dashboard!$B$2,6+1,1)&amp;""))</f>
        <v/>
      </c>
      <c r="H126" s="45">
        <f>IF($A126="","",SUMIFS(Data!$H$2:$H$25001,Data!$C$2:$C$25001,$A126,Data!$D$2:$D$25001,"Werken",Data!$A$2:$A$25001,"&gt;="&amp;DATE(Dashboard!$B$2,7,1)&amp;"",Data!$A$2:$A$25001,"&lt;"&amp;DATE(Dashboard!$B$2,7+1,1)&amp;""))</f>
        <v/>
      </c>
      <c r="I126" s="45">
        <f>IF($A126="","",SUMIFS(Data!$H$2:$H$25001,Data!$C$2:$C$25001,$A126,Data!$D$2:$D$25001,"Werken",Data!$A$2:$A$25001,"&gt;="&amp;DATE(Dashboard!$B$2,8,1)&amp;"",Data!$A$2:$A$25001,"&lt;"&amp;DATE(Dashboard!$B$2,8+1,1)&amp;""))</f>
        <v/>
      </c>
      <c r="J126" s="45">
        <f>IF($A126="","",SUMIFS(Data!$H$2:$H$25001,Data!$C$2:$C$25001,$A126,Data!$D$2:$D$25001,"Werken",Data!$A$2:$A$25001,"&gt;="&amp;DATE(Dashboard!$B$2,9,1)&amp;"",Data!$A$2:$A$25001,"&lt;"&amp;DATE(Dashboard!$B$2,9+1,1)&amp;""))</f>
        <v/>
      </c>
      <c r="K126" s="45">
        <f>IF($A126="","",SUMIFS(Data!$H$2:$H$25001,Data!$C$2:$C$25001,$A126,Data!$D$2:$D$25001,"Werken",Data!$A$2:$A$25001,"&gt;="&amp;DATE(Dashboard!$B$2,10,1)&amp;"",Data!$A$2:$A$25001,"&lt;"&amp;DATE(Dashboard!$B$2,10+1,1)&amp;""))</f>
        <v/>
      </c>
      <c r="L126" s="45">
        <f>IF($A126="","",SUMIFS(Data!$H$2:$H$25001,Data!$C$2:$C$25001,$A126,Data!$D$2:$D$25001,"Werken",Data!$A$2:$A$25001,"&gt;="&amp;DATE(Dashboard!$B$2,11,1)&amp;"",Data!$A$2:$A$25001,"&lt;"&amp;DATE(Dashboard!$B$2,11+1,1)&amp;""))</f>
        <v/>
      </c>
      <c r="M126" s="45">
        <f>IF($A126="","",SUMIFS(Data!$H$2:$H$25001,Data!$C$2:$C$25001,$A126,Data!$D$2:$D$25001,"Werken",Data!$A$2:$A$25001,"&gt;="&amp;DATE(Dashboard!$B$2,12,1)&amp;"",Data!$A$2:$A$25001,"&lt;"&amp;DATE(Dashboard!$B$2,12+1,1)&amp;""))</f>
        <v/>
      </c>
      <c r="N126" s="46">
        <f>IF($A126="","",SUM(B126:M126))</f>
        <v/>
      </c>
      <c r="O126" s="51" t="n"/>
      <c r="P126" s="52">
        <f>IF(OR($A126="",O126=""),"",N126*O126)</f>
        <v/>
      </c>
    </row>
    <row r="127" ht="15" customHeight="1" s="30">
      <c r="A127" s="49" t="n"/>
      <c r="B127" s="50">
        <f>IF($A127="","",SUMIFS(Data!$H$2:$H$25001,Data!$C$2:$C$25001,$A127,Data!$D$2:$D$25001,"Werken",Data!$A$2:$A$25001,"&gt;="&amp;DATE(Dashboard!$B$2,1,1)&amp;"",Data!$A$2:$A$25001,"&lt;"&amp;DATE(Dashboard!$B$2,1+1,1)&amp;""))</f>
        <v/>
      </c>
      <c r="C127" s="50">
        <f>IF($A127="","",SUMIFS(Data!$H$2:$H$25001,Data!$C$2:$C$25001,$A127,Data!$D$2:$D$25001,"Werken",Data!$A$2:$A$25001,"&gt;="&amp;DATE(Dashboard!$B$2,2,1)&amp;"",Data!$A$2:$A$25001,"&lt;"&amp;DATE(Dashboard!$B$2,2+1,1)&amp;""))</f>
        <v/>
      </c>
      <c r="D127" s="50">
        <f>IF($A127="","",SUMIFS(Data!$H$2:$H$25001,Data!$C$2:$C$25001,$A127,Data!$D$2:$D$25001,"Werken",Data!$A$2:$A$25001,"&gt;="&amp;DATE(Dashboard!$B$2,3,1)&amp;"",Data!$A$2:$A$25001,"&lt;"&amp;DATE(Dashboard!$B$2,3+1,1)&amp;""))</f>
        <v/>
      </c>
      <c r="E127" s="50">
        <f>IF($A127="","",SUMIFS(Data!$H$2:$H$25001,Data!$C$2:$C$25001,$A127,Data!$D$2:$D$25001,"Werken",Data!$A$2:$A$25001,"&gt;="&amp;DATE(Dashboard!$B$2,4,1)&amp;"",Data!$A$2:$A$25001,"&lt;"&amp;DATE(Dashboard!$B$2,4+1,1)&amp;""))</f>
        <v/>
      </c>
      <c r="F127" s="50">
        <f>IF($A127="","",SUMIFS(Data!$H$2:$H$25001,Data!$C$2:$C$25001,$A127,Data!$D$2:$D$25001,"Werken",Data!$A$2:$A$25001,"&gt;="&amp;DATE(Dashboard!$B$2,5,1)&amp;"",Data!$A$2:$A$25001,"&lt;"&amp;DATE(Dashboard!$B$2,5+1,1)&amp;""))</f>
        <v/>
      </c>
      <c r="G127" s="50">
        <f>IF($A127="","",SUMIFS(Data!$H$2:$H$25001,Data!$C$2:$C$25001,$A127,Data!$D$2:$D$25001,"Werken",Data!$A$2:$A$25001,"&gt;="&amp;DATE(Dashboard!$B$2,6,1)&amp;"",Data!$A$2:$A$25001,"&lt;"&amp;DATE(Dashboard!$B$2,6+1,1)&amp;""))</f>
        <v/>
      </c>
      <c r="H127" s="50">
        <f>IF($A127="","",SUMIFS(Data!$H$2:$H$25001,Data!$C$2:$C$25001,$A127,Data!$D$2:$D$25001,"Werken",Data!$A$2:$A$25001,"&gt;="&amp;DATE(Dashboard!$B$2,7,1)&amp;"",Data!$A$2:$A$25001,"&lt;"&amp;DATE(Dashboard!$B$2,7+1,1)&amp;""))</f>
        <v/>
      </c>
      <c r="I127" s="50">
        <f>IF($A127="","",SUMIFS(Data!$H$2:$H$25001,Data!$C$2:$C$25001,$A127,Data!$D$2:$D$25001,"Werken",Data!$A$2:$A$25001,"&gt;="&amp;DATE(Dashboard!$B$2,8,1)&amp;"",Data!$A$2:$A$25001,"&lt;"&amp;DATE(Dashboard!$B$2,8+1,1)&amp;""))</f>
        <v/>
      </c>
      <c r="J127" s="50">
        <f>IF($A127="","",SUMIFS(Data!$H$2:$H$25001,Data!$C$2:$C$25001,$A127,Data!$D$2:$D$25001,"Werken",Data!$A$2:$A$25001,"&gt;="&amp;DATE(Dashboard!$B$2,9,1)&amp;"",Data!$A$2:$A$25001,"&lt;"&amp;DATE(Dashboard!$B$2,9+1,1)&amp;""))</f>
        <v/>
      </c>
      <c r="K127" s="50">
        <f>IF($A127="","",SUMIFS(Data!$H$2:$H$25001,Data!$C$2:$C$25001,$A127,Data!$D$2:$D$25001,"Werken",Data!$A$2:$A$25001,"&gt;="&amp;DATE(Dashboard!$B$2,10,1)&amp;"",Data!$A$2:$A$25001,"&lt;"&amp;DATE(Dashboard!$B$2,10+1,1)&amp;""))</f>
        <v/>
      </c>
      <c r="L127" s="50">
        <f>IF($A127="","",SUMIFS(Data!$H$2:$H$25001,Data!$C$2:$C$25001,$A127,Data!$D$2:$D$25001,"Werken",Data!$A$2:$A$25001,"&gt;="&amp;DATE(Dashboard!$B$2,11,1)&amp;"",Data!$A$2:$A$25001,"&lt;"&amp;DATE(Dashboard!$B$2,11+1,1)&amp;""))</f>
        <v/>
      </c>
      <c r="M127" s="50">
        <f>IF($A127="","",SUMIFS(Data!$H$2:$H$25001,Data!$C$2:$C$25001,$A127,Data!$D$2:$D$25001,"Werken",Data!$A$2:$A$25001,"&gt;="&amp;DATE(Dashboard!$B$2,12,1)&amp;"",Data!$A$2:$A$25001,"&lt;"&amp;DATE(Dashboard!$B$2,12+1,1)&amp;""))</f>
        <v/>
      </c>
      <c r="N127" s="46">
        <f>IF($A127="","",SUM(B127:M127))</f>
        <v/>
      </c>
      <c r="O127" s="51" t="n"/>
      <c r="P127" s="52">
        <f>IF(OR($A127="",O127=""),"",N127*O127)</f>
        <v/>
      </c>
    </row>
    <row r="128" ht="15" customHeight="1" s="30">
      <c r="A128" s="49" t="n"/>
      <c r="B128" s="45">
        <f>IF($A128="","",SUMIFS(Data!$H$2:$H$25001,Data!$C$2:$C$25001,$A128,Data!$D$2:$D$25001,"Werken",Data!$A$2:$A$25001,"&gt;="&amp;DATE(Dashboard!$B$2,1,1)&amp;"",Data!$A$2:$A$25001,"&lt;"&amp;DATE(Dashboard!$B$2,1+1,1)&amp;""))</f>
        <v/>
      </c>
      <c r="C128" s="45">
        <f>IF($A128="","",SUMIFS(Data!$H$2:$H$25001,Data!$C$2:$C$25001,$A128,Data!$D$2:$D$25001,"Werken",Data!$A$2:$A$25001,"&gt;="&amp;DATE(Dashboard!$B$2,2,1)&amp;"",Data!$A$2:$A$25001,"&lt;"&amp;DATE(Dashboard!$B$2,2+1,1)&amp;""))</f>
        <v/>
      </c>
      <c r="D128" s="45">
        <f>IF($A128="","",SUMIFS(Data!$H$2:$H$25001,Data!$C$2:$C$25001,$A128,Data!$D$2:$D$25001,"Werken",Data!$A$2:$A$25001,"&gt;="&amp;DATE(Dashboard!$B$2,3,1)&amp;"",Data!$A$2:$A$25001,"&lt;"&amp;DATE(Dashboard!$B$2,3+1,1)&amp;""))</f>
        <v/>
      </c>
      <c r="E128" s="45">
        <f>IF($A128="","",SUMIFS(Data!$H$2:$H$25001,Data!$C$2:$C$25001,$A128,Data!$D$2:$D$25001,"Werken",Data!$A$2:$A$25001,"&gt;="&amp;DATE(Dashboard!$B$2,4,1)&amp;"",Data!$A$2:$A$25001,"&lt;"&amp;DATE(Dashboard!$B$2,4+1,1)&amp;""))</f>
        <v/>
      </c>
      <c r="F128" s="45">
        <f>IF($A128="","",SUMIFS(Data!$H$2:$H$25001,Data!$C$2:$C$25001,$A128,Data!$D$2:$D$25001,"Werken",Data!$A$2:$A$25001,"&gt;="&amp;DATE(Dashboard!$B$2,5,1)&amp;"",Data!$A$2:$A$25001,"&lt;"&amp;DATE(Dashboard!$B$2,5+1,1)&amp;""))</f>
        <v/>
      </c>
      <c r="G128" s="45">
        <f>IF($A128="","",SUMIFS(Data!$H$2:$H$25001,Data!$C$2:$C$25001,$A128,Data!$D$2:$D$25001,"Werken",Data!$A$2:$A$25001,"&gt;="&amp;DATE(Dashboard!$B$2,6,1)&amp;"",Data!$A$2:$A$25001,"&lt;"&amp;DATE(Dashboard!$B$2,6+1,1)&amp;""))</f>
        <v/>
      </c>
      <c r="H128" s="45">
        <f>IF($A128="","",SUMIFS(Data!$H$2:$H$25001,Data!$C$2:$C$25001,$A128,Data!$D$2:$D$25001,"Werken",Data!$A$2:$A$25001,"&gt;="&amp;DATE(Dashboard!$B$2,7,1)&amp;"",Data!$A$2:$A$25001,"&lt;"&amp;DATE(Dashboard!$B$2,7+1,1)&amp;""))</f>
        <v/>
      </c>
      <c r="I128" s="45">
        <f>IF($A128="","",SUMIFS(Data!$H$2:$H$25001,Data!$C$2:$C$25001,$A128,Data!$D$2:$D$25001,"Werken",Data!$A$2:$A$25001,"&gt;="&amp;DATE(Dashboard!$B$2,8,1)&amp;"",Data!$A$2:$A$25001,"&lt;"&amp;DATE(Dashboard!$B$2,8+1,1)&amp;""))</f>
        <v/>
      </c>
      <c r="J128" s="45">
        <f>IF($A128="","",SUMIFS(Data!$H$2:$H$25001,Data!$C$2:$C$25001,$A128,Data!$D$2:$D$25001,"Werken",Data!$A$2:$A$25001,"&gt;="&amp;DATE(Dashboard!$B$2,9,1)&amp;"",Data!$A$2:$A$25001,"&lt;"&amp;DATE(Dashboard!$B$2,9+1,1)&amp;""))</f>
        <v/>
      </c>
      <c r="K128" s="45">
        <f>IF($A128="","",SUMIFS(Data!$H$2:$H$25001,Data!$C$2:$C$25001,$A128,Data!$D$2:$D$25001,"Werken",Data!$A$2:$A$25001,"&gt;="&amp;DATE(Dashboard!$B$2,10,1)&amp;"",Data!$A$2:$A$25001,"&lt;"&amp;DATE(Dashboard!$B$2,10+1,1)&amp;""))</f>
        <v/>
      </c>
      <c r="L128" s="45">
        <f>IF($A128="","",SUMIFS(Data!$H$2:$H$25001,Data!$C$2:$C$25001,$A128,Data!$D$2:$D$25001,"Werken",Data!$A$2:$A$25001,"&gt;="&amp;DATE(Dashboard!$B$2,11,1)&amp;"",Data!$A$2:$A$25001,"&lt;"&amp;DATE(Dashboard!$B$2,11+1,1)&amp;""))</f>
        <v/>
      </c>
      <c r="M128" s="45">
        <f>IF($A128="","",SUMIFS(Data!$H$2:$H$25001,Data!$C$2:$C$25001,$A128,Data!$D$2:$D$25001,"Werken",Data!$A$2:$A$25001,"&gt;="&amp;DATE(Dashboard!$B$2,12,1)&amp;"",Data!$A$2:$A$25001,"&lt;"&amp;DATE(Dashboard!$B$2,12+1,1)&amp;""))</f>
        <v/>
      </c>
      <c r="N128" s="46">
        <f>IF($A128="","",SUM(B128:M128))</f>
        <v/>
      </c>
      <c r="O128" s="51" t="n"/>
      <c r="P128" s="52">
        <f>IF(OR($A128="",O128=""),"",N128*O128)</f>
        <v/>
      </c>
    </row>
    <row r="129" ht="15" customHeight="1" s="30">
      <c r="A129" s="49" t="n"/>
      <c r="B129" s="50">
        <f>IF($A129="","",SUMIFS(Data!$H$2:$H$25001,Data!$C$2:$C$25001,$A129,Data!$D$2:$D$25001,"Werken",Data!$A$2:$A$25001,"&gt;="&amp;DATE(Dashboard!$B$2,1,1)&amp;"",Data!$A$2:$A$25001,"&lt;"&amp;DATE(Dashboard!$B$2,1+1,1)&amp;""))</f>
        <v/>
      </c>
      <c r="C129" s="50">
        <f>IF($A129="","",SUMIFS(Data!$H$2:$H$25001,Data!$C$2:$C$25001,$A129,Data!$D$2:$D$25001,"Werken",Data!$A$2:$A$25001,"&gt;="&amp;DATE(Dashboard!$B$2,2,1)&amp;"",Data!$A$2:$A$25001,"&lt;"&amp;DATE(Dashboard!$B$2,2+1,1)&amp;""))</f>
        <v/>
      </c>
      <c r="D129" s="50">
        <f>IF($A129="","",SUMIFS(Data!$H$2:$H$25001,Data!$C$2:$C$25001,$A129,Data!$D$2:$D$25001,"Werken",Data!$A$2:$A$25001,"&gt;="&amp;DATE(Dashboard!$B$2,3,1)&amp;"",Data!$A$2:$A$25001,"&lt;"&amp;DATE(Dashboard!$B$2,3+1,1)&amp;""))</f>
        <v/>
      </c>
      <c r="E129" s="50">
        <f>IF($A129="","",SUMIFS(Data!$H$2:$H$25001,Data!$C$2:$C$25001,$A129,Data!$D$2:$D$25001,"Werken",Data!$A$2:$A$25001,"&gt;="&amp;DATE(Dashboard!$B$2,4,1)&amp;"",Data!$A$2:$A$25001,"&lt;"&amp;DATE(Dashboard!$B$2,4+1,1)&amp;""))</f>
        <v/>
      </c>
      <c r="F129" s="50">
        <f>IF($A129="","",SUMIFS(Data!$H$2:$H$25001,Data!$C$2:$C$25001,$A129,Data!$D$2:$D$25001,"Werken",Data!$A$2:$A$25001,"&gt;="&amp;DATE(Dashboard!$B$2,5,1)&amp;"",Data!$A$2:$A$25001,"&lt;"&amp;DATE(Dashboard!$B$2,5+1,1)&amp;""))</f>
        <v/>
      </c>
      <c r="G129" s="50">
        <f>IF($A129="","",SUMIFS(Data!$H$2:$H$25001,Data!$C$2:$C$25001,$A129,Data!$D$2:$D$25001,"Werken",Data!$A$2:$A$25001,"&gt;="&amp;DATE(Dashboard!$B$2,6,1)&amp;"",Data!$A$2:$A$25001,"&lt;"&amp;DATE(Dashboard!$B$2,6+1,1)&amp;""))</f>
        <v/>
      </c>
      <c r="H129" s="50">
        <f>IF($A129="","",SUMIFS(Data!$H$2:$H$25001,Data!$C$2:$C$25001,$A129,Data!$D$2:$D$25001,"Werken",Data!$A$2:$A$25001,"&gt;="&amp;DATE(Dashboard!$B$2,7,1)&amp;"",Data!$A$2:$A$25001,"&lt;"&amp;DATE(Dashboard!$B$2,7+1,1)&amp;""))</f>
        <v/>
      </c>
      <c r="I129" s="50">
        <f>IF($A129="","",SUMIFS(Data!$H$2:$H$25001,Data!$C$2:$C$25001,$A129,Data!$D$2:$D$25001,"Werken",Data!$A$2:$A$25001,"&gt;="&amp;DATE(Dashboard!$B$2,8,1)&amp;"",Data!$A$2:$A$25001,"&lt;"&amp;DATE(Dashboard!$B$2,8+1,1)&amp;""))</f>
        <v/>
      </c>
      <c r="J129" s="50">
        <f>IF($A129="","",SUMIFS(Data!$H$2:$H$25001,Data!$C$2:$C$25001,$A129,Data!$D$2:$D$25001,"Werken",Data!$A$2:$A$25001,"&gt;="&amp;DATE(Dashboard!$B$2,9,1)&amp;"",Data!$A$2:$A$25001,"&lt;"&amp;DATE(Dashboard!$B$2,9+1,1)&amp;""))</f>
        <v/>
      </c>
      <c r="K129" s="50">
        <f>IF($A129="","",SUMIFS(Data!$H$2:$H$25001,Data!$C$2:$C$25001,$A129,Data!$D$2:$D$25001,"Werken",Data!$A$2:$A$25001,"&gt;="&amp;DATE(Dashboard!$B$2,10,1)&amp;"",Data!$A$2:$A$25001,"&lt;"&amp;DATE(Dashboard!$B$2,10+1,1)&amp;""))</f>
        <v/>
      </c>
      <c r="L129" s="50">
        <f>IF($A129="","",SUMIFS(Data!$H$2:$H$25001,Data!$C$2:$C$25001,$A129,Data!$D$2:$D$25001,"Werken",Data!$A$2:$A$25001,"&gt;="&amp;DATE(Dashboard!$B$2,11,1)&amp;"",Data!$A$2:$A$25001,"&lt;"&amp;DATE(Dashboard!$B$2,11+1,1)&amp;""))</f>
        <v/>
      </c>
      <c r="M129" s="50">
        <f>IF($A129="","",SUMIFS(Data!$H$2:$H$25001,Data!$C$2:$C$25001,$A129,Data!$D$2:$D$25001,"Werken",Data!$A$2:$A$25001,"&gt;="&amp;DATE(Dashboard!$B$2,12,1)&amp;"",Data!$A$2:$A$25001,"&lt;"&amp;DATE(Dashboard!$B$2,12+1,1)&amp;""))</f>
        <v/>
      </c>
      <c r="N129" s="46">
        <f>IF($A129="","",SUM(B129:M129))</f>
        <v/>
      </c>
      <c r="O129" s="51" t="n"/>
      <c r="P129" s="52">
        <f>IF(OR($A129="",O129=""),"",N129*O129)</f>
        <v/>
      </c>
    </row>
    <row r="130" ht="15" customHeight="1" s="30">
      <c r="A130" s="49" t="n"/>
      <c r="B130" s="45">
        <f>IF($A130="","",SUMIFS(Data!$H$2:$H$25001,Data!$C$2:$C$25001,$A130,Data!$D$2:$D$25001,"Werken",Data!$A$2:$A$25001,"&gt;="&amp;DATE(Dashboard!$B$2,1,1)&amp;"",Data!$A$2:$A$25001,"&lt;"&amp;DATE(Dashboard!$B$2,1+1,1)&amp;""))</f>
        <v/>
      </c>
      <c r="C130" s="45">
        <f>IF($A130="","",SUMIFS(Data!$H$2:$H$25001,Data!$C$2:$C$25001,$A130,Data!$D$2:$D$25001,"Werken",Data!$A$2:$A$25001,"&gt;="&amp;DATE(Dashboard!$B$2,2,1)&amp;"",Data!$A$2:$A$25001,"&lt;"&amp;DATE(Dashboard!$B$2,2+1,1)&amp;""))</f>
        <v/>
      </c>
      <c r="D130" s="45">
        <f>IF($A130="","",SUMIFS(Data!$H$2:$H$25001,Data!$C$2:$C$25001,$A130,Data!$D$2:$D$25001,"Werken",Data!$A$2:$A$25001,"&gt;="&amp;DATE(Dashboard!$B$2,3,1)&amp;"",Data!$A$2:$A$25001,"&lt;"&amp;DATE(Dashboard!$B$2,3+1,1)&amp;""))</f>
        <v/>
      </c>
      <c r="E130" s="45">
        <f>IF($A130="","",SUMIFS(Data!$H$2:$H$25001,Data!$C$2:$C$25001,$A130,Data!$D$2:$D$25001,"Werken",Data!$A$2:$A$25001,"&gt;="&amp;DATE(Dashboard!$B$2,4,1)&amp;"",Data!$A$2:$A$25001,"&lt;"&amp;DATE(Dashboard!$B$2,4+1,1)&amp;""))</f>
        <v/>
      </c>
      <c r="F130" s="45">
        <f>IF($A130="","",SUMIFS(Data!$H$2:$H$25001,Data!$C$2:$C$25001,$A130,Data!$D$2:$D$25001,"Werken",Data!$A$2:$A$25001,"&gt;="&amp;DATE(Dashboard!$B$2,5,1)&amp;"",Data!$A$2:$A$25001,"&lt;"&amp;DATE(Dashboard!$B$2,5+1,1)&amp;""))</f>
        <v/>
      </c>
      <c r="G130" s="45">
        <f>IF($A130="","",SUMIFS(Data!$H$2:$H$25001,Data!$C$2:$C$25001,$A130,Data!$D$2:$D$25001,"Werken",Data!$A$2:$A$25001,"&gt;="&amp;DATE(Dashboard!$B$2,6,1)&amp;"",Data!$A$2:$A$25001,"&lt;"&amp;DATE(Dashboard!$B$2,6+1,1)&amp;""))</f>
        <v/>
      </c>
      <c r="H130" s="45">
        <f>IF($A130="","",SUMIFS(Data!$H$2:$H$25001,Data!$C$2:$C$25001,$A130,Data!$D$2:$D$25001,"Werken",Data!$A$2:$A$25001,"&gt;="&amp;DATE(Dashboard!$B$2,7,1)&amp;"",Data!$A$2:$A$25001,"&lt;"&amp;DATE(Dashboard!$B$2,7+1,1)&amp;""))</f>
        <v/>
      </c>
      <c r="I130" s="45">
        <f>IF($A130="","",SUMIFS(Data!$H$2:$H$25001,Data!$C$2:$C$25001,$A130,Data!$D$2:$D$25001,"Werken",Data!$A$2:$A$25001,"&gt;="&amp;DATE(Dashboard!$B$2,8,1)&amp;"",Data!$A$2:$A$25001,"&lt;"&amp;DATE(Dashboard!$B$2,8+1,1)&amp;""))</f>
        <v/>
      </c>
      <c r="J130" s="45">
        <f>IF($A130="","",SUMIFS(Data!$H$2:$H$25001,Data!$C$2:$C$25001,$A130,Data!$D$2:$D$25001,"Werken",Data!$A$2:$A$25001,"&gt;="&amp;DATE(Dashboard!$B$2,9,1)&amp;"",Data!$A$2:$A$25001,"&lt;"&amp;DATE(Dashboard!$B$2,9+1,1)&amp;""))</f>
        <v/>
      </c>
      <c r="K130" s="45">
        <f>IF($A130="","",SUMIFS(Data!$H$2:$H$25001,Data!$C$2:$C$25001,$A130,Data!$D$2:$D$25001,"Werken",Data!$A$2:$A$25001,"&gt;="&amp;DATE(Dashboard!$B$2,10,1)&amp;"",Data!$A$2:$A$25001,"&lt;"&amp;DATE(Dashboard!$B$2,10+1,1)&amp;""))</f>
        <v/>
      </c>
      <c r="L130" s="45">
        <f>IF($A130="","",SUMIFS(Data!$H$2:$H$25001,Data!$C$2:$C$25001,$A130,Data!$D$2:$D$25001,"Werken",Data!$A$2:$A$25001,"&gt;="&amp;DATE(Dashboard!$B$2,11,1)&amp;"",Data!$A$2:$A$25001,"&lt;"&amp;DATE(Dashboard!$B$2,11+1,1)&amp;""))</f>
        <v/>
      </c>
      <c r="M130" s="45">
        <f>IF($A130="","",SUMIFS(Data!$H$2:$H$25001,Data!$C$2:$C$25001,$A130,Data!$D$2:$D$25001,"Werken",Data!$A$2:$A$25001,"&gt;="&amp;DATE(Dashboard!$B$2,12,1)&amp;"",Data!$A$2:$A$25001,"&lt;"&amp;DATE(Dashboard!$B$2,12+1,1)&amp;""))</f>
        <v/>
      </c>
      <c r="N130" s="46">
        <f>IF($A130="","",SUM(B130:M130))</f>
        <v/>
      </c>
      <c r="O130" s="51" t="n"/>
      <c r="P130" s="52">
        <f>IF(OR($A130="",O130=""),"",N130*O130)</f>
        <v/>
      </c>
    </row>
    <row r="131" ht="15" customHeight="1" s="30">
      <c r="A131" s="49" t="n"/>
      <c r="B131" s="50">
        <f>IF($A131="","",SUMIFS(Data!$H$2:$H$25001,Data!$C$2:$C$25001,$A131,Data!$D$2:$D$25001,"Werken",Data!$A$2:$A$25001,"&gt;="&amp;DATE(Dashboard!$B$2,1,1)&amp;"",Data!$A$2:$A$25001,"&lt;"&amp;DATE(Dashboard!$B$2,1+1,1)&amp;""))</f>
        <v/>
      </c>
      <c r="C131" s="50">
        <f>IF($A131="","",SUMIFS(Data!$H$2:$H$25001,Data!$C$2:$C$25001,$A131,Data!$D$2:$D$25001,"Werken",Data!$A$2:$A$25001,"&gt;="&amp;DATE(Dashboard!$B$2,2,1)&amp;"",Data!$A$2:$A$25001,"&lt;"&amp;DATE(Dashboard!$B$2,2+1,1)&amp;""))</f>
        <v/>
      </c>
      <c r="D131" s="50">
        <f>IF($A131="","",SUMIFS(Data!$H$2:$H$25001,Data!$C$2:$C$25001,$A131,Data!$D$2:$D$25001,"Werken",Data!$A$2:$A$25001,"&gt;="&amp;DATE(Dashboard!$B$2,3,1)&amp;"",Data!$A$2:$A$25001,"&lt;"&amp;DATE(Dashboard!$B$2,3+1,1)&amp;""))</f>
        <v/>
      </c>
      <c r="E131" s="50">
        <f>IF($A131="","",SUMIFS(Data!$H$2:$H$25001,Data!$C$2:$C$25001,$A131,Data!$D$2:$D$25001,"Werken",Data!$A$2:$A$25001,"&gt;="&amp;DATE(Dashboard!$B$2,4,1)&amp;"",Data!$A$2:$A$25001,"&lt;"&amp;DATE(Dashboard!$B$2,4+1,1)&amp;""))</f>
        <v/>
      </c>
      <c r="F131" s="50">
        <f>IF($A131="","",SUMIFS(Data!$H$2:$H$25001,Data!$C$2:$C$25001,$A131,Data!$D$2:$D$25001,"Werken",Data!$A$2:$A$25001,"&gt;="&amp;DATE(Dashboard!$B$2,5,1)&amp;"",Data!$A$2:$A$25001,"&lt;"&amp;DATE(Dashboard!$B$2,5+1,1)&amp;""))</f>
        <v/>
      </c>
      <c r="G131" s="50">
        <f>IF($A131="","",SUMIFS(Data!$H$2:$H$25001,Data!$C$2:$C$25001,$A131,Data!$D$2:$D$25001,"Werken",Data!$A$2:$A$25001,"&gt;="&amp;DATE(Dashboard!$B$2,6,1)&amp;"",Data!$A$2:$A$25001,"&lt;"&amp;DATE(Dashboard!$B$2,6+1,1)&amp;""))</f>
        <v/>
      </c>
      <c r="H131" s="50">
        <f>IF($A131="","",SUMIFS(Data!$H$2:$H$25001,Data!$C$2:$C$25001,$A131,Data!$D$2:$D$25001,"Werken",Data!$A$2:$A$25001,"&gt;="&amp;DATE(Dashboard!$B$2,7,1)&amp;"",Data!$A$2:$A$25001,"&lt;"&amp;DATE(Dashboard!$B$2,7+1,1)&amp;""))</f>
        <v/>
      </c>
      <c r="I131" s="50">
        <f>IF($A131="","",SUMIFS(Data!$H$2:$H$25001,Data!$C$2:$C$25001,$A131,Data!$D$2:$D$25001,"Werken",Data!$A$2:$A$25001,"&gt;="&amp;DATE(Dashboard!$B$2,8,1)&amp;"",Data!$A$2:$A$25001,"&lt;"&amp;DATE(Dashboard!$B$2,8+1,1)&amp;""))</f>
        <v/>
      </c>
      <c r="J131" s="50">
        <f>IF($A131="","",SUMIFS(Data!$H$2:$H$25001,Data!$C$2:$C$25001,$A131,Data!$D$2:$D$25001,"Werken",Data!$A$2:$A$25001,"&gt;="&amp;DATE(Dashboard!$B$2,9,1)&amp;"",Data!$A$2:$A$25001,"&lt;"&amp;DATE(Dashboard!$B$2,9+1,1)&amp;""))</f>
        <v/>
      </c>
      <c r="K131" s="50">
        <f>IF($A131="","",SUMIFS(Data!$H$2:$H$25001,Data!$C$2:$C$25001,$A131,Data!$D$2:$D$25001,"Werken",Data!$A$2:$A$25001,"&gt;="&amp;DATE(Dashboard!$B$2,10,1)&amp;"",Data!$A$2:$A$25001,"&lt;"&amp;DATE(Dashboard!$B$2,10+1,1)&amp;""))</f>
        <v/>
      </c>
      <c r="L131" s="50">
        <f>IF($A131="","",SUMIFS(Data!$H$2:$H$25001,Data!$C$2:$C$25001,$A131,Data!$D$2:$D$25001,"Werken",Data!$A$2:$A$25001,"&gt;="&amp;DATE(Dashboard!$B$2,11,1)&amp;"",Data!$A$2:$A$25001,"&lt;"&amp;DATE(Dashboard!$B$2,11+1,1)&amp;""))</f>
        <v/>
      </c>
      <c r="M131" s="50">
        <f>IF($A131="","",SUMIFS(Data!$H$2:$H$25001,Data!$C$2:$C$25001,$A131,Data!$D$2:$D$25001,"Werken",Data!$A$2:$A$25001,"&gt;="&amp;DATE(Dashboard!$B$2,12,1)&amp;"",Data!$A$2:$A$25001,"&lt;"&amp;DATE(Dashboard!$B$2,12+1,1)&amp;""))</f>
        <v/>
      </c>
      <c r="N131" s="46">
        <f>IF($A131="","",SUM(B131:M131))</f>
        <v/>
      </c>
      <c r="O131" s="51" t="n"/>
      <c r="P131" s="52">
        <f>IF(OR($A131="",O131=""),"",N131*O131)</f>
        <v/>
      </c>
    </row>
    <row r="132" ht="15" customHeight="1" s="30">
      <c r="A132" s="49" t="n"/>
      <c r="B132" s="45">
        <f>IF($A132="","",SUMIFS(Data!$H$2:$H$25001,Data!$C$2:$C$25001,$A132,Data!$D$2:$D$25001,"Werken",Data!$A$2:$A$25001,"&gt;="&amp;DATE(Dashboard!$B$2,1,1)&amp;"",Data!$A$2:$A$25001,"&lt;"&amp;DATE(Dashboard!$B$2,1+1,1)&amp;""))</f>
        <v/>
      </c>
      <c r="C132" s="45">
        <f>IF($A132="","",SUMIFS(Data!$H$2:$H$25001,Data!$C$2:$C$25001,$A132,Data!$D$2:$D$25001,"Werken",Data!$A$2:$A$25001,"&gt;="&amp;DATE(Dashboard!$B$2,2,1)&amp;"",Data!$A$2:$A$25001,"&lt;"&amp;DATE(Dashboard!$B$2,2+1,1)&amp;""))</f>
        <v/>
      </c>
      <c r="D132" s="45">
        <f>IF($A132="","",SUMIFS(Data!$H$2:$H$25001,Data!$C$2:$C$25001,$A132,Data!$D$2:$D$25001,"Werken",Data!$A$2:$A$25001,"&gt;="&amp;DATE(Dashboard!$B$2,3,1)&amp;"",Data!$A$2:$A$25001,"&lt;"&amp;DATE(Dashboard!$B$2,3+1,1)&amp;""))</f>
        <v/>
      </c>
      <c r="E132" s="45">
        <f>IF($A132="","",SUMIFS(Data!$H$2:$H$25001,Data!$C$2:$C$25001,$A132,Data!$D$2:$D$25001,"Werken",Data!$A$2:$A$25001,"&gt;="&amp;DATE(Dashboard!$B$2,4,1)&amp;"",Data!$A$2:$A$25001,"&lt;"&amp;DATE(Dashboard!$B$2,4+1,1)&amp;""))</f>
        <v/>
      </c>
      <c r="F132" s="45">
        <f>IF($A132="","",SUMIFS(Data!$H$2:$H$25001,Data!$C$2:$C$25001,$A132,Data!$D$2:$D$25001,"Werken",Data!$A$2:$A$25001,"&gt;="&amp;DATE(Dashboard!$B$2,5,1)&amp;"",Data!$A$2:$A$25001,"&lt;"&amp;DATE(Dashboard!$B$2,5+1,1)&amp;""))</f>
        <v/>
      </c>
      <c r="G132" s="45">
        <f>IF($A132="","",SUMIFS(Data!$H$2:$H$25001,Data!$C$2:$C$25001,$A132,Data!$D$2:$D$25001,"Werken",Data!$A$2:$A$25001,"&gt;="&amp;DATE(Dashboard!$B$2,6,1)&amp;"",Data!$A$2:$A$25001,"&lt;"&amp;DATE(Dashboard!$B$2,6+1,1)&amp;""))</f>
        <v/>
      </c>
      <c r="H132" s="45">
        <f>IF($A132="","",SUMIFS(Data!$H$2:$H$25001,Data!$C$2:$C$25001,$A132,Data!$D$2:$D$25001,"Werken",Data!$A$2:$A$25001,"&gt;="&amp;DATE(Dashboard!$B$2,7,1)&amp;"",Data!$A$2:$A$25001,"&lt;"&amp;DATE(Dashboard!$B$2,7+1,1)&amp;""))</f>
        <v/>
      </c>
      <c r="I132" s="45">
        <f>IF($A132="","",SUMIFS(Data!$H$2:$H$25001,Data!$C$2:$C$25001,$A132,Data!$D$2:$D$25001,"Werken",Data!$A$2:$A$25001,"&gt;="&amp;DATE(Dashboard!$B$2,8,1)&amp;"",Data!$A$2:$A$25001,"&lt;"&amp;DATE(Dashboard!$B$2,8+1,1)&amp;""))</f>
        <v/>
      </c>
      <c r="J132" s="45">
        <f>IF($A132="","",SUMIFS(Data!$H$2:$H$25001,Data!$C$2:$C$25001,$A132,Data!$D$2:$D$25001,"Werken",Data!$A$2:$A$25001,"&gt;="&amp;DATE(Dashboard!$B$2,9,1)&amp;"",Data!$A$2:$A$25001,"&lt;"&amp;DATE(Dashboard!$B$2,9+1,1)&amp;""))</f>
        <v/>
      </c>
      <c r="K132" s="45">
        <f>IF($A132="","",SUMIFS(Data!$H$2:$H$25001,Data!$C$2:$C$25001,$A132,Data!$D$2:$D$25001,"Werken",Data!$A$2:$A$25001,"&gt;="&amp;DATE(Dashboard!$B$2,10,1)&amp;"",Data!$A$2:$A$25001,"&lt;"&amp;DATE(Dashboard!$B$2,10+1,1)&amp;""))</f>
        <v/>
      </c>
      <c r="L132" s="45">
        <f>IF($A132="","",SUMIFS(Data!$H$2:$H$25001,Data!$C$2:$C$25001,$A132,Data!$D$2:$D$25001,"Werken",Data!$A$2:$A$25001,"&gt;="&amp;DATE(Dashboard!$B$2,11,1)&amp;"",Data!$A$2:$A$25001,"&lt;"&amp;DATE(Dashboard!$B$2,11+1,1)&amp;""))</f>
        <v/>
      </c>
      <c r="M132" s="45">
        <f>IF($A132="","",SUMIFS(Data!$H$2:$H$25001,Data!$C$2:$C$25001,$A132,Data!$D$2:$D$25001,"Werken",Data!$A$2:$A$25001,"&gt;="&amp;DATE(Dashboard!$B$2,12,1)&amp;"",Data!$A$2:$A$25001,"&lt;"&amp;DATE(Dashboard!$B$2,12+1,1)&amp;""))</f>
        <v/>
      </c>
      <c r="N132" s="46">
        <f>IF($A132="","",SUM(B132:M132))</f>
        <v/>
      </c>
      <c r="O132" s="51" t="n"/>
      <c r="P132" s="52">
        <f>IF(OR($A132="",O132=""),"",N132*O132)</f>
        <v/>
      </c>
    </row>
    <row r="133" ht="15" customHeight="1" s="30">
      <c r="A133" s="49" t="n"/>
      <c r="B133" s="50">
        <f>IF($A133="","",SUMIFS(Data!$H$2:$H$25001,Data!$C$2:$C$25001,$A133,Data!$D$2:$D$25001,"Werken",Data!$A$2:$A$25001,"&gt;="&amp;DATE(Dashboard!$B$2,1,1)&amp;"",Data!$A$2:$A$25001,"&lt;"&amp;DATE(Dashboard!$B$2,1+1,1)&amp;""))</f>
        <v/>
      </c>
      <c r="C133" s="50">
        <f>IF($A133="","",SUMIFS(Data!$H$2:$H$25001,Data!$C$2:$C$25001,$A133,Data!$D$2:$D$25001,"Werken",Data!$A$2:$A$25001,"&gt;="&amp;DATE(Dashboard!$B$2,2,1)&amp;"",Data!$A$2:$A$25001,"&lt;"&amp;DATE(Dashboard!$B$2,2+1,1)&amp;""))</f>
        <v/>
      </c>
      <c r="D133" s="50">
        <f>IF($A133="","",SUMIFS(Data!$H$2:$H$25001,Data!$C$2:$C$25001,$A133,Data!$D$2:$D$25001,"Werken",Data!$A$2:$A$25001,"&gt;="&amp;DATE(Dashboard!$B$2,3,1)&amp;"",Data!$A$2:$A$25001,"&lt;"&amp;DATE(Dashboard!$B$2,3+1,1)&amp;""))</f>
        <v/>
      </c>
      <c r="E133" s="50">
        <f>IF($A133="","",SUMIFS(Data!$H$2:$H$25001,Data!$C$2:$C$25001,$A133,Data!$D$2:$D$25001,"Werken",Data!$A$2:$A$25001,"&gt;="&amp;DATE(Dashboard!$B$2,4,1)&amp;"",Data!$A$2:$A$25001,"&lt;"&amp;DATE(Dashboard!$B$2,4+1,1)&amp;""))</f>
        <v/>
      </c>
      <c r="F133" s="50">
        <f>IF($A133="","",SUMIFS(Data!$H$2:$H$25001,Data!$C$2:$C$25001,$A133,Data!$D$2:$D$25001,"Werken",Data!$A$2:$A$25001,"&gt;="&amp;DATE(Dashboard!$B$2,5,1)&amp;"",Data!$A$2:$A$25001,"&lt;"&amp;DATE(Dashboard!$B$2,5+1,1)&amp;""))</f>
        <v/>
      </c>
      <c r="G133" s="50">
        <f>IF($A133="","",SUMIFS(Data!$H$2:$H$25001,Data!$C$2:$C$25001,$A133,Data!$D$2:$D$25001,"Werken",Data!$A$2:$A$25001,"&gt;="&amp;DATE(Dashboard!$B$2,6,1)&amp;"",Data!$A$2:$A$25001,"&lt;"&amp;DATE(Dashboard!$B$2,6+1,1)&amp;""))</f>
        <v/>
      </c>
      <c r="H133" s="50">
        <f>IF($A133="","",SUMIFS(Data!$H$2:$H$25001,Data!$C$2:$C$25001,$A133,Data!$D$2:$D$25001,"Werken",Data!$A$2:$A$25001,"&gt;="&amp;DATE(Dashboard!$B$2,7,1)&amp;"",Data!$A$2:$A$25001,"&lt;"&amp;DATE(Dashboard!$B$2,7+1,1)&amp;""))</f>
        <v/>
      </c>
      <c r="I133" s="50">
        <f>IF($A133="","",SUMIFS(Data!$H$2:$H$25001,Data!$C$2:$C$25001,$A133,Data!$D$2:$D$25001,"Werken",Data!$A$2:$A$25001,"&gt;="&amp;DATE(Dashboard!$B$2,8,1)&amp;"",Data!$A$2:$A$25001,"&lt;"&amp;DATE(Dashboard!$B$2,8+1,1)&amp;""))</f>
        <v/>
      </c>
      <c r="J133" s="50">
        <f>IF($A133="","",SUMIFS(Data!$H$2:$H$25001,Data!$C$2:$C$25001,$A133,Data!$D$2:$D$25001,"Werken",Data!$A$2:$A$25001,"&gt;="&amp;DATE(Dashboard!$B$2,9,1)&amp;"",Data!$A$2:$A$25001,"&lt;"&amp;DATE(Dashboard!$B$2,9+1,1)&amp;""))</f>
        <v/>
      </c>
      <c r="K133" s="50">
        <f>IF($A133="","",SUMIFS(Data!$H$2:$H$25001,Data!$C$2:$C$25001,$A133,Data!$D$2:$D$25001,"Werken",Data!$A$2:$A$25001,"&gt;="&amp;DATE(Dashboard!$B$2,10,1)&amp;"",Data!$A$2:$A$25001,"&lt;"&amp;DATE(Dashboard!$B$2,10+1,1)&amp;""))</f>
        <v/>
      </c>
      <c r="L133" s="50">
        <f>IF($A133="","",SUMIFS(Data!$H$2:$H$25001,Data!$C$2:$C$25001,$A133,Data!$D$2:$D$25001,"Werken",Data!$A$2:$A$25001,"&gt;="&amp;DATE(Dashboard!$B$2,11,1)&amp;"",Data!$A$2:$A$25001,"&lt;"&amp;DATE(Dashboard!$B$2,11+1,1)&amp;""))</f>
        <v/>
      </c>
      <c r="M133" s="50">
        <f>IF($A133="","",SUMIFS(Data!$H$2:$H$25001,Data!$C$2:$C$25001,$A133,Data!$D$2:$D$25001,"Werken",Data!$A$2:$A$25001,"&gt;="&amp;DATE(Dashboard!$B$2,12,1)&amp;"",Data!$A$2:$A$25001,"&lt;"&amp;DATE(Dashboard!$B$2,12+1,1)&amp;""))</f>
        <v/>
      </c>
      <c r="N133" s="46">
        <f>IF($A133="","",SUM(B133:M133))</f>
        <v/>
      </c>
      <c r="O133" s="51" t="n"/>
      <c r="P133" s="52">
        <f>IF(OR($A133="",O133=""),"",N133*O133)</f>
        <v/>
      </c>
    </row>
    <row r="134" ht="15" customHeight="1" s="30">
      <c r="A134" s="49" t="n"/>
      <c r="B134" s="45">
        <f>IF($A134="","",SUMIFS(Data!$H$2:$H$25001,Data!$C$2:$C$25001,$A134,Data!$D$2:$D$25001,"Werken",Data!$A$2:$A$25001,"&gt;="&amp;DATE(Dashboard!$B$2,1,1)&amp;"",Data!$A$2:$A$25001,"&lt;"&amp;DATE(Dashboard!$B$2,1+1,1)&amp;""))</f>
        <v/>
      </c>
      <c r="C134" s="45">
        <f>IF($A134="","",SUMIFS(Data!$H$2:$H$25001,Data!$C$2:$C$25001,$A134,Data!$D$2:$D$25001,"Werken",Data!$A$2:$A$25001,"&gt;="&amp;DATE(Dashboard!$B$2,2,1)&amp;"",Data!$A$2:$A$25001,"&lt;"&amp;DATE(Dashboard!$B$2,2+1,1)&amp;""))</f>
        <v/>
      </c>
      <c r="D134" s="45">
        <f>IF($A134="","",SUMIFS(Data!$H$2:$H$25001,Data!$C$2:$C$25001,$A134,Data!$D$2:$D$25001,"Werken",Data!$A$2:$A$25001,"&gt;="&amp;DATE(Dashboard!$B$2,3,1)&amp;"",Data!$A$2:$A$25001,"&lt;"&amp;DATE(Dashboard!$B$2,3+1,1)&amp;""))</f>
        <v/>
      </c>
      <c r="E134" s="45">
        <f>IF($A134="","",SUMIFS(Data!$H$2:$H$25001,Data!$C$2:$C$25001,$A134,Data!$D$2:$D$25001,"Werken",Data!$A$2:$A$25001,"&gt;="&amp;DATE(Dashboard!$B$2,4,1)&amp;"",Data!$A$2:$A$25001,"&lt;"&amp;DATE(Dashboard!$B$2,4+1,1)&amp;""))</f>
        <v/>
      </c>
      <c r="F134" s="45">
        <f>IF($A134="","",SUMIFS(Data!$H$2:$H$25001,Data!$C$2:$C$25001,$A134,Data!$D$2:$D$25001,"Werken",Data!$A$2:$A$25001,"&gt;="&amp;DATE(Dashboard!$B$2,5,1)&amp;"",Data!$A$2:$A$25001,"&lt;"&amp;DATE(Dashboard!$B$2,5+1,1)&amp;""))</f>
        <v/>
      </c>
      <c r="G134" s="45">
        <f>IF($A134="","",SUMIFS(Data!$H$2:$H$25001,Data!$C$2:$C$25001,$A134,Data!$D$2:$D$25001,"Werken",Data!$A$2:$A$25001,"&gt;="&amp;DATE(Dashboard!$B$2,6,1)&amp;"",Data!$A$2:$A$25001,"&lt;"&amp;DATE(Dashboard!$B$2,6+1,1)&amp;""))</f>
        <v/>
      </c>
      <c r="H134" s="45">
        <f>IF($A134="","",SUMIFS(Data!$H$2:$H$25001,Data!$C$2:$C$25001,$A134,Data!$D$2:$D$25001,"Werken",Data!$A$2:$A$25001,"&gt;="&amp;DATE(Dashboard!$B$2,7,1)&amp;"",Data!$A$2:$A$25001,"&lt;"&amp;DATE(Dashboard!$B$2,7+1,1)&amp;""))</f>
        <v/>
      </c>
      <c r="I134" s="45">
        <f>IF($A134="","",SUMIFS(Data!$H$2:$H$25001,Data!$C$2:$C$25001,$A134,Data!$D$2:$D$25001,"Werken",Data!$A$2:$A$25001,"&gt;="&amp;DATE(Dashboard!$B$2,8,1)&amp;"",Data!$A$2:$A$25001,"&lt;"&amp;DATE(Dashboard!$B$2,8+1,1)&amp;""))</f>
        <v/>
      </c>
      <c r="J134" s="45">
        <f>IF($A134="","",SUMIFS(Data!$H$2:$H$25001,Data!$C$2:$C$25001,$A134,Data!$D$2:$D$25001,"Werken",Data!$A$2:$A$25001,"&gt;="&amp;DATE(Dashboard!$B$2,9,1)&amp;"",Data!$A$2:$A$25001,"&lt;"&amp;DATE(Dashboard!$B$2,9+1,1)&amp;""))</f>
        <v/>
      </c>
      <c r="K134" s="45">
        <f>IF($A134="","",SUMIFS(Data!$H$2:$H$25001,Data!$C$2:$C$25001,$A134,Data!$D$2:$D$25001,"Werken",Data!$A$2:$A$25001,"&gt;="&amp;DATE(Dashboard!$B$2,10,1)&amp;"",Data!$A$2:$A$25001,"&lt;"&amp;DATE(Dashboard!$B$2,10+1,1)&amp;""))</f>
        <v/>
      </c>
      <c r="L134" s="45">
        <f>IF($A134="","",SUMIFS(Data!$H$2:$H$25001,Data!$C$2:$C$25001,$A134,Data!$D$2:$D$25001,"Werken",Data!$A$2:$A$25001,"&gt;="&amp;DATE(Dashboard!$B$2,11,1)&amp;"",Data!$A$2:$A$25001,"&lt;"&amp;DATE(Dashboard!$B$2,11+1,1)&amp;""))</f>
        <v/>
      </c>
      <c r="M134" s="45">
        <f>IF($A134="","",SUMIFS(Data!$H$2:$H$25001,Data!$C$2:$C$25001,$A134,Data!$D$2:$D$25001,"Werken",Data!$A$2:$A$25001,"&gt;="&amp;DATE(Dashboard!$B$2,12,1)&amp;"",Data!$A$2:$A$25001,"&lt;"&amp;DATE(Dashboard!$B$2,12+1,1)&amp;""))</f>
        <v/>
      </c>
      <c r="N134" s="46">
        <f>IF($A134="","",SUM(B134:M134))</f>
        <v/>
      </c>
      <c r="O134" s="51" t="n"/>
      <c r="P134" s="52">
        <f>IF(OR($A134="",O134=""),"",N134*O134)</f>
        <v/>
      </c>
    </row>
    <row r="135" ht="15" customHeight="1" s="30">
      <c r="A135" s="49" t="n"/>
      <c r="B135" s="50">
        <f>IF($A135="","",SUMIFS(Data!$H$2:$H$25001,Data!$C$2:$C$25001,$A135,Data!$D$2:$D$25001,"Werken",Data!$A$2:$A$25001,"&gt;="&amp;DATE(Dashboard!$B$2,1,1)&amp;"",Data!$A$2:$A$25001,"&lt;"&amp;DATE(Dashboard!$B$2,1+1,1)&amp;""))</f>
        <v/>
      </c>
      <c r="C135" s="50">
        <f>IF($A135="","",SUMIFS(Data!$H$2:$H$25001,Data!$C$2:$C$25001,$A135,Data!$D$2:$D$25001,"Werken",Data!$A$2:$A$25001,"&gt;="&amp;DATE(Dashboard!$B$2,2,1)&amp;"",Data!$A$2:$A$25001,"&lt;"&amp;DATE(Dashboard!$B$2,2+1,1)&amp;""))</f>
        <v/>
      </c>
      <c r="D135" s="50">
        <f>IF($A135="","",SUMIFS(Data!$H$2:$H$25001,Data!$C$2:$C$25001,$A135,Data!$D$2:$D$25001,"Werken",Data!$A$2:$A$25001,"&gt;="&amp;DATE(Dashboard!$B$2,3,1)&amp;"",Data!$A$2:$A$25001,"&lt;"&amp;DATE(Dashboard!$B$2,3+1,1)&amp;""))</f>
        <v/>
      </c>
      <c r="E135" s="50">
        <f>IF($A135="","",SUMIFS(Data!$H$2:$H$25001,Data!$C$2:$C$25001,$A135,Data!$D$2:$D$25001,"Werken",Data!$A$2:$A$25001,"&gt;="&amp;DATE(Dashboard!$B$2,4,1)&amp;"",Data!$A$2:$A$25001,"&lt;"&amp;DATE(Dashboard!$B$2,4+1,1)&amp;""))</f>
        <v/>
      </c>
      <c r="F135" s="50">
        <f>IF($A135="","",SUMIFS(Data!$H$2:$H$25001,Data!$C$2:$C$25001,$A135,Data!$D$2:$D$25001,"Werken",Data!$A$2:$A$25001,"&gt;="&amp;DATE(Dashboard!$B$2,5,1)&amp;"",Data!$A$2:$A$25001,"&lt;"&amp;DATE(Dashboard!$B$2,5+1,1)&amp;""))</f>
        <v/>
      </c>
      <c r="G135" s="50">
        <f>IF($A135="","",SUMIFS(Data!$H$2:$H$25001,Data!$C$2:$C$25001,$A135,Data!$D$2:$D$25001,"Werken",Data!$A$2:$A$25001,"&gt;="&amp;DATE(Dashboard!$B$2,6,1)&amp;"",Data!$A$2:$A$25001,"&lt;"&amp;DATE(Dashboard!$B$2,6+1,1)&amp;""))</f>
        <v/>
      </c>
      <c r="H135" s="50">
        <f>IF($A135="","",SUMIFS(Data!$H$2:$H$25001,Data!$C$2:$C$25001,$A135,Data!$D$2:$D$25001,"Werken",Data!$A$2:$A$25001,"&gt;="&amp;DATE(Dashboard!$B$2,7,1)&amp;"",Data!$A$2:$A$25001,"&lt;"&amp;DATE(Dashboard!$B$2,7+1,1)&amp;""))</f>
        <v/>
      </c>
      <c r="I135" s="50">
        <f>IF($A135="","",SUMIFS(Data!$H$2:$H$25001,Data!$C$2:$C$25001,$A135,Data!$D$2:$D$25001,"Werken",Data!$A$2:$A$25001,"&gt;="&amp;DATE(Dashboard!$B$2,8,1)&amp;"",Data!$A$2:$A$25001,"&lt;"&amp;DATE(Dashboard!$B$2,8+1,1)&amp;""))</f>
        <v/>
      </c>
      <c r="J135" s="50">
        <f>IF($A135="","",SUMIFS(Data!$H$2:$H$25001,Data!$C$2:$C$25001,$A135,Data!$D$2:$D$25001,"Werken",Data!$A$2:$A$25001,"&gt;="&amp;DATE(Dashboard!$B$2,9,1)&amp;"",Data!$A$2:$A$25001,"&lt;"&amp;DATE(Dashboard!$B$2,9+1,1)&amp;""))</f>
        <v/>
      </c>
      <c r="K135" s="50">
        <f>IF($A135="","",SUMIFS(Data!$H$2:$H$25001,Data!$C$2:$C$25001,$A135,Data!$D$2:$D$25001,"Werken",Data!$A$2:$A$25001,"&gt;="&amp;DATE(Dashboard!$B$2,10,1)&amp;"",Data!$A$2:$A$25001,"&lt;"&amp;DATE(Dashboard!$B$2,10+1,1)&amp;""))</f>
        <v/>
      </c>
      <c r="L135" s="50">
        <f>IF($A135="","",SUMIFS(Data!$H$2:$H$25001,Data!$C$2:$C$25001,$A135,Data!$D$2:$D$25001,"Werken",Data!$A$2:$A$25001,"&gt;="&amp;DATE(Dashboard!$B$2,11,1)&amp;"",Data!$A$2:$A$25001,"&lt;"&amp;DATE(Dashboard!$B$2,11+1,1)&amp;""))</f>
        <v/>
      </c>
      <c r="M135" s="50">
        <f>IF($A135="","",SUMIFS(Data!$H$2:$H$25001,Data!$C$2:$C$25001,$A135,Data!$D$2:$D$25001,"Werken",Data!$A$2:$A$25001,"&gt;="&amp;DATE(Dashboard!$B$2,12,1)&amp;"",Data!$A$2:$A$25001,"&lt;"&amp;DATE(Dashboard!$B$2,12+1,1)&amp;""))</f>
        <v/>
      </c>
      <c r="N135" s="46">
        <f>IF($A135="","",SUM(B135:M135))</f>
        <v/>
      </c>
      <c r="O135" s="51" t="n"/>
      <c r="P135" s="52">
        <f>IF(OR($A135="",O135=""),"",N135*O135)</f>
        <v/>
      </c>
    </row>
    <row r="136" ht="15" customHeight="1" s="30">
      <c r="A136" s="49" t="n"/>
      <c r="B136" s="45">
        <f>IF($A136="","",SUMIFS(Data!$H$2:$H$25001,Data!$C$2:$C$25001,$A136,Data!$D$2:$D$25001,"Werken",Data!$A$2:$A$25001,"&gt;="&amp;DATE(Dashboard!$B$2,1,1)&amp;"",Data!$A$2:$A$25001,"&lt;"&amp;DATE(Dashboard!$B$2,1+1,1)&amp;""))</f>
        <v/>
      </c>
      <c r="C136" s="45">
        <f>IF($A136="","",SUMIFS(Data!$H$2:$H$25001,Data!$C$2:$C$25001,$A136,Data!$D$2:$D$25001,"Werken",Data!$A$2:$A$25001,"&gt;="&amp;DATE(Dashboard!$B$2,2,1)&amp;"",Data!$A$2:$A$25001,"&lt;"&amp;DATE(Dashboard!$B$2,2+1,1)&amp;""))</f>
        <v/>
      </c>
      <c r="D136" s="45">
        <f>IF($A136="","",SUMIFS(Data!$H$2:$H$25001,Data!$C$2:$C$25001,$A136,Data!$D$2:$D$25001,"Werken",Data!$A$2:$A$25001,"&gt;="&amp;DATE(Dashboard!$B$2,3,1)&amp;"",Data!$A$2:$A$25001,"&lt;"&amp;DATE(Dashboard!$B$2,3+1,1)&amp;""))</f>
        <v/>
      </c>
      <c r="E136" s="45">
        <f>IF($A136="","",SUMIFS(Data!$H$2:$H$25001,Data!$C$2:$C$25001,$A136,Data!$D$2:$D$25001,"Werken",Data!$A$2:$A$25001,"&gt;="&amp;DATE(Dashboard!$B$2,4,1)&amp;"",Data!$A$2:$A$25001,"&lt;"&amp;DATE(Dashboard!$B$2,4+1,1)&amp;""))</f>
        <v/>
      </c>
      <c r="F136" s="45">
        <f>IF($A136="","",SUMIFS(Data!$H$2:$H$25001,Data!$C$2:$C$25001,$A136,Data!$D$2:$D$25001,"Werken",Data!$A$2:$A$25001,"&gt;="&amp;DATE(Dashboard!$B$2,5,1)&amp;"",Data!$A$2:$A$25001,"&lt;"&amp;DATE(Dashboard!$B$2,5+1,1)&amp;""))</f>
        <v/>
      </c>
      <c r="G136" s="45">
        <f>IF($A136="","",SUMIFS(Data!$H$2:$H$25001,Data!$C$2:$C$25001,$A136,Data!$D$2:$D$25001,"Werken",Data!$A$2:$A$25001,"&gt;="&amp;DATE(Dashboard!$B$2,6,1)&amp;"",Data!$A$2:$A$25001,"&lt;"&amp;DATE(Dashboard!$B$2,6+1,1)&amp;""))</f>
        <v/>
      </c>
      <c r="H136" s="45">
        <f>IF($A136="","",SUMIFS(Data!$H$2:$H$25001,Data!$C$2:$C$25001,$A136,Data!$D$2:$D$25001,"Werken",Data!$A$2:$A$25001,"&gt;="&amp;DATE(Dashboard!$B$2,7,1)&amp;"",Data!$A$2:$A$25001,"&lt;"&amp;DATE(Dashboard!$B$2,7+1,1)&amp;""))</f>
        <v/>
      </c>
      <c r="I136" s="45">
        <f>IF($A136="","",SUMIFS(Data!$H$2:$H$25001,Data!$C$2:$C$25001,$A136,Data!$D$2:$D$25001,"Werken",Data!$A$2:$A$25001,"&gt;="&amp;DATE(Dashboard!$B$2,8,1)&amp;"",Data!$A$2:$A$25001,"&lt;"&amp;DATE(Dashboard!$B$2,8+1,1)&amp;""))</f>
        <v/>
      </c>
      <c r="J136" s="45">
        <f>IF($A136="","",SUMIFS(Data!$H$2:$H$25001,Data!$C$2:$C$25001,$A136,Data!$D$2:$D$25001,"Werken",Data!$A$2:$A$25001,"&gt;="&amp;DATE(Dashboard!$B$2,9,1)&amp;"",Data!$A$2:$A$25001,"&lt;"&amp;DATE(Dashboard!$B$2,9+1,1)&amp;""))</f>
        <v/>
      </c>
      <c r="K136" s="45">
        <f>IF($A136="","",SUMIFS(Data!$H$2:$H$25001,Data!$C$2:$C$25001,$A136,Data!$D$2:$D$25001,"Werken",Data!$A$2:$A$25001,"&gt;="&amp;DATE(Dashboard!$B$2,10,1)&amp;"",Data!$A$2:$A$25001,"&lt;"&amp;DATE(Dashboard!$B$2,10+1,1)&amp;""))</f>
        <v/>
      </c>
      <c r="L136" s="45">
        <f>IF($A136="","",SUMIFS(Data!$H$2:$H$25001,Data!$C$2:$C$25001,$A136,Data!$D$2:$D$25001,"Werken",Data!$A$2:$A$25001,"&gt;="&amp;DATE(Dashboard!$B$2,11,1)&amp;"",Data!$A$2:$A$25001,"&lt;"&amp;DATE(Dashboard!$B$2,11+1,1)&amp;""))</f>
        <v/>
      </c>
      <c r="M136" s="45">
        <f>IF($A136="","",SUMIFS(Data!$H$2:$H$25001,Data!$C$2:$C$25001,$A136,Data!$D$2:$D$25001,"Werken",Data!$A$2:$A$25001,"&gt;="&amp;DATE(Dashboard!$B$2,12,1)&amp;"",Data!$A$2:$A$25001,"&lt;"&amp;DATE(Dashboard!$B$2,12+1,1)&amp;""))</f>
        <v/>
      </c>
      <c r="N136" s="46">
        <f>IF($A136="","",SUM(B136:M136))</f>
        <v/>
      </c>
      <c r="O136" s="51" t="n"/>
      <c r="P136" s="52">
        <f>IF(OR($A136="",O136=""),"",N136*O136)</f>
        <v/>
      </c>
    </row>
    <row r="137" ht="15" customHeight="1" s="30">
      <c r="A137" s="49" t="n"/>
      <c r="B137" s="50">
        <f>IF($A137="","",SUMIFS(Data!$H$2:$H$25001,Data!$C$2:$C$25001,$A137,Data!$D$2:$D$25001,"Werken",Data!$A$2:$A$25001,"&gt;="&amp;DATE(Dashboard!$B$2,1,1)&amp;"",Data!$A$2:$A$25001,"&lt;"&amp;DATE(Dashboard!$B$2,1+1,1)&amp;""))</f>
        <v/>
      </c>
      <c r="C137" s="50">
        <f>IF($A137="","",SUMIFS(Data!$H$2:$H$25001,Data!$C$2:$C$25001,$A137,Data!$D$2:$D$25001,"Werken",Data!$A$2:$A$25001,"&gt;="&amp;DATE(Dashboard!$B$2,2,1)&amp;"",Data!$A$2:$A$25001,"&lt;"&amp;DATE(Dashboard!$B$2,2+1,1)&amp;""))</f>
        <v/>
      </c>
      <c r="D137" s="50">
        <f>IF($A137="","",SUMIFS(Data!$H$2:$H$25001,Data!$C$2:$C$25001,$A137,Data!$D$2:$D$25001,"Werken",Data!$A$2:$A$25001,"&gt;="&amp;DATE(Dashboard!$B$2,3,1)&amp;"",Data!$A$2:$A$25001,"&lt;"&amp;DATE(Dashboard!$B$2,3+1,1)&amp;""))</f>
        <v/>
      </c>
      <c r="E137" s="50">
        <f>IF($A137="","",SUMIFS(Data!$H$2:$H$25001,Data!$C$2:$C$25001,$A137,Data!$D$2:$D$25001,"Werken",Data!$A$2:$A$25001,"&gt;="&amp;DATE(Dashboard!$B$2,4,1)&amp;"",Data!$A$2:$A$25001,"&lt;"&amp;DATE(Dashboard!$B$2,4+1,1)&amp;""))</f>
        <v/>
      </c>
      <c r="F137" s="50">
        <f>IF($A137="","",SUMIFS(Data!$H$2:$H$25001,Data!$C$2:$C$25001,$A137,Data!$D$2:$D$25001,"Werken",Data!$A$2:$A$25001,"&gt;="&amp;DATE(Dashboard!$B$2,5,1)&amp;"",Data!$A$2:$A$25001,"&lt;"&amp;DATE(Dashboard!$B$2,5+1,1)&amp;""))</f>
        <v/>
      </c>
      <c r="G137" s="50">
        <f>IF($A137="","",SUMIFS(Data!$H$2:$H$25001,Data!$C$2:$C$25001,$A137,Data!$D$2:$D$25001,"Werken",Data!$A$2:$A$25001,"&gt;="&amp;DATE(Dashboard!$B$2,6,1)&amp;"",Data!$A$2:$A$25001,"&lt;"&amp;DATE(Dashboard!$B$2,6+1,1)&amp;""))</f>
        <v/>
      </c>
      <c r="H137" s="50">
        <f>IF($A137="","",SUMIFS(Data!$H$2:$H$25001,Data!$C$2:$C$25001,$A137,Data!$D$2:$D$25001,"Werken",Data!$A$2:$A$25001,"&gt;="&amp;DATE(Dashboard!$B$2,7,1)&amp;"",Data!$A$2:$A$25001,"&lt;"&amp;DATE(Dashboard!$B$2,7+1,1)&amp;""))</f>
        <v/>
      </c>
      <c r="I137" s="50">
        <f>IF($A137="","",SUMIFS(Data!$H$2:$H$25001,Data!$C$2:$C$25001,$A137,Data!$D$2:$D$25001,"Werken",Data!$A$2:$A$25001,"&gt;="&amp;DATE(Dashboard!$B$2,8,1)&amp;"",Data!$A$2:$A$25001,"&lt;"&amp;DATE(Dashboard!$B$2,8+1,1)&amp;""))</f>
        <v/>
      </c>
      <c r="J137" s="50">
        <f>IF($A137="","",SUMIFS(Data!$H$2:$H$25001,Data!$C$2:$C$25001,$A137,Data!$D$2:$D$25001,"Werken",Data!$A$2:$A$25001,"&gt;="&amp;DATE(Dashboard!$B$2,9,1)&amp;"",Data!$A$2:$A$25001,"&lt;"&amp;DATE(Dashboard!$B$2,9+1,1)&amp;""))</f>
        <v/>
      </c>
      <c r="K137" s="50">
        <f>IF($A137="","",SUMIFS(Data!$H$2:$H$25001,Data!$C$2:$C$25001,$A137,Data!$D$2:$D$25001,"Werken",Data!$A$2:$A$25001,"&gt;="&amp;DATE(Dashboard!$B$2,10,1)&amp;"",Data!$A$2:$A$25001,"&lt;"&amp;DATE(Dashboard!$B$2,10+1,1)&amp;""))</f>
        <v/>
      </c>
      <c r="L137" s="50">
        <f>IF($A137="","",SUMIFS(Data!$H$2:$H$25001,Data!$C$2:$C$25001,$A137,Data!$D$2:$D$25001,"Werken",Data!$A$2:$A$25001,"&gt;="&amp;DATE(Dashboard!$B$2,11,1)&amp;"",Data!$A$2:$A$25001,"&lt;"&amp;DATE(Dashboard!$B$2,11+1,1)&amp;""))</f>
        <v/>
      </c>
      <c r="M137" s="50">
        <f>IF($A137="","",SUMIFS(Data!$H$2:$H$25001,Data!$C$2:$C$25001,$A137,Data!$D$2:$D$25001,"Werken",Data!$A$2:$A$25001,"&gt;="&amp;DATE(Dashboard!$B$2,12,1)&amp;"",Data!$A$2:$A$25001,"&lt;"&amp;DATE(Dashboard!$B$2,12+1,1)&amp;""))</f>
        <v/>
      </c>
      <c r="N137" s="46">
        <f>IF($A137="","",SUM(B137:M137))</f>
        <v/>
      </c>
      <c r="O137" s="51" t="n"/>
      <c r="P137" s="52">
        <f>IF(OR($A137="",O137=""),"",N137*O137)</f>
        <v/>
      </c>
    </row>
    <row r="138" ht="15" customHeight="1" s="30">
      <c r="A138" s="49" t="n"/>
      <c r="B138" s="45">
        <f>IF($A138="","",SUMIFS(Data!$H$2:$H$25001,Data!$C$2:$C$25001,$A138,Data!$D$2:$D$25001,"Werken",Data!$A$2:$A$25001,"&gt;="&amp;DATE(Dashboard!$B$2,1,1)&amp;"",Data!$A$2:$A$25001,"&lt;"&amp;DATE(Dashboard!$B$2,1+1,1)&amp;""))</f>
        <v/>
      </c>
      <c r="C138" s="45">
        <f>IF($A138="","",SUMIFS(Data!$H$2:$H$25001,Data!$C$2:$C$25001,$A138,Data!$D$2:$D$25001,"Werken",Data!$A$2:$A$25001,"&gt;="&amp;DATE(Dashboard!$B$2,2,1)&amp;"",Data!$A$2:$A$25001,"&lt;"&amp;DATE(Dashboard!$B$2,2+1,1)&amp;""))</f>
        <v/>
      </c>
      <c r="D138" s="45">
        <f>IF($A138="","",SUMIFS(Data!$H$2:$H$25001,Data!$C$2:$C$25001,$A138,Data!$D$2:$D$25001,"Werken",Data!$A$2:$A$25001,"&gt;="&amp;DATE(Dashboard!$B$2,3,1)&amp;"",Data!$A$2:$A$25001,"&lt;"&amp;DATE(Dashboard!$B$2,3+1,1)&amp;""))</f>
        <v/>
      </c>
      <c r="E138" s="45">
        <f>IF($A138="","",SUMIFS(Data!$H$2:$H$25001,Data!$C$2:$C$25001,$A138,Data!$D$2:$D$25001,"Werken",Data!$A$2:$A$25001,"&gt;="&amp;DATE(Dashboard!$B$2,4,1)&amp;"",Data!$A$2:$A$25001,"&lt;"&amp;DATE(Dashboard!$B$2,4+1,1)&amp;""))</f>
        <v/>
      </c>
      <c r="F138" s="45">
        <f>IF($A138="","",SUMIFS(Data!$H$2:$H$25001,Data!$C$2:$C$25001,$A138,Data!$D$2:$D$25001,"Werken",Data!$A$2:$A$25001,"&gt;="&amp;DATE(Dashboard!$B$2,5,1)&amp;"",Data!$A$2:$A$25001,"&lt;"&amp;DATE(Dashboard!$B$2,5+1,1)&amp;""))</f>
        <v/>
      </c>
      <c r="G138" s="45">
        <f>IF($A138="","",SUMIFS(Data!$H$2:$H$25001,Data!$C$2:$C$25001,$A138,Data!$D$2:$D$25001,"Werken",Data!$A$2:$A$25001,"&gt;="&amp;DATE(Dashboard!$B$2,6,1)&amp;"",Data!$A$2:$A$25001,"&lt;"&amp;DATE(Dashboard!$B$2,6+1,1)&amp;""))</f>
        <v/>
      </c>
      <c r="H138" s="45">
        <f>IF($A138="","",SUMIFS(Data!$H$2:$H$25001,Data!$C$2:$C$25001,$A138,Data!$D$2:$D$25001,"Werken",Data!$A$2:$A$25001,"&gt;="&amp;DATE(Dashboard!$B$2,7,1)&amp;"",Data!$A$2:$A$25001,"&lt;"&amp;DATE(Dashboard!$B$2,7+1,1)&amp;""))</f>
        <v/>
      </c>
      <c r="I138" s="45">
        <f>IF($A138="","",SUMIFS(Data!$H$2:$H$25001,Data!$C$2:$C$25001,$A138,Data!$D$2:$D$25001,"Werken",Data!$A$2:$A$25001,"&gt;="&amp;DATE(Dashboard!$B$2,8,1)&amp;"",Data!$A$2:$A$25001,"&lt;"&amp;DATE(Dashboard!$B$2,8+1,1)&amp;""))</f>
        <v/>
      </c>
      <c r="J138" s="45">
        <f>IF($A138="","",SUMIFS(Data!$H$2:$H$25001,Data!$C$2:$C$25001,$A138,Data!$D$2:$D$25001,"Werken",Data!$A$2:$A$25001,"&gt;="&amp;DATE(Dashboard!$B$2,9,1)&amp;"",Data!$A$2:$A$25001,"&lt;"&amp;DATE(Dashboard!$B$2,9+1,1)&amp;""))</f>
        <v/>
      </c>
      <c r="K138" s="45">
        <f>IF($A138="","",SUMIFS(Data!$H$2:$H$25001,Data!$C$2:$C$25001,$A138,Data!$D$2:$D$25001,"Werken",Data!$A$2:$A$25001,"&gt;="&amp;DATE(Dashboard!$B$2,10,1)&amp;"",Data!$A$2:$A$25001,"&lt;"&amp;DATE(Dashboard!$B$2,10+1,1)&amp;""))</f>
        <v/>
      </c>
      <c r="L138" s="45">
        <f>IF($A138="","",SUMIFS(Data!$H$2:$H$25001,Data!$C$2:$C$25001,$A138,Data!$D$2:$D$25001,"Werken",Data!$A$2:$A$25001,"&gt;="&amp;DATE(Dashboard!$B$2,11,1)&amp;"",Data!$A$2:$A$25001,"&lt;"&amp;DATE(Dashboard!$B$2,11+1,1)&amp;""))</f>
        <v/>
      </c>
      <c r="M138" s="45">
        <f>IF($A138="","",SUMIFS(Data!$H$2:$H$25001,Data!$C$2:$C$25001,$A138,Data!$D$2:$D$25001,"Werken",Data!$A$2:$A$25001,"&gt;="&amp;DATE(Dashboard!$B$2,12,1)&amp;"",Data!$A$2:$A$25001,"&lt;"&amp;DATE(Dashboard!$B$2,12+1,1)&amp;""))</f>
        <v/>
      </c>
      <c r="N138" s="46">
        <f>IF($A138="","",SUM(B138:M138))</f>
        <v/>
      </c>
      <c r="O138" s="51" t="n"/>
      <c r="P138" s="52">
        <f>IF(OR($A138="",O138=""),"",N138*O138)</f>
        <v/>
      </c>
    </row>
    <row r="139" ht="15" customHeight="1" s="30">
      <c r="A139" s="49" t="n"/>
      <c r="B139" s="50">
        <f>IF($A139="","",SUMIFS(Data!$H$2:$H$25001,Data!$C$2:$C$25001,$A139,Data!$D$2:$D$25001,"Werken",Data!$A$2:$A$25001,"&gt;="&amp;DATE(Dashboard!$B$2,1,1)&amp;"",Data!$A$2:$A$25001,"&lt;"&amp;DATE(Dashboard!$B$2,1+1,1)&amp;""))</f>
        <v/>
      </c>
      <c r="C139" s="50">
        <f>IF($A139="","",SUMIFS(Data!$H$2:$H$25001,Data!$C$2:$C$25001,$A139,Data!$D$2:$D$25001,"Werken",Data!$A$2:$A$25001,"&gt;="&amp;DATE(Dashboard!$B$2,2,1)&amp;"",Data!$A$2:$A$25001,"&lt;"&amp;DATE(Dashboard!$B$2,2+1,1)&amp;""))</f>
        <v/>
      </c>
      <c r="D139" s="50">
        <f>IF($A139="","",SUMIFS(Data!$H$2:$H$25001,Data!$C$2:$C$25001,$A139,Data!$D$2:$D$25001,"Werken",Data!$A$2:$A$25001,"&gt;="&amp;DATE(Dashboard!$B$2,3,1)&amp;"",Data!$A$2:$A$25001,"&lt;"&amp;DATE(Dashboard!$B$2,3+1,1)&amp;""))</f>
        <v/>
      </c>
      <c r="E139" s="50">
        <f>IF($A139="","",SUMIFS(Data!$H$2:$H$25001,Data!$C$2:$C$25001,$A139,Data!$D$2:$D$25001,"Werken",Data!$A$2:$A$25001,"&gt;="&amp;DATE(Dashboard!$B$2,4,1)&amp;"",Data!$A$2:$A$25001,"&lt;"&amp;DATE(Dashboard!$B$2,4+1,1)&amp;""))</f>
        <v/>
      </c>
      <c r="F139" s="50">
        <f>IF($A139="","",SUMIFS(Data!$H$2:$H$25001,Data!$C$2:$C$25001,$A139,Data!$D$2:$D$25001,"Werken",Data!$A$2:$A$25001,"&gt;="&amp;DATE(Dashboard!$B$2,5,1)&amp;"",Data!$A$2:$A$25001,"&lt;"&amp;DATE(Dashboard!$B$2,5+1,1)&amp;""))</f>
        <v/>
      </c>
      <c r="G139" s="50">
        <f>IF($A139="","",SUMIFS(Data!$H$2:$H$25001,Data!$C$2:$C$25001,$A139,Data!$D$2:$D$25001,"Werken",Data!$A$2:$A$25001,"&gt;="&amp;DATE(Dashboard!$B$2,6,1)&amp;"",Data!$A$2:$A$25001,"&lt;"&amp;DATE(Dashboard!$B$2,6+1,1)&amp;""))</f>
        <v/>
      </c>
      <c r="H139" s="50">
        <f>IF($A139="","",SUMIFS(Data!$H$2:$H$25001,Data!$C$2:$C$25001,$A139,Data!$D$2:$D$25001,"Werken",Data!$A$2:$A$25001,"&gt;="&amp;DATE(Dashboard!$B$2,7,1)&amp;"",Data!$A$2:$A$25001,"&lt;"&amp;DATE(Dashboard!$B$2,7+1,1)&amp;""))</f>
        <v/>
      </c>
      <c r="I139" s="50">
        <f>IF($A139="","",SUMIFS(Data!$H$2:$H$25001,Data!$C$2:$C$25001,$A139,Data!$D$2:$D$25001,"Werken",Data!$A$2:$A$25001,"&gt;="&amp;DATE(Dashboard!$B$2,8,1)&amp;"",Data!$A$2:$A$25001,"&lt;"&amp;DATE(Dashboard!$B$2,8+1,1)&amp;""))</f>
        <v/>
      </c>
      <c r="J139" s="50">
        <f>IF($A139="","",SUMIFS(Data!$H$2:$H$25001,Data!$C$2:$C$25001,$A139,Data!$D$2:$D$25001,"Werken",Data!$A$2:$A$25001,"&gt;="&amp;DATE(Dashboard!$B$2,9,1)&amp;"",Data!$A$2:$A$25001,"&lt;"&amp;DATE(Dashboard!$B$2,9+1,1)&amp;""))</f>
        <v/>
      </c>
      <c r="K139" s="50">
        <f>IF($A139="","",SUMIFS(Data!$H$2:$H$25001,Data!$C$2:$C$25001,$A139,Data!$D$2:$D$25001,"Werken",Data!$A$2:$A$25001,"&gt;="&amp;DATE(Dashboard!$B$2,10,1)&amp;"",Data!$A$2:$A$25001,"&lt;"&amp;DATE(Dashboard!$B$2,10+1,1)&amp;""))</f>
        <v/>
      </c>
      <c r="L139" s="50">
        <f>IF($A139="","",SUMIFS(Data!$H$2:$H$25001,Data!$C$2:$C$25001,$A139,Data!$D$2:$D$25001,"Werken",Data!$A$2:$A$25001,"&gt;="&amp;DATE(Dashboard!$B$2,11,1)&amp;"",Data!$A$2:$A$25001,"&lt;"&amp;DATE(Dashboard!$B$2,11+1,1)&amp;""))</f>
        <v/>
      </c>
      <c r="M139" s="50">
        <f>IF($A139="","",SUMIFS(Data!$H$2:$H$25001,Data!$C$2:$C$25001,$A139,Data!$D$2:$D$25001,"Werken",Data!$A$2:$A$25001,"&gt;="&amp;DATE(Dashboard!$B$2,12,1)&amp;"",Data!$A$2:$A$25001,"&lt;"&amp;DATE(Dashboard!$B$2,12+1,1)&amp;""))</f>
        <v/>
      </c>
      <c r="N139" s="46">
        <f>IF($A139="","",SUM(B139:M139))</f>
        <v/>
      </c>
      <c r="O139" s="51" t="n"/>
      <c r="P139" s="52">
        <f>IF(OR($A139="",O139=""),"",N139*O139)</f>
        <v/>
      </c>
    </row>
    <row r="140" ht="15" customHeight="1" s="30">
      <c r="A140" s="49" t="n"/>
      <c r="B140" s="45">
        <f>IF($A140="","",SUMIFS(Data!$H$2:$H$25001,Data!$C$2:$C$25001,$A140,Data!$D$2:$D$25001,"Werken",Data!$A$2:$A$25001,"&gt;="&amp;DATE(Dashboard!$B$2,1,1)&amp;"",Data!$A$2:$A$25001,"&lt;"&amp;DATE(Dashboard!$B$2,1+1,1)&amp;""))</f>
        <v/>
      </c>
      <c r="C140" s="45">
        <f>IF($A140="","",SUMIFS(Data!$H$2:$H$25001,Data!$C$2:$C$25001,$A140,Data!$D$2:$D$25001,"Werken",Data!$A$2:$A$25001,"&gt;="&amp;DATE(Dashboard!$B$2,2,1)&amp;"",Data!$A$2:$A$25001,"&lt;"&amp;DATE(Dashboard!$B$2,2+1,1)&amp;""))</f>
        <v/>
      </c>
      <c r="D140" s="45">
        <f>IF($A140="","",SUMIFS(Data!$H$2:$H$25001,Data!$C$2:$C$25001,$A140,Data!$D$2:$D$25001,"Werken",Data!$A$2:$A$25001,"&gt;="&amp;DATE(Dashboard!$B$2,3,1)&amp;"",Data!$A$2:$A$25001,"&lt;"&amp;DATE(Dashboard!$B$2,3+1,1)&amp;""))</f>
        <v/>
      </c>
      <c r="E140" s="45">
        <f>IF($A140="","",SUMIFS(Data!$H$2:$H$25001,Data!$C$2:$C$25001,$A140,Data!$D$2:$D$25001,"Werken",Data!$A$2:$A$25001,"&gt;="&amp;DATE(Dashboard!$B$2,4,1)&amp;"",Data!$A$2:$A$25001,"&lt;"&amp;DATE(Dashboard!$B$2,4+1,1)&amp;""))</f>
        <v/>
      </c>
      <c r="F140" s="45">
        <f>IF($A140="","",SUMIFS(Data!$H$2:$H$25001,Data!$C$2:$C$25001,$A140,Data!$D$2:$D$25001,"Werken",Data!$A$2:$A$25001,"&gt;="&amp;DATE(Dashboard!$B$2,5,1)&amp;"",Data!$A$2:$A$25001,"&lt;"&amp;DATE(Dashboard!$B$2,5+1,1)&amp;""))</f>
        <v/>
      </c>
      <c r="G140" s="45">
        <f>IF($A140="","",SUMIFS(Data!$H$2:$H$25001,Data!$C$2:$C$25001,$A140,Data!$D$2:$D$25001,"Werken",Data!$A$2:$A$25001,"&gt;="&amp;DATE(Dashboard!$B$2,6,1)&amp;"",Data!$A$2:$A$25001,"&lt;"&amp;DATE(Dashboard!$B$2,6+1,1)&amp;""))</f>
        <v/>
      </c>
      <c r="H140" s="45">
        <f>IF($A140="","",SUMIFS(Data!$H$2:$H$25001,Data!$C$2:$C$25001,$A140,Data!$D$2:$D$25001,"Werken",Data!$A$2:$A$25001,"&gt;="&amp;DATE(Dashboard!$B$2,7,1)&amp;"",Data!$A$2:$A$25001,"&lt;"&amp;DATE(Dashboard!$B$2,7+1,1)&amp;""))</f>
        <v/>
      </c>
      <c r="I140" s="45">
        <f>IF($A140="","",SUMIFS(Data!$H$2:$H$25001,Data!$C$2:$C$25001,$A140,Data!$D$2:$D$25001,"Werken",Data!$A$2:$A$25001,"&gt;="&amp;DATE(Dashboard!$B$2,8,1)&amp;"",Data!$A$2:$A$25001,"&lt;"&amp;DATE(Dashboard!$B$2,8+1,1)&amp;""))</f>
        <v/>
      </c>
      <c r="J140" s="45">
        <f>IF($A140="","",SUMIFS(Data!$H$2:$H$25001,Data!$C$2:$C$25001,$A140,Data!$D$2:$D$25001,"Werken",Data!$A$2:$A$25001,"&gt;="&amp;DATE(Dashboard!$B$2,9,1)&amp;"",Data!$A$2:$A$25001,"&lt;"&amp;DATE(Dashboard!$B$2,9+1,1)&amp;""))</f>
        <v/>
      </c>
      <c r="K140" s="45">
        <f>IF($A140="","",SUMIFS(Data!$H$2:$H$25001,Data!$C$2:$C$25001,$A140,Data!$D$2:$D$25001,"Werken",Data!$A$2:$A$25001,"&gt;="&amp;DATE(Dashboard!$B$2,10,1)&amp;"",Data!$A$2:$A$25001,"&lt;"&amp;DATE(Dashboard!$B$2,10+1,1)&amp;""))</f>
        <v/>
      </c>
      <c r="L140" s="45">
        <f>IF($A140="","",SUMIFS(Data!$H$2:$H$25001,Data!$C$2:$C$25001,$A140,Data!$D$2:$D$25001,"Werken",Data!$A$2:$A$25001,"&gt;="&amp;DATE(Dashboard!$B$2,11,1)&amp;"",Data!$A$2:$A$25001,"&lt;"&amp;DATE(Dashboard!$B$2,11+1,1)&amp;""))</f>
        <v/>
      </c>
      <c r="M140" s="45">
        <f>IF($A140="","",SUMIFS(Data!$H$2:$H$25001,Data!$C$2:$C$25001,$A140,Data!$D$2:$D$25001,"Werken",Data!$A$2:$A$25001,"&gt;="&amp;DATE(Dashboard!$B$2,12,1)&amp;"",Data!$A$2:$A$25001,"&lt;"&amp;DATE(Dashboard!$B$2,12+1,1)&amp;""))</f>
        <v/>
      </c>
      <c r="N140" s="46">
        <f>IF($A140="","",SUM(B140:M140))</f>
        <v/>
      </c>
      <c r="O140" s="51" t="n"/>
      <c r="P140" s="52">
        <f>IF(OR($A140="",O140=""),"",N140*O140)</f>
        <v/>
      </c>
    </row>
    <row r="141" ht="15" customHeight="1" s="30">
      <c r="A141" s="49" t="n"/>
      <c r="B141" s="50">
        <f>IF($A141="","",SUMIFS(Data!$H$2:$H$25001,Data!$C$2:$C$25001,$A141,Data!$D$2:$D$25001,"Werken",Data!$A$2:$A$25001,"&gt;="&amp;DATE(Dashboard!$B$2,1,1)&amp;"",Data!$A$2:$A$25001,"&lt;"&amp;DATE(Dashboard!$B$2,1+1,1)&amp;""))</f>
        <v/>
      </c>
      <c r="C141" s="50">
        <f>IF($A141="","",SUMIFS(Data!$H$2:$H$25001,Data!$C$2:$C$25001,$A141,Data!$D$2:$D$25001,"Werken",Data!$A$2:$A$25001,"&gt;="&amp;DATE(Dashboard!$B$2,2,1)&amp;"",Data!$A$2:$A$25001,"&lt;"&amp;DATE(Dashboard!$B$2,2+1,1)&amp;""))</f>
        <v/>
      </c>
      <c r="D141" s="50">
        <f>IF($A141="","",SUMIFS(Data!$H$2:$H$25001,Data!$C$2:$C$25001,$A141,Data!$D$2:$D$25001,"Werken",Data!$A$2:$A$25001,"&gt;="&amp;DATE(Dashboard!$B$2,3,1)&amp;"",Data!$A$2:$A$25001,"&lt;"&amp;DATE(Dashboard!$B$2,3+1,1)&amp;""))</f>
        <v/>
      </c>
      <c r="E141" s="50">
        <f>IF($A141="","",SUMIFS(Data!$H$2:$H$25001,Data!$C$2:$C$25001,$A141,Data!$D$2:$D$25001,"Werken",Data!$A$2:$A$25001,"&gt;="&amp;DATE(Dashboard!$B$2,4,1)&amp;"",Data!$A$2:$A$25001,"&lt;"&amp;DATE(Dashboard!$B$2,4+1,1)&amp;""))</f>
        <v/>
      </c>
      <c r="F141" s="50">
        <f>IF($A141="","",SUMIFS(Data!$H$2:$H$25001,Data!$C$2:$C$25001,$A141,Data!$D$2:$D$25001,"Werken",Data!$A$2:$A$25001,"&gt;="&amp;DATE(Dashboard!$B$2,5,1)&amp;"",Data!$A$2:$A$25001,"&lt;"&amp;DATE(Dashboard!$B$2,5+1,1)&amp;""))</f>
        <v/>
      </c>
      <c r="G141" s="50">
        <f>IF($A141="","",SUMIFS(Data!$H$2:$H$25001,Data!$C$2:$C$25001,$A141,Data!$D$2:$D$25001,"Werken",Data!$A$2:$A$25001,"&gt;="&amp;DATE(Dashboard!$B$2,6,1)&amp;"",Data!$A$2:$A$25001,"&lt;"&amp;DATE(Dashboard!$B$2,6+1,1)&amp;""))</f>
        <v/>
      </c>
      <c r="H141" s="50">
        <f>IF($A141="","",SUMIFS(Data!$H$2:$H$25001,Data!$C$2:$C$25001,$A141,Data!$D$2:$D$25001,"Werken",Data!$A$2:$A$25001,"&gt;="&amp;DATE(Dashboard!$B$2,7,1)&amp;"",Data!$A$2:$A$25001,"&lt;"&amp;DATE(Dashboard!$B$2,7+1,1)&amp;""))</f>
        <v/>
      </c>
      <c r="I141" s="50">
        <f>IF($A141="","",SUMIFS(Data!$H$2:$H$25001,Data!$C$2:$C$25001,$A141,Data!$D$2:$D$25001,"Werken",Data!$A$2:$A$25001,"&gt;="&amp;DATE(Dashboard!$B$2,8,1)&amp;"",Data!$A$2:$A$25001,"&lt;"&amp;DATE(Dashboard!$B$2,8+1,1)&amp;""))</f>
        <v/>
      </c>
      <c r="J141" s="50">
        <f>IF($A141="","",SUMIFS(Data!$H$2:$H$25001,Data!$C$2:$C$25001,$A141,Data!$D$2:$D$25001,"Werken",Data!$A$2:$A$25001,"&gt;="&amp;DATE(Dashboard!$B$2,9,1)&amp;"",Data!$A$2:$A$25001,"&lt;"&amp;DATE(Dashboard!$B$2,9+1,1)&amp;""))</f>
        <v/>
      </c>
      <c r="K141" s="50">
        <f>IF($A141="","",SUMIFS(Data!$H$2:$H$25001,Data!$C$2:$C$25001,$A141,Data!$D$2:$D$25001,"Werken",Data!$A$2:$A$25001,"&gt;="&amp;DATE(Dashboard!$B$2,10,1)&amp;"",Data!$A$2:$A$25001,"&lt;"&amp;DATE(Dashboard!$B$2,10+1,1)&amp;""))</f>
        <v/>
      </c>
      <c r="L141" s="50">
        <f>IF($A141="","",SUMIFS(Data!$H$2:$H$25001,Data!$C$2:$C$25001,$A141,Data!$D$2:$D$25001,"Werken",Data!$A$2:$A$25001,"&gt;="&amp;DATE(Dashboard!$B$2,11,1)&amp;"",Data!$A$2:$A$25001,"&lt;"&amp;DATE(Dashboard!$B$2,11+1,1)&amp;""))</f>
        <v/>
      </c>
      <c r="M141" s="50">
        <f>IF($A141="","",SUMIFS(Data!$H$2:$H$25001,Data!$C$2:$C$25001,$A141,Data!$D$2:$D$25001,"Werken",Data!$A$2:$A$25001,"&gt;="&amp;DATE(Dashboard!$B$2,12,1)&amp;"",Data!$A$2:$A$25001,"&lt;"&amp;DATE(Dashboard!$B$2,12+1,1)&amp;""))</f>
        <v/>
      </c>
      <c r="N141" s="46">
        <f>IF($A141="","",SUM(B141:M141))</f>
        <v/>
      </c>
      <c r="O141" s="51" t="n"/>
      <c r="P141" s="52">
        <f>IF(OR($A141="",O141=""),"",N141*O141)</f>
        <v/>
      </c>
    </row>
    <row r="142" ht="15" customHeight="1" s="30">
      <c r="A142" s="49" t="n"/>
      <c r="B142" s="45">
        <f>IF($A142="","",SUMIFS(Data!$H$2:$H$25001,Data!$C$2:$C$25001,$A142,Data!$D$2:$D$25001,"Werken",Data!$A$2:$A$25001,"&gt;="&amp;DATE(Dashboard!$B$2,1,1)&amp;"",Data!$A$2:$A$25001,"&lt;"&amp;DATE(Dashboard!$B$2,1+1,1)&amp;""))</f>
        <v/>
      </c>
      <c r="C142" s="45">
        <f>IF($A142="","",SUMIFS(Data!$H$2:$H$25001,Data!$C$2:$C$25001,$A142,Data!$D$2:$D$25001,"Werken",Data!$A$2:$A$25001,"&gt;="&amp;DATE(Dashboard!$B$2,2,1)&amp;"",Data!$A$2:$A$25001,"&lt;"&amp;DATE(Dashboard!$B$2,2+1,1)&amp;""))</f>
        <v/>
      </c>
      <c r="D142" s="45">
        <f>IF($A142="","",SUMIFS(Data!$H$2:$H$25001,Data!$C$2:$C$25001,$A142,Data!$D$2:$D$25001,"Werken",Data!$A$2:$A$25001,"&gt;="&amp;DATE(Dashboard!$B$2,3,1)&amp;"",Data!$A$2:$A$25001,"&lt;"&amp;DATE(Dashboard!$B$2,3+1,1)&amp;""))</f>
        <v/>
      </c>
      <c r="E142" s="45">
        <f>IF($A142="","",SUMIFS(Data!$H$2:$H$25001,Data!$C$2:$C$25001,$A142,Data!$D$2:$D$25001,"Werken",Data!$A$2:$A$25001,"&gt;="&amp;DATE(Dashboard!$B$2,4,1)&amp;"",Data!$A$2:$A$25001,"&lt;"&amp;DATE(Dashboard!$B$2,4+1,1)&amp;""))</f>
        <v/>
      </c>
      <c r="F142" s="45">
        <f>IF($A142="","",SUMIFS(Data!$H$2:$H$25001,Data!$C$2:$C$25001,$A142,Data!$D$2:$D$25001,"Werken",Data!$A$2:$A$25001,"&gt;="&amp;DATE(Dashboard!$B$2,5,1)&amp;"",Data!$A$2:$A$25001,"&lt;"&amp;DATE(Dashboard!$B$2,5+1,1)&amp;""))</f>
        <v/>
      </c>
      <c r="G142" s="45">
        <f>IF($A142="","",SUMIFS(Data!$H$2:$H$25001,Data!$C$2:$C$25001,$A142,Data!$D$2:$D$25001,"Werken",Data!$A$2:$A$25001,"&gt;="&amp;DATE(Dashboard!$B$2,6,1)&amp;"",Data!$A$2:$A$25001,"&lt;"&amp;DATE(Dashboard!$B$2,6+1,1)&amp;""))</f>
        <v/>
      </c>
      <c r="H142" s="45">
        <f>IF($A142="","",SUMIFS(Data!$H$2:$H$25001,Data!$C$2:$C$25001,$A142,Data!$D$2:$D$25001,"Werken",Data!$A$2:$A$25001,"&gt;="&amp;DATE(Dashboard!$B$2,7,1)&amp;"",Data!$A$2:$A$25001,"&lt;"&amp;DATE(Dashboard!$B$2,7+1,1)&amp;""))</f>
        <v/>
      </c>
      <c r="I142" s="45">
        <f>IF($A142="","",SUMIFS(Data!$H$2:$H$25001,Data!$C$2:$C$25001,$A142,Data!$D$2:$D$25001,"Werken",Data!$A$2:$A$25001,"&gt;="&amp;DATE(Dashboard!$B$2,8,1)&amp;"",Data!$A$2:$A$25001,"&lt;"&amp;DATE(Dashboard!$B$2,8+1,1)&amp;""))</f>
        <v/>
      </c>
      <c r="J142" s="45">
        <f>IF($A142="","",SUMIFS(Data!$H$2:$H$25001,Data!$C$2:$C$25001,$A142,Data!$D$2:$D$25001,"Werken",Data!$A$2:$A$25001,"&gt;="&amp;DATE(Dashboard!$B$2,9,1)&amp;"",Data!$A$2:$A$25001,"&lt;"&amp;DATE(Dashboard!$B$2,9+1,1)&amp;""))</f>
        <v/>
      </c>
      <c r="K142" s="45">
        <f>IF($A142="","",SUMIFS(Data!$H$2:$H$25001,Data!$C$2:$C$25001,$A142,Data!$D$2:$D$25001,"Werken",Data!$A$2:$A$25001,"&gt;="&amp;DATE(Dashboard!$B$2,10,1)&amp;"",Data!$A$2:$A$25001,"&lt;"&amp;DATE(Dashboard!$B$2,10+1,1)&amp;""))</f>
        <v/>
      </c>
      <c r="L142" s="45">
        <f>IF($A142="","",SUMIFS(Data!$H$2:$H$25001,Data!$C$2:$C$25001,$A142,Data!$D$2:$D$25001,"Werken",Data!$A$2:$A$25001,"&gt;="&amp;DATE(Dashboard!$B$2,11,1)&amp;"",Data!$A$2:$A$25001,"&lt;"&amp;DATE(Dashboard!$B$2,11+1,1)&amp;""))</f>
        <v/>
      </c>
      <c r="M142" s="45">
        <f>IF($A142="","",SUMIFS(Data!$H$2:$H$25001,Data!$C$2:$C$25001,$A142,Data!$D$2:$D$25001,"Werken",Data!$A$2:$A$25001,"&gt;="&amp;DATE(Dashboard!$B$2,12,1)&amp;"",Data!$A$2:$A$25001,"&lt;"&amp;DATE(Dashboard!$B$2,12+1,1)&amp;""))</f>
        <v/>
      </c>
      <c r="N142" s="46">
        <f>IF($A142="","",SUM(B142:M142))</f>
        <v/>
      </c>
      <c r="O142" s="51" t="n"/>
      <c r="P142" s="52">
        <f>IF(OR($A142="",O142=""),"",N142*O142)</f>
        <v/>
      </c>
    </row>
    <row r="143" ht="15" customHeight="1" s="30">
      <c r="A143" s="49" t="n"/>
      <c r="B143" s="50">
        <f>IF($A143="","",SUMIFS(Data!$H$2:$H$25001,Data!$C$2:$C$25001,$A143,Data!$D$2:$D$25001,"Werken",Data!$A$2:$A$25001,"&gt;="&amp;DATE(Dashboard!$B$2,1,1)&amp;"",Data!$A$2:$A$25001,"&lt;"&amp;DATE(Dashboard!$B$2,1+1,1)&amp;""))</f>
        <v/>
      </c>
      <c r="C143" s="50">
        <f>IF($A143="","",SUMIFS(Data!$H$2:$H$25001,Data!$C$2:$C$25001,$A143,Data!$D$2:$D$25001,"Werken",Data!$A$2:$A$25001,"&gt;="&amp;DATE(Dashboard!$B$2,2,1)&amp;"",Data!$A$2:$A$25001,"&lt;"&amp;DATE(Dashboard!$B$2,2+1,1)&amp;""))</f>
        <v/>
      </c>
      <c r="D143" s="50">
        <f>IF($A143="","",SUMIFS(Data!$H$2:$H$25001,Data!$C$2:$C$25001,$A143,Data!$D$2:$D$25001,"Werken",Data!$A$2:$A$25001,"&gt;="&amp;DATE(Dashboard!$B$2,3,1)&amp;"",Data!$A$2:$A$25001,"&lt;"&amp;DATE(Dashboard!$B$2,3+1,1)&amp;""))</f>
        <v/>
      </c>
      <c r="E143" s="50">
        <f>IF($A143="","",SUMIFS(Data!$H$2:$H$25001,Data!$C$2:$C$25001,$A143,Data!$D$2:$D$25001,"Werken",Data!$A$2:$A$25001,"&gt;="&amp;DATE(Dashboard!$B$2,4,1)&amp;"",Data!$A$2:$A$25001,"&lt;"&amp;DATE(Dashboard!$B$2,4+1,1)&amp;""))</f>
        <v/>
      </c>
      <c r="F143" s="50">
        <f>IF($A143="","",SUMIFS(Data!$H$2:$H$25001,Data!$C$2:$C$25001,$A143,Data!$D$2:$D$25001,"Werken",Data!$A$2:$A$25001,"&gt;="&amp;DATE(Dashboard!$B$2,5,1)&amp;"",Data!$A$2:$A$25001,"&lt;"&amp;DATE(Dashboard!$B$2,5+1,1)&amp;""))</f>
        <v/>
      </c>
      <c r="G143" s="50">
        <f>IF($A143="","",SUMIFS(Data!$H$2:$H$25001,Data!$C$2:$C$25001,$A143,Data!$D$2:$D$25001,"Werken",Data!$A$2:$A$25001,"&gt;="&amp;DATE(Dashboard!$B$2,6,1)&amp;"",Data!$A$2:$A$25001,"&lt;"&amp;DATE(Dashboard!$B$2,6+1,1)&amp;""))</f>
        <v/>
      </c>
      <c r="H143" s="50">
        <f>IF($A143="","",SUMIFS(Data!$H$2:$H$25001,Data!$C$2:$C$25001,$A143,Data!$D$2:$D$25001,"Werken",Data!$A$2:$A$25001,"&gt;="&amp;DATE(Dashboard!$B$2,7,1)&amp;"",Data!$A$2:$A$25001,"&lt;"&amp;DATE(Dashboard!$B$2,7+1,1)&amp;""))</f>
        <v/>
      </c>
      <c r="I143" s="50">
        <f>IF($A143="","",SUMIFS(Data!$H$2:$H$25001,Data!$C$2:$C$25001,$A143,Data!$D$2:$D$25001,"Werken",Data!$A$2:$A$25001,"&gt;="&amp;DATE(Dashboard!$B$2,8,1)&amp;"",Data!$A$2:$A$25001,"&lt;"&amp;DATE(Dashboard!$B$2,8+1,1)&amp;""))</f>
        <v/>
      </c>
      <c r="J143" s="50">
        <f>IF($A143="","",SUMIFS(Data!$H$2:$H$25001,Data!$C$2:$C$25001,$A143,Data!$D$2:$D$25001,"Werken",Data!$A$2:$A$25001,"&gt;="&amp;DATE(Dashboard!$B$2,9,1)&amp;"",Data!$A$2:$A$25001,"&lt;"&amp;DATE(Dashboard!$B$2,9+1,1)&amp;""))</f>
        <v/>
      </c>
      <c r="K143" s="50">
        <f>IF($A143="","",SUMIFS(Data!$H$2:$H$25001,Data!$C$2:$C$25001,$A143,Data!$D$2:$D$25001,"Werken",Data!$A$2:$A$25001,"&gt;="&amp;DATE(Dashboard!$B$2,10,1)&amp;"",Data!$A$2:$A$25001,"&lt;"&amp;DATE(Dashboard!$B$2,10+1,1)&amp;""))</f>
        <v/>
      </c>
      <c r="L143" s="50">
        <f>IF($A143="","",SUMIFS(Data!$H$2:$H$25001,Data!$C$2:$C$25001,$A143,Data!$D$2:$D$25001,"Werken",Data!$A$2:$A$25001,"&gt;="&amp;DATE(Dashboard!$B$2,11,1)&amp;"",Data!$A$2:$A$25001,"&lt;"&amp;DATE(Dashboard!$B$2,11+1,1)&amp;""))</f>
        <v/>
      </c>
      <c r="M143" s="50">
        <f>IF($A143="","",SUMIFS(Data!$H$2:$H$25001,Data!$C$2:$C$25001,$A143,Data!$D$2:$D$25001,"Werken",Data!$A$2:$A$25001,"&gt;="&amp;DATE(Dashboard!$B$2,12,1)&amp;"",Data!$A$2:$A$25001,"&lt;"&amp;DATE(Dashboard!$B$2,12+1,1)&amp;""))</f>
        <v/>
      </c>
      <c r="N143" s="46">
        <f>IF($A143="","",SUM(B143:M143))</f>
        <v/>
      </c>
      <c r="O143" s="51" t="n"/>
      <c r="P143" s="52">
        <f>IF(OR($A143="",O143=""),"",N143*O143)</f>
        <v/>
      </c>
    </row>
    <row r="144" ht="15" customHeight="1" s="30">
      <c r="A144" s="49" t="n"/>
      <c r="B144" s="45">
        <f>IF($A144="","",SUMIFS(Data!$H$2:$H$25001,Data!$C$2:$C$25001,$A144,Data!$D$2:$D$25001,"Werken",Data!$A$2:$A$25001,"&gt;="&amp;DATE(Dashboard!$B$2,1,1)&amp;"",Data!$A$2:$A$25001,"&lt;"&amp;DATE(Dashboard!$B$2,1+1,1)&amp;""))</f>
        <v/>
      </c>
      <c r="C144" s="45">
        <f>IF($A144="","",SUMIFS(Data!$H$2:$H$25001,Data!$C$2:$C$25001,$A144,Data!$D$2:$D$25001,"Werken",Data!$A$2:$A$25001,"&gt;="&amp;DATE(Dashboard!$B$2,2,1)&amp;"",Data!$A$2:$A$25001,"&lt;"&amp;DATE(Dashboard!$B$2,2+1,1)&amp;""))</f>
        <v/>
      </c>
      <c r="D144" s="45">
        <f>IF($A144="","",SUMIFS(Data!$H$2:$H$25001,Data!$C$2:$C$25001,$A144,Data!$D$2:$D$25001,"Werken",Data!$A$2:$A$25001,"&gt;="&amp;DATE(Dashboard!$B$2,3,1)&amp;"",Data!$A$2:$A$25001,"&lt;"&amp;DATE(Dashboard!$B$2,3+1,1)&amp;""))</f>
        <v/>
      </c>
      <c r="E144" s="45">
        <f>IF($A144="","",SUMIFS(Data!$H$2:$H$25001,Data!$C$2:$C$25001,$A144,Data!$D$2:$D$25001,"Werken",Data!$A$2:$A$25001,"&gt;="&amp;DATE(Dashboard!$B$2,4,1)&amp;"",Data!$A$2:$A$25001,"&lt;"&amp;DATE(Dashboard!$B$2,4+1,1)&amp;""))</f>
        <v/>
      </c>
      <c r="F144" s="45">
        <f>IF($A144="","",SUMIFS(Data!$H$2:$H$25001,Data!$C$2:$C$25001,$A144,Data!$D$2:$D$25001,"Werken",Data!$A$2:$A$25001,"&gt;="&amp;DATE(Dashboard!$B$2,5,1)&amp;"",Data!$A$2:$A$25001,"&lt;"&amp;DATE(Dashboard!$B$2,5+1,1)&amp;""))</f>
        <v/>
      </c>
      <c r="G144" s="45">
        <f>IF($A144="","",SUMIFS(Data!$H$2:$H$25001,Data!$C$2:$C$25001,$A144,Data!$D$2:$D$25001,"Werken",Data!$A$2:$A$25001,"&gt;="&amp;DATE(Dashboard!$B$2,6,1)&amp;"",Data!$A$2:$A$25001,"&lt;"&amp;DATE(Dashboard!$B$2,6+1,1)&amp;""))</f>
        <v/>
      </c>
      <c r="H144" s="45">
        <f>IF($A144="","",SUMIFS(Data!$H$2:$H$25001,Data!$C$2:$C$25001,$A144,Data!$D$2:$D$25001,"Werken",Data!$A$2:$A$25001,"&gt;="&amp;DATE(Dashboard!$B$2,7,1)&amp;"",Data!$A$2:$A$25001,"&lt;"&amp;DATE(Dashboard!$B$2,7+1,1)&amp;""))</f>
        <v/>
      </c>
      <c r="I144" s="45">
        <f>IF($A144="","",SUMIFS(Data!$H$2:$H$25001,Data!$C$2:$C$25001,$A144,Data!$D$2:$D$25001,"Werken",Data!$A$2:$A$25001,"&gt;="&amp;DATE(Dashboard!$B$2,8,1)&amp;"",Data!$A$2:$A$25001,"&lt;"&amp;DATE(Dashboard!$B$2,8+1,1)&amp;""))</f>
        <v/>
      </c>
      <c r="J144" s="45">
        <f>IF($A144="","",SUMIFS(Data!$H$2:$H$25001,Data!$C$2:$C$25001,$A144,Data!$D$2:$D$25001,"Werken",Data!$A$2:$A$25001,"&gt;="&amp;DATE(Dashboard!$B$2,9,1)&amp;"",Data!$A$2:$A$25001,"&lt;"&amp;DATE(Dashboard!$B$2,9+1,1)&amp;""))</f>
        <v/>
      </c>
      <c r="K144" s="45">
        <f>IF($A144="","",SUMIFS(Data!$H$2:$H$25001,Data!$C$2:$C$25001,$A144,Data!$D$2:$D$25001,"Werken",Data!$A$2:$A$25001,"&gt;="&amp;DATE(Dashboard!$B$2,10,1)&amp;"",Data!$A$2:$A$25001,"&lt;"&amp;DATE(Dashboard!$B$2,10+1,1)&amp;""))</f>
        <v/>
      </c>
      <c r="L144" s="45">
        <f>IF($A144="","",SUMIFS(Data!$H$2:$H$25001,Data!$C$2:$C$25001,$A144,Data!$D$2:$D$25001,"Werken",Data!$A$2:$A$25001,"&gt;="&amp;DATE(Dashboard!$B$2,11,1)&amp;"",Data!$A$2:$A$25001,"&lt;"&amp;DATE(Dashboard!$B$2,11+1,1)&amp;""))</f>
        <v/>
      </c>
      <c r="M144" s="45">
        <f>IF($A144="","",SUMIFS(Data!$H$2:$H$25001,Data!$C$2:$C$25001,$A144,Data!$D$2:$D$25001,"Werken",Data!$A$2:$A$25001,"&gt;="&amp;DATE(Dashboard!$B$2,12,1)&amp;"",Data!$A$2:$A$25001,"&lt;"&amp;DATE(Dashboard!$B$2,12+1,1)&amp;""))</f>
        <v/>
      </c>
      <c r="N144" s="46">
        <f>IF($A144="","",SUM(B144:M144))</f>
        <v/>
      </c>
      <c r="O144" s="51" t="n"/>
      <c r="P144" s="52">
        <f>IF(OR($A144="",O144=""),"",N144*O144)</f>
        <v/>
      </c>
    </row>
    <row r="145" ht="15" customHeight="1" s="30">
      <c r="A145" s="49" t="n"/>
      <c r="B145" s="50">
        <f>IF($A145="","",SUMIFS(Data!$H$2:$H$25001,Data!$C$2:$C$25001,$A145,Data!$D$2:$D$25001,"Werken",Data!$A$2:$A$25001,"&gt;="&amp;DATE(Dashboard!$B$2,1,1)&amp;"",Data!$A$2:$A$25001,"&lt;"&amp;DATE(Dashboard!$B$2,1+1,1)&amp;""))</f>
        <v/>
      </c>
      <c r="C145" s="50">
        <f>IF($A145="","",SUMIFS(Data!$H$2:$H$25001,Data!$C$2:$C$25001,$A145,Data!$D$2:$D$25001,"Werken",Data!$A$2:$A$25001,"&gt;="&amp;DATE(Dashboard!$B$2,2,1)&amp;"",Data!$A$2:$A$25001,"&lt;"&amp;DATE(Dashboard!$B$2,2+1,1)&amp;""))</f>
        <v/>
      </c>
      <c r="D145" s="50">
        <f>IF($A145="","",SUMIFS(Data!$H$2:$H$25001,Data!$C$2:$C$25001,$A145,Data!$D$2:$D$25001,"Werken",Data!$A$2:$A$25001,"&gt;="&amp;DATE(Dashboard!$B$2,3,1)&amp;"",Data!$A$2:$A$25001,"&lt;"&amp;DATE(Dashboard!$B$2,3+1,1)&amp;""))</f>
        <v/>
      </c>
      <c r="E145" s="50">
        <f>IF($A145="","",SUMIFS(Data!$H$2:$H$25001,Data!$C$2:$C$25001,$A145,Data!$D$2:$D$25001,"Werken",Data!$A$2:$A$25001,"&gt;="&amp;DATE(Dashboard!$B$2,4,1)&amp;"",Data!$A$2:$A$25001,"&lt;"&amp;DATE(Dashboard!$B$2,4+1,1)&amp;""))</f>
        <v/>
      </c>
      <c r="F145" s="50">
        <f>IF($A145="","",SUMIFS(Data!$H$2:$H$25001,Data!$C$2:$C$25001,$A145,Data!$D$2:$D$25001,"Werken",Data!$A$2:$A$25001,"&gt;="&amp;DATE(Dashboard!$B$2,5,1)&amp;"",Data!$A$2:$A$25001,"&lt;"&amp;DATE(Dashboard!$B$2,5+1,1)&amp;""))</f>
        <v/>
      </c>
      <c r="G145" s="50">
        <f>IF($A145="","",SUMIFS(Data!$H$2:$H$25001,Data!$C$2:$C$25001,$A145,Data!$D$2:$D$25001,"Werken",Data!$A$2:$A$25001,"&gt;="&amp;DATE(Dashboard!$B$2,6,1)&amp;"",Data!$A$2:$A$25001,"&lt;"&amp;DATE(Dashboard!$B$2,6+1,1)&amp;""))</f>
        <v/>
      </c>
      <c r="H145" s="50">
        <f>IF($A145="","",SUMIFS(Data!$H$2:$H$25001,Data!$C$2:$C$25001,$A145,Data!$D$2:$D$25001,"Werken",Data!$A$2:$A$25001,"&gt;="&amp;DATE(Dashboard!$B$2,7,1)&amp;"",Data!$A$2:$A$25001,"&lt;"&amp;DATE(Dashboard!$B$2,7+1,1)&amp;""))</f>
        <v/>
      </c>
      <c r="I145" s="50">
        <f>IF($A145="","",SUMIFS(Data!$H$2:$H$25001,Data!$C$2:$C$25001,$A145,Data!$D$2:$D$25001,"Werken",Data!$A$2:$A$25001,"&gt;="&amp;DATE(Dashboard!$B$2,8,1)&amp;"",Data!$A$2:$A$25001,"&lt;"&amp;DATE(Dashboard!$B$2,8+1,1)&amp;""))</f>
        <v/>
      </c>
      <c r="J145" s="50">
        <f>IF($A145="","",SUMIFS(Data!$H$2:$H$25001,Data!$C$2:$C$25001,$A145,Data!$D$2:$D$25001,"Werken",Data!$A$2:$A$25001,"&gt;="&amp;DATE(Dashboard!$B$2,9,1)&amp;"",Data!$A$2:$A$25001,"&lt;"&amp;DATE(Dashboard!$B$2,9+1,1)&amp;""))</f>
        <v/>
      </c>
      <c r="K145" s="50">
        <f>IF($A145="","",SUMIFS(Data!$H$2:$H$25001,Data!$C$2:$C$25001,$A145,Data!$D$2:$D$25001,"Werken",Data!$A$2:$A$25001,"&gt;="&amp;DATE(Dashboard!$B$2,10,1)&amp;"",Data!$A$2:$A$25001,"&lt;"&amp;DATE(Dashboard!$B$2,10+1,1)&amp;""))</f>
        <v/>
      </c>
      <c r="L145" s="50">
        <f>IF($A145="","",SUMIFS(Data!$H$2:$H$25001,Data!$C$2:$C$25001,$A145,Data!$D$2:$D$25001,"Werken",Data!$A$2:$A$25001,"&gt;="&amp;DATE(Dashboard!$B$2,11,1)&amp;"",Data!$A$2:$A$25001,"&lt;"&amp;DATE(Dashboard!$B$2,11+1,1)&amp;""))</f>
        <v/>
      </c>
      <c r="M145" s="50">
        <f>IF($A145="","",SUMIFS(Data!$H$2:$H$25001,Data!$C$2:$C$25001,$A145,Data!$D$2:$D$25001,"Werken",Data!$A$2:$A$25001,"&gt;="&amp;DATE(Dashboard!$B$2,12,1)&amp;"",Data!$A$2:$A$25001,"&lt;"&amp;DATE(Dashboard!$B$2,12+1,1)&amp;""))</f>
        <v/>
      </c>
      <c r="N145" s="46">
        <f>IF($A145="","",SUM(B145:M145))</f>
        <v/>
      </c>
      <c r="O145" s="51" t="n"/>
      <c r="P145" s="52">
        <f>IF(OR($A145="",O145=""),"",N145*O145)</f>
        <v/>
      </c>
    </row>
    <row r="146" ht="15" customHeight="1" s="30">
      <c r="A146" s="49" t="n"/>
      <c r="B146" s="45">
        <f>IF($A146="","",SUMIFS(Data!$H$2:$H$25001,Data!$C$2:$C$25001,$A146,Data!$D$2:$D$25001,"Werken",Data!$A$2:$A$25001,"&gt;="&amp;DATE(Dashboard!$B$2,1,1)&amp;"",Data!$A$2:$A$25001,"&lt;"&amp;DATE(Dashboard!$B$2,1+1,1)&amp;""))</f>
        <v/>
      </c>
      <c r="C146" s="45">
        <f>IF($A146="","",SUMIFS(Data!$H$2:$H$25001,Data!$C$2:$C$25001,$A146,Data!$D$2:$D$25001,"Werken",Data!$A$2:$A$25001,"&gt;="&amp;DATE(Dashboard!$B$2,2,1)&amp;"",Data!$A$2:$A$25001,"&lt;"&amp;DATE(Dashboard!$B$2,2+1,1)&amp;""))</f>
        <v/>
      </c>
      <c r="D146" s="45">
        <f>IF($A146="","",SUMIFS(Data!$H$2:$H$25001,Data!$C$2:$C$25001,$A146,Data!$D$2:$D$25001,"Werken",Data!$A$2:$A$25001,"&gt;="&amp;DATE(Dashboard!$B$2,3,1)&amp;"",Data!$A$2:$A$25001,"&lt;"&amp;DATE(Dashboard!$B$2,3+1,1)&amp;""))</f>
        <v/>
      </c>
      <c r="E146" s="45">
        <f>IF($A146="","",SUMIFS(Data!$H$2:$H$25001,Data!$C$2:$C$25001,$A146,Data!$D$2:$D$25001,"Werken",Data!$A$2:$A$25001,"&gt;="&amp;DATE(Dashboard!$B$2,4,1)&amp;"",Data!$A$2:$A$25001,"&lt;"&amp;DATE(Dashboard!$B$2,4+1,1)&amp;""))</f>
        <v/>
      </c>
      <c r="F146" s="45">
        <f>IF($A146="","",SUMIFS(Data!$H$2:$H$25001,Data!$C$2:$C$25001,$A146,Data!$D$2:$D$25001,"Werken",Data!$A$2:$A$25001,"&gt;="&amp;DATE(Dashboard!$B$2,5,1)&amp;"",Data!$A$2:$A$25001,"&lt;"&amp;DATE(Dashboard!$B$2,5+1,1)&amp;""))</f>
        <v/>
      </c>
      <c r="G146" s="45">
        <f>IF($A146="","",SUMIFS(Data!$H$2:$H$25001,Data!$C$2:$C$25001,$A146,Data!$D$2:$D$25001,"Werken",Data!$A$2:$A$25001,"&gt;="&amp;DATE(Dashboard!$B$2,6,1)&amp;"",Data!$A$2:$A$25001,"&lt;"&amp;DATE(Dashboard!$B$2,6+1,1)&amp;""))</f>
        <v/>
      </c>
      <c r="H146" s="45">
        <f>IF($A146="","",SUMIFS(Data!$H$2:$H$25001,Data!$C$2:$C$25001,$A146,Data!$D$2:$D$25001,"Werken",Data!$A$2:$A$25001,"&gt;="&amp;DATE(Dashboard!$B$2,7,1)&amp;"",Data!$A$2:$A$25001,"&lt;"&amp;DATE(Dashboard!$B$2,7+1,1)&amp;""))</f>
        <v/>
      </c>
      <c r="I146" s="45">
        <f>IF($A146="","",SUMIFS(Data!$H$2:$H$25001,Data!$C$2:$C$25001,$A146,Data!$D$2:$D$25001,"Werken",Data!$A$2:$A$25001,"&gt;="&amp;DATE(Dashboard!$B$2,8,1)&amp;"",Data!$A$2:$A$25001,"&lt;"&amp;DATE(Dashboard!$B$2,8+1,1)&amp;""))</f>
        <v/>
      </c>
      <c r="J146" s="45">
        <f>IF($A146="","",SUMIFS(Data!$H$2:$H$25001,Data!$C$2:$C$25001,$A146,Data!$D$2:$D$25001,"Werken",Data!$A$2:$A$25001,"&gt;="&amp;DATE(Dashboard!$B$2,9,1)&amp;"",Data!$A$2:$A$25001,"&lt;"&amp;DATE(Dashboard!$B$2,9+1,1)&amp;""))</f>
        <v/>
      </c>
      <c r="K146" s="45">
        <f>IF($A146="","",SUMIFS(Data!$H$2:$H$25001,Data!$C$2:$C$25001,$A146,Data!$D$2:$D$25001,"Werken",Data!$A$2:$A$25001,"&gt;="&amp;DATE(Dashboard!$B$2,10,1)&amp;"",Data!$A$2:$A$25001,"&lt;"&amp;DATE(Dashboard!$B$2,10+1,1)&amp;""))</f>
        <v/>
      </c>
      <c r="L146" s="45">
        <f>IF($A146="","",SUMIFS(Data!$H$2:$H$25001,Data!$C$2:$C$25001,$A146,Data!$D$2:$D$25001,"Werken",Data!$A$2:$A$25001,"&gt;="&amp;DATE(Dashboard!$B$2,11,1)&amp;"",Data!$A$2:$A$25001,"&lt;"&amp;DATE(Dashboard!$B$2,11+1,1)&amp;""))</f>
        <v/>
      </c>
      <c r="M146" s="45">
        <f>IF($A146="","",SUMIFS(Data!$H$2:$H$25001,Data!$C$2:$C$25001,$A146,Data!$D$2:$D$25001,"Werken",Data!$A$2:$A$25001,"&gt;="&amp;DATE(Dashboard!$B$2,12,1)&amp;"",Data!$A$2:$A$25001,"&lt;"&amp;DATE(Dashboard!$B$2,12+1,1)&amp;""))</f>
        <v/>
      </c>
      <c r="N146" s="46">
        <f>IF($A146="","",SUM(B146:M146))</f>
        <v/>
      </c>
      <c r="O146" s="51" t="n"/>
      <c r="P146" s="52">
        <f>IF(OR($A146="",O146=""),"",N146*O146)</f>
        <v/>
      </c>
    </row>
    <row r="147" ht="15" customHeight="1" s="30">
      <c r="A147" s="49" t="n"/>
      <c r="B147" s="50">
        <f>IF($A147="","",SUMIFS(Data!$H$2:$H$25001,Data!$C$2:$C$25001,$A147,Data!$D$2:$D$25001,"Werken",Data!$A$2:$A$25001,"&gt;="&amp;DATE(Dashboard!$B$2,1,1)&amp;"",Data!$A$2:$A$25001,"&lt;"&amp;DATE(Dashboard!$B$2,1+1,1)&amp;""))</f>
        <v/>
      </c>
      <c r="C147" s="50">
        <f>IF($A147="","",SUMIFS(Data!$H$2:$H$25001,Data!$C$2:$C$25001,$A147,Data!$D$2:$D$25001,"Werken",Data!$A$2:$A$25001,"&gt;="&amp;DATE(Dashboard!$B$2,2,1)&amp;"",Data!$A$2:$A$25001,"&lt;"&amp;DATE(Dashboard!$B$2,2+1,1)&amp;""))</f>
        <v/>
      </c>
      <c r="D147" s="50">
        <f>IF($A147="","",SUMIFS(Data!$H$2:$H$25001,Data!$C$2:$C$25001,$A147,Data!$D$2:$D$25001,"Werken",Data!$A$2:$A$25001,"&gt;="&amp;DATE(Dashboard!$B$2,3,1)&amp;"",Data!$A$2:$A$25001,"&lt;"&amp;DATE(Dashboard!$B$2,3+1,1)&amp;""))</f>
        <v/>
      </c>
      <c r="E147" s="50">
        <f>IF($A147="","",SUMIFS(Data!$H$2:$H$25001,Data!$C$2:$C$25001,$A147,Data!$D$2:$D$25001,"Werken",Data!$A$2:$A$25001,"&gt;="&amp;DATE(Dashboard!$B$2,4,1)&amp;"",Data!$A$2:$A$25001,"&lt;"&amp;DATE(Dashboard!$B$2,4+1,1)&amp;""))</f>
        <v/>
      </c>
      <c r="F147" s="50">
        <f>IF($A147="","",SUMIFS(Data!$H$2:$H$25001,Data!$C$2:$C$25001,$A147,Data!$D$2:$D$25001,"Werken",Data!$A$2:$A$25001,"&gt;="&amp;DATE(Dashboard!$B$2,5,1)&amp;"",Data!$A$2:$A$25001,"&lt;"&amp;DATE(Dashboard!$B$2,5+1,1)&amp;""))</f>
        <v/>
      </c>
      <c r="G147" s="50">
        <f>IF($A147="","",SUMIFS(Data!$H$2:$H$25001,Data!$C$2:$C$25001,$A147,Data!$D$2:$D$25001,"Werken",Data!$A$2:$A$25001,"&gt;="&amp;DATE(Dashboard!$B$2,6,1)&amp;"",Data!$A$2:$A$25001,"&lt;"&amp;DATE(Dashboard!$B$2,6+1,1)&amp;""))</f>
        <v/>
      </c>
      <c r="H147" s="50">
        <f>IF($A147="","",SUMIFS(Data!$H$2:$H$25001,Data!$C$2:$C$25001,$A147,Data!$D$2:$D$25001,"Werken",Data!$A$2:$A$25001,"&gt;="&amp;DATE(Dashboard!$B$2,7,1)&amp;"",Data!$A$2:$A$25001,"&lt;"&amp;DATE(Dashboard!$B$2,7+1,1)&amp;""))</f>
        <v/>
      </c>
      <c r="I147" s="50">
        <f>IF($A147="","",SUMIFS(Data!$H$2:$H$25001,Data!$C$2:$C$25001,$A147,Data!$D$2:$D$25001,"Werken",Data!$A$2:$A$25001,"&gt;="&amp;DATE(Dashboard!$B$2,8,1)&amp;"",Data!$A$2:$A$25001,"&lt;"&amp;DATE(Dashboard!$B$2,8+1,1)&amp;""))</f>
        <v/>
      </c>
      <c r="J147" s="50">
        <f>IF($A147="","",SUMIFS(Data!$H$2:$H$25001,Data!$C$2:$C$25001,$A147,Data!$D$2:$D$25001,"Werken",Data!$A$2:$A$25001,"&gt;="&amp;DATE(Dashboard!$B$2,9,1)&amp;"",Data!$A$2:$A$25001,"&lt;"&amp;DATE(Dashboard!$B$2,9+1,1)&amp;""))</f>
        <v/>
      </c>
      <c r="K147" s="50">
        <f>IF($A147="","",SUMIFS(Data!$H$2:$H$25001,Data!$C$2:$C$25001,$A147,Data!$D$2:$D$25001,"Werken",Data!$A$2:$A$25001,"&gt;="&amp;DATE(Dashboard!$B$2,10,1)&amp;"",Data!$A$2:$A$25001,"&lt;"&amp;DATE(Dashboard!$B$2,10+1,1)&amp;""))</f>
        <v/>
      </c>
      <c r="L147" s="50">
        <f>IF($A147="","",SUMIFS(Data!$H$2:$H$25001,Data!$C$2:$C$25001,$A147,Data!$D$2:$D$25001,"Werken",Data!$A$2:$A$25001,"&gt;="&amp;DATE(Dashboard!$B$2,11,1)&amp;"",Data!$A$2:$A$25001,"&lt;"&amp;DATE(Dashboard!$B$2,11+1,1)&amp;""))</f>
        <v/>
      </c>
      <c r="M147" s="50">
        <f>IF($A147="","",SUMIFS(Data!$H$2:$H$25001,Data!$C$2:$C$25001,$A147,Data!$D$2:$D$25001,"Werken",Data!$A$2:$A$25001,"&gt;="&amp;DATE(Dashboard!$B$2,12,1)&amp;"",Data!$A$2:$A$25001,"&lt;"&amp;DATE(Dashboard!$B$2,12+1,1)&amp;""))</f>
        <v/>
      </c>
      <c r="N147" s="46">
        <f>IF($A147="","",SUM(B147:M147))</f>
        <v/>
      </c>
      <c r="O147" s="51" t="n"/>
      <c r="P147" s="52">
        <f>IF(OR($A147="",O147=""),"",N147*O147)</f>
        <v/>
      </c>
    </row>
    <row r="148" ht="15" customHeight="1" s="30">
      <c r="A148" s="49" t="n"/>
      <c r="B148" s="45">
        <f>IF($A148="","",SUMIFS(Data!$H$2:$H$25001,Data!$C$2:$C$25001,$A148,Data!$D$2:$D$25001,"Werken",Data!$A$2:$A$25001,"&gt;="&amp;DATE(Dashboard!$B$2,1,1)&amp;"",Data!$A$2:$A$25001,"&lt;"&amp;DATE(Dashboard!$B$2,1+1,1)&amp;""))</f>
        <v/>
      </c>
      <c r="C148" s="45">
        <f>IF($A148="","",SUMIFS(Data!$H$2:$H$25001,Data!$C$2:$C$25001,$A148,Data!$D$2:$D$25001,"Werken",Data!$A$2:$A$25001,"&gt;="&amp;DATE(Dashboard!$B$2,2,1)&amp;"",Data!$A$2:$A$25001,"&lt;"&amp;DATE(Dashboard!$B$2,2+1,1)&amp;""))</f>
        <v/>
      </c>
      <c r="D148" s="45">
        <f>IF($A148="","",SUMIFS(Data!$H$2:$H$25001,Data!$C$2:$C$25001,$A148,Data!$D$2:$D$25001,"Werken",Data!$A$2:$A$25001,"&gt;="&amp;DATE(Dashboard!$B$2,3,1)&amp;"",Data!$A$2:$A$25001,"&lt;"&amp;DATE(Dashboard!$B$2,3+1,1)&amp;""))</f>
        <v/>
      </c>
      <c r="E148" s="45">
        <f>IF($A148="","",SUMIFS(Data!$H$2:$H$25001,Data!$C$2:$C$25001,$A148,Data!$D$2:$D$25001,"Werken",Data!$A$2:$A$25001,"&gt;="&amp;DATE(Dashboard!$B$2,4,1)&amp;"",Data!$A$2:$A$25001,"&lt;"&amp;DATE(Dashboard!$B$2,4+1,1)&amp;""))</f>
        <v/>
      </c>
      <c r="F148" s="45">
        <f>IF($A148="","",SUMIFS(Data!$H$2:$H$25001,Data!$C$2:$C$25001,$A148,Data!$D$2:$D$25001,"Werken",Data!$A$2:$A$25001,"&gt;="&amp;DATE(Dashboard!$B$2,5,1)&amp;"",Data!$A$2:$A$25001,"&lt;"&amp;DATE(Dashboard!$B$2,5+1,1)&amp;""))</f>
        <v/>
      </c>
      <c r="G148" s="45">
        <f>IF($A148="","",SUMIFS(Data!$H$2:$H$25001,Data!$C$2:$C$25001,$A148,Data!$D$2:$D$25001,"Werken",Data!$A$2:$A$25001,"&gt;="&amp;DATE(Dashboard!$B$2,6,1)&amp;"",Data!$A$2:$A$25001,"&lt;"&amp;DATE(Dashboard!$B$2,6+1,1)&amp;""))</f>
        <v/>
      </c>
      <c r="H148" s="45">
        <f>IF($A148="","",SUMIFS(Data!$H$2:$H$25001,Data!$C$2:$C$25001,$A148,Data!$D$2:$D$25001,"Werken",Data!$A$2:$A$25001,"&gt;="&amp;DATE(Dashboard!$B$2,7,1)&amp;"",Data!$A$2:$A$25001,"&lt;"&amp;DATE(Dashboard!$B$2,7+1,1)&amp;""))</f>
        <v/>
      </c>
      <c r="I148" s="45">
        <f>IF($A148="","",SUMIFS(Data!$H$2:$H$25001,Data!$C$2:$C$25001,$A148,Data!$D$2:$D$25001,"Werken",Data!$A$2:$A$25001,"&gt;="&amp;DATE(Dashboard!$B$2,8,1)&amp;"",Data!$A$2:$A$25001,"&lt;"&amp;DATE(Dashboard!$B$2,8+1,1)&amp;""))</f>
        <v/>
      </c>
      <c r="J148" s="45">
        <f>IF($A148="","",SUMIFS(Data!$H$2:$H$25001,Data!$C$2:$C$25001,$A148,Data!$D$2:$D$25001,"Werken",Data!$A$2:$A$25001,"&gt;="&amp;DATE(Dashboard!$B$2,9,1)&amp;"",Data!$A$2:$A$25001,"&lt;"&amp;DATE(Dashboard!$B$2,9+1,1)&amp;""))</f>
        <v/>
      </c>
      <c r="K148" s="45">
        <f>IF($A148="","",SUMIFS(Data!$H$2:$H$25001,Data!$C$2:$C$25001,$A148,Data!$D$2:$D$25001,"Werken",Data!$A$2:$A$25001,"&gt;="&amp;DATE(Dashboard!$B$2,10,1)&amp;"",Data!$A$2:$A$25001,"&lt;"&amp;DATE(Dashboard!$B$2,10+1,1)&amp;""))</f>
        <v/>
      </c>
      <c r="L148" s="45">
        <f>IF($A148="","",SUMIFS(Data!$H$2:$H$25001,Data!$C$2:$C$25001,$A148,Data!$D$2:$D$25001,"Werken",Data!$A$2:$A$25001,"&gt;="&amp;DATE(Dashboard!$B$2,11,1)&amp;"",Data!$A$2:$A$25001,"&lt;"&amp;DATE(Dashboard!$B$2,11+1,1)&amp;""))</f>
        <v/>
      </c>
      <c r="M148" s="45">
        <f>IF($A148="","",SUMIFS(Data!$H$2:$H$25001,Data!$C$2:$C$25001,$A148,Data!$D$2:$D$25001,"Werken",Data!$A$2:$A$25001,"&gt;="&amp;DATE(Dashboard!$B$2,12,1)&amp;"",Data!$A$2:$A$25001,"&lt;"&amp;DATE(Dashboard!$B$2,12+1,1)&amp;""))</f>
        <v/>
      </c>
      <c r="N148" s="46">
        <f>IF($A148="","",SUM(B148:M148))</f>
        <v/>
      </c>
      <c r="O148" s="51" t="n"/>
      <c r="P148" s="52">
        <f>IF(OR($A148="",O148=""),"",N148*O148)</f>
        <v/>
      </c>
    </row>
    <row r="149" ht="15" customHeight="1" s="30">
      <c r="A149" s="49" t="n"/>
      <c r="B149" s="50">
        <f>IF($A149="","",SUMIFS(Data!$H$2:$H$25001,Data!$C$2:$C$25001,$A149,Data!$D$2:$D$25001,"Werken",Data!$A$2:$A$25001,"&gt;="&amp;DATE(Dashboard!$B$2,1,1)&amp;"",Data!$A$2:$A$25001,"&lt;"&amp;DATE(Dashboard!$B$2,1+1,1)&amp;""))</f>
        <v/>
      </c>
      <c r="C149" s="50">
        <f>IF($A149="","",SUMIFS(Data!$H$2:$H$25001,Data!$C$2:$C$25001,$A149,Data!$D$2:$D$25001,"Werken",Data!$A$2:$A$25001,"&gt;="&amp;DATE(Dashboard!$B$2,2,1)&amp;"",Data!$A$2:$A$25001,"&lt;"&amp;DATE(Dashboard!$B$2,2+1,1)&amp;""))</f>
        <v/>
      </c>
      <c r="D149" s="50">
        <f>IF($A149="","",SUMIFS(Data!$H$2:$H$25001,Data!$C$2:$C$25001,$A149,Data!$D$2:$D$25001,"Werken",Data!$A$2:$A$25001,"&gt;="&amp;DATE(Dashboard!$B$2,3,1)&amp;"",Data!$A$2:$A$25001,"&lt;"&amp;DATE(Dashboard!$B$2,3+1,1)&amp;""))</f>
        <v/>
      </c>
      <c r="E149" s="50">
        <f>IF($A149="","",SUMIFS(Data!$H$2:$H$25001,Data!$C$2:$C$25001,$A149,Data!$D$2:$D$25001,"Werken",Data!$A$2:$A$25001,"&gt;="&amp;DATE(Dashboard!$B$2,4,1)&amp;"",Data!$A$2:$A$25001,"&lt;"&amp;DATE(Dashboard!$B$2,4+1,1)&amp;""))</f>
        <v/>
      </c>
      <c r="F149" s="50">
        <f>IF($A149="","",SUMIFS(Data!$H$2:$H$25001,Data!$C$2:$C$25001,$A149,Data!$D$2:$D$25001,"Werken",Data!$A$2:$A$25001,"&gt;="&amp;DATE(Dashboard!$B$2,5,1)&amp;"",Data!$A$2:$A$25001,"&lt;"&amp;DATE(Dashboard!$B$2,5+1,1)&amp;""))</f>
        <v/>
      </c>
      <c r="G149" s="50">
        <f>IF($A149="","",SUMIFS(Data!$H$2:$H$25001,Data!$C$2:$C$25001,$A149,Data!$D$2:$D$25001,"Werken",Data!$A$2:$A$25001,"&gt;="&amp;DATE(Dashboard!$B$2,6,1)&amp;"",Data!$A$2:$A$25001,"&lt;"&amp;DATE(Dashboard!$B$2,6+1,1)&amp;""))</f>
        <v/>
      </c>
      <c r="H149" s="50">
        <f>IF($A149="","",SUMIFS(Data!$H$2:$H$25001,Data!$C$2:$C$25001,$A149,Data!$D$2:$D$25001,"Werken",Data!$A$2:$A$25001,"&gt;="&amp;DATE(Dashboard!$B$2,7,1)&amp;"",Data!$A$2:$A$25001,"&lt;"&amp;DATE(Dashboard!$B$2,7+1,1)&amp;""))</f>
        <v/>
      </c>
      <c r="I149" s="50">
        <f>IF($A149="","",SUMIFS(Data!$H$2:$H$25001,Data!$C$2:$C$25001,$A149,Data!$D$2:$D$25001,"Werken",Data!$A$2:$A$25001,"&gt;="&amp;DATE(Dashboard!$B$2,8,1)&amp;"",Data!$A$2:$A$25001,"&lt;"&amp;DATE(Dashboard!$B$2,8+1,1)&amp;""))</f>
        <v/>
      </c>
      <c r="J149" s="50">
        <f>IF($A149="","",SUMIFS(Data!$H$2:$H$25001,Data!$C$2:$C$25001,$A149,Data!$D$2:$D$25001,"Werken",Data!$A$2:$A$25001,"&gt;="&amp;DATE(Dashboard!$B$2,9,1)&amp;"",Data!$A$2:$A$25001,"&lt;"&amp;DATE(Dashboard!$B$2,9+1,1)&amp;""))</f>
        <v/>
      </c>
      <c r="K149" s="50">
        <f>IF($A149="","",SUMIFS(Data!$H$2:$H$25001,Data!$C$2:$C$25001,$A149,Data!$D$2:$D$25001,"Werken",Data!$A$2:$A$25001,"&gt;="&amp;DATE(Dashboard!$B$2,10,1)&amp;"",Data!$A$2:$A$25001,"&lt;"&amp;DATE(Dashboard!$B$2,10+1,1)&amp;""))</f>
        <v/>
      </c>
      <c r="L149" s="50">
        <f>IF($A149="","",SUMIFS(Data!$H$2:$H$25001,Data!$C$2:$C$25001,$A149,Data!$D$2:$D$25001,"Werken",Data!$A$2:$A$25001,"&gt;="&amp;DATE(Dashboard!$B$2,11,1)&amp;"",Data!$A$2:$A$25001,"&lt;"&amp;DATE(Dashboard!$B$2,11+1,1)&amp;""))</f>
        <v/>
      </c>
      <c r="M149" s="50">
        <f>IF($A149="","",SUMIFS(Data!$H$2:$H$25001,Data!$C$2:$C$25001,$A149,Data!$D$2:$D$25001,"Werken",Data!$A$2:$A$25001,"&gt;="&amp;DATE(Dashboard!$B$2,12,1)&amp;"",Data!$A$2:$A$25001,"&lt;"&amp;DATE(Dashboard!$B$2,12+1,1)&amp;""))</f>
        <v/>
      </c>
      <c r="N149" s="46">
        <f>IF($A149="","",SUM(B149:M149))</f>
        <v/>
      </c>
      <c r="O149" s="51" t="n"/>
      <c r="P149" s="52">
        <f>IF(OR($A149="",O149=""),"",N149*O149)</f>
        <v/>
      </c>
    </row>
    <row r="150" ht="15" customHeight="1" s="30">
      <c r="A150" s="49" t="n"/>
      <c r="B150" s="45">
        <f>IF($A150="","",SUMIFS(Data!$H$2:$H$25001,Data!$C$2:$C$25001,$A150,Data!$D$2:$D$25001,"Werken",Data!$A$2:$A$25001,"&gt;="&amp;DATE(Dashboard!$B$2,1,1)&amp;"",Data!$A$2:$A$25001,"&lt;"&amp;DATE(Dashboard!$B$2,1+1,1)&amp;""))</f>
        <v/>
      </c>
      <c r="C150" s="45">
        <f>IF($A150="","",SUMIFS(Data!$H$2:$H$25001,Data!$C$2:$C$25001,$A150,Data!$D$2:$D$25001,"Werken",Data!$A$2:$A$25001,"&gt;="&amp;DATE(Dashboard!$B$2,2,1)&amp;"",Data!$A$2:$A$25001,"&lt;"&amp;DATE(Dashboard!$B$2,2+1,1)&amp;""))</f>
        <v/>
      </c>
      <c r="D150" s="45">
        <f>IF($A150="","",SUMIFS(Data!$H$2:$H$25001,Data!$C$2:$C$25001,$A150,Data!$D$2:$D$25001,"Werken",Data!$A$2:$A$25001,"&gt;="&amp;DATE(Dashboard!$B$2,3,1)&amp;"",Data!$A$2:$A$25001,"&lt;"&amp;DATE(Dashboard!$B$2,3+1,1)&amp;""))</f>
        <v/>
      </c>
      <c r="E150" s="45">
        <f>IF($A150="","",SUMIFS(Data!$H$2:$H$25001,Data!$C$2:$C$25001,$A150,Data!$D$2:$D$25001,"Werken",Data!$A$2:$A$25001,"&gt;="&amp;DATE(Dashboard!$B$2,4,1)&amp;"",Data!$A$2:$A$25001,"&lt;"&amp;DATE(Dashboard!$B$2,4+1,1)&amp;""))</f>
        <v/>
      </c>
      <c r="F150" s="45">
        <f>IF($A150="","",SUMIFS(Data!$H$2:$H$25001,Data!$C$2:$C$25001,$A150,Data!$D$2:$D$25001,"Werken",Data!$A$2:$A$25001,"&gt;="&amp;DATE(Dashboard!$B$2,5,1)&amp;"",Data!$A$2:$A$25001,"&lt;"&amp;DATE(Dashboard!$B$2,5+1,1)&amp;""))</f>
        <v/>
      </c>
      <c r="G150" s="45">
        <f>IF($A150="","",SUMIFS(Data!$H$2:$H$25001,Data!$C$2:$C$25001,$A150,Data!$D$2:$D$25001,"Werken",Data!$A$2:$A$25001,"&gt;="&amp;DATE(Dashboard!$B$2,6,1)&amp;"",Data!$A$2:$A$25001,"&lt;"&amp;DATE(Dashboard!$B$2,6+1,1)&amp;""))</f>
        <v/>
      </c>
      <c r="H150" s="45">
        <f>IF($A150="","",SUMIFS(Data!$H$2:$H$25001,Data!$C$2:$C$25001,$A150,Data!$D$2:$D$25001,"Werken",Data!$A$2:$A$25001,"&gt;="&amp;DATE(Dashboard!$B$2,7,1)&amp;"",Data!$A$2:$A$25001,"&lt;"&amp;DATE(Dashboard!$B$2,7+1,1)&amp;""))</f>
        <v/>
      </c>
      <c r="I150" s="45">
        <f>IF($A150="","",SUMIFS(Data!$H$2:$H$25001,Data!$C$2:$C$25001,$A150,Data!$D$2:$D$25001,"Werken",Data!$A$2:$A$25001,"&gt;="&amp;DATE(Dashboard!$B$2,8,1)&amp;"",Data!$A$2:$A$25001,"&lt;"&amp;DATE(Dashboard!$B$2,8+1,1)&amp;""))</f>
        <v/>
      </c>
      <c r="J150" s="45">
        <f>IF($A150="","",SUMIFS(Data!$H$2:$H$25001,Data!$C$2:$C$25001,$A150,Data!$D$2:$D$25001,"Werken",Data!$A$2:$A$25001,"&gt;="&amp;DATE(Dashboard!$B$2,9,1)&amp;"",Data!$A$2:$A$25001,"&lt;"&amp;DATE(Dashboard!$B$2,9+1,1)&amp;""))</f>
        <v/>
      </c>
      <c r="K150" s="45">
        <f>IF($A150="","",SUMIFS(Data!$H$2:$H$25001,Data!$C$2:$C$25001,$A150,Data!$D$2:$D$25001,"Werken",Data!$A$2:$A$25001,"&gt;="&amp;DATE(Dashboard!$B$2,10,1)&amp;"",Data!$A$2:$A$25001,"&lt;"&amp;DATE(Dashboard!$B$2,10+1,1)&amp;""))</f>
        <v/>
      </c>
      <c r="L150" s="45">
        <f>IF($A150="","",SUMIFS(Data!$H$2:$H$25001,Data!$C$2:$C$25001,$A150,Data!$D$2:$D$25001,"Werken",Data!$A$2:$A$25001,"&gt;="&amp;DATE(Dashboard!$B$2,11,1)&amp;"",Data!$A$2:$A$25001,"&lt;"&amp;DATE(Dashboard!$B$2,11+1,1)&amp;""))</f>
        <v/>
      </c>
      <c r="M150" s="45">
        <f>IF($A150="","",SUMIFS(Data!$H$2:$H$25001,Data!$C$2:$C$25001,$A150,Data!$D$2:$D$25001,"Werken",Data!$A$2:$A$25001,"&gt;="&amp;DATE(Dashboard!$B$2,12,1)&amp;"",Data!$A$2:$A$25001,"&lt;"&amp;DATE(Dashboard!$B$2,12+1,1)&amp;""))</f>
        <v/>
      </c>
      <c r="N150" s="46">
        <f>IF($A150="","",SUM(B150:M150))</f>
        <v/>
      </c>
      <c r="O150" s="51" t="n"/>
      <c r="P150" s="52">
        <f>IF(OR($A150="",O150=""),"",N150*O150)</f>
        <v/>
      </c>
    </row>
    <row r="151" ht="15" customHeight="1" s="30">
      <c r="A151" s="49" t="n"/>
      <c r="B151" s="50">
        <f>IF($A151="","",SUMIFS(Data!$H$2:$H$25001,Data!$C$2:$C$25001,$A151,Data!$D$2:$D$25001,"Werken",Data!$A$2:$A$25001,"&gt;="&amp;DATE(Dashboard!$B$2,1,1)&amp;"",Data!$A$2:$A$25001,"&lt;"&amp;DATE(Dashboard!$B$2,1+1,1)&amp;""))</f>
        <v/>
      </c>
      <c r="C151" s="50">
        <f>IF($A151="","",SUMIFS(Data!$H$2:$H$25001,Data!$C$2:$C$25001,$A151,Data!$D$2:$D$25001,"Werken",Data!$A$2:$A$25001,"&gt;="&amp;DATE(Dashboard!$B$2,2,1)&amp;"",Data!$A$2:$A$25001,"&lt;"&amp;DATE(Dashboard!$B$2,2+1,1)&amp;""))</f>
        <v/>
      </c>
      <c r="D151" s="50">
        <f>IF($A151="","",SUMIFS(Data!$H$2:$H$25001,Data!$C$2:$C$25001,$A151,Data!$D$2:$D$25001,"Werken",Data!$A$2:$A$25001,"&gt;="&amp;DATE(Dashboard!$B$2,3,1)&amp;"",Data!$A$2:$A$25001,"&lt;"&amp;DATE(Dashboard!$B$2,3+1,1)&amp;""))</f>
        <v/>
      </c>
      <c r="E151" s="50">
        <f>IF($A151="","",SUMIFS(Data!$H$2:$H$25001,Data!$C$2:$C$25001,$A151,Data!$D$2:$D$25001,"Werken",Data!$A$2:$A$25001,"&gt;="&amp;DATE(Dashboard!$B$2,4,1)&amp;"",Data!$A$2:$A$25001,"&lt;"&amp;DATE(Dashboard!$B$2,4+1,1)&amp;""))</f>
        <v/>
      </c>
      <c r="F151" s="50">
        <f>IF($A151="","",SUMIFS(Data!$H$2:$H$25001,Data!$C$2:$C$25001,$A151,Data!$D$2:$D$25001,"Werken",Data!$A$2:$A$25001,"&gt;="&amp;DATE(Dashboard!$B$2,5,1)&amp;"",Data!$A$2:$A$25001,"&lt;"&amp;DATE(Dashboard!$B$2,5+1,1)&amp;""))</f>
        <v/>
      </c>
      <c r="G151" s="50">
        <f>IF($A151="","",SUMIFS(Data!$H$2:$H$25001,Data!$C$2:$C$25001,$A151,Data!$D$2:$D$25001,"Werken",Data!$A$2:$A$25001,"&gt;="&amp;DATE(Dashboard!$B$2,6,1)&amp;"",Data!$A$2:$A$25001,"&lt;"&amp;DATE(Dashboard!$B$2,6+1,1)&amp;""))</f>
        <v/>
      </c>
      <c r="H151" s="50">
        <f>IF($A151="","",SUMIFS(Data!$H$2:$H$25001,Data!$C$2:$C$25001,$A151,Data!$D$2:$D$25001,"Werken",Data!$A$2:$A$25001,"&gt;="&amp;DATE(Dashboard!$B$2,7,1)&amp;"",Data!$A$2:$A$25001,"&lt;"&amp;DATE(Dashboard!$B$2,7+1,1)&amp;""))</f>
        <v/>
      </c>
      <c r="I151" s="50">
        <f>IF($A151="","",SUMIFS(Data!$H$2:$H$25001,Data!$C$2:$C$25001,$A151,Data!$D$2:$D$25001,"Werken",Data!$A$2:$A$25001,"&gt;="&amp;DATE(Dashboard!$B$2,8,1)&amp;"",Data!$A$2:$A$25001,"&lt;"&amp;DATE(Dashboard!$B$2,8+1,1)&amp;""))</f>
        <v/>
      </c>
      <c r="J151" s="50">
        <f>IF($A151="","",SUMIFS(Data!$H$2:$H$25001,Data!$C$2:$C$25001,$A151,Data!$D$2:$D$25001,"Werken",Data!$A$2:$A$25001,"&gt;="&amp;DATE(Dashboard!$B$2,9,1)&amp;"",Data!$A$2:$A$25001,"&lt;"&amp;DATE(Dashboard!$B$2,9+1,1)&amp;""))</f>
        <v/>
      </c>
      <c r="K151" s="50">
        <f>IF($A151="","",SUMIFS(Data!$H$2:$H$25001,Data!$C$2:$C$25001,$A151,Data!$D$2:$D$25001,"Werken",Data!$A$2:$A$25001,"&gt;="&amp;DATE(Dashboard!$B$2,10,1)&amp;"",Data!$A$2:$A$25001,"&lt;"&amp;DATE(Dashboard!$B$2,10+1,1)&amp;""))</f>
        <v/>
      </c>
      <c r="L151" s="50">
        <f>IF($A151="","",SUMIFS(Data!$H$2:$H$25001,Data!$C$2:$C$25001,$A151,Data!$D$2:$D$25001,"Werken",Data!$A$2:$A$25001,"&gt;="&amp;DATE(Dashboard!$B$2,11,1)&amp;"",Data!$A$2:$A$25001,"&lt;"&amp;DATE(Dashboard!$B$2,11+1,1)&amp;""))</f>
        <v/>
      </c>
      <c r="M151" s="50">
        <f>IF($A151="","",SUMIFS(Data!$H$2:$H$25001,Data!$C$2:$C$25001,$A151,Data!$D$2:$D$25001,"Werken",Data!$A$2:$A$25001,"&gt;="&amp;DATE(Dashboard!$B$2,12,1)&amp;"",Data!$A$2:$A$25001,"&lt;"&amp;DATE(Dashboard!$B$2,12+1,1)&amp;""))</f>
        <v/>
      </c>
      <c r="N151" s="46">
        <f>IF($A151="","",SUM(B151:M151))</f>
        <v/>
      </c>
      <c r="O151" s="51" t="n"/>
      <c r="P151" s="52">
        <f>IF(OR($A151="",O151=""),"",N151*O151)</f>
        <v/>
      </c>
    </row>
    <row r="152" ht="15" customHeight="1" s="30">
      <c r="A152" s="49" t="n"/>
      <c r="B152" s="45">
        <f>IF($A152="","",SUMIFS(Data!$H$2:$H$25001,Data!$C$2:$C$25001,$A152,Data!$D$2:$D$25001,"Werken",Data!$A$2:$A$25001,"&gt;="&amp;DATE(Dashboard!$B$2,1,1)&amp;"",Data!$A$2:$A$25001,"&lt;"&amp;DATE(Dashboard!$B$2,1+1,1)&amp;""))</f>
        <v/>
      </c>
      <c r="C152" s="45">
        <f>IF($A152="","",SUMIFS(Data!$H$2:$H$25001,Data!$C$2:$C$25001,$A152,Data!$D$2:$D$25001,"Werken",Data!$A$2:$A$25001,"&gt;="&amp;DATE(Dashboard!$B$2,2,1)&amp;"",Data!$A$2:$A$25001,"&lt;"&amp;DATE(Dashboard!$B$2,2+1,1)&amp;""))</f>
        <v/>
      </c>
      <c r="D152" s="45">
        <f>IF($A152="","",SUMIFS(Data!$H$2:$H$25001,Data!$C$2:$C$25001,$A152,Data!$D$2:$D$25001,"Werken",Data!$A$2:$A$25001,"&gt;="&amp;DATE(Dashboard!$B$2,3,1)&amp;"",Data!$A$2:$A$25001,"&lt;"&amp;DATE(Dashboard!$B$2,3+1,1)&amp;""))</f>
        <v/>
      </c>
      <c r="E152" s="45">
        <f>IF($A152="","",SUMIFS(Data!$H$2:$H$25001,Data!$C$2:$C$25001,$A152,Data!$D$2:$D$25001,"Werken",Data!$A$2:$A$25001,"&gt;="&amp;DATE(Dashboard!$B$2,4,1)&amp;"",Data!$A$2:$A$25001,"&lt;"&amp;DATE(Dashboard!$B$2,4+1,1)&amp;""))</f>
        <v/>
      </c>
      <c r="F152" s="45">
        <f>IF($A152="","",SUMIFS(Data!$H$2:$H$25001,Data!$C$2:$C$25001,$A152,Data!$D$2:$D$25001,"Werken",Data!$A$2:$A$25001,"&gt;="&amp;DATE(Dashboard!$B$2,5,1)&amp;"",Data!$A$2:$A$25001,"&lt;"&amp;DATE(Dashboard!$B$2,5+1,1)&amp;""))</f>
        <v/>
      </c>
      <c r="G152" s="45">
        <f>IF($A152="","",SUMIFS(Data!$H$2:$H$25001,Data!$C$2:$C$25001,$A152,Data!$D$2:$D$25001,"Werken",Data!$A$2:$A$25001,"&gt;="&amp;DATE(Dashboard!$B$2,6,1)&amp;"",Data!$A$2:$A$25001,"&lt;"&amp;DATE(Dashboard!$B$2,6+1,1)&amp;""))</f>
        <v/>
      </c>
      <c r="H152" s="45">
        <f>IF($A152="","",SUMIFS(Data!$H$2:$H$25001,Data!$C$2:$C$25001,$A152,Data!$D$2:$D$25001,"Werken",Data!$A$2:$A$25001,"&gt;="&amp;DATE(Dashboard!$B$2,7,1)&amp;"",Data!$A$2:$A$25001,"&lt;"&amp;DATE(Dashboard!$B$2,7+1,1)&amp;""))</f>
        <v/>
      </c>
      <c r="I152" s="45">
        <f>IF($A152="","",SUMIFS(Data!$H$2:$H$25001,Data!$C$2:$C$25001,$A152,Data!$D$2:$D$25001,"Werken",Data!$A$2:$A$25001,"&gt;="&amp;DATE(Dashboard!$B$2,8,1)&amp;"",Data!$A$2:$A$25001,"&lt;"&amp;DATE(Dashboard!$B$2,8+1,1)&amp;""))</f>
        <v/>
      </c>
      <c r="J152" s="45">
        <f>IF($A152="","",SUMIFS(Data!$H$2:$H$25001,Data!$C$2:$C$25001,$A152,Data!$D$2:$D$25001,"Werken",Data!$A$2:$A$25001,"&gt;="&amp;DATE(Dashboard!$B$2,9,1)&amp;"",Data!$A$2:$A$25001,"&lt;"&amp;DATE(Dashboard!$B$2,9+1,1)&amp;""))</f>
        <v/>
      </c>
      <c r="K152" s="45">
        <f>IF($A152="","",SUMIFS(Data!$H$2:$H$25001,Data!$C$2:$C$25001,$A152,Data!$D$2:$D$25001,"Werken",Data!$A$2:$A$25001,"&gt;="&amp;DATE(Dashboard!$B$2,10,1)&amp;"",Data!$A$2:$A$25001,"&lt;"&amp;DATE(Dashboard!$B$2,10+1,1)&amp;""))</f>
        <v/>
      </c>
      <c r="L152" s="45">
        <f>IF($A152="","",SUMIFS(Data!$H$2:$H$25001,Data!$C$2:$C$25001,$A152,Data!$D$2:$D$25001,"Werken",Data!$A$2:$A$25001,"&gt;="&amp;DATE(Dashboard!$B$2,11,1)&amp;"",Data!$A$2:$A$25001,"&lt;"&amp;DATE(Dashboard!$B$2,11+1,1)&amp;""))</f>
        <v/>
      </c>
      <c r="M152" s="45">
        <f>IF($A152="","",SUMIFS(Data!$H$2:$H$25001,Data!$C$2:$C$25001,$A152,Data!$D$2:$D$25001,"Werken",Data!$A$2:$A$25001,"&gt;="&amp;DATE(Dashboard!$B$2,12,1)&amp;"",Data!$A$2:$A$25001,"&lt;"&amp;DATE(Dashboard!$B$2,12+1,1)&amp;""))</f>
        <v/>
      </c>
      <c r="N152" s="46">
        <f>IF($A152="","",SUM(B152:M152))</f>
        <v/>
      </c>
      <c r="O152" s="51" t="n"/>
      <c r="P152" s="52">
        <f>IF(OR($A152="",O152=""),"",N152*O152)</f>
        <v/>
      </c>
    </row>
    <row r="153" ht="15" customHeight="1" s="30">
      <c r="A153" s="49" t="n"/>
      <c r="B153" s="50">
        <f>IF($A153="","",SUMIFS(Data!$H$2:$H$25001,Data!$C$2:$C$25001,$A153,Data!$D$2:$D$25001,"Werken",Data!$A$2:$A$25001,"&gt;="&amp;DATE(Dashboard!$B$2,1,1)&amp;"",Data!$A$2:$A$25001,"&lt;"&amp;DATE(Dashboard!$B$2,1+1,1)&amp;""))</f>
        <v/>
      </c>
      <c r="C153" s="50">
        <f>IF($A153="","",SUMIFS(Data!$H$2:$H$25001,Data!$C$2:$C$25001,$A153,Data!$D$2:$D$25001,"Werken",Data!$A$2:$A$25001,"&gt;="&amp;DATE(Dashboard!$B$2,2,1)&amp;"",Data!$A$2:$A$25001,"&lt;"&amp;DATE(Dashboard!$B$2,2+1,1)&amp;""))</f>
        <v/>
      </c>
      <c r="D153" s="50">
        <f>IF($A153="","",SUMIFS(Data!$H$2:$H$25001,Data!$C$2:$C$25001,$A153,Data!$D$2:$D$25001,"Werken",Data!$A$2:$A$25001,"&gt;="&amp;DATE(Dashboard!$B$2,3,1)&amp;"",Data!$A$2:$A$25001,"&lt;"&amp;DATE(Dashboard!$B$2,3+1,1)&amp;""))</f>
        <v/>
      </c>
      <c r="E153" s="50">
        <f>IF($A153="","",SUMIFS(Data!$H$2:$H$25001,Data!$C$2:$C$25001,$A153,Data!$D$2:$D$25001,"Werken",Data!$A$2:$A$25001,"&gt;="&amp;DATE(Dashboard!$B$2,4,1)&amp;"",Data!$A$2:$A$25001,"&lt;"&amp;DATE(Dashboard!$B$2,4+1,1)&amp;""))</f>
        <v/>
      </c>
      <c r="F153" s="50">
        <f>IF($A153="","",SUMIFS(Data!$H$2:$H$25001,Data!$C$2:$C$25001,$A153,Data!$D$2:$D$25001,"Werken",Data!$A$2:$A$25001,"&gt;="&amp;DATE(Dashboard!$B$2,5,1)&amp;"",Data!$A$2:$A$25001,"&lt;"&amp;DATE(Dashboard!$B$2,5+1,1)&amp;""))</f>
        <v/>
      </c>
      <c r="G153" s="50">
        <f>IF($A153="","",SUMIFS(Data!$H$2:$H$25001,Data!$C$2:$C$25001,$A153,Data!$D$2:$D$25001,"Werken",Data!$A$2:$A$25001,"&gt;="&amp;DATE(Dashboard!$B$2,6,1)&amp;"",Data!$A$2:$A$25001,"&lt;"&amp;DATE(Dashboard!$B$2,6+1,1)&amp;""))</f>
        <v/>
      </c>
      <c r="H153" s="50">
        <f>IF($A153="","",SUMIFS(Data!$H$2:$H$25001,Data!$C$2:$C$25001,$A153,Data!$D$2:$D$25001,"Werken",Data!$A$2:$A$25001,"&gt;="&amp;DATE(Dashboard!$B$2,7,1)&amp;"",Data!$A$2:$A$25001,"&lt;"&amp;DATE(Dashboard!$B$2,7+1,1)&amp;""))</f>
        <v/>
      </c>
      <c r="I153" s="50">
        <f>IF($A153="","",SUMIFS(Data!$H$2:$H$25001,Data!$C$2:$C$25001,$A153,Data!$D$2:$D$25001,"Werken",Data!$A$2:$A$25001,"&gt;="&amp;DATE(Dashboard!$B$2,8,1)&amp;"",Data!$A$2:$A$25001,"&lt;"&amp;DATE(Dashboard!$B$2,8+1,1)&amp;""))</f>
        <v/>
      </c>
      <c r="J153" s="50">
        <f>IF($A153="","",SUMIFS(Data!$H$2:$H$25001,Data!$C$2:$C$25001,$A153,Data!$D$2:$D$25001,"Werken",Data!$A$2:$A$25001,"&gt;="&amp;DATE(Dashboard!$B$2,9,1)&amp;"",Data!$A$2:$A$25001,"&lt;"&amp;DATE(Dashboard!$B$2,9+1,1)&amp;""))</f>
        <v/>
      </c>
      <c r="K153" s="50">
        <f>IF($A153="","",SUMIFS(Data!$H$2:$H$25001,Data!$C$2:$C$25001,$A153,Data!$D$2:$D$25001,"Werken",Data!$A$2:$A$25001,"&gt;="&amp;DATE(Dashboard!$B$2,10,1)&amp;"",Data!$A$2:$A$25001,"&lt;"&amp;DATE(Dashboard!$B$2,10+1,1)&amp;""))</f>
        <v/>
      </c>
      <c r="L153" s="50">
        <f>IF($A153="","",SUMIFS(Data!$H$2:$H$25001,Data!$C$2:$C$25001,$A153,Data!$D$2:$D$25001,"Werken",Data!$A$2:$A$25001,"&gt;="&amp;DATE(Dashboard!$B$2,11,1)&amp;"",Data!$A$2:$A$25001,"&lt;"&amp;DATE(Dashboard!$B$2,11+1,1)&amp;""))</f>
        <v/>
      </c>
      <c r="M153" s="50">
        <f>IF($A153="","",SUMIFS(Data!$H$2:$H$25001,Data!$C$2:$C$25001,$A153,Data!$D$2:$D$25001,"Werken",Data!$A$2:$A$25001,"&gt;="&amp;DATE(Dashboard!$B$2,12,1)&amp;"",Data!$A$2:$A$25001,"&lt;"&amp;DATE(Dashboard!$B$2,12+1,1)&amp;""))</f>
        <v/>
      </c>
      <c r="N153" s="46">
        <f>IF($A153="","",SUM(B153:M153))</f>
        <v/>
      </c>
      <c r="O153" s="51" t="n"/>
      <c r="P153" s="52">
        <f>IF(OR($A153="",O153=""),"",N153*O153)</f>
        <v/>
      </c>
    </row>
    <row r="154" ht="15" customHeight="1" s="30">
      <c r="A154" s="49" t="n"/>
      <c r="B154" s="45">
        <f>IF($A154="","",SUMIFS(Data!$H$2:$H$25001,Data!$C$2:$C$25001,$A154,Data!$D$2:$D$25001,"Werken",Data!$A$2:$A$25001,"&gt;="&amp;DATE(Dashboard!$B$2,1,1)&amp;"",Data!$A$2:$A$25001,"&lt;"&amp;DATE(Dashboard!$B$2,1+1,1)&amp;""))</f>
        <v/>
      </c>
      <c r="C154" s="45">
        <f>IF($A154="","",SUMIFS(Data!$H$2:$H$25001,Data!$C$2:$C$25001,$A154,Data!$D$2:$D$25001,"Werken",Data!$A$2:$A$25001,"&gt;="&amp;DATE(Dashboard!$B$2,2,1)&amp;"",Data!$A$2:$A$25001,"&lt;"&amp;DATE(Dashboard!$B$2,2+1,1)&amp;""))</f>
        <v/>
      </c>
      <c r="D154" s="45">
        <f>IF($A154="","",SUMIFS(Data!$H$2:$H$25001,Data!$C$2:$C$25001,$A154,Data!$D$2:$D$25001,"Werken",Data!$A$2:$A$25001,"&gt;="&amp;DATE(Dashboard!$B$2,3,1)&amp;"",Data!$A$2:$A$25001,"&lt;"&amp;DATE(Dashboard!$B$2,3+1,1)&amp;""))</f>
        <v/>
      </c>
      <c r="E154" s="45">
        <f>IF($A154="","",SUMIFS(Data!$H$2:$H$25001,Data!$C$2:$C$25001,$A154,Data!$D$2:$D$25001,"Werken",Data!$A$2:$A$25001,"&gt;="&amp;DATE(Dashboard!$B$2,4,1)&amp;"",Data!$A$2:$A$25001,"&lt;"&amp;DATE(Dashboard!$B$2,4+1,1)&amp;""))</f>
        <v/>
      </c>
      <c r="F154" s="45">
        <f>IF($A154="","",SUMIFS(Data!$H$2:$H$25001,Data!$C$2:$C$25001,$A154,Data!$D$2:$D$25001,"Werken",Data!$A$2:$A$25001,"&gt;="&amp;DATE(Dashboard!$B$2,5,1)&amp;"",Data!$A$2:$A$25001,"&lt;"&amp;DATE(Dashboard!$B$2,5+1,1)&amp;""))</f>
        <v/>
      </c>
      <c r="G154" s="45">
        <f>IF($A154="","",SUMIFS(Data!$H$2:$H$25001,Data!$C$2:$C$25001,$A154,Data!$D$2:$D$25001,"Werken",Data!$A$2:$A$25001,"&gt;="&amp;DATE(Dashboard!$B$2,6,1)&amp;"",Data!$A$2:$A$25001,"&lt;"&amp;DATE(Dashboard!$B$2,6+1,1)&amp;""))</f>
        <v/>
      </c>
      <c r="H154" s="45">
        <f>IF($A154="","",SUMIFS(Data!$H$2:$H$25001,Data!$C$2:$C$25001,$A154,Data!$D$2:$D$25001,"Werken",Data!$A$2:$A$25001,"&gt;="&amp;DATE(Dashboard!$B$2,7,1)&amp;"",Data!$A$2:$A$25001,"&lt;"&amp;DATE(Dashboard!$B$2,7+1,1)&amp;""))</f>
        <v/>
      </c>
      <c r="I154" s="45">
        <f>IF($A154="","",SUMIFS(Data!$H$2:$H$25001,Data!$C$2:$C$25001,$A154,Data!$D$2:$D$25001,"Werken",Data!$A$2:$A$25001,"&gt;="&amp;DATE(Dashboard!$B$2,8,1)&amp;"",Data!$A$2:$A$25001,"&lt;"&amp;DATE(Dashboard!$B$2,8+1,1)&amp;""))</f>
        <v/>
      </c>
      <c r="J154" s="45">
        <f>IF($A154="","",SUMIFS(Data!$H$2:$H$25001,Data!$C$2:$C$25001,$A154,Data!$D$2:$D$25001,"Werken",Data!$A$2:$A$25001,"&gt;="&amp;DATE(Dashboard!$B$2,9,1)&amp;"",Data!$A$2:$A$25001,"&lt;"&amp;DATE(Dashboard!$B$2,9+1,1)&amp;""))</f>
        <v/>
      </c>
      <c r="K154" s="45">
        <f>IF($A154="","",SUMIFS(Data!$H$2:$H$25001,Data!$C$2:$C$25001,$A154,Data!$D$2:$D$25001,"Werken",Data!$A$2:$A$25001,"&gt;="&amp;DATE(Dashboard!$B$2,10,1)&amp;"",Data!$A$2:$A$25001,"&lt;"&amp;DATE(Dashboard!$B$2,10+1,1)&amp;""))</f>
        <v/>
      </c>
      <c r="L154" s="45">
        <f>IF($A154="","",SUMIFS(Data!$H$2:$H$25001,Data!$C$2:$C$25001,$A154,Data!$D$2:$D$25001,"Werken",Data!$A$2:$A$25001,"&gt;="&amp;DATE(Dashboard!$B$2,11,1)&amp;"",Data!$A$2:$A$25001,"&lt;"&amp;DATE(Dashboard!$B$2,11+1,1)&amp;""))</f>
        <v/>
      </c>
      <c r="M154" s="45">
        <f>IF($A154="","",SUMIFS(Data!$H$2:$H$25001,Data!$C$2:$C$25001,$A154,Data!$D$2:$D$25001,"Werken",Data!$A$2:$A$25001,"&gt;="&amp;DATE(Dashboard!$B$2,12,1)&amp;"",Data!$A$2:$A$25001,"&lt;"&amp;DATE(Dashboard!$B$2,12+1,1)&amp;""))</f>
        <v/>
      </c>
      <c r="N154" s="46">
        <f>IF($A154="","",SUM(B154:M154))</f>
        <v/>
      </c>
      <c r="O154" s="51" t="n"/>
      <c r="P154" s="52">
        <f>IF(OR($A154="",O154=""),"",N154*O154)</f>
        <v/>
      </c>
    </row>
    <row r="155" ht="15" customHeight="1" s="30">
      <c r="A155" s="49" t="n"/>
      <c r="B155" s="50">
        <f>IF($A155="","",SUMIFS(Data!$H$2:$H$25001,Data!$C$2:$C$25001,$A155,Data!$D$2:$D$25001,"Werken",Data!$A$2:$A$25001,"&gt;="&amp;DATE(Dashboard!$B$2,1,1)&amp;"",Data!$A$2:$A$25001,"&lt;"&amp;DATE(Dashboard!$B$2,1+1,1)&amp;""))</f>
        <v/>
      </c>
      <c r="C155" s="50">
        <f>IF($A155="","",SUMIFS(Data!$H$2:$H$25001,Data!$C$2:$C$25001,$A155,Data!$D$2:$D$25001,"Werken",Data!$A$2:$A$25001,"&gt;="&amp;DATE(Dashboard!$B$2,2,1)&amp;"",Data!$A$2:$A$25001,"&lt;"&amp;DATE(Dashboard!$B$2,2+1,1)&amp;""))</f>
        <v/>
      </c>
      <c r="D155" s="50">
        <f>IF($A155="","",SUMIFS(Data!$H$2:$H$25001,Data!$C$2:$C$25001,$A155,Data!$D$2:$D$25001,"Werken",Data!$A$2:$A$25001,"&gt;="&amp;DATE(Dashboard!$B$2,3,1)&amp;"",Data!$A$2:$A$25001,"&lt;"&amp;DATE(Dashboard!$B$2,3+1,1)&amp;""))</f>
        <v/>
      </c>
      <c r="E155" s="50">
        <f>IF($A155="","",SUMIFS(Data!$H$2:$H$25001,Data!$C$2:$C$25001,$A155,Data!$D$2:$D$25001,"Werken",Data!$A$2:$A$25001,"&gt;="&amp;DATE(Dashboard!$B$2,4,1)&amp;"",Data!$A$2:$A$25001,"&lt;"&amp;DATE(Dashboard!$B$2,4+1,1)&amp;""))</f>
        <v/>
      </c>
      <c r="F155" s="50">
        <f>IF($A155="","",SUMIFS(Data!$H$2:$H$25001,Data!$C$2:$C$25001,$A155,Data!$D$2:$D$25001,"Werken",Data!$A$2:$A$25001,"&gt;="&amp;DATE(Dashboard!$B$2,5,1)&amp;"",Data!$A$2:$A$25001,"&lt;"&amp;DATE(Dashboard!$B$2,5+1,1)&amp;""))</f>
        <v/>
      </c>
      <c r="G155" s="50">
        <f>IF($A155="","",SUMIFS(Data!$H$2:$H$25001,Data!$C$2:$C$25001,$A155,Data!$D$2:$D$25001,"Werken",Data!$A$2:$A$25001,"&gt;="&amp;DATE(Dashboard!$B$2,6,1)&amp;"",Data!$A$2:$A$25001,"&lt;"&amp;DATE(Dashboard!$B$2,6+1,1)&amp;""))</f>
        <v/>
      </c>
      <c r="H155" s="50">
        <f>IF($A155="","",SUMIFS(Data!$H$2:$H$25001,Data!$C$2:$C$25001,$A155,Data!$D$2:$D$25001,"Werken",Data!$A$2:$A$25001,"&gt;="&amp;DATE(Dashboard!$B$2,7,1)&amp;"",Data!$A$2:$A$25001,"&lt;"&amp;DATE(Dashboard!$B$2,7+1,1)&amp;""))</f>
        <v/>
      </c>
      <c r="I155" s="50">
        <f>IF($A155="","",SUMIFS(Data!$H$2:$H$25001,Data!$C$2:$C$25001,$A155,Data!$D$2:$D$25001,"Werken",Data!$A$2:$A$25001,"&gt;="&amp;DATE(Dashboard!$B$2,8,1)&amp;"",Data!$A$2:$A$25001,"&lt;"&amp;DATE(Dashboard!$B$2,8+1,1)&amp;""))</f>
        <v/>
      </c>
      <c r="J155" s="50">
        <f>IF($A155="","",SUMIFS(Data!$H$2:$H$25001,Data!$C$2:$C$25001,$A155,Data!$D$2:$D$25001,"Werken",Data!$A$2:$A$25001,"&gt;="&amp;DATE(Dashboard!$B$2,9,1)&amp;"",Data!$A$2:$A$25001,"&lt;"&amp;DATE(Dashboard!$B$2,9+1,1)&amp;""))</f>
        <v/>
      </c>
      <c r="K155" s="50">
        <f>IF($A155="","",SUMIFS(Data!$H$2:$H$25001,Data!$C$2:$C$25001,$A155,Data!$D$2:$D$25001,"Werken",Data!$A$2:$A$25001,"&gt;="&amp;DATE(Dashboard!$B$2,10,1)&amp;"",Data!$A$2:$A$25001,"&lt;"&amp;DATE(Dashboard!$B$2,10+1,1)&amp;""))</f>
        <v/>
      </c>
      <c r="L155" s="50">
        <f>IF($A155="","",SUMIFS(Data!$H$2:$H$25001,Data!$C$2:$C$25001,$A155,Data!$D$2:$D$25001,"Werken",Data!$A$2:$A$25001,"&gt;="&amp;DATE(Dashboard!$B$2,11,1)&amp;"",Data!$A$2:$A$25001,"&lt;"&amp;DATE(Dashboard!$B$2,11+1,1)&amp;""))</f>
        <v/>
      </c>
      <c r="M155" s="50">
        <f>IF($A155="","",SUMIFS(Data!$H$2:$H$25001,Data!$C$2:$C$25001,$A155,Data!$D$2:$D$25001,"Werken",Data!$A$2:$A$25001,"&gt;="&amp;DATE(Dashboard!$B$2,12,1)&amp;"",Data!$A$2:$A$25001,"&lt;"&amp;DATE(Dashboard!$B$2,12+1,1)&amp;""))</f>
        <v/>
      </c>
      <c r="N155" s="46">
        <f>IF($A155="","",SUM(B155:M155))</f>
        <v/>
      </c>
      <c r="O155" s="51" t="n"/>
      <c r="P155" s="52">
        <f>IF(OR($A155="",O155=""),"",N155*O155)</f>
        <v/>
      </c>
    </row>
    <row r="156" ht="15" customHeight="1" s="30">
      <c r="A156" s="49" t="n"/>
      <c r="B156" s="45">
        <f>IF($A156="","",SUMIFS(Data!$H$2:$H$25001,Data!$C$2:$C$25001,$A156,Data!$D$2:$D$25001,"Werken",Data!$A$2:$A$25001,"&gt;="&amp;DATE(Dashboard!$B$2,1,1)&amp;"",Data!$A$2:$A$25001,"&lt;"&amp;DATE(Dashboard!$B$2,1+1,1)&amp;""))</f>
        <v/>
      </c>
      <c r="C156" s="45">
        <f>IF($A156="","",SUMIFS(Data!$H$2:$H$25001,Data!$C$2:$C$25001,$A156,Data!$D$2:$D$25001,"Werken",Data!$A$2:$A$25001,"&gt;="&amp;DATE(Dashboard!$B$2,2,1)&amp;"",Data!$A$2:$A$25001,"&lt;"&amp;DATE(Dashboard!$B$2,2+1,1)&amp;""))</f>
        <v/>
      </c>
      <c r="D156" s="45">
        <f>IF($A156="","",SUMIFS(Data!$H$2:$H$25001,Data!$C$2:$C$25001,$A156,Data!$D$2:$D$25001,"Werken",Data!$A$2:$A$25001,"&gt;="&amp;DATE(Dashboard!$B$2,3,1)&amp;"",Data!$A$2:$A$25001,"&lt;"&amp;DATE(Dashboard!$B$2,3+1,1)&amp;""))</f>
        <v/>
      </c>
      <c r="E156" s="45">
        <f>IF($A156="","",SUMIFS(Data!$H$2:$H$25001,Data!$C$2:$C$25001,$A156,Data!$D$2:$D$25001,"Werken",Data!$A$2:$A$25001,"&gt;="&amp;DATE(Dashboard!$B$2,4,1)&amp;"",Data!$A$2:$A$25001,"&lt;"&amp;DATE(Dashboard!$B$2,4+1,1)&amp;""))</f>
        <v/>
      </c>
      <c r="F156" s="45">
        <f>IF($A156="","",SUMIFS(Data!$H$2:$H$25001,Data!$C$2:$C$25001,$A156,Data!$D$2:$D$25001,"Werken",Data!$A$2:$A$25001,"&gt;="&amp;DATE(Dashboard!$B$2,5,1)&amp;"",Data!$A$2:$A$25001,"&lt;"&amp;DATE(Dashboard!$B$2,5+1,1)&amp;""))</f>
        <v/>
      </c>
      <c r="G156" s="45">
        <f>IF($A156="","",SUMIFS(Data!$H$2:$H$25001,Data!$C$2:$C$25001,$A156,Data!$D$2:$D$25001,"Werken",Data!$A$2:$A$25001,"&gt;="&amp;DATE(Dashboard!$B$2,6,1)&amp;"",Data!$A$2:$A$25001,"&lt;"&amp;DATE(Dashboard!$B$2,6+1,1)&amp;""))</f>
        <v/>
      </c>
      <c r="H156" s="45">
        <f>IF($A156="","",SUMIFS(Data!$H$2:$H$25001,Data!$C$2:$C$25001,$A156,Data!$D$2:$D$25001,"Werken",Data!$A$2:$A$25001,"&gt;="&amp;DATE(Dashboard!$B$2,7,1)&amp;"",Data!$A$2:$A$25001,"&lt;"&amp;DATE(Dashboard!$B$2,7+1,1)&amp;""))</f>
        <v/>
      </c>
      <c r="I156" s="45">
        <f>IF($A156="","",SUMIFS(Data!$H$2:$H$25001,Data!$C$2:$C$25001,$A156,Data!$D$2:$D$25001,"Werken",Data!$A$2:$A$25001,"&gt;="&amp;DATE(Dashboard!$B$2,8,1)&amp;"",Data!$A$2:$A$25001,"&lt;"&amp;DATE(Dashboard!$B$2,8+1,1)&amp;""))</f>
        <v/>
      </c>
      <c r="J156" s="45">
        <f>IF($A156="","",SUMIFS(Data!$H$2:$H$25001,Data!$C$2:$C$25001,$A156,Data!$D$2:$D$25001,"Werken",Data!$A$2:$A$25001,"&gt;="&amp;DATE(Dashboard!$B$2,9,1)&amp;"",Data!$A$2:$A$25001,"&lt;"&amp;DATE(Dashboard!$B$2,9+1,1)&amp;""))</f>
        <v/>
      </c>
      <c r="K156" s="45">
        <f>IF($A156="","",SUMIFS(Data!$H$2:$H$25001,Data!$C$2:$C$25001,$A156,Data!$D$2:$D$25001,"Werken",Data!$A$2:$A$25001,"&gt;="&amp;DATE(Dashboard!$B$2,10,1)&amp;"",Data!$A$2:$A$25001,"&lt;"&amp;DATE(Dashboard!$B$2,10+1,1)&amp;""))</f>
        <v/>
      </c>
      <c r="L156" s="45">
        <f>IF($A156="","",SUMIFS(Data!$H$2:$H$25001,Data!$C$2:$C$25001,$A156,Data!$D$2:$D$25001,"Werken",Data!$A$2:$A$25001,"&gt;="&amp;DATE(Dashboard!$B$2,11,1)&amp;"",Data!$A$2:$A$25001,"&lt;"&amp;DATE(Dashboard!$B$2,11+1,1)&amp;""))</f>
        <v/>
      </c>
      <c r="M156" s="45">
        <f>IF($A156="","",SUMIFS(Data!$H$2:$H$25001,Data!$C$2:$C$25001,$A156,Data!$D$2:$D$25001,"Werken",Data!$A$2:$A$25001,"&gt;="&amp;DATE(Dashboard!$B$2,12,1)&amp;"",Data!$A$2:$A$25001,"&lt;"&amp;DATE(Dashboard!$B$2,12+1,1)&amp;""))</f>
        <v/>
      </c>
      <c r="N156" s="46">
        <f>IF($A156="","",SUM(B156:M156))</f>
        <v/>
      </c>
      <c r="O156" s="51" t="n"/>
      <c r="P156" s="52">
        <f>IF(OR($A156="",O156=""),"",N156*O156)</f>
        <v/>
      </c>
    </row>
    <row r="157" ht="15" customHeight="1" s="30">
      <c r="A157" s="39" t="inlineStr">
        <is>
          <t>Totaal</t>
        </is>
      </c>
      <c r="B157" s="53">
        <f>SUM(B7:B156)</f>
        <v/>
      </c>
      <c r="C157" s="53">
        <f>SUM(C7:C156)</f>
        <v/>
      </c>
      <c r="D157" s="53">
        <f>SUM(D7:D156)</f>
        <v/>
      </c>
      <c r="E157" s="53">
        <f>SUM(E7:E156)</f>
        <v/>
      </c>
      <c r="F157" s="53">
        <f>SUM(F7:F156)</f>
        <v/>
      </c>
      <c r="G157" s="53">
        <f>SUM(G7:G156)</f>
        <v/>
      </c>
      <c r="H157" s="53">
        <f>SUM(H7:H156)</f>
        <v/>
      </c>
      <c r="I157" s="53">
        <f>SUM(I7:I156)</f>
        <v/>
      </c>
      <c r="J157" s="53">
        <f>SUM(J7:J156)</f>
        <v/>
      </c>
      <c r="K157" s="53">
        <f>SUM(K7:K156)</f>
        <v/>
      </c>
      <c r="L157" s="53">
        <f>SUM(L7:L156)</f>
        <v/>
      </c>
      <c r="M157" s="53">
        <f>SUM(M7:M156)</f>
        <v/>
      </c>
      <c r="N157" s="53">
        <f>SUM(N7:N156)</f>
        <v/>
      </c>
      <c r="P157" s="54">
        <f>SUM(P7:P156)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24" customWidth="1" style="29" min="1" max="1"/>
    <col width="8" customWidth="1" style="29" min="2" max="14"/>
    <col width="13" customWidth="1" style="29" min="15" max="17"/>
  </cols>
  <sheetData>
    <row r="1" ht="16.15" customHeight="1" s="30">
      <c r="A1" s="47" t="inlineStr">
        <is>
          <t>Geregistreerde uren per medewerker per maand</t>
        </is>
      </c>
    </row>
    <row r="2" ht="15" customHeight="1" s="30">
      <c r="A2" s="48" t="inlineStr">
        <is>
          <t>Alle segmenten samen. Rechts per jaar: factureerbaar, reistijd en het percentage factureerbaar.</t>
        </is>
      </c>
    </row>
    <row r="6" ht="23.85" customHeight="1" s="30">
      <c r="A6" s="34" t="inlineStr">
        <is>
          <t>Medewerker</t>
        </is>
      </c>
      <c r="B6" s="34" t="inlineStr">
        <is>
          <t>jan</t>
        </is>
      </c>
      <c r="C6" s="34" t="inlineStr">
        <is>
          <t>feb</t>
        </is>
      </c>
      <c r="D6" s="34" t="inlineStr">
        <is>
          <t>mrt</t>
        </is>
      </c>
      <c r="E6" s="34" t="inlineStr">
        <is>
          <t>apr</t>
        </is>
      </c>
      <c r="F6" s="34" t="inlineStr">
        <is>
          <t>mei</t>
        </is>
      </c>
      <c r="G6" s="34" t="inlineStr">
        <is>
          <t>jun</t>
        </is>
      </c>
      <c r="H6" s="34" t="inlineStr">
        <is>
          <t>jul</t>
        </is>
      </c>
      <c r="I6" s="34" t="inlineStr">
        <is>
          <t>aug</t>
        </is>
      </c>
      <c r="J6" s="34" t="inlineStr">
        <is>
          <t>sep</t>
        </is>
      </c>
      <c r="K6" s="34" t="inlineStr">
        <is>
          <t>okt</t>
        </is>
      </c>
      <c r="L6" s="34" t="inlineStr">
        <is>
          <t>nov</t>
        </is>
      </c>
      <c r="M6" s="34" t="inlineStr">
        <is>
          <t>dec</t>
        </is>
      </c>
      <c r="N6" s="34" t="inlineStr">
        <is>
          <t>Jaar</t>
        </is>
      </c>
      <c r="O6" s="34" t="inlineStr">
        <is>
          <t>wv. factureerbaar</t>
        </is>
      </c>
      <c r="P6" s="34" t="inlineStr">
        <is>
          <t>wv. reistijd</t>
        </is>
      </c>
      <c r="Q6" s="34" t="inlineStr">
        <is>
          <t>% factureerbaar</t>
        </is>
      </c>
    </row>
    <row r="7" ht="15" customHeight="1" s="30">
      <c r="A7" s="49" t="n"/>
      <c r="B7" s="50">
        <f>IF($A7="","",SUMIFS(Data!$H$2:$H$25001,Data!$B$2:$B$25001,$A7,Data!$A$2:$A$25001,"&gt;="&amp;DATE(Dashboard!$B$2,1,1)&amp;"",Data!$A$2:$A$25001,"&lt;"&amp;DATE(Dashboard!$B$2,1+1,1)&amp;""))</f>
        <v/>
      </c>
      <c r="C7" s="50">
        <f>IF($A7="","",SUMIFS(Data!$H$2:$H$25001,Data!$B$2:$B$25001,$A7,Data!$A$2:$A$25001,"&gt;="&amp;DATE(Dashboard!$B$2,2,1)&amp;"",Data!$A$2:$A$25001,"&lt;"&amp;DATE(Dashboard!$B$2,2+1,1)&amp;""))</f>
        <v/>
      </c>
      <c r="D7" s="50">
        <f>IF($A7="","",SUMIFS(Data!$H$2:$H$25001,Data!$B$2:$B$25001,$A7,Data!$A$2:$A$25001,"&gt;="&amp;DATE(Dashboard!$B$2,3,1)&amp;"",Data!$A$2:$A$25001,"&lt;"&amp;DATE(Dashboard!$B$2,3+1,1)&amp;""))</f>
        <v/>
      </c>
      <c r="E7" s="50">
        <f>IF($A7="","",SUMIFS(Data!$H$2:$H$25001,Data!$B$2:$B$25001,$A7,Data!$A$2:$A$25001,"&gt;="&amp;DATE(Dashboard!$B$2,4,1)&amp;"",Data!$A$2:$A$25001,"&lt;"&amp;DATE(Dashboard!$B$2,4+1,1)&amp;""))</f>
        <v/>
      </c>
      <c r="F7" s="50">
        <f>IF($A7="","",SUMIFS(Data!$H$2:$H$25001,Data!$B$2:$B$25001,$A7,Data!$A$2:$A$25001,"&gt;="&amp;DATE(Dashboard!$B$2,5,1)&amp;"",Data!$A$2:$A$25001,"&lt;"&amp;DATE(Dashboard!$B$2,5+1,1)&amp;""))</f>
        <v/>
      </c>
      <c r="G7" s="50">
        <f>IF($A7="","",SUMIFS(Data!$H$2:$H$25001,Data!$B$2:$B$25001,$A7,Data!$A$2:$A$25001,"&gt;="&amp;DATE(Dashboard!$B$2,6,1)&amp;"",Data!$A$2:$A$25001,"&lt;"&amp;DATE(Dashboard!$B$2,6+1,1)&amp;""))</f>
        <v/>
      </c>
      <c r="H7" s="50">
        <f>IF($A7="","",SUMIFS(Data!$H$2:$H$25001,Data!$B$2:$B$25001,$A7,Data!$A$2:$A$25001,"&gt;="&amp;DATE(Dashboard!$B$2,7,1)&amp;"",Data!$A$2:$A$25001,"&lt;"&amp;DATE(Dashboard!$B$2,7+1,1)&amp;""))</f>
        <v/>
      </c>
      <c r="I7" s="50">
        <f>IF($A7="","",SUMIFS(Data!$H$2:$H$25001,Data!$B$2:$B$25001,$A7,Data!$A$2:$A$25001,"&gt;="&amp;DATE(Dashboard!$B$2,8,1)&amp;"",Data!$A$2:$A$25001,"&lt;"&amp;DATE(Dashboard!$B$2,8+1,1)&amp;""))</f>
        <v/>
      </c>
      <c r="J7" s="50">
        <f>IF($A7="","",SUMIFS(Data!$H$2:$H$25001,Data!$B$2:$B$25001,$A7,Data!$A$2:$A$25001,"&gt;="&amp;DATE(Dashboard!$B$2,9,1)&amp;"",Data!$A$2:$A$25001,"&lt;"&amp;DATE(Dashboard!$B$2,9+1,1)&amp;""))</f>
        <v/>
      </c>
      <c r="K7" s="50">
        <f>IF($A7="","",SUMIFS(Data!$H$2:$H$25001,Data!$B$2:$B$25001,$A7,Data!$A$2:$A$25001,"&gt;="&amp;DATE(Dashboard!$B$2,10,1)&amp;"",Data!$A$2:$A$25001,"&lt;"&amp;DATE(Dashboard!$B$2,10+1,1)&amp;""))</f>
        <v/>
      </c>
      <c r="L7" s="50">
        <f>IF($A7="","",SUMIFS(Data!$H$2:$H$25001,Data!$B$2:$B$25001,$A7,Data!$A$2:$A$25001,"&gt;="&amp;DATE(Dashboard!$B$2,11,1)&amp;"",Data!$A$2:$A$25001,"&lt;"&amp;DATE(Dashboard!$B$2,11+1,1)&amp;""))</f>
        <v/>
      </c>
      <c r="M7" s="50">
        <f>IF($A7="","",SUMIFS(Data!$H$2:$H$25001,Data!$B$2:$B$25001,$A7,Data!$A$2:$A$25001,"&gt;="&amp;DATE(Dashboard!$B$2,12,1)&amp;"",Data!$A$2:$A$25001,"&lt;"&amp;DATE(Dashboard!$B$2,12+1,1)&amp;""))</f>
        <v/>
      </c>
      <c r="N7" s="46">
        <f>IF($A7="","",SUM(B7:M7))</f>
        <v/>
      </c>
      <c r="O7" s="45">
        <f>IF($A7="","",SUMIFS(Data!$H$2:$H$25001,Data!$B$2:$B$25001,$A7,Data!$D$2:$D$25001,"Werken",Data!$A$2:$A$25001,"&gt;="&amp;DATE(Dashboard!$B$2,1,1)&amp;"",Data!$A$2:$A$25001,"&lt;"&amp;DATE(Dashboard!$B$2+1,1,1)&amp;""))</f>
        <v/>
      </c>
      <c r="P7" s="45">
        <f>IF($A7="","",SUMIFS(Data!$H$2:$H$25001,Data!$B$2:$B$25001,$A7,Data!$D$2:$D$25001,"Reistijd",Data!$A$2:$A$25001,"&gt;="&amp;DATE(Dashboard!$B$2,1,1)&amp;"",Data!$A$2:$A$25001,"&lt;"&amp;DATE(Dashboard!$B$2+1,1,1)&amp;""))</f>
        <v/>
      </c>
      <c r="Q7" s="55">
        <f>IF(OR($A7="",N7=0),"",O7/N7)</f>
        <v/>
      </c>
    </row>
    <row r="8" ht="15" customHeight="1" s="30">
      <c r="A8" s="49" t="n"/>
      <c r="B8" s="45">
        <f>IF($A8="","",SUMIFS(Data!$H$2:$H$25001,Data!$B$2:$B$25001,$A8,Data!$A$2:$A$25001,"&gt;="&amp;DATE(Dashboard!$B$2,1,1)&amp;"",Data!$A$2:$A$25001,"&lt;"&amp;DATE(Dashboard!$B$2,1+1,1)&amp;""))</f>
        <v/>
      </c>
      <c r="C8" s="45">
        <f>IF($A8="","",SUMIFS(Data!$H$2:$H$25001,Data!$B$2:$B$25001,$A8,Data!$A$2:$A$25001,"&gt;="&amp;DATE(Dashboard!$B$2,2,1)&amp;"",Data!$A$2:$A$25001,"&lt;"&amp;DATE(Dashboard!$B$2,2+1,1)&amp;""))</f>
        <v/>
      </c>
      <c r="D8" s="45">
        <f>IF($A8="","",SUMIFS(Data!$H$2:$H$25001,Data!$B$2:$B$25001,$A8,Data!$A$2:$A$25001,"&gt;="&amp;DATE(Dashboard!$B$2,3,1)&amp;"",Data!$A$2:$A$25001,"&lt;"&amp;DATE(Dashboard!$B$2,3+1,1)&amp;""))</f>
        <v/>
      </c>
      <c r="E8" s="45">
        <f>IF($A8="","",SUMIFS(Data!$H$2:$H$25001,Data!$B$2:$B$25001,$A8,Data!$A$2:$A$25001,"&gt;="&amp;DATE(Dashboard!$B$2,4,1)&amp;"",Data!$A$2:$A$25001,"&lt;"&amp;DATE(Dashboard!$B$2,4+1,1)&amp;""))</f>
        <v/>
      </c>
      <c r="F8" s="45">
        <f>IF($A8="","",SUMIFS(Data!$H$2:$H$25001,Data!$B$2:$B$25001,$A8,Data!$A$2:$A$25001,"&gt;="&amp;DATE(Dashboard!$B$2,5,1)&amp;"",Data!$A$2:$A$25001,"&lt;"&amp;DATE(Dashboard!$B$2,5+1,1)&amp;""))</f>
        <v/>
      </c>
      <c r="G8" s="45">
        <f>IF($A8="","",SUMIFS(Data!$H$2:$H$25001,Data!$B$2:$B$25001,$A8,Data!$A$2:$A$25001,"&gt;="&amp;DATE(Dashboard!$B$2,6,1)&amp;"",Data!$A$2:$A$25001,"&lt;"&amp;DATE(Dashboard!$B$2,6+1,1)&amp;""))</f>
        <v/>
      </c>
      <c r="H8" s="45">
        <f>IF($A8="","",SUMIFS(Data!$H$2:$H$25001,Data!$B$2:$B$25001,$A8,Data!$A$2:$A$25001,"&gt;="&amp;DATE(Dashboard!$B$2,7,1)&amp;"",Data!$A$2:$A$25001,"&lt;"&amp;DATE(Dashboard!$B$2,7+1,1)&amp;""))</f>
        <v/>
      </c>
      <c r="I8" s="45">
        <f>IF($A8="","",SUMIFS(Data!$H$2:$H$25001,Data!$B$2:$B$25001,$A8,Data!$A$2:$A$25001,"&gt;="&amp;DATE(Dashboard!$B$2,8,1)&amp;"",Data!$A$2:$A$25001,"&lt;"&amp;DATE(Dashboard!$B$2,8+1,1)&amp;""))</f>
        <v/>
      </c>
      <c r="J8" s="45">
        <f>IF($A8="","",SUMIFS(Data!$H$2:$H$25001,Data!$B$2:$B$25001,$A8,Data!$A$2:$A$25001,"&gt;="&amp;DATE(Dashboard!$B$2,9,1)&amp;"",Data!$A$2:$A$25001,"&lt;"&amp;DATE(Dashboard!$B$2,9+1,1)&amp;""))</f>
        <v/>
      </c>
      <c r="K8" s="45">
        <f>IF($A8="","",SUMIFS(Data!$H$2:$H$25001,Data!$B$2:$B$25001,$A8,Data!$A$2:$A$25001,"&gt;="&amp;DATE(Dashboard!$B$2,10,1)&amp;"",Data!$A$2:$A$25001,"&lt;"&amp;DATE(Dashboard!$B$2,10+1,1)&amp;""))</f>
        <v/>
      </c>
      <c r="L8" s="45">
        <f>IF($A8="","",SUMIFS(Data!$H$2:$H$25001,Data!$B$2:$B$25001,$A8,Data!$A$2:$A$25001,"&gt;="&amp;DATE(Dashboard!$B$2,11,1)&amp;"",Data!$A$2:$A$25001,"&lt;"&amp;DATE(Dashboard!$B$2,11+1,1)&amp;""))</f>
        <v/>
      </c>
      <c r="M8" s="45">
        <f>IF($A8="","",SUMIFS(Data!$H$2:$H$25001,Data!$B$2:$B$25001,$A8,Data!$A$2:$A$25001,"&gt;="&amp;DATE(Dashboard!$B$2,12,1)&amp;"",Data!$A$2:$A$25001,"&lt;"&amp;DATE(Dashboard!$B$2,12+1,1)&amp;""))</f>
        <v/>
      </c>
      <c r="N8" s="46">
        <f>IF($A8="","",SUM(B8:M8))</f>
        <v/>
      </c>
      <c r="O8" s="45">
        <f>IF($A8="","",SUMIFS(Data!$H$2:$H$25001,Data!$B$2:$B$25001,$A8,Data!$D$2:$D$25001,"Werken",Data!$A$2:$A$25001,"&gt;="&amp;DATE(Dashboard!$B$2,1,1)&amp;"",Data!$A$2:$A$25001,"&lt;"&amp;DATE(Dashboard!$B$2+1,1,1)&amp;""))</f>
        <v/>
      </c>
      <c r="P8" s="45">
        <f>IF($A8="","",SUMIFS(Data!$H$2:$H$25001,Data!$B$2:$B$25001,$A8,Data!$D$2:$D$25001,"Reistijd",Data!$A$2:$A$25001,"&gt;="&amp;DATE(Dashboard!$B$2,1,1)&amp;"",Data!$A$2:$A$25001,"&lt;"&amp;DATE(Dashboard!$B$2+1,1,1)&amp;""))</f>
        <v/>
      </c>
      <c r="Q8" s="55">
        <f>IF(OR($A8="",N8=0),"",O8/N8)</f>
        <v/>
      </c>
    </row>
    <row r="9" ht="15" customHeight="1" s="30">
      <c r="A9" s="49" t="n"/>
      <c r="B9" s="50">
        <f>IF($A9="","",SUMIFS(Data!$H$2:$H$25001,Data!$B$2:$B$25001,$A9,Data!$A$2:$A$25001,"&gt;="&amp;DATE(Dashboard!$B$2,1,1)&amp;"",Data!$A$2:$A$25001,"&lt;"&amp;DATE(Dashboard!$B$2,1+1,1)&amp;""))</f>
        <v/>
      </c>
      <c r="C9" s="50">
        <f>IF($A9="","",SUMIFS(Data!$H$2:$H$25001,Data!$B$2:$B$25001,$A9,Data!$A$2:$A$25001,"&gt;="&amp;DATE(Dashboard!$B$2,2,1)&amp;"",Data!$A$2:$A$25001,"&lt;"&amp;DATE(Dashboard!$B$2,2+1,1)&amp;""))</f>
        <v/>
      </c>
      <c r="D9" s="50">
        <f>IF($A9="","",SUMIFS(Data!$H$2:$H$25001,Data!$B$2:$B$25001,$A9,Data!$A$2:$A$25001,"&gt;="&amp;DATE(Dashboard!$B$2,3,1)&amp;"",Data!$A$2:$A$25001,"&lt;"&amp;DATE(Dashboard!$B$2,3+1,1)&amp;""))</f>
        <v/>
      </c>
      <c r="E9" s="50">
        <f>IF($A9="","",SUMIFS(Data!$H$2:$H$25001,Data!$B$2:$B$25001,$A9,Data!$A$2:$A$25001,"&gt;="&amp;DATE(Dashboard!$B$2,4,1)&amp;"",Data!$A$2:$A$25001,"&lt;"&amp;DATE(Dashboard!$B$2,4+1,1)&amp;""))</f>
        <v/>
      </c>
      <c r="F9" s="50">
        <f>IF($A9="","",SUMIFS(Data!$H$2:$H$25001,Data!$B$2:$B$25001,$A9,Data!$A$2:$A$25001,"&gt;="&amp;DATE(Dashboard!$B$2,5,1)&amp;"",Data!$A$2:$A$25001,"&lt;"&amp;DATE(Dashboard!$B$2,5+1,1)&amp;""))</f>
        <v/>
      </c>
      <c r="G9" s="50">
        <f>IF($A9="","",SUMIFS(Data!$H$2:$H$25001,Data!$B$2:$B$25001,$A9,Data!$A$2:$A$25001,"&gt;="&amp;DATE(Dashboard!$B$2,6,1)&amp;"",Data!$A$2:$A$25001,"&lt;"&amp;DATE(Dashboard!$B$2,6+1,1)&amp;""))</f>
        <v/>
      </c>
      <c r="H9" s="50">
        <f>IF($A9="","",SUMIFS(Data!$H$2:$H$25001,Data!$B$2:$B$25001,$A9,Data!$A$2:$A$25001,"&gt;="&amp;DATE(Dashboard!$B$2,7,1)&amp;"",Data!$A$2:$A$25001,"&lt;"&amp;DATE(Dashboard!$B$2,7+1,1)&amp;""))</f>
        <v/>
      </c>
      <c r="I9" s="50">
        <f>IF($A9="","",SUMIFS(Data!$H$2:$H$25001,Data!$B$2:$B$25001,$A9,Data!$A$2:$A$25001,"&gt;="&amp;DATE(Dashboard!$B$2,8,1)&amp;"",Data!$A$2:$A$25001,"&lt;"&amp;DATE(Dashboard!$B$2,8+1,1)&amp;""))</f>
        <v/>
      </c>
      <c r="J9" s="50">
        <f>IF($A9="","",SUMIFS(Data!$H$2:$H$25001,Data!$B$2:$B$25001,$A9,Data!$A$2:$A$25001,"&gt;="&amp;DATE(Dashboard!$B$2,9,1)&amp;"",Data!$A$2:$A$25001,"&lt;"&amp;DATE(Dashboard!$B$2,9+1,1)&amp;""))</f>
        <v/>
      </c>
      <c r="K9" s="50">
        <f>IF($A9="","",SUMIFS(Data!$H$2:$H$25001,Data!$B$2:$B$25001,$A9,Data!$A$2:$A$25001,"&gt;="&amp;DATE(Dashboard!$B$2,10,1)&amp;"",Data!$A$2:$A$25001,"&lt;"&amp;DATE(Dashboard!$B$2,10+1,1)&amp;""))</f>
        <v/>
      </c>
      <c r="L9" s="50">
        <f>IF($A9="","",SUMIFS(Data!$H$2:$H$25001,Data!$B$2:$B$25001,$A9,Data!$A$2:$A$25001,"&gt;="&amp;DATE(Dashboard!$B$2,11,1)&amp;"",Data!$A$2:$A$25001,"&lt;"&amp;DATE(Dashboard!$B$2,11+1,1)&amp;""))</f>
        <v/>
      </c>
      <c r="M9" s="50">
        <f>IF($A9="","",SUMIFS(Data!$H$2:$H$25001,Data!$B$2:$B$25001,$A9,Data!$A$2:$A$25001,"&gt;="&amp;DATE(Dashboard!$B$2,12,1)&amp;"",Data!$A$2:$A$25001,"&lt;"&amp;DATE(Dashboard!$B$2,12+1,1)&amp;""))</f>
        <v/>
      </c>
      <c r="N9" s="46">
        <f>IF($A9="","",SUM(B9:M9))</f>
        <v/>
      </c>
      <c r="O9" s="45">
        <f>IF($A9="","",SUMIFS(Data!$H$2:$H$25001,Data!$B$2:$B$25001,$A9,Data!$D$2:$D$25001,"Werken",Data!$A$2:$A$25001,"&gt;="&amp;DATE(Dashboard!$B$2,1,1)&amp;"",Data!$A$2:$A$25001,"&lt;"&amp;DATE(Dashboard!$B$2+1,1,1)&amp;""))</f>
        <v/>
      </c>
      <c r="P9" s="45">
        <f>IF($A9="","",SUMIFS(Data!$H$2:$H$25001,Data!$B$2:$B$25001,$A9,Data!$D$2:$D$25001,"Reistijd",Data!$A$2:$A$25001,"&gt;="&amp;DATE(Dashboard!$B$2,1,1)&amp;"",Data!$A$2:$A$25001,"&lt;"&amp;DATE(Dashboard!$B$2+1,1,1)&amp;""))</f>
        <v/>
      </c>
      <c r="Q9" s="55">
        <f>IF(OR($A9="",N9=0),"",O9/N9)</f>
        <v/>
      </c>
    </row>
    <row r="10" ht="15" customHeight="1" s="30">
      <c r="A10" s="49" t="n"/>
      <c r="B10" s="45">
        <f>IF($A10="","",SUMIFS(Data!$H$2:$H$25001,Data!$B$2:$B$25001,$A10,Data!$A$2:$A$25001,"&gt;="&amp;DATE(Dashboard!$B$2,1,1)&amp;"",Data!$A$2:$A$25001,"&lt;"&amp;DATE(Dashboard!$B$2,1+1,1)&amp;""))</f>
        <v/>
      </c>
      <c r="C10" s="45">
        <f>IF($A10="","",SUMIFS(Data!$H$2:$H$25001,Data!$B$2:$B$25001,$A10,Data!$A$2:$A$25001,"&gt;="&amp;DATE(Dashboard!$B$2,2,1)&amp;"",Data!$A$2:$A$25001,"&lt;"&amp;DATE(Dashboard!$B$2,2+1,1)&amp;""))</f>
        <v/>
      </c>
      <c r="D10" s="45">
        <f>IF($A10="","",SUMIFS(Data!$H$2:$H$25001,Data!$B$2:$B$25001,$A10,Data!$A$2:$A$25001,"&gt;="&amp;DATE(Dashboard!$B$2,3,1)&amp;"",Data!$A$2:$A$25001,"&lt;"&amp;DATE(Dashboard!$B$2,3+1,1)&amp;""))</f>
        <v/>
      </c>
      <c r="E10" s="45">
        <f>IF($A10="","",SUMIFS(Data!$H$2:$H$25001,Data!$B$2:$B$25001,$A10,Data!$A$2:$A$25001,"&gt;="&amp;DATE(Dashboard!$B$2,4,1)&amp;"",Data!$A$2:$A$25001,"&lt;"&amp;DATE(Dashboard!$B$2,4+1,1)&amp;""))</f>
        <v/>
      </c>
      <c r="F10" s="45">
        <f>IF($A10="","",SUMIFS(Data!$H$2:$H$25001,Data!$B$2:$B$25001,$A10,Data!$A$2:$A$25001,"&gt;="&amp;DATE(Dashboard!$B$2,5,1)&amp;"",Data!$A$2:$A$25001,"&lt;"&amp;DATE(Dashboard!$B$2,5+1,1)&amp;""))</f>
        <v/>
      </c>
      <c r="G10" s="45">
        <f>IF($A10="","",SUMIFS(Data!$H$2:$H$25001,Data!$B$2:$B$25001,$A10,Data!$A$2:$A$25001,"&gt;="&amp;DATE(Dashboard!$B$2,6,1)&amp;"",Data!$A$2:$A$25001,"&lt;"&amp;DATE(Dashboard!$B$2,6+1,1)&amp;""))</f>
        <v/>
      </c>
      <c r="H10" s="45">
        <f>IF($A10="","",SUMIFS(Data!$H$2:$H$25001,Data!$B$2:$B$25001,$A10,Data!$A$2:$A$25001,"&gt;="&amp;DATE(Dashboard!$B$2,7,1)&amp;"",Data!$A$2:$A$25001,"&lt;"&amp;DATE(Dashboard!$B$2,7+1,1)&amp;""))</f>
        <v/>
      </c>
      <c r="I10" s="45">
        <f>IF($A10="","",SUMIFS(Data!$H$2:$H$25001,Data!$B$2:$B$25001,$A10,Data!$A$2:$A$25001,"&gt;="&amp;DATE(Dashboard!$B$2,8,1)&amp;"",Data!$A$2:$A$25001,"&lt;"&amp;DATE(Dashboard!$B$2,8+1,1)&amp;""))</f>
        <v/>
      </c>
      <c r="J10" s="45">
        <f>IF($A10="","",SUMIFS(Data!$H$2:$H$25001,Data!$B$2:$B$25001,$A10,Data!$A$2:$A$25001,"&gt;="&amp;DATE(Dashboard!$B$2,9,1)&amp;"",Data!$A$2:$A$25001,"&lt;"&amp;DATE(Dashboard!$B$2,9+1,1)&amp;""))</f>
        <v/>
      </c>
      <c r="K10" s="45">
        <f>IF($A10="","",SUMIFS(Data!$H$2:$H$25001,Data!$B$2:$B$25001,$A10,Data!$A$2:$A$25001,"&gt;="&amp;DATE(Dashboard!$B$2,10,1)&amp;"",Data!$A$2:$A$25001,"&lt;"&amp;DATE(Dashboard!$B$2,10+1,1)&amp;""))</f>
        <v/>
      </c>
      <c r="L10" s="45">
        <f>IF($A10="","",SUMIFS(Data!$H$2:$H$25001,Data!$B$2:$B$25001,$A10,Data!$A$2:$A$25001,"&gt;="&amp;DATE(Dashboard!$B$2,11,1)&amp;"",Data!$A$2:$A$25001,"&lt;"&amp;DATE(Dashboard!$B$2,11+1,1)&amp;""))</f>
        <v/>
      </c>
      <c r="M10" s="45">
        <f>IF($A10="","",SUMIFS(Data!$H$2:$H$25001,Data!$B$2:$B$25001,$A10,Data!$A$2:$A$25001,"&gt;="&amp;DATE(Dashboard!$B$2,12,1)&amp;"",Data!$A$2:$A$25001,"&lt;"&amp;DATE(Dashboard!$B$2,12+1,1)&amp;""))</f>
        <v/>
      </c>
      <c r="N10" s="46">
        <f>IF($A10="","",SUM(B10:M10))</f>
        <v/>
      </c>
      <c r="O10" s="45">
        <f>IF($A10="","",SUMIFS(Data!$H$2:$H$25001,Data!$B$2:$B$25001,$A10,Data!$D$2:$D$25001,"Werken",Data!$A$2:$A$25001,"&gt;="&amp;DATE(Dashboard!$B$2,1,1)&amp;"",Data!$A$2:$A$25001,"&lt;"&amp;DATE(Dashboard!$B$2+1,1,1)&amp;""))</f>
        <v/>
      </c>
      <c r="P10" s="45">
        <f>IF($A10="","",SUMIFS(Data!$H$2:$H$25001,Data!$B$2:$B$25001,$A10,Data!$D$2:$D$25001,"Reistijd",Data!$A$2:$A$25001,"&gt;="&amp;DATE(Dashboard!$B$2,1,1)&amp;"",Data!$A$2:$A$25001,"&lt;"&amp;DATE(Dashboard!$B$2+1,1,1)&amp;""))</f>
        <v/>
      </c>
      <c r="Q10" s="55">
        <f>IF(OR($A10="",N10=0),"",O10/N10)</f>
        <v/>
      </c>
    </row>
    <row r="11" ht="15" customHeight="1" s="30">
      <c r="A11" s="49" t="n"/>
      <c r="B11" s="50">
        <f>IF($A11="","",SUMIFS(Data!$H$2:$H$25001,Data!$B$2:$B$25001,$A11,Data!$A$2:$A$25001,"&gt;="&amp;DATE(Dashboard!$B$2,1,1)&amp;"",Data!$A$2:$A$25001,"&lt;"&amp;DATE(Dashboard!$B$2,1+1,1)&amp;""))</f>
        <v/>
      </c>
      <c r="C11" s="50">
        <f>IF($A11="","",SUMIFS(Data!$H$2:$H$25001,Data!$B$2:$B$25001,$A11,Data!$A$2:$A$25001,"&gt;="&amp;DATE(Dashboard!$B$2,2,1)&amp;"",Data!$A$2:$A$25001,"&lt;"&amp;DATE(Dashboard!$B$2,2+1,1)&amp;""))</f>
        <v/>
      </c>
      <c r="D11" s="50">
        <f>IF($A11="","",SUMIFS(Data!$H$2:$H$25001,Data!$B$2:$B$25001,$A11,Data!$A$2:$A$25001,"&gt;="&amp;DATE(Dashboard!$B$2,3,1)&amp;"",Data!$A$2:$A$25001,"&lt;"&amp;DATE(Dashboard!$B$2,3+1,1)&amp;""))</f>
        <v/>
      </c>
      <c r="E11" s="50">
        <f>IF($A11="","",SUMIFS(Data!$H$2:$H$25001,Data!$B$2:$B$25001,$A11,Data!$A$2:$A$25001,"&gt;="&amp;DATE(Dashboard!$B$2,4,1)&amp;"",Data!$A$2:$A$25001,"&lt;"&amp;DATE(Dashboard!$B$2,4+1,1)&amp;""))</f>
        <v/>
      </c>
      <c r="F11" s="50">
        <f>IF($A11="","",SUMIFS(Data!$H$2:$H$25001,Data!$B$2:$B$25001,$A11,Data!$A$2:$A$25001,"&gt;="&amp;DATE(Dashboard!$B$2,5,1)&amp;"",Data!$A$2:$A$25001,"&lt;"&amp;DATE(Dashboard!$B$2,5+1,1)&amp;""))</f>
        <v/>
      </c>
      <c r="G11" s="50">
        <f>IF($A11="","",SUMIFS(Data!$H$2:$H$25001,Data!$B$2:$B$25001,$A11,Data!$A$2:$A$25001,"&gt;="&amp;DATE(Dashboard!$B$2,6,1)&amp;"",Data!$A$2:$A$25001,"&lt;"&amp;DATE(Dashboard!$B$2,6+1,1)&amp;""))</f>
        <v/>
      </c>
      <c r="H11" s="50">
        <f>IF($A11="","",SUMIFS(Data!$H$2:$H$25001,Data!$B$2:$B$25001,$A11,Data!$A$2:$A$25001,"&gt;="&amp;DATE(Dashboard!$B$2,7,1)&amp;"",Data!$A$2:$A$25001,"&lt;"&amp;DATE(Dashboard!$B$2,7+1,1)&amp;""))</f>
        <v/>
      </c>
      <c r="I11" s="50">
        <f>IF($A11="","",SUMIFS(Data!$H$2:$H$25001,Data!$B$2:$B$25001,$A11,Data!$A$2:$A$25001,"&gt;="&amp;DATE(Dashboard!$B$2,8,1)&amp;"",Data!$A$2:$A$25001,"&lt;"&amp;DATE(Dashboard!$B$2,8+1,1)&amp;""))</f>
        <v/>
      </c>
      <c r="J11" s="50">
        <f>IF($A11="","",SUMIFS(Data!$H$2:$H$25001,Data!$B$2:$B$25001,$A11,Data!$A$2:$A$25001,"&gt;="&amp;DATE(Dashboard!$B$2,9,1)&amp;"",Data!$A$2:$A$25001,"&lt;"&amp;DATE(Dashboard!$B$2,9+1,1)&amp;""))</f>
        <v/>
      </c>
      <c r="K11" s="50">
        <f>IF($A11="","",SUMIFS(Data!$H$2:$H$25001,Data!$B$2:$B$25001,$A11,Data!$A$2:$A$25001,"&gt;="&amp;DATE(Dashboard!$B$2,10,1)&amp;"",Data!$A$2:$A$25001,"&lt;"&amp;DATE(Dashboard!$B$2,10+1,1)&amp;""))</f>
        <v/>
      </c>
      <c r="L11" s="50">
        <f>IF($A11="","",SUMIFS(Data!$H$2:$H$25001,Data!$B$2:$B$25001,$A11,Data!$A$2:$A$25001,"&gt;="&amp;DATE(Dashboard!$B$2,11,1)&amp;"",Data!$A$2:$A$25001,"&lt;"&amp;DATE(Dashboard!$B$2,11+1,1)&amp;""))</f>
        <v/>
      </c>
      <c r="M11" s="50">
        <f>IF($A11="","",SUMIFS(Data!$H$2:$H$25001,Data!$B$2:$B$25001,$A11,Data!$A$2:$A$25001,"&gt;="&amp;DATE(Dashboard!$B$2,12,1)&amp;"",Data!$A$2:$A$25001,"&lt;"&amp;DATE(Dashboard!$B$2,12+1,1)&amp;""))</f>
        <v/>
      </c>
      <c r="N11" s="46">
        <f>IF($A11="","",SUM(B11:M11))</f>
        <v/>
      </c>
      <c r="O11" s="45">
        <f>IF($A11="","",SUMIFS(Data!$H$2:$H$25001,Data!$B$2:$B$25001,$A11,Data!$D$2:$D$25001,"Werken",Data!$A$2:$A$25001,"&gt;="&amp;DATE(Dashboard!$B$2,1,1)&amp;"",Data!$A$2:$A$25001,"&lt;"&amp;DATE(Dashboard!$B$2+1,1,1)&amp;""))</f>
        <v/>
      </c>
      <c r="P11" s="45">
        <f>IF($A11="","",SUMIFS(Data!$H$2:$H$25001,Data!$B$2:$B$25001,$A11,Data!$D$2:$D$25001,"Reistijd",Data!$A$2:$A$25001,"&gt;="&amp;DATE(Dashboard!$B$2,1,1)&amp;"",Data!$A$2:$A$25001,"&lt;"&amp;DATE(Dashboard!$B$2+1,1,1)&amp;""))</f>
        <v/>
      </c>
      <c r="Q11" s="55">
        <f>IF(OR($A11="",N11=0),"",O11/N11)</f>
        <v/>
      </c>
    </row>
    <row r="12" ht="15" customHeight="1" s="30">
      <c r="A12" s="49" t="n"/>
      <c r="B12" s="45">
        <f>IF($A12="","",SUMIFS(Data!$H$2:$H$25001,Data!$B$2:$B$25001,$A12,Data!$A$2:$A$25001,"&gt;="&amp;DATE(Dashboard!$B$2,1,1)&amp;"",Data!$A$2:$A$25001,"&lt;"&amp;DATE(Dashboard!$B$2,1+1,1)&amp;""))</f>
        <v/>
      </c>
      <c r="C12" s="45">
        <f>IF($A12="","",SUMIFS(Data!$H$2:$H$25001,Data!$B$2:$B$25001,$A12,Data!$A$2:$A$25001,"&gt;="&amp;DATE(Dashboard!$B$2,2,1)&amp;"",Data!$A$2:$A$25001,"&lt;"&amp;DATE(Dashboard!$B$2,2+1,1)&amp;""))</f>
        <v/>
      </c>
      <c r="D12" s="45">
        <f>IF($A12="","",SUMIFS(Data!$H$2:$H$25001,Data!$B$2:$B$25001,$A12,Data!$A$2:$A$25001,"&gt;="&amp;DATE(Dashboard!$B$2,3,1)&amp;"",Data!$A$2:$A$25001,"&lt;"&amp;DATE(Dashboard!$B$2,3+1,1)&amp;""))</f>
        <v/>
      </c>
      <c r="E12" s="45">
        <f>IF($A12="","",SUMIFS(Data!$H$2:$H$25001,Data!$B$2:$B$25001,$A12,Data!$A$2:$A$25001,"&gt;="&amp;DATE(Dashboard!$B$2,4,1)&amp;"",Data!$A$2:$A$25001,"&lt;"&amp;DATE(Dashboard!$B$2,4+1,1)&amp;""))</f>
        <v/>
      </c>
      <c r="F12" s="45">
        <f>IF($A12="","",SUMIFS(Data!$H$2:$H$25001,Data!$B$2:$B$25001,$A12,Data!$A$2:$A$25001,"&gt;="&amp;DATE(Dashboard!$B$2,5,1)&amp;"",Data!$A$2:$A$25001,"&lt;"&amp;DATE(Dashboard!$B$2,5+1,1)&amp;""))</f>
        <v/>
      </c>
      <c r="G12" s="45">
        <f>IF($A12="","",SUMIFS(Data!$H$2:$H$25001,Data!$B$2:$B$25001,$A12,Data!$A$2:$A$25001,"&gt;="&amp;DATE(Dashboard!$B$2,6,1)&amp;"",Data!$A$2:$A$25001,"&lt;"&amp;DATE(Dashboard!$B$2,6+1,1)&amp;""))</f>
        <v/>
      </c>
      <c r="H12" s="45">
        <f>IF($A12="","",SUMIFS(Data!$H$2:$H$25001,Data!$B$2:$B$25001,$A12,Data!$A$2:$A$25001,"&gt;="&amp;DATE(Dashboard!$B$2,7,1)&amp;"",Data!$A$2:$A$25001,"&lt;"&amp;DATE(Dashboard!$B$2,7+1,1)&amp;""))</f>
        <v/>
      </c>
      <c r="I12" s="45">
        <f>IF($A12="","",SUMIFS(Data!$H$2:$H$25001,Data!$B$2:$B$25001,$A12,Data!$A$2:$A$25001,"&gt;="&amp;DATE(Dashboard!$B$2,8,1)&amp;"",Data!$A$2:$A$25001,"&lt;"&amp;DATE(Dashboard!$B$2,8+1,1)&amp;""))</f>
        <v/>
      </c>
      <c r="J12" s="45">
        <f>IF($A12="","",SUMIFS(Data!$H$2:$H$25001,Data!$B$2:$B$25001,$A12,Data!$A$2:$A$25001,"&gt;="&amp;DATE(Dashboard!$B$2,9,1)&amp;"",Data!$A$2:$A$25001,"&lt;"&amp;DATE(Dashboard!$B$2,9+1,1)&amp;""))</f>
        <v/>
      </c>
      <c r="K12" s="45">
        <f>IF($A12="","",SUMIFS(Data!$H$2:$H$25001,Data!$B$2:$B$25001,$A12,Data!$A$2:$A$25001,"&gt;="&amp;DATE(Dashboard!$B$2,10,1)&amp;"",Data!$A$2:$A$25001,"&lt;"&amp;DATE(Dashboard!$B$2,10+1,1)&amp;""))</f>
        <v/>
      </c>
      <c r="L12" s="45">
        <f>IF($A12="","",SUMIFS(Data!$H$2:$H$25001,Data!$B$2:$B$25001,$A12,Data!$A$2:$A$25001,"&gt;="&amp;DATE(Dashboard!$B$2,11,1)&amp;"",Data!$A$2:$A$25001,"&lt;"&amp;DATE(Dashboard!$B$2,11+1,1)&amp;""))</f>
        <v/>
      </c>
      <c r="M12" s="45">
        <f>IF($A12="","",SUMIFS(Data!$H$2:$H$25001,Data!$B$2:$B$25001,$A12,Data!$A$2:$A$25001,"&gt;="&amp;DATE(Dashboard!$B$2,12,1)&amp;"",Data!$A$2:$A$25001,"&lt;"&amp;DATE(Dashboard!$B$2,12+1,1)&amp;""))</f>
        <v/>
      </c>
      <c r="N12" s="46">
        <f>IF($A12="","",SUM(B12:M12))</f>
        <v/>
      </c>
      <c r="O12" s="45">
        <f>IF($A12="","",SUMIFS(Data!$H$2:$H$25001,Data!$B$2:$B$25001,$A12,Data!$D$2:$D$25001,"Werken",Data!$A$2:$A$25001,"&gt;="&amp;DATE(Dashboard!$B$2,1,1)&amp;"",Data!$A$2:$A$25001,"&lt;"&amp;DATE(Dashboard!$B$2+1,1,1)&amp;""))</f>
        <v/>
      </c>
      <c r="P12" s="45">
        <f>IF($A12="","",SUMIFS(Data!$H$2:$H$25001,Data!$B$2:$B$25001,$A12,Data!$D$2:$D$25001,"Reistijd",Data!$A$2:$A$25001,"&gt;="&amp;DATE(Dashboard!$B$2,1,1)&amp;"",Data!$A$2:$A$25001,"&lt;"&amp;DATE(Dashboard!$B$2+1,1,1)&amp;""))</f>
        <v/>
      </c>
      <c r="Q12" s="55">
        <f>IF(OR($A12="",N12=0),"",O12/N12)</f>
        <v/>
      </c>
    </row>
    <row r="13" ht="15" customHeight="1" s="30">
      <c r="A13" s="49" t="n"/>
      <c r="B13" s="50">
        <f>IF($A13="","",SUMIFS(Data!$H$2:$H$25001,Data!$B$2:$B$25001,$A13,Data!$A$2:$A$25001,"&gt;="&amp;DATE(Dashboard!$B$2,1,1)&amp;"",Data!$A$2:$A$25001,"&lt;"&amp;DATE(Dashboard!$B$2,1+1,1)&amp;""))</f>
        <v/>
      </c>
      <c r="C13" s="50">
        <f>IF($A13="","",SUMIFS(Data!$H$2:$H$25001,Data!$B$2:$B$25001,$A13,Data!$A$2:$A$25001,"&gt;="&amp;DATE(Dashboard!$B$2,2,1)&amp;"",Data!$A$2:$A$25001,"&lt;"&amp;DATE(Dashboard!$B$2,2+1,1)&amp;""))</f>
        <v/>
      </c>
      <c r="D13" s="50">
        <f>IF($A13="","",SUMIFS(Data!$H$2:$H$25001,Data!$B$2:$B$25001,$A13,Data!$A$2:$A$25001,"&gt;="&amp;DATE(Dashboard!$B$2,3,1)&amp;"",Data!$A$2:$A$25001,"&lt;"&amp;DATE(Dashboard!$B$2,3+1,1)&amp;""))</f>
        <v/>
      </c>
      <c r="E13" s="50">
        <f>IF($A13="","",SUMIFS(Data!$H$2:$H$25001,Data!$B$2:$B$25001,$A13,Data!$A$2:$A$25001,"&gt;="&amp;DATE(Dashboard!$B$2,4,1)&amp;"",Data!$A$2:$A$25001,"&lt;"&amp;DATE(Dashboard!$B$2,4+1,1)&amp;""))</f>
        <v/>
      </c>
      <c r="F13" s="50">
        <f>IF($A13="","",SUMIFS(Data!$H$2:$H$25001,Data!$B$2:$B$25001,$A13,Data!$A$2:$A$25001,"&gt;="&amp;DATE(Dashboard!$B$2,5,1)&amp;"",Data!$A$2:$A$25001,"&lt;"&amp;DATE(Dashboard!$B$2,5+1,1)&amp;""))</f>
        <v/>
      </c>
      <c r="G13" s="50">
        <f>IF($A13="","",SUMIFS(Data!$H$2:$H$25001,Data!$B$2:$B$25001,$A13,Data!$A$2:$A$25001,"&gt;="&amp;DATE(Dashboard!$B$2,6,1)&amp;"",Data!$A$2:$A$25001,"&lt;"&amp;DATE(Dashboard!$B$2,6+1,1)&amp;""))</f>
        <v/>
      </c>
      <c r="H13" s="50">
        <f>IF($A13="","",SUMIFS(Data!$H$2:$H$25001,Data!$B$2:$B$25001,$A13,Data!$A$2:$A$25001,"&gt;="&amp;DATE(Dashboard!$B$2,7,1)&amp;"",Data!$A$2:$A$25001,"&lt;"&amp;DATE(Dashboard!$B$2,7+1,1)&amp;""))</f>
        <v/>
      </c>
      <c r="I13" s="50">
        <f>IF($A13="","",SUMIFS(Data!$H$2:$H$25001,Data!$B$2:$B$25001,$A13,Data!$A$2:$A$25001,"&gt;="&amp;DATE(Dashboard!$B$2,8,1)&amp;"",Data!$A$2:$A$25001,"&lt;"&amp;DATE(Dashboard!$B$2,8+1,1)&amp;""))</f>
        <v/>
      </c>
      <c r="J13" s="50">
        <f>IF($A13="","",SUMIFS(Data!$H$2:$H$25001,Data!$B$2:$B$25001,$A13,Data!$A$2:$A$25001,"&gt;="&amp;DATE(Dashboard!$B$2,9,1)&amp;"",Data!$A$2:$A$25001,"&lt;"&amp;DATE(Dashboard!$B$2,9+1,1)&amp;""))</f>
        <v/>
      </c>
      <c r="K13" s="50">
        <f>IF($A13="","",SUMIFS(Data!$H$2:$H$25001,Data!$B$2:$B$25001,$A13,Data!$A$2:$A$25001,"&gt;="&amp;DATE(Dashboard!$B$2,10,1)&amp;"",Data!$A$2:$A$25001,"&lt;"&amp;DATE(Dashboard!$B$2,10+1,1)&amp;""))</f>
        <v/>
      </c>
      <c r="L13" s="50">
        <f>IF($A13="","",SUMIFS(Data!$H$2:$H$25001,Data!$B$2:$B$25001,$A13,Data!$A$2:$A$25001,"&gt;="&amp;DATE(Dashboard!$B$2,11,1)&amp;"",Data!$A$2:$A$25001,"&lt;"&amp;DATE(Dashboard!$B$2,11+1,1)&amp;""))</f>
        <v/>
      </c>
      <c r="M13" s="50">
        <f>IF($A13="","",SUMIFS(Data!$H$2:$H$25001,Data!$B$2:$B$25001,$A13,Data!$A$2:$A$25001,"&gt;="&amp;DATE(Dashboard!$B$2,12,1)&amp;"",Data!$A$2:$A$25001,"&lt;"&amp;DATE(Dashboard!$B$2,12+1,1)&amp;""))</f>
        <v/>
      </c>
      <c r="N13" s="46">
        <f>IF($A13="","",SUM(B13:M13))</f>
        <v/>
      </c>
      <c r="O13" s="45">
        <f>IF($A13="","",SUMIFS(Data!$H$2:$H$25001,Data!$B$2:$B$25001,$A13,Data!$D$2:$D$25001,"Werken",Data!$A$2:$A$25001,"&gt;="&amp;DATE(Dashboard!$B$2,1,1)&amp;"",Data!$A$2:$A$25001,"&lt;"&amp;DATE(Dashboard!$B$2+1,1,1)&amp;""))</f>
        <v/>
      </c>
      <c r="P13" s="45">
        <f>IF($A13="","",SUMIFS(Data!$H$2:$H$25001,Data!$B$2:$B$25001,$A13,Data!$D$2:$D$25001,"Reistijd",Data!$A$2:$A$25001,"&gt;="&amp;DATE(Dashboard!$B$2,1,1)&amp;"",Data!$A$2:$A$25001,"&lt;"&amp;DATE(Dashboard!$B$2+1,1,1)&amp;""))</f>
        <v/>
      </c>
      <c r="Q13" s="55">
        <f>IF(OR($A13="",N13=0),"",O13/N13)</f>
        <v/>
      </c>
    </row>
    <row r="14" ht="15" customHeight="1" s="30">
      <c r="A14" s="49" t="n"/>
      <c r="B14" s="45">
        <f>IF($A14="","",SUMIFS(Data!$H$2:$H$25001,Data!$B$2:$B$25001,$A14,Data!$A$2:$A$25001,"&gt;="&amp;DATE(Dashboard!$B$2,1,1)&amp;"",Data!$A$2:$A$25001,"&lt;"&amp;DATE(Dashboard!$B$2,1+1,1)&amp;""))</f>
        <v/>
      </c>
      <c r="C14" s="45">
        <f>IF($A14="","",SUMIFS(Data!$H$2:$H$25001,Data!$B$2:$B$25001,$A14,Data!$A$2:$A$25001,"&gt;="&amp;DATE(Dashboard!$B$2,2,1)&amp;"",Data!$A$2:$A$25001,"&lt;"&amp;DATE(Dashboard!$B$2,2+1,1)&amp;""))</f>
        <v/>
      </c>
      <c r="D14" s="45">
        <f>IF($A14="","",SUMIFS(Data!$H$2:$H$25001,Data!$B$2:$B$25001,$A14,Data!$A$2:$A$25001,"&gt;="&amp;DATE(Dashboard!$B$2,3,1)&amp;"",Data!$A$2:$A$25001,"&lt;"&amp;DATE(Dashboard!$B$2,3+1,1)&amp;""))</f>
        <v/>
      </c>
      <c r="E14" s="45">
        <f>IF($A14="","",SUMIFS(Data!$H$2:$H$25001,Data!$B$2:$B$25001,$A14,Data!$A$2:$A$25001,"&gt;="&amp;DATE(Dashboard!$B$2,4,1)&amp;"",Data!$A$2:$A$25001,"&lt;"&amp;DATE(Dashboard!$B$2,4+1,1)&amp;""))</f>
        <v/>
      </c>
      <c r="F14" s="45">
        <f>IF($A14="","",SUMIFS(Data!$H$2:$H$25001,Data!$B$2:$B$25001,$A14,Data!$A$2:$A$25001,"&gt;="&amp;DATE(Dashboard!$B$2,5,1)&amp;"",Data!$A$2:$A$25001,"&lt;"&amp;DATE(Dashboard!$B$2,5+1,1)&amp;""))</f>
        <v/>
      </c>
      <c r="G14" s="45">
        <f>IF($A14="","",SUMIFS(Data!$H$2:$H$25001,Data!$B$2:$B$25001,$A14,Data!$A$2:$A$25001,"&gt;="&amp;DATE(Dashboard!$B$2,6,1)&amp;"",Data!$A$2:$A$25001,"&lt;"&amp;DATE(Dashboard!$B$2,6+1,1)&amp;""))</f>
        <v/>
      </c>
      <c r="H14" s="45">
        <f>IF($A14="","",SUMIFS(Data!$H$2:$H$25001,Data!$B$2:$B$25001,$A14,Data!$A$2:$A$25001,"&gt;="&amp;DATE(Dashboard!$B$2,7,1)&amp;"",Data!$A$2:$A$25001,"&lt;"&amp;DATE(Dashboard!$B$2,7+1,1)&amp;""))</f>
        <v/>
      </c>
      <c r="I14" s="45">
        <f>IF($A14="","",SUMIFS(Data!$H$2:$H$25001,Data!$B$2:$B$25001,$A14,Data!$A$2:$A$25001,"&gt;="&amp;DATE(Dashboard!$B$2,8,1)&amp;"",Data!$A$2:$A$25001,"&lt;"&amp;DATE(Dashboard!$B$2,8+1,1)&amp;""))</f>
        <v/>
      </c>
      <c r="J14" s="45">
        <f>IF($A14="","",SUMIFS(Data!$H$2:$H$25001,Data!$B$2:$B$25001,$A14,Data!$A$2:$A$25001,"&gt;="&amp;DATE(Dashboard!$B$2,9,1)&amp;"",Data!$A$2:$A$25001,"&lt;"&amp;DATE(Dashboard!$B$2,9+1,1)&amp;""))</f>
        <v/>
      </c>
      <c r="K14" s="45">
        <f>IF($A14="","",SUMIFS(Data!$H$2:$H$25001,Data!$B$2:$B$25001,$A14,Data!$A$2:$A$25001,"&gt;="&amp;DATE(Dashboard!$B$2,10,1)&amp;"",Data!$A$2:$A$25001,"&lt;"&amp;DATE(Dashboard!$B$2,10+1,1)&amp;""))</f>
        <v/>
      </c>
      <c r="L14" s="45">
        <f>IF($A14="","",SUMIFS(Data!$H$2:$H$25001,Data!$B$2:$B$25001,$A14,Data!$A$2:$A$25001,"&gt;="&amp;DATE(Dashboard!$B$2,11,1)&amp;"",Data!$A$2:$A$25001,"&lt;"&amp;DATE(Dashboard!$B$2,11+1,1)&amp;""))</f>
        <v/>
      </c>
      <c r="M14" s="45">
        <f>IF($A14="","",SUMIFS(Data!$H$2:$H$25001,Data!$B$2:$B$25001,$A14,Data!$A$2:$A$25001,"&gt;="&amp;DATE(Dashboard!$B$2,12,1)&amp;"",Data!$A$2:$A$25001,"&lt;"&amp;DATE(Dashboard!$B$2,12+1,1)&amp;""))</f>
        <v/>
      </c>
      <c r="N14" s="46">
        <f>IF($A14="","",SUM(B14:M14))</f>
        <v/>
      </c>
      <c r="O14" s="45">
        <f>IF($A14="","",SUMIFS(Data!$H$2:$H$25001,Data!$B$2:$B$25001,$A14,Data!$D$2:$D$25001,"Werken",Data!$A$2:$A$25001,"&gt;="&amp;DATE(Dashboard!$B$2,1,1)&amp;"",Data!$A$2:$A$25001,"&lt;"&amp;DATE(Dashboard!$B$2+1,1,1)&amp;""))</f>
        <v/>
      </c>
      <c r="P14" s="45">
        <f>IF($A14="","",SUMIFS(Data!$H$2:$H$25001,Data!$B$2:$B$25001,$A14,Data!$D$2:$D$25001,"Reistijd",Data!$A$2:$A$25001,"&gt;="&amp;DATE(Dashboard!$B$2,1,1)&amp;"",Data!$A$2:$A$25001,"&lt;"&amp;DATE(Dashboard!$B$2+1,1,1)&amp;""))</f>
        <v/>
      </c>
      <c r="Q14" s="55">
        <f>IF(OR($A14="",N14=0),"",O14/N14)</f>
        <v/>
      </c>
    </row>
    <row r="15" ht="15" customHeight="1" s="30">
      <c r="A15" s="49" t="n"/>
      <c r="B15" s="50">
        <f>IF($A15="","",SUMIFS(Data!$H$2:$H$25001,Data!$B$2:$B$25001,$A15,Data!$A$2:$A$25001,"&gt;="&amp;DATE(Dashboard!$B$2,1,1)&amp;"",Data!$A$2:$A$25001,"&lt;"&amp;DATE(Dashboard!$B$2,1+1,1)&amp;""))</f>
        <v/>
      </c>
      <c r="C15" s="50">
        <f>IF($A15="","",SUMIFS(Data!$H$2:$H$25001,Data!$B$2:$B$25001,$A15,Data!$A$2:$A$25001,"&gt;="&amp;DATE(Dashboard!$B$2,2,1)&amp;"",Data!$A$2:$A$25001,"&lt;"&amp;DATE(Dashboard!$B$2,2+1,1)&amp;""))</f>
        <v/>
      </c>
      <c r="D15" s="50">
        <f>IF($A15="","",SUMIFS(Data!$H$2:$H$25001,Data!$B$2:$B$25001,$A15,Data!$A$2:$A$25001,"&gt;="&amp;DATE(Dashboard!$B$2,3,1)&amp;"",Data!$A$2:$A$25001,"&lt;"&amp;DATE(Dashboard!$B$2,3+1,1)&amp;""))</f>
        <v/>
      </c>
      <c r="E15" s="50">
        <f>IF($A15="","",SUMIFS(Data!$H$2:$H$25001,Data!$B$2:$B$25001,$A15,Data!$A$2:$A$25001,"&gt;="&amp;DATE(Dashboard!$B$2,4,1)&amp;"",Data!$A$2:$A$25001,"&lt;"&amp;DATE(Dashboard!$B$2,4+1,1)&amp;""))</f>
        <v/>
      </c>
      <c r="F15" s="50">
        <f>IF($A15="","",SUMIFS(Data!$H$2:$H$25001,Data!$B$2:$B$25001,$A15,Data!$A$2:$A$25001,"&gt;="&amp;DATE(Dashboard!$B$2,5,1)&amp;"",Data!$A$2:$A$25001,"&lt;"&amp;DATE(Dashboard!$B$2,5+1,1)&amp;""))</f>
        <v/>
      </c>
      <c r="G15" s="50">
        <f>IF($A15="","",SUMIFS(Data!$H$2:$H$25001,Data!$B$2:$B$25001,$A15,Data!$A$2:$A$25001,"&gt;="&amp;DATE(Dashboard!$B$2,6,1)&amp;"",Data!$A$2:$A$25001,"&lt;"&amp;DATE(Dashboard!$B$2,6+1,1)&amp;""))</f>
        <v/>
      </c>
      <c r="H15" s="50">
        <f>IF($A15="","",SUMIFS(Data!$H$2:$H$25001,Data!$B$2:$B$25001,$A15,Data!$A$2:$A$25001,"&gt;="&amp;DATE(Dashboard!$B$2,7,1)&amp;"",Data!$A$2:$A$25001,"&lt;"&amp;DATE(Dashboard!$B$2,7+1,1)&amp;""))</f>
        <v/>
      </c>
      <c r="I15" s="50">
        <f>IF($A15="","",SUMIFS(Data!$H$2:$H$25001,Data!$B$2:$B$25001,$A15,Data!$A$2:$A$25001,"&gt;="&amp;DATE(Dashboard!$B$2,8,1)&amp;"",Data!$A$2:$A$25001,"&lt;"&amp;DATE(Dashboard!$B$2,8+1,1)&amp;""))</f>
        <v/>
      </c>
      <c r="J15" s="50">
        <f>IF($A15="","",SUMIFS(Data!$H$2:$H$25001,Data!$B$2:$B$25001,$A15,Data!$A$2:$A$25001,"&gt;="&amp;DATE(Dashboard!$B$2,9,1)&amp;"",Data!$A$2:$A$25001,"&lt;"&amp;DATE(Dashboard!$B$2,9+1,1)&amp;""))</f>
        <v/>
      </c>
      <c r="K15" s="50">
        <f>IF($A15="","",SUMIFS(Data!$H$2:$H$25001,Data!$B$2:$B$25001,$A15,Data!$A$2:$A$25001,"&gt;="&amp;DATE(Dashboard!$B$2,10,1)&amp;"",Data!$A$2:$A$25001,"&lt;"&amp;DATE(Dashboard!$B$2,10+1,1)&amp;""))</f>
        <v/>
      </c>
      <c r="L15" s="50">
        <f>IF($A15="","",SUMIFS(Data!$H$2:$H$25001,Data!$B$2:$B$25001,$A15,Data!$A$2:$A$25001,"&gt;="&amp;DATE(Dashboard!$B$2,11,1)&amp;"",Data!$A$2:$A$25001,"&lt;"&amp;DATE(Dashboard!$B$2,11+1,1)&amp;""))</f>
        <v/>
      </c>
      <c r="M15" s="50">
        <f>IF($A15="","",SUMIFS(Data!$H$2:$H$25001,Data!$B$2:$B$25001,$A15,Data!$A$2:$A$25001,"&gt;="&amp;DATE(Dashboard!$B$2,12,1)&amp;"",Data!$A$2:$A$25001,"&lt;"&amp;DATE(Dashboard!$B$2,12+1,1)&amp;""))</f>
        <v/>
      </c>
      <c r="N15" s="46">
        <f>IF($A15="","",SUM(B15:M15))</f>
        <v/>
      </c>
      <c r="O15" s="45">
        <f>IF($A15="","",SUMIFS(Data!$H$2:$H$25001,Data!$B$2:$B$25001,$A15,Data!$D$2:$D$25001,"Werken",Data!$A$2:$A$25001,"&gt;="&amp;DATE(Dashboard!$B$2,1,1)&amp;"",Data!$A$2:$A$25001,"&lt;"&amp;DATE(Dashboard!$B$2+1,1,1)&amp;""))</f>
        <v/>
      </c>
      <c r="P15" s="45">
        <f>IF($A15="","",SUMIFS(Data!$H$2:$H$25001,Data!$B$2:$B$25001,$A15,Data!$D$2:$D$25001,"Reistijd",Data!$A$2:$A$25001,"&gt;="&amp;DATE(Dashboard!$B$2,1,1)&amp;"",Data!$A$2:$A$25001,"&lt;"&amp;DATE(Dashboard!$B$2+1,1,1)&amp;""))</f>
        <v/>
      </c>
      <c r="Q15" s="55">
        <f>IF(OR($A15="",N15=0),"",O15/N15)</f>
        <v/>
      </c>
    </row>
    <row r="16" ht="15" customHeight="1" s="30">
      <c r="A16" s="49" t="n"/>
      <c r="B16" s="45">
        <f>IF($A16="","",SUMIFS(Data!$H$2:$H$25001,Data!$B$2:$B$25001,$A16,Data!$A$2:$A$25001,"&gt;="&amp;DATE(Dashboard!$B$2,1,1)&amp;"",Data!$A$2:$A$25001,"&lt;"&amp;DATE(Dashboard!$B$2,1+1,1)&amp;""))</f>
        <v/>
      </c>
      <c r="C16" s="45">
        <f>IF($A16="","",SUMIFS(Data!$H$2:$H$25001,Data!$B$2:$B$25001,$A16,Data!$A$2:$A$25001,"&gt;="&amp;DATE(Dashboard!$B$2,2,1)&amp;"",Data!$A$2:$A$25001,"&lt;"&amp;DATE(Dashboard!$B$2,2+1,1)&amp;""))</f>
        <v/>
      </c>
      <c r="D16" s="45">
        <f>IF($A16="","",SUMIFS(Data!$H$2:$H$25001,Data!$B$2:$B$25001,$A16,Data!$A$2:$A$25001,"&gt;="&amp;DATE(Dashboard!$B$2,3,1)&amp;"",Data!$A$2:$A$25001,"&lt;"&amp;DATE(Dashboard!$B$2,3+1,1)&amp;""))</f>
        <v/>
      </c>
      <c r="E16" s="45">
        <f>IF($A16="","",SUMIFS(Data!$H$2:$H$25001,Data!$B$2:$B$25001,$A16,Data!$A$2:$A$25001,"&gt;="&amp;DATE(Dashboard!$B$2,4,1)&amp;"",Data!$A$2:$A$25001,"&lt;"&amp;DATE(Dashboard!$B$2,4+1,1)&amp;""))</f>
        <v/>
      </c>
      <c r="F16" s="45">
        <f>IF($A16="","",SUMIFS(Data!$H$2:$H$25001,Data!$B$2:$B$25001,$A16,Data!$A$2:$A$25001,"&gt;="&amp;DATE(Dashboard!$B$2,5,1)&amp;"",Data!$A$2:$A$25001,"&lt;"&amp;DATE(Dashboard!$B$2,5+1,1)&amp;""))</f>
        <v/>
      </c>
      <c r="G16" s="45">
        <f>IF($A16="","",SUMIFS(Data!$H$2:$H$25001,Data!$B$2:$B$25001,$A16,Data!$A$2:$A$25001,"&gt;="&amp;DATE(Dashboard!$B$2,6,1)&amp;"",Data!$A$2:$A$25001,"&lt;"&amp;DATE(Dashboard!$B$2,6+1,1)&amp;""))</f>
        <v/>
      </c>
      <c r="H16" s="45">
        <f>IF($A16="","",SUMIFS(Data!$H$2:$H$25001,Data!$B$2:$B$25001,$A16,Data!$A$2:$A$25001,"&gt;="&amp;DATE(Dashboard!$B$2,7,1)&amp;"",Data!$A$2:$A$25001,"&lt;"&amp;DATE(Dashboard!$B$2,7+1,1)&amp;""))</f>
        <v/>
      </c>
      <c r="I16" s="45">
        <f>IF($A16="","",SUMIFS(Data!$H$2:$H$25001,Data!$B$2:$B$25001,$A16,Data!$A$2:$A$25001,"&gt;="&amp;DATE(Dashboard!$B$2,8,1)&amp;"",Data!$A$2:$A$25001,"&lt;"&amp;DATE(Dashboard!$B$2,8+1,1)&amp;""))</f>
        <v/>
      </c>
      <c r="J16" s="45">
        <f>IF($A16="","",SUMIFS(Data!$H$2:$H$25001,Data!$B$2:$B$25001,$A16,Data!$A$2:$A$25001,"&gt;="&amp;DATE(Dashboard!$B$2,9,1)&amp;"",Data!$A$2:$A$25001,"&lt;"&amp;DATE(Dashboard!$B$2,9+1,1)&amp;""))</f>
        <v/>
      </c>
      <c r="K16" s="45">
        <f>IF($A16="","",SUMIFS(Data!$H$2:$H$25001,Data!$B$2:$B$25001,$A16,Data!$A$2:$A$25001,"&gt;="&amp;DATE(Dashboard!$B$2,10,1)&amp;"",Data!$A$2:$A$25001,"&lt;"&amp;DATE(Dashboard!$B$2,10+1,1)&amp;""))</f>
        <v/>
      </c>
      <c r="L16" s="45">
        <f>IF($A16="","",SUMIFS(Data!$H$2:$H$25001,Data!$B$2:$B$25001,$A16,Data!$A$2:$A$25001,"&gt;="&amp;DATE(Dashboard!$B$2,11,1)&amp;"",Data!$A$2:$A$25001,"&lt;"&amp;DATE(Dashboard!$B$2,11+1,1)&amp;""))</f>
        <v/>
      </c>
      <c r="M16" s="45">
        <f>IF($A16="","",SUMIFS(Data!$H$2:$H$25001,Data!$B$2:$B$25001,$A16,Data!$A$2:$A$25001,"&gt;="&amp;DATE(Dashboard!$B$2,12,1)&amp;"",Data!$A$2:$A$25001,"&lt;"&amp;DATE(Dashboard!$B$2,12+1,1)&amp;""))</f>
        <v/>
      </c>
      <c r="N16" s="46">
        <f>IF($A16="","",SUM(B16:M16))</f>
        <v/>
      </c>
      <c r="O16" s="45">
        <f>IF($A16="","",SUMIFS(Data!$H$2:$H$25001,Data!$B$2:$B$25001,$A16,Data!$D$2:$D$25001,"Werken",Data!$A$2:$A$25001,"&gt;="&amp;DATE(Dashboard!$B$2,1,1)&amp;"",Data!$A$2:$A$25001,"&lt;"&amp;DATE(Dashboard!$B$2+1,1,1)&amp;""))</f>
        <v/>
      </c>
      <c r="P16" s="45">
        <f>IF($A16="","",SUMIFS(Data!$H$2:$H$25001,Data!$B$2:$B$25001,$A16,Data!$D$2:$D$25001,"Reistijd",Data!$A$2:$A$25001,"&gt;="&amp;DATE(Dashboard!$B$2,1,1)&amp;"",Data!$A$2:$A$25001,"&lt;"&amp;DATE(Dashboard!$B$2+1,1,1)&amp;""))</f>
        <v/>
      </c>
      <c r="Q16" s="55">
        <f>IF(OR($A16="",N16=0),"",O16/N16)</f>
        <v/>
      </c>
    </row>
    <row r="17" ht="15" customHeight="1" s="30">
      <c r="A17" s="49" t="n"/>
      <c r="B17" s="50">
        <f>IF($A17="","",SUMIFS(Data!$H$2:$H$25001,Data!$B$2:$B$25001,$A17,Data!$A$2:$A$25001,"&gt;="&amp;DATE(Dashboard!$B$2,1,1)&amp;"",Data!$A$2:$A$25001,"&lt;"&amp;DATE(Dashboard!$B$2,1+1,1)&amp;""))</f>
        <v/>
      </c>
      <c r="C17" s="50">
        <f>IF($A17="","",SUMIFS(Data!$H$2:$H$25001,Data!$B$2:$B$25001,$A17,Data!$A$2:$A$25001,"&gt;="&amp;DATE(Dashboard!$B$2,2,1)&amp;"",Data!$A$2:$A$25001,"&lt;"&amp;DATE(Dashboard!$B$2,2+1,1)&amp;""))</f>
        <v/>
      </c>
      <c r="D17" s="50">
        <f>IF($A17="","",SUMIFS(Data!$H$2:$H$25001,Data!$B$2:$B$25001,$A17,Data!$A$2:$A$25001,"&gt;="&amp;DATE(Dashboard!$B$2,3,1)&amp;"",Data!$A$2:$A$25001,"&lt;"&amp;DATE(Dashboard!$B$2,3+1,1)&amp;""))</f>
        <v/>
      </c>
      <c r="E17" s="50">
        <f>IF($A17="","",SUMIFS(Data!$H$2:$H$25001,Data!$B$2:$B$25001,$A17,Data!$A$2:$A$25001,"&gt;="&amp;DATE(Dashboard!$B$2,4,1)&amp;"",Data!$A$2:$A$25001,"&lt;"&amp;DATE(Dashboard!$B$2,4+1,1)&amp;""))</f>
        <v/>
      </c>
      <c r="F17" s="50">
        <f>IF($A17="","",SUMIFS(Data!$H$2:$H$25001,Data!$B$2:$B$25001,$A17,Data!$A$2:$A$25001,"&gt;="&amp;DATE(Dashboard!$B$2,5,1)&amp;"",Data!$A$2:$A$25001,"&lt;"&amp;DATE(Dashboard!$B$2,5+1,1)&amp;""))</f>
        <v/>
      </c>
      <c r="G17" s="50">
        <f>IF($A17="","",SUMIFS(Data!$H$2:$H$25001,Data!$B$2:$B$25001,$A17,Data!$A$2:$A$25001,"&gt;="&amp;DATE(Dashboard!$B$2,6,1)&amp;"",Data!$A$2:$A$25001,"&lt;"&amp;DATE(Dashboard!$B$2,6+1,1)&amp;""))</f>
        <v/>
      </c>
      <c r="H17" s="50">
        <f>IF($A17="","",SUMIFS(Data!$H$2:$H$25001,Data!$B$2:$B$25001,$A17,Data!$A$2:$A$25001,"&gt;="&amp;DATE(Dashboard!$B$2,7,1)&amp;"",Data!$A$2:$A$25001,"&lt;"&amp;DATE(Dashboard!$B$2,7+1,1)&amp;""))</f>
        <v/>
      </c>
      <c r="I17" s="50">
        <f>IF($A17="","",SUMIFS(Data!$H$2:$H$25001,Data!$B$2:$B$25001,$A17,Data!$A$2:$A$25001,"&gt;="&amp;DATE(Dashboard!$B$2,8,1)&amp;"",Data!$A$2:$A$25001,"&lt;"&amp;DATE(Dashboard!$B$2,8+1,1)&amp;""))</f>
        <v/>
      </c>
      <c r="J17" s="50">
        <f>IF($A17="","",SUMIFS(Data!$H$2:$H$25001,Data!$B$2:$B$25001,$A17,Data!$A$2:$A$25001,"&gt;="&amp;DATE(Dashboard!$B$2,9,1)&amp;"",Data!$A$2:$A$25001,"&lt;"&amp;DATE(Dashboard!$B$2,9+1,1)&amp;""))</f>
        <v/>
      </c>
      <c r="K17" s="50">
        <f>IF($A17="","",SUMIFS(Data!$H$2:$H$25001,Data!$B$2:$B$25001,$A17,Data!$A$2:$A$25001,"&gt;="&amp;DATE(Dashboard!$B$2,10,1)&amp;"",Data!$A$2:$A$25001,"&lt;"&amp;DATE(Dashboard!$B$2,10+1,1)&amp;""))</f>
        <v/>
      </c>
      <c r="L17" s="50">
        <f>IF($A17="","",SUMIFS(Data!$H$2:$H$25001,Data!$B$2:$B$25001,$A17,Data!$A$2:$A$25001,"&gt;="&amp;DATE(Dashboard!$B$2,11,1)&amp;"",Data!$A$2:$A$25001,"&lt;"&amp;DATE(Dashboard!$B$2,11+1,1)&amp;""))</f>
        <v/>
      </c>
      <c r="M17" s="50">
        <f>IF($A17="","",SUMIFS(Data!$H$2:$H$25001,Data!$B$2:$B$25001,$A17,Data!$A$2:$A$25001,"&gt;="&amp;DATE(Dashboard!$B$2,12,1)&amp;"",Data!$A$2:$A$25001,"&lt;"&amp;DATE(Dashboard!$B$2,12+1,1)&amp;""))</f>
        <v/>
      </c>
      <c r="N17" s="46">
        <f>IF($A17="","",SUM(B17:M17))</f>
        <v/>
      </c>
      <c r="O17" s="45">
        <f>IF($A17="","",SUMIFS(Data!$H$2:$H$25001,Data!$B$2:$B$25001,$A17,Data!$D$2:$D$25001,"Werken",Data!$A$2:$A$25001,"&gt;="&amp;DATE(Dashboard!$B$2,1,1)&amp;"",Data!$A$2:$A$25001,"&lt;"&amp;DATE(Dashboard!$B$2+1,1,1)&amp;""))</f>
        <v/>
      </c>
      <c r="P17" s="45">
        <f>IF($A17="","",SUMIFS(Data!$H$2:$H$25001,Data!$B$2:$B$25001,$A17,Data!$D$2:$D$25001,"Reistijd",Data!$A$2:$A$25001,"&gt;="&amp;DATE(Dashboard!$B$2,1,1)&amp;"",Data!$A$2:$A$25001,"&lt;"&amp;DATE(Dashboard!$B$2+1,1,1)&amp;""))</f>
        <v/>
      </c>
      <c r="Q17" s="55">
        <f>IF(OR($A17="",N17=0),"",O17/N17)</f>
        <v/>
      </c>
    </row>
    <row r="18" ht="15" customHeight="1" s="30">
      <c r="A18" s="49" t="n"/>
      <c r="B18" s="45">
        <f>IF($A18="","",SUMIFS(Data!$H$2:$H$25001,Data!$B$2:$B$25001,$A18,Data!$A$2:$A$25001,"&gt;="&amp;DATE(Dashboard!$B$2,1,1)&amp;"",Data!$A$2:$A$25001,"&lt;"&amp;DATE(Dashboard!$B$2,1+1,1)&amp;""))</f>
        <v/>
      </c>
      <c r="C18" s="45">
        <f>IF($A18="","",SUMIFS(Data!$H$2:$H$25001,Data!$B$2:$B$25001,$A18,Data!$A$2:$A$25001,"&gt;="&amp;DATE(Dashboard!$B$2,2,1)&amp;"",Data!$A$2:$A$25001,"&lt;"&amp;DATE(Dashboard!$B$2,2+1,1)&amp;""))</f>
        <v/>
      </c>
      <c r="D18" s="45">
        <f>IF($A18="","",SUMIFS(Data!$H$2:$H$25001,Data!$B$2:$B$25001,$A18,Data!$A$2:$A$25001,"&gt;="&amp;DATE(Dashboard!$B$2,3,1)&amp;"",Data!$A$2:$A$25001,"&lt;"&amp;DATE(Dashboard!$B$2,3+1,1)&amp;""))</f>
        <v/>
      </c>
      <c r="E18" s="45">
        <f>IF($A18="","",SUMIFS(Data!$H$2:$H$25001,Data!$B$2:$B$25001,$A18,Data!$A$2:$A$25001,"&gt;="&amp;DATE(Dashboard!$B$2,4,1)&amp;"",Data!$A$2:$A$25001,"&lt;"&amp;DATE(Dashboard!$B$2,4+1,1)&amp;""))</f>
        <v/>
      </c>
      <c r="F18" s="45">
        <f>IF($A18="","",SUMIFS(Data!$H$2:$H$25001,Data!$B$2:$B$25001,$A18,Data!$A$2:$A$25001,"&gt;="&amp;DATE(Dashboard!$B$2,5,1)&amp;"",Data!$A$2:$A$25001,"&lt;"&amp;DATE(Dashboard!$B$2,5+1,1)&amp;""))</f>
        <v/>
      </c>
      <c r="G18" s="45">
        <f>IF($A18="","",SUMIFS(Data!$H$2:$H$25001,Data!$B$2:$B$25001,$A18,Data!$A$2:$A$25001,"&gt;="&amp;DATE(Dashboard!$B$2,6,1)&amp;"",Data!$A$2:$A$25001,"&lt;"&amp;DATE(Dashboard!$B$2,6+1,1)&amp;""))</f>
        <v/>
      </c>
      <c r="H18" s="45">
        <f>IF($A18="","",SUMIFS(Data!$H$2:$H$25001,Data!$B$2:$B$25001,$A18,Data!$A$2:$A$25001,"&gt;="&amp;DATE(Dashboard!$B$2,7,1)&amp;"",Data!$A$2:$A$25001,"&lt;"&amp;DATE(Dashboard!$B$2,7+1,1)&amp;""))</f>
        <v/>
      </c>
      <c r="I18" s="45">
        <f>IF($A18="","",SUMIFS(Data!$H$2:$H$25001,Data!$B$2:$B$25001,$A18,Data!$A$2:$A$25001,"&gt;="&amp;DATE(Dashboard!$B$2,8,1)&amp;"",Data!$A$2:$A$25001,"&lt;"&amp;DATE(Dashboard!$B$2,8+1,1)&amp;""))</f>
        <v/>
      </c>
      <c r="J18" s="45">
        <f>IF($A18="","",SUMIFS(Data!$H$2:$H$25001,Data!$B$2:$B$25001,$A18,Data!$A$2:$A$25001,"&gt;="&amp;DATE(Dashboard!$B$2,9,1)&amp;"",Data!$A$2:$A$25001,"&lt;"&amp;DATE(Dashboard!$B$2,9+1,1)&amp;""))</f>
        <v/>
      </c>
      <c r="K18" s="45">
        <f>IF($A18="","",SUMIFS(Data!$H$2:$H$25001,Data!$B$2:$B$25001,$A18,Data!$A$2:$A$25001,"&gt;="&amp;DATE(Dashboard!$B$2,10,1)&amp;"",Data!$A$2:$A$25001,"&lt;"&amp;DATE(Dashboard!$B$2,10+1,1)&amp;""))</f>
        <v/>
      </c>
      <c r="L18" s="45">
        <f>IF($A18="","",SUMIFS(Data!$H$2:$H$25001,Data!$B$2:$B$25001,$A18,Data!$A$2:$A$25001,"&gt;="&amp;DATE(Dashboard!$B$2,11,1)&amp;"",Data!$A$2:$A$25001,"&lt;"&amp;DATE(Dashboard!$B$2,11+1,1)&amp;""))</f>
        <v/>
      </c>
      <c r="M18" s="45">
        <f>IF($A18="","",SUMIFS(Data!$H$2:$H$25001,Data!$B$2:$B$25001,$A18,Data!$A$2:$A$25001,"&gt;="&amp;DATE(Dashboard!$B$2,12,1)&amp;"",Data!$A$2:$A$25001,"&lt;"&amp;DATE(Dashboard!$B$2,12+1,1)&amp;""))</f>
        <v/>
      </c>
      <c r="N18" s="46">
        <f>IF($A18="","",SUM(B18:M18))</f>
        <v/>
      </c>
      <c r="O18" s="45">
        <f>IF($A18="","",SUMIFS(Data!$H$2:$H$25001,Data!$B$2:$B$25001,$A18,Data!$D$2:$D$25001,"Werken",Data!$A$2:$A$25001,"&gt;="&amp;DATE(Dashboard!$B$2,1,1)&amp;"",Data!$A$2:$A$25001,"&lt;"&amp;DATE(Dashboard!$B$2+1,1,1)&amp;""))</f>
        <v/>
      </c>
      <c r="P18" s="45">
        <f>IF($A18="","",SUMIFS(Data!$H$2:$H$25001,Data!$B$2:$B$25001,$A18,Data!$D$2:$D$25001,"Reistijd",Data!$A$2:$A$25001,"&gt;="&amp;DATE(Dashboard!$B$2,1,1)&amp;"",Data!$A$2:$A$25001,"&lt;"&amp;DATE(Dashboard!$B$2+1,1,1)&amp;""))</f>
        <v/>
      </c>
      <c r="Q18" s="55">
        <f>IF(OR($A18="",N18=0),"",O18/N18)</f>
        <v/>
      </c>
    </row>
    <row r="19" ht="15" customHeight="1" s="30">
      <c r="A19" s="49" t="n"/>
      <c r="B19" s="50">
        <f>IF($A19="","",SUMIFS(Data!$H$2:$H$25001,Data!$B$2:$B$25001,$A19,Data!$A$2:$A$25001,"&gt;="&amp;DATE(Dashboard!$B$2,1,1)&amp;"",Data!$A$2:$A$25001,"&lt;"&amp;DATE(Dashboard!$B$2,1+1,1)&amp;""))</f>
        <v/>
      </c>
      <c r="C19" s="50">
        <f>IF($A19="","",SUMIFS(Data!$H$2:$H$25001,Data!$B$2:$B$25001,$A19,Data!$A$2:$A$25001,"&gt;="&amp;DATE(Dashboard!$B$2,2,1)&amp;"",Data!$A$2:$A$25001,"&lt;"&amp;DATE(Dashboard!$B$2,2+1,1)&amp;""))</f>
        <v/>
      </c>
      <c r="D19" s="50">
        <f>IF($A19="","",SUMIFS(Data!$H$2:$H$25001,Data!$B$2:$B$25001,$A19,Data!$A$2:$A$25001,"&gt;="&amp;DATE(Dashboard!$B$2,3,1)&amp;"",Data!$A$2:$A$25001,"&lt;"&amp;DATE(Dashboard!$B$2,3+1,1)&amp;""))</f>
        <v/>
      </c>
      <c r="E19" s="50">
        <f>IF($A19="","",SUMIFS(Data!$H$2:$H$25001,Data!$B$2:$B$25001,$A19,Data!$A$2:$A$25001,"&gt;="&amp;DATE(Dashboard!$B$2,4,1)&amp;"",Data!$A$2:$A$25001,"&lt;"&amp;DATE(Dashboard!$B$2,4+1,1)&amp;""))</f>
        <v/>
      </c>
      <c r="F19" s="50">
        <f>IF($A19="","",SUMIFS(Data!$H$2:$H$25001,Data!$B$2:$B$25001,$A19,Data!$A$2:$A$25001,"&gt;="&amp;DATE(Dashboard!$B$2,5,1)&amp;"",Data!$A$2:$A$25001,"&lt;"&amp;DATE(Dashboard!$B$2,5+1,1)&amp;""))</f>
        <v/>
      </c>
      <c r="G19" s="50">
        <f>IF($A19="","",SUMIFS(Data!$H$2:$H$25001,Data!$B$2:$B$25001,$A19,Data!$A$2:$A$25001,"&gt;="&amp;DATE(Dashboard!$B$2,6,1)&amp;"",Data!$A$2:$A$25001,"&lt;"&amp;DATE(Dashboard!$B$2,6+1,1)&amp;""))</f>
        <v/>
      </c>
      <c r="H19" s="50">
        <f>IF($A19="","",SUMIFS(Data!$H$2:$H$25001,Data!$B$2:$B$25001,$A19,Data!$A$2:$A$25001,"&gt;="&amp;DATE(Dashboard!$B$2,7,1)&amp;"",Data!$A$2:$A$25001,"&lt;"&amp;DATE(Dashboard!$B$2,7+1,1)&amp;""))</f>
        <v/>
      </c>
      <c r="I19" s="50">
        <f>IF($A19="","",SUMIFS(Data!$H$2:$H$25001,Data!$B$2:$B$25001,$A19,Data!$A$2:$A$25001,"&gt;="&amp;DATE(Dashboard!$B$2,8,1)&amp;"",Data!$A$2:$A$25001,"&lt;"&amp;DATE(Dashboard!$B$2,8+1,1)&amp;""))</f>
        <v/>
      </c>
      <c r="J19" s="50">
        <f>IF($A19="","",SUMIFS(Data!$H$2:$H$25001,Data!$B$2:$B$25001,$A19,Data!$A$2:$A$25001,"&gt;="&amp;DATE(Dashboard!$B$2,9,1)&amp;"",Data!$A$2:$A$25001,"&lt;"&amp;DATE(Dashboard!$B$2,9+1,1)&amp;""))</f>
        <v/>
      </c>
      <c r="K19" s="50">
        <f>IF($A19="","",SUMIFS(Data!$H$2:$H$25001,Data!$B$2:$B$25001,$A19,Data!$A$2:$A$25001,"&gt;="&amp;DATE(Dashboard!$B$2,10,1)&amp;"",Data!$A$2:$A$25001,"&lt;"&amp;DATE(Dashboard!$B$2,10+1,1)&amp;""))</f>
        <v/>
      </c>
      <c r="L19" s="50">
        <f>IF($A19="","",SUMIFS(Data!$H$2:$H$25001,Data!$B$2:$B$25001,$A19,Data!$A$2:$A$25001,"&gt;="&amp;DATE(Dashboard!$B$2,11,1)&amp;"",Data!$A$2:$A$25001,"&lt;"&amp;DATE(Dashboard!$B$2,11+1,1)&amp;""))</f>
        <v/>
      </c>
      <c r="M19" s="50">
        <f>IF($A19="","",SUMIFS(Data!$H$2:$H$25001,Data!$B$2:$B$25001,$A19,Data!$A$2:$A$25001,"&gt;="&amp;DATE(Dashboard!$B$2,12,1)&amp;"",Data!$A$2:$A$25001,"&lt;"&amp;DATE(Dashboard!$B$2,12+1,1)&amp;""))</f>
        <v/>
      </c>
      <c r="N19" s="46">
        <f>IF($A19="","",SUM(B19:M19))</f>
        <v/>
      </c>
      <c r="O19" s="45">
        <f>IF($A19="","",SUMIFS(Data!$H$2:$H$25001,Data!$B$2:$B$25001,$A19,Data!$D$2:$D$25001,"Werken",Data!$A$2:$A$25001,"&gt;="&amp;DATE(Dashboard!$B$2,1,1)&amp;"",Data!$A$2:$A$25001,"&lt;"&amp;DATE(Dashboard!$B$2+1,1,1)&amp;""))</f>
        <v/>
      </c>
      <c r="P19" s="45">
        <f>IF($A19="","",SUMIFS(Data!$H$2:$H$25001,Data!$B$2:$B$25001,$A19,Data!$D$2:$D$25001,"Reistijd",Data!$A$2:$A$25001,"&gt;="&amp;DATE(Dashboard!$B$2,1,1)&amp;"",Data!$A$2:$A$25001,"&lt;"&amp;DATE(Dashboard!$B$2+1,1,1)&amp;""))</f>
        <v/>
      </c>
      <c r="Q19" s="55">
        <f>IF(OR($A19="",N19=0),"",O19/N19)</f>
        <v/>
      </c>
    </row>
    <row r="20" ht="15" customHeight="1" s="30">
      <c r="A20" s="49" t="n"/>
      <c r="B20" s="45">
        <f>IF($A20="","",SUMIFS(Data!$H$2:$H$25001,Data!$B$2:$B$25001,$A20,Data!$A$2:$A$25001,"&gt;="&amp;DATE(Dashboard!$B$2,1,1)&amp;"",Data!$A$2:$A$25001,"&lt;"&amp;DATE(Dashboard!$B$2,1+1,1)&amp;""))</f>
        <v/>
      </c>
      <c r="C20" s="45">
        <f>IF($A20="","",SUMIFS(Data!$H$2:$H$25001,Data!$B$2:$B$25001,$A20,Data!$A$2:$A$25001,"&gt;="&amp;DATE(Dashboard!$B$2,2,1)&amp;"",Data!$A$2:$A$25001,"&lt;"&amp;DATE(Dashboard!$B$2,2+1,1)&amp;""))</f>
        <v/>
      </c>
      <c r="D20" s="45">
        <f>IF($A20="","",SUMIFS(Data!$H$2:$H$25001,Data!$B$2:$B$25001,$A20,Data!$A$2:$A$25001,"&gt;="&amp;DATE(Dashboard!$B$2,3,1)&amp;"",Data!$A$2:$A$25001,"&lt;"&amp;DATE(Dashboard!$B$2,3+1,1)&amp;""))</f>
        <v/>
      </c>
      <c r="E20" s="45">
        <f>IF($A20="","",SUMIFS(Data!$H$2:$H$25001,Data!$B$2:$B$25001,$A20,Data!$A$2:$A$25001,"&gt;="&amp;DATE(Dashboard!$B$2,4,1)&amp;"",Data!$A$2:$A$25001,"&lt;"&amp;DATE(Dashboard!$B$2,4+1,1)&amp;""))</f>
        <v/>
      </c>
      <c r="F20" s="45">
        <f>IF($A20="","",SUMIFS(Data!$H$2:$H$25001,Data!$B$2:$B$25001,$A20,Data!$A$2:$A$25001,"&gt;="&amp;DATE(Dashboard!$B$2,5,1)&amp;"",Data!$A$2:$A$25001,"&lt;"&amp;DATE(Dashboard!$B$2,5+1,1)&amp;""))</f>
        <v/>
      </c>
      <c r="G20" s="45">
        <f>IF($A20="","",SUMIFS(Data!$H$2:$H$25001,Data!$B$2:$B$25001,$A20,Data!$A$2:$A$25001,"&gt;="&amp;DATE(Dashboard!$B$2,6,1)&amp;"",Data!$A$2:$A$25001,"&lt;"&amp;DATE(Dashboard!$B$2,6+1,1)&amp;""))</f>
        <v/>
      </c>
      <c r="H20" s="45">
        <f>IF($A20="","",SUMIFS(Data!$H$2:$H$25001,Data!$B$2:$B$25001,$A20,Data!$A$2:$A$25001,"&gt;="&amp;DATE(Dashboard!$B$2,7,1)&amp;"",Data!$A$2:$A$25001,"&lt;"&amp;DATE(Dashboard!$B$2,7+1,1)&amp;""))</f>
        <v/>
      </c>
      <c r="I20" s="45">
        <f>IF($A20="","",SUMIFS(Data!$H$2:$H$25001,Data!$B$2:$B$25001,$A20,Data!$A$2:$A$25001,"&gt;="&amp;DATE(Dashboard!$B$2,8,1)&amp;"",Data!$A$2:$A$25001,"&lt;"&amp;DATE(Dashboard!$B$2,8+1,1)&amp;""))</f>
        <v/>
      </c>
      <c r="J20" s="45">
        <f>IF($A20="","",SUMIFS(Data!$H$2:$H$25001,Data!$B$2:$B$25001,$A20,Data!$A$2:$A$25001,"&gt;="&amp;DATE(Dashboard!$B$2,9,1)&amp;"",Data!$A$2:$A$25001,"&lt;"&amp;DATE(Dashboard!$B$2,9+1,1)&amp;""))</f>
        <v/>
      </c>
      <c r="K20" s="45">
        <f>IF($A20="","",SUMIFS(Data!$H$2:$H$25001,Data!$B$2:$B$25001,$A20,Data!$A$2:$A$25001,"&gt;="&amp;DATE(Dashboard!$B$2,10,1)&amp;"",Data!$A$2:$A$25001,"&lt;"&amp;DATE(Dashboard!$B$2,10+1,1)&amp;""))</f>
        <v/>
      </c>
      <c r="L20" s="45">
        <f>IF($A20="","",SUMIFS(Data!$H$2:$H$25001,Data!$B$2:$B$25001,$A20,Data!$A$2:$A$25001,"&gt;="&amp;DATE(Dashboard!$B$2,11,1)&amp;"",Data!$A$2:$A$25001,"&lt;"&amp;DATE(Dashboard!$B$2,11+1,1)&amp;""))</f>
        <v/>
      </c>
      <c r="M20" s="45">
        <f>IF($A20="","",SUMIFS(Data!$H$2:$H$25001,Data!$B$2:$B$25001,$A20,Data!$A$2:$A$25001,"&gt;="&amp;DATE(Dashboard!$B$2,12,1)&amp;"",Data!$A$2:$A$25001,"&lt;"&amp;DATE(Dashboard!$B$2,12+1,1)&amp;""))</f>
        <v/>
      </c>
      <c r="N20" s="46">
        <f>IF($A20="","",SUM(B20:M20))</f>
        <v/>
      </c>
      <c r="O20" s="45">
        <f>IF($A20="","",SUMIFS(Data!$H$2:$H$25001,Data!$B$2:$B$25001,$A20,Data!$D$2:$D$25001,"Werken",Data!$A$2:$A$25001,"&gt;="&amp;DATE(Dashboard!$B$2,1,1)&amp;"",Data!$A$2:$A$25001,"&lt;"&amp;DATE(Dashboard!$B$2+1,1,1)&amp;""))</f>
        <v/>
      </c>
      <c r="P20" s="45">
        <f>IF($A20="","",SUMIFS(Data!$H$2:$H$25001,Data!$B$2:$B$25001,$A20,Data!$D$2:$D$25001,"Reistijd",Data!$A$2:$A$25001,"&gt;="&amp;DATE(Dashboard!$B$2,1,1)&amp;"",Data!$A$2:$A$25001,"&lt;"&amp;DATE(Dashboard!$B$2+1,1,1)&amp;""))</f>
        <v/>
      </c>
      <c r="Q20" s="55">
        <f>IF(OR($A20="",N20=0),"",O20/N20)</f>
        <v/>
      </c>
    </row>
    <row r="21" ht="15" customHeight="1" s="30">
      <c r="A21" s="49" t="n"/>
      <c r="B21" s="50">
        <f>IF($A21="","",SUMIFS(Data!$H$2:$H$25001,Data!$B$2:$B$25001,$A21,Data!$A$2:$A$25001,"&gt;="&amp;DATE(Dashboard!$B$2,1,1)&amp;"",Data!$A$2:$A$25001,"&lt;"&amp;DATE(Dashboard!$B$2,1+1,1)&amp;""))</f>
        <v/>
      </c>
      <c r="C21" s="50">
        <f>IF($A21="","",SUMIFS(Data!$H$2:$H$25001,Data!$B$2:$B$25001,$A21,Data!$A$2:$A$25001,"&gt;="&amp;DATE(Dashboard!$B$2,2,1)&amp;"",Data!$A$2:$A$25001,"&lt;"&amp;DATE(Dashboard!$B$2,2+1,1)&amp;""))</f>
        <v/>
      </c>
      <c r="D21" s="50">
        <f>IF($A21="","",SUMIFS(Data!$H$2:$H$25001,Data!$B$2:$B$25001,$A21,Data!$A$2:$A$25001,"&gt;="&amp;DATE(Dashboard!$B$2,3,1)&amp;"",Data!$A$2:$A$25001,"&lt;"&amp;DATE(Dashboard!$B$2,3+1,1)&amp;""))</f>
        <v/>
      </c>
      <c r="E21" s="50">
        <f>IF($A21="","",SUMIFS(Data!$H$2:$H$25001,Data!$B$2:$B$25001,$A21,Data!$A$2:$A$25001,"&gt;="&amp;DATE(Dashboard!$B$2,4,1)&amp;"",Data!$A$2:$A$25001,"&lt;"&amp;DATE(Dashboard!$B$2,4+1,1)&amp;""))</f>
        <v/>
      </c>
      <c r="F21" s="50">
        <f>IF($A21="","",SUMIFS(Data!$H$2:$H$25001,Data!$B$2:$B$25001,$A21,Data!$A$2:$A$25001,"&gt;="&amp;DATE(Dashboard!$B$2,5,1)&amp;"",Data!$A$2:$A$25001,"&lt;"&amp;DATE(Dashboard!$B$2,5+1,1)&amp;""))</f>
        <v/>
      </c>
      <c r="G21" s="50">
        <f>IF($A21="","",SUMIFS(Data!$H$2:$H$25001,Data!$B$2:$B$25001,$A21,Data!$A$2:$A$25001,"&gt;="&amp;DATE(Dashboard!$B$2,6,1)&amp;"",Data!$A$2:$A$25001,"&lt;"&amp;DATE(Dashboard!$B$2,6+1,1)&amp;""))</f>
        <v/>
      </c>
      <c r="H21" s="50">
        <f>IF($A21="","",SUMIFS(Data!$H$2:$H$25001,Data!$B$2:$B$25001,$A21,Data!$A$2:$A$25001,"&gt;="&amp;DATE(Dashboard!$B$2,7,1)&amp;"",Data!$A$2:$A$25001,"&lt;"&amp;DATE(Dashboard!$B$2,7+1,1)&amp;""))</f>
        <v/>
      </c>
      <c r="I21" s="50">
        <f>IF($A21="","",SUMIFS(Data!$H$2:$H$25001,Data!$B$2:$B$25001,$A21,Data!$A$2:$A$25001,"&gt;="&amp;DATE(Dashboard!$B$2,8,1)&amp;"",Data!$A$2:$A$25001,"&lt;"&amp;DATE(Dashboard!$B$2,8+1,1)&amp;""))</f>
        <v/>
      </c>
      <c r="J21" s="50">
        <f>IF($A21="","",SUMIFS(Data!$H$2:$H$25001,Data!$B$2:$B$25001,$A21,Data!$A$2:$A$25001,"&gt;="&amp;DATE(Dashboard!$B$2,9,1)&amp;"",Data!$A$2:$A$25001,"&lt;"&amp;DATE(Dashboard!$B$2,9+1,1)&amp;""))</f>
        <v/>
      </c>
      <c r="K21" s="50">
        <f>IF($A21="","",SUMIFS(Data!$H$2:$H$25001,Data!$B$2:$B$25001,$A21,Data!$A$2:$A$25001,"&gt;="&amp;DATE(Dashboard!$B$2,10,1)&amp;"",Data!$A$2:$A$25001,"&lt;"&amp;DATE(Dashboard!$B$2,10+1,1)&amp;""))</f>
        <v/>
      </c>
      <c r="L21" s="50">
        <f>IF($A21="","",SUMIFS(Data!$H$2:$H$25001,Data!$B$2:$B$25001,$A21,Data!$A$2:$A$25001,"&gt;="&amp;DATE(Dashboard!$B$2,11,1)&amp;"",Data!$A$2:$A$25001,"&lt;"&amp;DATE(Dashboard!$B$2,11+1,1)&amp;""))</f>
        <v/>
      </c>
      <c r="M21" s="50">
        <f>IF($A21="","",SUMIFS(Data!$H$2:$H$25001,Data!$B$2:$B$25001,$A21,Data!$A$2:$A$25001,"&gt;="&amp;DATE(Dashboard!$B$2,12,1)&amp;"",Data!$A$2:$A$25001,"&lt;"&amp;DATE(Dashboard!$B$2,12+1,1)&amp;""))</f>
        <v/>
      </c>
      <c r="N21" s="46">
        <f>IF($A21="","",SUM(B21:M21))</f>
        <v/>
      </c>
      <c r="O21" s="45">
        <f>IF($A21="","",SUMIFS(Data!$H$2:$H$25001,Data!$B$2:$B$25001,$A21,Data!$D$2:$D$25001,"Werken",Data!$A$2:$A$25001,"&gt;="&amp;DATE(Dashboard!$B$2,1,1)&amp;"",Data!$A$2:$A$25001,"&lt;"&amp;DATE(Dashboard!$B$2+1,1,1)&amp;""))</f>
        <v/>
      </c>
      <c r="P21" s="45">
        <f>IF($A21="","",SUMIFS(Data!$H$2:$H$25001,Data!$B$2:$B$25001,$A21,Data!$D$2:$D$25001,"Reistijd",Data!$A$2:$A$25001,"&gt;="&amp;DATE(Dashboard!$B$2,1,1)&amp;"",Data!$A$2:$A$25001,"&lt;"&amp;DATE(Dashboard!$B$2+1,1,1)&amp;""))</f>
        <v/>
      </c>
      <c r="Q21" s="55">
        <f>IF(OR($A21="",N21=0),"",O21/N21)</f>
        <v/>
      </c>
    </row>
    <row r="22" ht="15" customHeight="1" s="30">
      <c r="A22" s="49" t="n"/>
      <c r="B22" s="45">
        <f>IF($A22="","",SUMIFS(Data!$H$2:$H$25001,Data!$B$2:$B$25001,$A22,Data!$A$2:$A$25001,"&gt;="&amp;DATE(Dashboard!$B$2,1,1)&amp;"",Data!$A$2:$A$25001,"&lt;"&amp;DATE(Dashboard!$B$2,1+1,1)&amp;""))</f>
        <v/>
      </c>
      <c r="C22" s="45">
        <f>IF($A22="","",SUMIFS(Data!$H$2:$H$25001,Data!$B$2:$B$25001,$A22,Data!$A$2:$A$25001,"&gt;="&amp;DATE(Dashboard!$B$2,2,1)&amp;"",Data!$A$2:$A$25001,"&lt;"&amp;DATE(Dashboard!$B$2,2+1,1)&amp;""))</f>
        <v/>
      </c>
      <c r="D22" s="45">
        <f>IF($A22="","",SUMIFS(Data!$H$2:$H$25001,Data!$B$2:$B$25001,$A22,Data!$A$2:$A$25001,"&gt;="&amp;DATE(Dashboard!$B$2,3,1)&amp;"",Data!$A$2:$A$25001,"&lt;"&amp;DATE(Dashboard!$B$2,3+1,1)&amp;""))</f>
        <v/>
      </c>
      <c r="E22" s="45">
        <f>IF($A22="","",SUMIFS(Data!$H$2:$H$25001,Data!$B$2:$B$25001,$A22,Data!$A$2:$A$25001,"&gt;="&amp;DATE(Dashboard!$B$2,4,1)&amp;"",Data!$A$2:$A$25001,"&lt;"&amp;DATE(Dashboard!$B$2,4+1,1)&amp;""))</f>
        <v/>
      </c>
      <c r="F22" s="45">
        <f>IF($A22="","",SUMIFS(Data!$H$2:$H$25001,Data!$B$2:$B$25001,$A22,Data!$A$2:$A$25001,"&gt;="&amp;DATE(Dashboard!$B$2,5,1)&amp;"",Data!$A$2:$A$25001,"&lt;"&amp;DATE(Dashboard!$B$2,5+1,1)&amp;""))</f>
        <v/>
      </c>
      <c r="G22" s="45">
        <f>IF($A22="","",SUMIFS(Data!$H$2:$H$25001,Data!$B$2:$B$25001,$A22,Data!$A$2:$A$25001,"&gt;="&amp;DATE(Dashboard!$B$2,6,1)&amp;"",Data!$A$2:$A$25001,"&lt;"&amp;DATE(Dashboard!$B$2,6+1,1)&amp;""))</f>
        <v/>
      </c>
      <c r="H22" s="45">
        <f>IF($A22="","",SUMIFS(Data!$H$2:$H$25001,Data!$B$2:$B$25001,$A22,Data!$A$2:$A$25001,"&gt;="&amp;DATE(Dashboard!$B$2,7,1)&amp;"",Data!$A$2:$A$25001,"&lt;"&amp;DATE(Dashboard!$B$2,7+1,1)&amp;""))</f>
        <v/>
      </c>
      <c r="I22" s="45">
        <f>IF($A22="","",SUMIFS(Data!$H$2:$H$25001,Data!$B$2:$B$25001,$A22,Data!$A$2:$A$25001,"&gt;="&amp;DATE(Dashboard!$B$2,8,1)&amp;"",Data!$A$2:$A$25001,"&lt;"&amp;DATE(Dashboard!$B$2,8+1,1)&amp;""))</f>
        <v/>
      </c>
      <c r="J22" s="45">
        <f>IF($A22="","",SUMIFS(Data!$H$2:$H$25001,Data!$B$2:$B$25001,$A22,Data!$A$2:$A$25001,"&gt;="&amp;DATE(Dashboard!$B$2,9,1)&amp;"",Data!$A$2:$A$25001,"&lt;"&amp;DATE(Dashboard!$B$2,9+1,1)&amp;""))</f>
        <v/>
      </c>
      <c r="K22" s="45">
        <f>IF($A22="","",SUMIFS(Data!$H$2:$H$25001,Data!$B$2:$B$25001,$A22,Data!$A$2:$A$25001,"&gt;="&amp;DATE(Dashboard!$B$2,10,1)&amp;"",Data!$A$2:$A$25001,"&lt;"&amp;DATE(Dashboard!$B$2,10+1,1)&amp;""))</f>
        <v/>
      </c>
      <c r="L22" s="45">
        <f>IF($A22="","",SUMIFS(Data!$H$2:$H$25001,Data!$B$2:$B$25001,$A22,Data!$A$2:$A$25001,"&gt;="&amp;DATE(Dashboard!$B$2,11,1)&amp;"",Data!$A$2:$A$25001,"&lt;"&amp;DATE(Dashboard!$B$2,11+1,1)&amp;""))</f>
        <v/>
      </c>
      <c r="M22" s="45">
        <f>IF($A22="","",SUMIFS(Data!$H$2:$H$25001,Data!$B$2:$B$25001,$A22,Data!$A$2:$A$25001,"&gt;="&amp;DATE(Dashboard!$B$2,12,1)&amp;"",Data!$A$2:$A$25001,"&lt;"&amp;DATE(Dashboard!$B$2,12+1,1)&amp;""))</f>
        <v/>
      </c>
      <c r="N22" s="46">
        <f>IF($A22="","",SUM(B22:M22))</f>
        <v/>
      </c>
      <c r="O22" s="45">
        <f>IF($A22="","",SUMIFS(Data!$H$2:$H$25001,Data!$B$2:$B$25001,$A22,Data!$D$2:$D$25001,"Werken",Data!$A$2:$A$25001,"&gt;="&amp;DATE(Dashboard!$B$2,1,1)&amp;"",Data!$A$2:$A$25001,"&lt;"&amp;DATE(Dashboard!$B$2+1,1,1)&amp;""))</f>
        <v/>
      </c>
      <c r="P22" s="45">
        <f>IF($A22="","",SUMIFS(Data!$H$2:$H$25001,Data!$B$2:$B$25001,$A22,Data!$D$2:$D$25001,"Reistijd",Data!$A$2:$A$25001,"&gt;="&amp;DATE(Dashboard!$B$2,1,1)&amp;"",Data!$A$2:$A$25001,"&lt;"&amp;DATE(Dashboard!$B$2+1,1,1)&amp;""))</f>
        <v/>
      </c>
      <c r="Q22" s="55">
        <f>IF(OR($A22="",N22=0),"",O22/N22)</f>
        <v/>
      </c>
    </row>
    <row r="23" ht="15" customHeight="1" s="30">
      <c r="A23" s="49" t="n"/>
      <c r="B23" s="50">
        <f>IF($A23="","",SUMIFS(Data!$H$2:$H$25001,Data!$B$2:$B$25001,$A23,Data!$A$2:$A$25001,"&gt;="&amp;DATE(Dashboard!$B$2,1,1)&amp;"",Data!$A$2:$A$25001,"&lt;"&amp;DATE(Dashboard!$B$2,1+1,1)&amp;""))</f>
        <v/>
      </c>
      <c r="C23" s="50">
        <f>IF($A23="","",SUMIFS(Data!$H$2:$H$25001,Data!$B$2:$B$25001,$A23,Data!$A$2:$A$25001,"&gt;="&amp;DATE(Dashboard!$B$2,2,1)&amp;"",Data!$A$2:$A$25001,"&lt;"&amp;DATE(Dashboard!$B$2,2+1,1)&amp;""))</f>
        <v/>
      </c>
      <c r="D23" s="50">
        <f>IF($A23="","",SUMIFS(Data!$H$2:$H$25001,Data!$B$2:$B$25001,$A23,Data!$A$2:$A$25001,"&gt;="&amp;DATE(Dashboard!$B$2,3,1)&amp;"",Data!$A$2:$A$25001,"&lt;"&amp;DATE(Dashboard!$B$2,3+1,1)&amp;""))</f>
        <v/>
      </c>
      <c r="E23" s="50">
        <f>IF($A23="","",SUMIFS(Data!$H$2:$H$25001,Data!$B$2:$B$25001,$A23,Data!$A$2:$A$25001,"&gt;="&amp;DATE(Dashboard!$B$2,4,1)&amp;"",Data!$A$2:$A$25001,"&lt;"&amp;DATE(Dashboard!$B$2,4+1,1)&amp;""))</f>
        <v/>
      </c>
      <c r="F23" s="50">
        <f>IF($A23="","",SUMIFS(Data!$H$2:$H$25001,Data!$B$2:$B$25001,$A23,Data!$A$2:$A$25001,"&gt;="&amp;DATE(Dashboard!$B$2,5,1)&amp;"",Data!$A$2:$A$25001,"&lt;"&amp;DATE(Dashboard!$B$2,5+1,1)&amp;""))</f>
        <v/>
      </c>
      <c r="G23" s="50">
        <f>IF($A23="","",SUMIFS(Data!$H$2:$H$25001,Data!$B$2:$B$25001,$A23,Data!$A$2:$A$25001,"&gt;="&amp;DATE(Dashboard!$B$2,6,1)&amp;"",Data!$A$2:$A$25001,"&lt;"&amp;DATE(Dashboard!$B$2,6+1,1)&amp;""))</f>
        <v/>
      </c>
      <c r="H23" s="50">
        <f>IF($A23="","",SUMIFS(Data!$H$2:$H$25001,Data!$B$2:$B$25001,$A23,Data!$A$2:$A$25001,"&gt;="&amp;DATE(Dashboard!$B$2,7,1)&amp;"",Data!$A$2:$A$25001,"&lt;"&amp;DATE(Dashboard!$B$2,7+1,1)&amp;""))</f>
        <v/>
      </c>
      <c r="I23" s="50">
        <f>IF($A23="","",SUMIFS(Data!$H$2:$H$25001,Data!$B$2:$B$25001,$A23,Data!$A$2:$A$25001,"&gt;="&amp;DATE(Dashboard!$B$2,8,1)&amp;"",Data!$A$2:$A$25001,"&lt;"&amp;DATE(Dashboard!$B$2,8+1,1)&amp;""))</f>
        <v/>
      </c>
      <c r="J23" s="50">
        <f>IF($A23="","",SUMIFS(Data!$H$2:$H$25001,Data!$B$2:$B$25001,$A23,Data!$A$2:$A$25001,"&gt;="&amp;DATE(Dashboard!$B$2,9,1)&amp;"",Data!$A$2:$A$25001,"&lt;"&amp;DATE(Dashboard!$B$2,9+1,1)&amp;""))</f>
        <v/>
      </c>
      <c r="K23" s="50">
        <f>IF($A23="","",SUMIFS(Data!$H$2:$H$25001,Data!$B$2:$B$25001,$A23,Data!$A$2:$A$25001,"&gt;="&amp;DATE(Dashboard!$B$2,10,1)&amp;"",Data!$A$2:$A$25001,"&lt;"&amp;DATE(Dashboard!$B$2,10+1,1)&amp;""))</f>
        <v/>
      </c>
      <c r="L23" s="50">
        <f>IF($A23="","",SUMIFS(Data!$H$2:$H$25001,Data!$B$2:$B$25001,$A23,Data!$A$2:$A$25001,"&gt;="&amp;DATE(Dashboard!$B$2,11,1)&amp;"",Data!$A$2:$A$25001,"&lt;"&amp;DATE(Dashboard!$B$2,11+1,1)&amp;""))</f>
        <v/>
      </c>
      <c r="M23" s="50">
        <f>IF($A23="","",SUMIFS(Data!$H$2:$H$25001,Data!$B$2:$B$25001,$A23,Data!$A$2:$A$25001,"&gt;="&amp;DATE(Dashboard!$B$2,12,1)&amp;"",Data!$A$2:$A$25001,"&lt;"&amp;DATE(Dashboard!$B$2,12+1,1)&amp;""))</f>
        <v/>
      </c>
      <c r="N23" s="46">
        <f>IF($A23="","",SUM(B23:M23))</f>
        <v/>
      </c>
      <c r="O23" s="45">
        <f>IF($A23="","",SUMIFS(Data!$H$2:$H$25001,Data!$B$2:$B$25001,$A23,Data!$D$2:$D$25001,"Werken",Data!$A$2:$A$25001,"&gt;="&amp;DATE(Dashboard!$B$2,1,1)&amp;"",Data!$A$2:$A$25001,"&lt;"&amp;DATE(Dashboard!$B$2+1,1,1)&amp;""))</f>
        <v/>
      </c>
      <c r="P23" s="45">
        <f>IF($A23="","",SUMIFS(Data!$H$2:$H$25001,Data!$B$2:$B$25001,$A23,Data!$D$2:$D$25001,"Reistijd",Data!$A$2:$A$25001,"&gt;="&amp;DATE(Dashboard!$B$2,1,1)&amp;"",Data!$A$2:$A$25001,"&lt;"&amp;DATE(Dashboard!$B$2+1,1,1)&amp;""))</f>
        <v/>
      </c>
      <c r="Q23" s="55">
        <f>IF(OR($A23="",N23=0),"",O23/N23)</f>
        <v/>
      </c>
    </row>
    <row r="24" ht="15" customHeight="1" s="30">
      <c r="A24" s="49" t="n"/>
      <c r="B24" s="45">
        <f>IF($A24="","",SUMIFS(Data!$H$2:$H$25001,Data!$B$2:$B$25001,$A24,Data!$A$2:$A$25001,"&gt;="&amp;DATE(Dashboard!$B$2,1,1)&amp;"",Data!$A$2:$A$25001,"&lt;"&amp;DATE(Dashboard!$B$2,1+1,1)&amp;""))</f>
        <v/>
      </c>
      <c r="C24" s="45">
        <f>IF($A24="","",SUMIFS(Data!$H$2:$H$25001,Data!$B$2:$B$25001,$A24,Data!$A$2:$A$25001,"&gt;="&amp;DATE(Dashboard!$B$2,2,1)&amp;"",Data!$A$2:$A$25001,"&lt;"&amp;DATE(Dashboard!$B$2,2+1,1)&amp;""))</f>
        <v/>
      </c>
      <c r="D24" s="45">
        <f>IF($A24="","",SUMIFS(Data!$H$2:$H$25001,Data!$B$2:$B$25001,$A24,Data!$A$2:$A$25001,"&gt;="&amp;DATE(Dashboard!$B$2,3,1)&amp;"",Data!$A$2:$A$25001,"&lt;"&amp;DATE(Dashboard!$B$2,3+1,1)&amp;""))</f>
        <v/>
      </c>
      <c r="E24" s="45">
        <f>IF($A24="","",SUMIFS(Data!$H$2:$H$25001,Data!$B$2:$B$25001,$A24,Data!$A$2:$A$25001,"&gt;="&amp;DATE(Dashboard!$B$2,4,1)&amp;"",Data!$A$2:$A$25001,"&lt;"&amp;DATE(Dashboard!$B$2,4+1,1)&amp;""))</f>
        <v/>
      </c>
      <c r="F24" s="45">
        <f>IF($A24="","",SUMIFS(Data!$H$2:$H$25001,Data!$B$2:$B$25001,$A24,Data!$A$2:$A$25001,"&gt;="&amp;DATE(Dashboard!$B$2,5,1)&amp;"",Data!$A$2:$A$25001,"&lt;"&amp;DATE(Dashboard!$B$2,5+1,1)&amp;""))</f>
        <v/>
      </c>
      <c r="G24" s="45">
        <f>IF($A24="","",SUMIFS(Data!$H$2:$H$25001,Data!$B$2:$B$25001,$A24,Data!$A$2:$A$25001,"&gt;="&amp;DATE(Dashboard!$B$2,6,1)&amp;"",Data!$A$2:$A$25001,"&lt;"&amp;DATE(Dashboard!$B$2,6+1,1)&amp;""))</f>
        <v/>
      </c>
      <c r="H24" s="45">
        <f>IF($A24="","",SUMIFS(Data!$H$2:$H$25001,Data!$B$2:$B$25001,$A24,Data!$A$2:$A$25001,"&gt;="&amp;DATE(Dashboard!$B$2,7,1)&amp;"",Data!$A$2:$A$25001,"&lt;"&amp;DATE(Dashboard!$B$2,7+1,1)&amp;""))</f>
        <v/>
      </c>
      <c r="I24" s="45">
        <f>IF($A24="","",SUMIFS(Data!$H$2:$H$25001,Data!$B$2:$B$25001,$A24,Data!$A$2:$A$25001,"&gt;="&amp;DATE(Dashboard!$B$2,8,1)&amp;"",Data!$A$2:$A$25001,"&lt;"&amp;DATE(Dashboard!$B$2,8+1,1)&amp;""))</f>
        <v/>
      </c>
      <c r="J24" s="45">
        <f>IF($A24="","",SUMIFS(Data!$H$2:$H$25001,Data!$B$2:$B$25001,$A24,Data!$A$2:$A$25001,"&gt;="&amp;DATE(Dashboard!$B$2,9,1)&amp;"",Data!$A$2:$A$25001,"&lt;"&amp;DATE(Dashboard!$B$2,9+1,1)&amp;""))</f>
        <v/>
      </c>
      <c r="K24" s="45">
        <f>IF($A24="","",SUMIFS(Data!$H$2:$H$25001,Data!$B$2:$B$25001,$A24,Data!$A$2:$A$25001,"&gt;="&amp;DATE(Dashboard!$B$2,10,1)&amp;"",Data!$A$2:$A$25001,"&lt;"&amp;DATE(Dashboard!$B$2,10+1,1)&amp;""))</f>
        <v/>
      </c>
      <c r="L24" s="45">
        <f>IF($A24="","",SUMIFS(Data!$H$2:$H$25001,Data!$B$2:$B$25001,$A24,Data!$A$2:$A$25001,"&gt;="&amp;DATE(Dashboard!$B$2,11,1)&amp;"",Data!$A$2:$A$25001,"&lt;"&amp;DATE(Dashboard!$B$2,11+1,1)&amp;""))</f>
        <v/>
      </c>
      <c r="M24" s="45">
        <f>IF($A24="","",SUMIFS(Data!$H$2:$H$25001,Data!$B$2:$B$25001,$A24,Data!$A$2:$A$25001,"&gt;="&amp;DATE(Dashboard!$B$2,12,1)&amp;"",Data!$A$2:$A$25001,"&lt;"&amp;DATE(Dashboard!$B$2,12+1,1)&amp;""))</f>
        <v/>
      </c>
      <c r="N24" s="46">
        <f>IF($A24="","",SUM(B24:M24))</f>
        <v/>
      </c>
      <c r="O24" s="45">
        <f>IF($A24="","",SUMIFS(Data!$H$2:$H$25001,Data!$B$2:$B$25001,$A24,Data!$D$2:$D$25001,"Werken",Data!$A$2:$A$25001,"&gt;="&amp;DATE(Dashboard!$B$2,1,1)&amp;"",Data!$A$2:$A$25001,"&lt;"&amp;DATE(Dashboard!$B$2+1,1,1)&amp;""))</f>
        <v/>
      </c>
      <c r="P24" s="45">
        <f>IF($A24="","",SUMIFS(Data!$H$2:$H$25001,Data!$B$2:$B$25001,$A24,Data!$D$2:$D$25001,"Reistijd",Data!$A$2:$A$25001,"&gt;="&amp;DATE(Dashboard!$B$2,1,1)&amp;"",Data!$A$2:$A$25001,"&lt;"&amp;DATE(Dashboard!$B$2+1,1,1)&amp;""))</f>
        <v/>
      </c>
      <c r="Q24" s="55">
        <f>IF(OR($A24="",N24=0),"",O24/N24)</f>
        <v/>
      </c>
    </row>
    <row r="25" ht="15" customHeight="1" s="30">
      <c r="A25" s="49" t="n"/>
      <c r="B25" s="50">
        <f>IF($A25="","",SUMIFS(Data!$H$2:$H$25001,Data!$B$2:$B$25001,$A25,Data!$A$2:$A$25001,"&gt;="&amp;DATE(Dashboard!$B$2,1,1)&amp;"",Data!$A$2:$A$25001,"&lt;"&amp;DATE(Dashboard!$B$2,1+1,1)&amp;""))</f>
        <v/>
      </c>
      <c r="C25" s="50">
        <f>IF($A25="","",SUMIFS(Data!$H$2:$H$25001,Data!$B$2:$B$25001,$A25,Data!$A$2:$A$25001,"&gt;="&amp;DATE(Dashboard!$B$2,2,1)&amp;"",Data!$A$2:$A$25001,"&lt;"&amp;DATE(Dashboard!$B$2,2+1,1)&amp;""))</f>
        <v/>
      </c>
      <c r="D25" s="50">
        <f>IF($A25="","",SUMIFS(Data!$H$2:$H$25001,Data!$B$2:$B$25001,$A25,Data!$A$2:$A$25001,"&gt;="&amp;DATE(Dashboard!$B$2,3,1)&amp;"",Data!$A$2:$A$25001,"&lt;"&amp;DATE(Dashboard!$B$2,3+1,1)&amp;""))</f>
        <v/>
      </c>
      <c r="E25" s="50">
        <f>IF($A25="","",SUMIFS(Data!$H$2:$H$25001,Data!$B$2:$B$25001,$A25,Data!$A$2:$A$25001,"&gt;="&amp;DATE(Dashboard!$B$2,4,1)&amp;"",Data!$A$2:$A$25001,"&lt;"&amp;DATE(Dashboard!$B$2,4+1,1)&amp;""))</f>
        <v/>
      </c>
      <c r="F25" s="50">
        <f>IF($A25="","",SUMIFS(Data!$H$2:$H$25001,Data!$B$2:$B$25001,$A25,Data!$A$2:$A$25001,"&gt;="&amp;DATE(Dashboard!$B$2,5,1)&amp;"",Data!$A$2:$A$25001,"&lt;"&amp;DATE(Dashboard!$B$2,5+1,1)&amp;""))</f>
        <v/>
      </c>
      <c r="G25" s="50">
        <f>IF($A25="","",SUMIFS(Data!$H$2:$H$25001,Data!$B$2:$B$25001,$A25,Data!$A$2:$A$25001,"&gt;="&amp;DATE(Dashboard!$B$2,6,1)&amp;"",Data!$A$2:$A$25001,"&lt;"&amp;DATE(Dashboard!$B$2,6+1,1)&amp;""))</f>
        <v/>
      </c>
      <c r="H25" s="50">
        <f>IF($A25="","",SUMIFS(Data!$H$2:$H$25001,Data!$B$2:$B$25001,$A25,Data!$A$2:$A$25001,"&gt;="&amp;DATE(Dashboard!$B$2,7,1)&amp;"",Data!$A$2:$A$25001,"&lt;"&amp;DATE(Dashboard!$B$2,7+1,1)&amp;""))</f>
        <v/>
      </c>
      <c r="I25" s="50">
        <f>IF($A25="","",SUMIFS(Data!$H$2:$H$25001,Data!$B$2:$B$25001,$A25,Data!$A$2:$A$25001,"&gt;="&amp;DATE(Dashboard!$B$2,8,1)&amp;"",Data!$A$2:$A$25001,"&lt;"&amp;DATE(Dashboard!$B$2,8+1,1)&amp;""))</f>
        <v/>
      </c>
      <c r="J25" s="50">
        <f>IF($A25="","",SUMIFS(Data!$H$2:$H$25001,Data!$B$2:$B$25001,$A25,Data!$A$2:$A$25001,"&gt;="&amp;DATE(Dashboard!$B$2,9,1)&amp;"",Data!$A$2:$A$25001,"&lt;"&amp;DATE(Dashboard!$B$2,9+1,1)&amp;""))</f>
        <v/>
      </c>
      <c r="K25" s="50">
        <f>IF($A25="","",SUMIFS(Data!$H$2:$H$25001,Data!$B$2:$B$25001,$A25,Data!$A$2:$A$25001,"&gt;="&amp;DATE(Dashboard!$B$2,10,1)&amp;"",Data!$A$2:$A$25001,"&lt;"&amp;DATE(Dashboard!$B$2,10+1,1)&amp;""))</f>
        <v/>
      </c>
      <c r="L25" s="50">
        <f>IF($A25="","",SUMIFS(Data!$H$2:$H$25001,Data!$B$2:$B$25001,$A25,Data!$A$2:$A$25001,"&gt;="&amp;DATE(Dashboard!$B$2,11,1)&amp;"",Data!$A$2:$A$25001,"&lt;"&amp;DATE(Dashboard!$B$2,11+1,1)&amp;""))</f>
        <v/>
      </c>
      <c r="M25" s="50">
        <f>IF($A25="","",SUMIFS(Data!$H$2:$H$25001,Data!$B$2:$B$25001,$A25,Data!$A$2:$A$25001,"&gt;="&amp;DATE(Dashboard!$B$2,12,1)&amp;"",Data!$A$2:$A$25001,"&lt;"&amp;DATE(Dashboard!$B$2,12+1,1)&amp;""))</f>
        <v/>
      </c>
      <c r="N25" s="46">
        <f>IF($A25="","",SUM(B25:M25))</f>
        <v/>
      </c>
      <c r="O25" s="45">
        <f>IF($A25="","",SUMIFS(Data!$H$2:$H$25001,Data!$B$2:$B$25001,$A25,Data!$D$2:$D$25001,"Werken",Data!$A$2:$A$25001,"&gt;="&amp;DATE(Dashboard!$B$2,1,1)&amp;"",Data!$A$2:$A$25001,"&lt;"&amp;DATE(Dashboard!$B$2+1,1,1)&amp;""))</f>
        <v/>
      </c>
      <c r="P25" s="45">
        <f>IF($A25="","",SUMIFS(Data!$H$2:$H$25001,Data!$B$2:$B$25001,$A25,Data!$D$2:$D$25001,"Reistijd",Data!$A$2:$A$25001,"&gt;="&amp;DATE(Dashboard!$B$2,1,1)&amp;"",Data!$A$2:$A$25001,"&lt;"&amp;DATE(Dashboard!$B$2+1,1,1)&amp;""))</f>
        <v/>
      </c>
      <c r="Q25" s="55">
        <f>IF(OR($A25="",N25=0),"",O25/N25)</f>
        <v/>
      </c>
    </row>
    <row r="26" ht="15" customHeight="1" s="30">
      <c r="A26" s="49" t="n"/>
      <c r="B26" s="45">
        <f>IF($A26="","",SUMIFS(Data!$H$2:$H$25001,Data!$B$2:$B$25001,$A26,Data!$A$2:$A$25001,"&gt;="&amp;DATE(Dashboard!$B$2,1,1)&amp;"",Data!$A$2:$A$25001,"&lt;"&amp;DATE(Dashboard!$B$2,1+1,1)&amp;""))</f>
        <v/>
      </c>
      <c r="C26" s="45">
        <f>IF($A26="","",SUMIFS(Data!$H$2:$H$25001,Data!$B$2:$B$25001,$A26,Data!$A$2:$A$25001,"&gt;="&amp;DATE(Dashboard!$B$2,2,1)&amp;"",Data!$A$2:$A$25001,"&lt;"&amp;DATE(Dashboard!$B$2,2+1,1)&amp;""))</f>
        <v/>
      </c>
      <c r="D26" s="45">
        <f>IF($A26="","",SUMIFS(Data!$H$2:$H$25001,Data!$B$2:$B$25001,$A26,Data!$A$2:$A$25001,"&gt;="&amp;DATE(Dashboard!$B$2,3,1)&amp;"",Data!$A$2:$A$25001,"&lt;"&amp;DATE(Dashboard!$B$2,3+1,1)&amp;""))</f>
        <v/>
      </c>
      <c r="E26" s="45">
        <f>IF($A26="","",SUMIFS(Data!$H$2:$H$25001,Data!$B$2:$B$25001,$A26,Data!$A$2:$A$25001,"&gt;="&amp;DATE(Dashboard!$B$2,4,1)&amp;"",Data!$A$2:$A$25001,"&lt;"&amp;DATE(Dashboard!$B$2,4+1,1)&amp;""))</f>
        <v/>
      </c>
      <c r="F26" s="45">
        <f>IF($A26="","",SUMIFS(Data!$H$2:$H$25001,Data!$B$2:$B$25001,$A26,Data!$A$2:$A$25001,"&gt;="&amp;DATE(Dashboard!$B$2,5,1)&amp;"",Data!$A$2:$A$25001,"&lt;"&amp;DATE(Dashboard!$B$2,5+1,1)&amp;""))</f>
        <v/>
      </c>
      <c r="G26" s="45">
        <f>IF($A26="","",SUMIFS(Data!$H$2:$H$25001,Data!$B$2:$B$25001,$A26,Data!$A$2:$A$25001,"&gt;="&amp;DATE(Dashboard!$B$2,6,1)&amp;"",Data!$A$2:$A$25001,"&lt;"&amp;DATE(Dashboard!$B$2,6+1,1)&amp;""))</f>
        <v/>
      </c>
      <c r="H26" s="45">
        <f>IF($A26="","",SUMIFS(Data!$H$2:$H$25001,Data!$B$2:$B$25001,$A26,Data!$A$2:$A$25001,"&gt;="&amp;DATE(Dashboard!$B$2,7,1)&amp;"",Data!$A$2:$A$25001,"&lt;"&amp;DATE(Dashboard!$B$2,7+1,1)&amp;""))</f>
        <v/>
      </c>
      <c r="I26" s="45">
        <f>IF($A26="","",SUMIFS(Data!$H$2:$H$25001,Data!$B$2:$B$25001,$A26,Data!$A$2:$A$25001,"&gt;="&amp;DATE(Dashboard!$B$2,8,1)&amp;"",Data!$A$2:$A$25001,"&lt;"&amp;DATE(Dashboard!$B$2,8+1,1)&amp;""))</f>
        <v/>
      </c>
      <c r="J26" s="45">
        <f>IF($A26="","",SUMIFS(Data!$H$2:$H$25001,Data!$B$2:$B$25001,$A26,Data!$A$2:$A$25001,"&gt;="&amp;DATE(Dashboard!$B$2,9,1)&amp;"",Data!$A$2:$A$25001,"&lt;"&amp;DATE(Dashboard!$B$2,9+1,1)&amp;""))</f>
        <v/>
      </c>
      <c r="K26" s="45">
        <f>IF($A26="","",SUMIFS(Data!$H$2:$H$25001,Data!$B$2:$B$25001,$A26,Data!$A$2:$A$25001,"&gt;="&amp;DATE(Dashboard!$B$2,10,1)&amp;"",Data!$A$2:$A$25001,"&lt;"&amp;DATE(Dashboard!$B$2,10+1,1)&amp;""))</f>
        <v/>
      </c>
      <c r="L26" s="45">
        <f>IF($A26="","",SUMIFS(Data!$H$2:$H$25001,Data!$B$2:$B$25001,$A26,Data!$A$2:$A$25001,"&gt;="&amp;DATE(Dashboard!$B$2,11,1)&amp;"",Data!$A$2:$A$25001,"&lt;"&amp;DATE(Dashboard!$B$2,11+1,1)&amp;""))</f>
        <v/>
      </c>
      <c r="M26" s="45">
        <f>IF($A26="","",SUMIFS(Data!$H$2:$H$25001,Data!$B$2:$B$25001,$A26,Data!$A$2:$A$25001,"&gt;="&amp;DATE(Dashboard!$B$2,12,1)&amp;"",Data!$A$2:$A$25001,"&lt;"&amp;DATE(Dashboard!$B$2,12+1,1)&amp;""))</f>
        <v/>
      </c>
      <c r="N26" s="46">
        <f>IF($A26="","",SUM(B26:M26))</f>
        <v/>
      </c>
      <c r="O26" s="45">
        <f>IF($A26="","",SUMIFS(Data!$H$2:$H$25001,Data!$B$2:$B$25001,$A26,Data!$D$2:$D$25001,"Werken",Data!$A$2:$A$25001,"&gt;="&amp;DATE(Dashboard!$B$2,1,1)&amp;"",Data!$A$2:$A$25001,"&lt;"&amp;DATE(Dashboard!$B$2+1,1,1)&amp;""))</f>
        <v/>
      </c>
      <c r="P26" s="45">
        <f>IF($A26="","",SUMIFS(Data!$H$2:$H$25001,Data!$B$2:$B$25001,$A26,Data!$D$2:$D$25001,"Reistijd",Data!$A$2:$A$25001,"&gt;="&amp;DATE(Dashboard!$B$2,1,1)&amp;"",Data!$A$2:$A$25001,"&lt;"&amp;DATE(Dashboard!$B$2+1,1,1)&amp;""))</f>
        <v/>
      </c>
      <c r="Q26" s="55">
        <f>IF(OR($A26="",N26=0),"",O26/N26)</f>
        <v/>
      </c>
    </row>
    <row r="27" ht="15" customHeight="1" s="30">
      <c r="A27" s="49" t="n"/>
      <c r="B27" s="50">
        <f>IF($A27="","",SUMIFS(Data!$H$2:$H$25001,Data!$B$2:$B$25001,$A27,Data!$A$2:$A$25001,"&gt;="&amp;DATE(Dashboard!$B$2,1,1)&amp;"",Data!$A$2:$A$25001,"&lt;"&amp;DATE(Dashboard!$B$2,1+1,1)&amp;""))</f>
        <v/>
      </c>
      <c r="C27" s="50">
        <f>IF($A27="","",SUMIFS(Data!$H$2:$H$25001,Data!$B$2:$B$25001,$A27,Data!$A$2:$A$25001,"&gt;="&amp;DATE(Dashboard!$B$2,2,1)&amp;"",Data!$A$2:$A$25001,"&lt;"&amp;DATE(Dashboard!$B$2,2+1,1)&amp;""))</f>
        <v/>
      </c>
      <c r="D27" s="50">
        <f>IF($A27="","",SUMIFS(Data!$H$2:$H$25001,Data!$B$2:$B$25001,$A27,Data!$A$2:$A$25001,"&gt;="&amp;DATE(Dashboard!$B$2,3,1)&amp;"",Data!$A$2:$A$25001,"&lt;"&amp;DATE(Dashboard!$B$2,3+1,1)&amp;""))</f>
        <v/>
      </c>
      <c r="E27" s="50">
        <f>IF($A27="","",SUMIFS(Data!$H$2:$H$25001,Data!$B$2:$B$25001,$A27,Data!$A$2:$A$25001,"&gt;="&amp;DATE(Dashboard!$B$2,4,1)&amp;"",Data!$A$2:$A$25001,"&lt;"&amp;DATE(Dashboard!$B$2,4+1,1)&amp;""))</f>
        <v/>
      </c>
      <c r="F27" s="50">
        <f>IF($A27="","",SUMIFS(Data!$H$2:$H$25001,Data!$B$2:$B$25001,$A27,Data!$A$2:$A$25001,"&gt;="&amp;DATE(Dashboard!$B$2,5,1)&amp;"",Data!$A$2:$A$25001,"&lt;"&amp;DATE(Dashboard!$B$2,5+1,1)&amp;""))</f>
        <v/>
      </c>
      <c r="G27" s="50">
        <f>IF($A27="","",SUMIFS(Data!$H$2:$H$25001,Data!$B$2:$B$25001,$A27,Data!$A$2:$A$25001,"&gt;="&amp;DATE(Dashboard!$B$2,6,1)&amp;"",Data!$A$2:$A$25001,"&lt;"&amp;DATE(Dashboard!$B$2,6+1,1)&amp;""))</f>
        <v/>
      </c>
      <c r="H27" s="50">
        <f>IF($A27="","",SUMIFS(Data!$H$2:$H$25001,Data!$B$2:$B$25001,$A27,Data!$A$2:$A$25001,"&gt;="&amp;DATE(Dashboard!$B$2,7,1)&amp;"",Data!$A$2:$A$25001,"&lt;"&amp;DATE(Dashboard!$B$2,7+1,1)&amp;""))</f>
        <v/>
      </c>
      <c r="I27" s="50">
        <f>IF($A27="","",SUMIFS(Data!$H$2:$H$25001,Data!$B$2:$B$25001,$A27,Data!$A$2:$A$25001,"&gt;="&amp;DATE(Dashboard!$B$2,8,1)&amp;"",Data!$A$2:$A$25001,"&lt;"&amp;DATE(Dashboard!$B$2,8+1,1)&amp;""))</f>
        <v/>
      </c>
      <c r="J27" s="50">
        <f>IF($A27="","",SUMIFS(Data!$H$2:$H$25001,Data!$B$2:$B$25001,$A27,Data!$A$2:$A$25001,"&gt;="&amp;DATE(Dashboard!$B$2,9,1)&amp;"",Data!$A$2:$A$25001,"&lt;"&amp;DATE(Dashboard!$B$2,9+1,1)&amp;""))</f>
        <v/>
      </c>
      <c r="K27" s="50">
        <f>IF($A27="","",SUMIFS(Data!$H$2:$H$25001,Data!$B$2:$B$25001,$A27,Data!$A$2:$A$25001,"&gt;="&amp;DATE(Dashboard!$B$2,10,1)&amp;"",Data!$A$2:$A$25001,"&lt;"&amp;DATE(Dashboard!$B$2,10+1,1)&amp;""))</f>
        <v/>
      </c>
      <c r="L27" s="50">
        <f>IF($A27="","",SUMIFS(Data!$H$2:$H$25001,Data!$B$2:$B$25001,$A27,Data!$A$2:$A$25001,"&gt;="&amp;DATE(Dashboard!$B$2,11,1)&amp;"",Data!$A$2:$A$25001,"&lt;"&amp;DATE(Dashboard!$B$2,11+1,1)&amp;""))</f>
        <v/>
      </c>
      <c r="M27" s="50">
        <f>IF($A27="","",SUMIFS(Data!$H$2:$H$25001,Data!$B$2:$B$25001,$A27,Data!$A$2:$A$25001,"&gt;="&amp;DATE(Dashboard!$B$2,12,1)&amp;"",Data!$A$2:$A$25001,"&lt;"&amp;DATE(Dashboard!$B$2,12+1,1)&amp;""))</f>
        <v/>
      </c>
      <c r="N27" s="46">
        <f>IF($A27="","",SUM(B27:M27))</f>
        <v/>
      </c>
      <c r="O27" s="45">
        <f>IF($A27="","",SUMIFS(Data!$H$2:$H$25001,Data!$B$2:$B$25001,$A27,Data!$D$2:$D$25001,"Werken",Data!$A$2:$A$25001,"&gt;="&amp;DATE(Dashboard!$B$2,1,1)&amp;"",Data!$A$2:$A$25001,"&lt;"&amp;DATE(Dashboard!$B$2+1,1,1)&amp;""))</f>
        <v/>
      </c>
      <c r="P27" s="45">
        <f>IF($A27="","",SUMIFS(Data!$H$2:$H$25001,Data!$B$2:$B$25001,$A27,Data!$D$2:$D$25001,"Reistijd",Data!$A$2:$A$25001,"&gt;="&amp;DATE(Dashboard!$B$2,1,1)&amp;"",Data!$A$2:$A$25001,"&lt;"&amp;DATE(Dashboard!$B$2+1,1,1)&amp;""))</f>
        <v/>
      </c>
      <c r="Q27" s="55">
        <f>IF(OR($A27="",N27=0),"",O27/N27)</f>
        <v/>
      </c>
    </row>
    <row r="28" ht="15" customHeight="1" s="30">
      <c r="A28" s="49" t="n"/>
      <c r="B28" s="45">
        <f>IF($A28="","",SUMIFS(Data!$H$2:$H$25001,Data!$B$2:$B$25001,$A28,Data!$A$2:$A$25001,"&gt;="&amp;DATE(Dashboard!$B$2,1,1)&amp;"",Data!$A$2:$A$25001,"&lt;"&amp;DATE(Dashboard!$B$2,1+1,1)&amp;""))</f>
        <v/>
      </c>
      <c r="C28" s="45">
        <f>IF($A28="","",SUMIFS(Data!$H$2:$H$25001,Data!$B$2:$B$25001,$A28,Data!$A$2:$A$25001,"&gt;="&amp;DATE(Dashboard!$B$2,2,1)&amp;"",Data!$A$2:$A$25001,"&lt;"&amp;DATE(Dashboard!$B$2,2+1,1)&amp;""))</f>
        <v/>
      </c>
      <c r="D28" s="45">
        <f>IF($A28="","",SUMIFS(Data!$H$2:$H$25001,Data!$B$2:$B$25001,$A28,Data!$A$2:$A$25001,"&gt;="&amp;DATE(Dashboard!$B$2,3,1)&amp;"",Data!$A$2:$A$25001,"&lt;"&amp;DATE(Dashboard!$B$2,3+1,1)&amp;""))</f>
        <v/>
      </c>
      <c r="E28" s="45">
        <f>IF($A28="","",SUMIFS(Data!$H$2:$H$25001,Data!$B$2:$B$25001,$A28,Data!$A$2:$A$25001,"&gt;="&amp;DATE(Dashboard!$B$2,4,1)&amp;"",Data!$A$2:$A$25001,"&lt;"&amp;DATE(Dashboard!$B$2,4+1,1)&amp;""))</f>
        <v/>
      </c>
      <c r="F28" s="45">
        <f>IF($A28="","",SUMIFS(Data!$H$2:$H$25001,Data!$B$2:$B$25001,$A28,Data!$A$2:$A$25001,"&gt;="&amp;DATE(Dashboard!$B$2,5,1)&amp;"",Data!$A$2:$A$25001,"&lt;"&amp;DATE(Dashboard!$B$2,5+1,1)&amp;""))</f>
        <v/>
      </c>
      <c r="G28" s="45">
        <f>IF($A28="","",SUMIFS(Data!$H$2:$H$25001,Data!$B$2:$B$25001,$A28,Data!$A$2:$A$25001,"&gt;="&amp;DATE(Dashboard!$B$2,6,1)&amp;"",Data!$A$2:$A$25001,"&lt;"&amp;DATE(Dashboard!$B$2,6+1,1)&amp;""))</f>
        <v/>
      </c>
      <c r="H28" s="45">
        <f>IF($A28="","",SUMIFS(Data!$H$2:$H$25001,Data!$B$2:$B$25001,$A28,Data!$A$2:$A$25001,"&gt;="&amp;DATE(Dashboard!$B$2,7,1)&amp;"",Data!$A$2:$A$25001,"&lt;"&amp;DATE(Dashboard!$B$2,7+1,1)&amp;""))</f>
        <v/>
      </c>
      <c r="I28" s="45">
        <f>IF($A28="","",SUMIFS(Data!$H$2:$H$25001,Data!$B$2:$B$25001,$A28,Data!$A$2:$A$25001,"&gt;="&amp;DATE(Dashboard!$B$2,8,1)&amp;"",Data!$A$2:$A$25001,"&lt;"&amp;DATE(Dashboard!$B$2,8+1,1)&amp;""))</f>
        <v/>
      </c>
      <c r="J28" s="45">
        <f>IF($A28="","",SUMIFS(Data!$H$2:$H$25001,Data!$B$2:$B$25001,$A28,Data!$A$2:$A$25001,"&gt;="&amp;DATE(Dashboard!$B$2,9,1)&amp;"",Data!$A$2:$A$25001,"&lt;"&amp;DATE(Dashboard!$B$2,9+1,1)&amp;""))</f>
        <v/>
      </c>
      <c r="K28" s="45">
        <f>IF($A28="","",SUMIFS(Data!$H$2:$H$25001,Data!$B$2:$B$25001,$A28,Data!$A$2:$A$25001,"&gt;="&amp;DATE(Dashboard!$B$2,10,1)&amp;"",Data!$A$2:$A$25001,"&lt;"&amp;DATE(Dashboard!$B$2,10+1,1)&amp;""))</f>
        <v/>
      </c>
      <c r="L28" s="45">
        <f>IF($A28="","",SUMIFS(Data!$H$2:$H$25001,Data!$B$2:$B$25001,$A28,Data!$A$2:$A$25001,"&gt;="&amp;DATE(Dashboard!$B$2,11,1)&amp;"",Data!$A$2:$A$25001,"&lt;"&amp;DATE(Dashboard!$B$2,11+1,1)&amp;""))</f>
        <v/>
      </c>
      <c r="M28" s="45">
        <f>IF($A28="","",SUMIFS(Data!$H$2:$H$25001,Data!$B$2:$B$25001,$A28,Data!$A$2:$A$25001,"&gt;="&amp;DATE(Dashboard!$B$2,12,1)&amp;"",Data!$A$2:$A$25001,"&lt;"&amp;DATE(Dashboard!$B$2,12+1,1)&amp;""))</f>
        <v/>
      </c>
      <c r="N28" s="46">
        <f>IF($A28="","",SUM(B28:M28))</f>
        <v/>
      </c>
      <c r="O28" s="45">
        <f>IF($A28="","",SUMIFS(Data!$H$2:$H$25001,Data!$B$2:$B$25001,$A28,Data!$D$2:$D$25001,"Werken",Data!$A$2:$A$25001,"&gt;="&amp;DATE(Dashboard!$B$2,1,1)&amp;"",Data!$A$2:$A$25001,"&lt;"&amp;DATE(Dashboard!$B$2+1,1,1)&amp;""))</f>
        <v/>
      </c>
      <c r="P28" s="45">
        <f>IF($A28="","",SUMIFS(Data!$H$2:$H$25001,Data!$B$2:$B$25001,$A28,Data!$D$2:$D$25001,"Reistijd",Data!$A$2:$A$25001,"&gt;="&amp;DATE(Dashboard!$B$2,1,1)&amp;"",Data!$A$2:$A$25001,"&lt;"&amp;DATE(Dashboard!$B$2+1,1,1)&amp;""))</f>
        <v/>
      </c>
      <c r="Q28" s="55">
        <f>IF(OR($A28="",N28=0),"",O28/N28)</f>
        <v/>
      </c>
    </row>
    <row r="29" ht="15" customHeight="1" s="30">
      <c r="A29" s="49" t="n"/>
      <c r="B29" s="50">
        <f>IF($A29="","",SUMIFS(Data!$H$2:$H$25001,Data!$B$2:$B$25001,$A29,Data!$A$2:$A$25001,"&gt;="&amp;DATE(Dashboard!$B$2,1,1)&amp;"",Data!$A$2:$A$25001,"&lt;"&amp;DATE(Dashboard!$B$2,1+1,1)&amp;""))</f>
        <v/>
      </c>
      <c r="C29" s="50">
        <f>IF($A29="","",SUMIFS(Data!$H$2:$H$25001,Data!$B$2:$B$25001,$A29,Data!$A$2:$A$25001,"&gt;="&amp;DATE(Dashboard!$B$2,2,1)&amp;"",Data!$A$2:$A$25001,"&lt;"&amp;DATE(Dashboard!$B$2,2+1,1)&amp;""))</f>
        <v/>
      </c>
      <c r="D29" s="50">
        <f>IF($A29="","",SUMIFS(Data!$H$2:$H$25001,Data!$B$2:$B$25001,$A29,Data!$A$2:$A$25001,"&gt;="&amp;DATE(Dashboard!$B$2,3,1)&amp;"",Data!$A$2:$A$25001,"&lt;"&amp;DATE(Dashboard!$B$2,3+1,1)&amp;""))</f>
        <v/>
      </c>
      <c r="E29" s="50">
        <f>IF($A29="","",SUMIFS(Data!$H$2:$H$25001,Data!$B$2:$B$25001,$A29,Data!$A$2:$A$25001,"&gt;="&amp;DATE(Dashboard!$B$2,4,1)&amp;"",Data!$A$2:$A$25001,"&lt;"&amp;DATE(Dashboard!$B$2,4+1,1)&amp;""))</f>
        <v/>
      </c>
      <c r="F29" s="50">
        <f>IF($A29="","",SUMIFS(Data!$H$2:$H$25001,Data!$B$2:$B$25001,$A29,Data!$A$2:$A$25001,"&gt;="&amp;DATE(Dashboard!$B$2,5,1)&amp;"",Data!$A$2:$A$25001,"&lt;"&amp;DATE(Dashboard!$B$2,5+1,1)&amp;""))</f>
        <v/>
      </c>
      <c r="G29" s="50">
        <f>IF($A29="","",SUMIFS(Data!$H$2:$H$25001,Data!$B$2:$B$25001,$A29,Data!$A$2:$A$25001,"&gt;="&amp;DATE(Dashboard!$B$2,6,1)&amp;"",Data!$A$2:$A$25001,"&lt;"&amp;DATE(Dashboard!$B$2,6+1,1)&amp;""))</f>
        <v/>
      </c>
      <c r="H29" s="50">
        <f>IF($A29="","",SUMIFS(Data!$H$2:$H$25001,Data!$B$2:$B$25001,$A29,Data!$A$2:$A$25001,"&gt;="&amp;DATE(Dashboard!$B$2,7,1)&amp;"",Data!$A$2:$A$25001,"&lt;"&amp;DATE(Dashboard!$B$2,7+1,1)&amp;""))</f>
        <v/>
      </c>
      <c r="I29" s="50">
        <f>IF($A29="","",SUMIFS(Data!$H$2:$H$25001,Data!$B$2:$B$25001,$A29,Data!$A$2:$A$25001,"&gt;="&amp;DATE(Dashboard!$B$2,8,1)&amp;"",Data!$A$2:$A$25001,"&lt;"&amp;DATE(Dashboard!$B$2,8+1,1)&amp;""))</f>
        <v/>
      </c>
      <c r="J29" s="50">
        <f>IF($A29="","",SUMIFS(Data!$H$2:$H$25001,Data!$B$2:$B$25001,$A29,Data!$A$2:$A$25001,"&gt;="&amp;DATE(Dashboard!$B$2,9,1)&amp;"",Data!$A$2:$A$25001,"&lt;"&amp;DATE(Dashboard!$B$2,9+1,1)&amp;""))</f>
        <v/>
      </c>
      <c r="K29" s="50">
        <f>IF($A29="","",SUMIFS(Data!$H$2:$H$25001,Data!$B$2:$B$25001,$A29,Data!$A$2:$A$25001,"&gt;="&amp;DATE(Dashboard!$B$2,10,1)&amp;"",Data!$A$2:$A$25001,"&lt;"&amp;DATE(Dashboard!$B$2,10+1,1)&amp;""))</f>
        <v/>
      </c>
      <c r="L29" s="50">
        <f>IF($A29="","",SUMIFS(Data!$H$2:$H$25001,Data!$B$2:$B$25001,$A29,Data!$A$2:$A$25001,"&gt;="&amp;DATE(Dashboard!$B$2,11,1)&amp;"",Data!$A$2:$A$25001,"&lt;"&amp;DATE(Dashboard!$B$2,11+1,1)&amp;""))</f>
        <v/>
      </c>
      <c r="M29" s="50">
        <f>IF($A29="","",SUMIFS(Data!$H$2:$H$25001,Data!$B$2:$B$25001,$A29,Data!$A$2:$A$25001,"&gt;="&amp;DATE(Dashboard!$B$2,12,1)&amp;"",Data!$A$2:$A$25001,"&lt;"&amp;DATE(Dashboard!$B$2,12+1,1)&amp;""))</f>
        <v/>
      </c>
      <c r="N29" s="46">
        <f>IF($A29="","",SUM(B29:M29))</f>
        <v/>
      </c>
      <c r="O29" s="45">
        <f>IF($A29="","",SUMIFS(Data!$H$2:$H$25001,Data!$B$2:$B$25001,$A29,Data!$D$2:$D$25001,"Werken",Data!$A$2:$A$25001,"&gt;="&amp;DATE(Dashboard!$B$2,1,1)&amp;"",Data!$A$2:$A$25001,"&lt;"&amp;DATE(Dashboard!$B$2+1,1,1)&amp;""))</f>
        <v/>
      </c>
      <c r="P29" s="45">
        <f>IF($A29="","",SUMIFS(Data!$H$2:$H$25001,Data!$B$2:$B$25001,$A29,Data!$D$2:$D$25001,"Reistijd",Data!$A$2:$A$25001,"&gt;="&amp;DATE(Dashboard!$B$2,1,1)&amp;"",Data!$A$2:$A$25001,"&lt;"&amp;DATE(Dashboard!$B$2+1,1,1)&amp;""))</f>
        <v/>
      </c>
      <c r="Q29" s="55">
        <f>IF(OR($A29="",N29=0),"",O29/N29)</f>
        <v/>
      </c>
    </row>
    <row r="30" ht="15" customHeight="1" s="30">
      <c r="A30" s="49" t="n"/>
      <c r="B30" s="45">
        <f>IF($A30="","",SUMIFS(Data!$H$2:$H$25001,Data!$B$2:$B$25001,$A30,Data!$A$2:$A$25001,"&gt;="&amp;DATE(Dashboard!$B$2,1,1)&amp;"",Data!$A$2:$A$25001,"&lt;"&amp;DATE(Dashboard!$B$2,1+1,1)&amp;""))</f>
        <v/>
      </c>
      <c r="C30" s="45">
        <f>IF($A30="","",SUMIFS(Data!$H$2:$H$25001,Data!$B$2:$B$25001,$A30,Data!$A$2:$A$25001,"&gt;="&amp;DATE(Dashboard!$B$2,2,1)&amp;"",Data!$A$2:$A$25001,"&lt;"&amp;DATE(Dashboard!$B$2,2+1,1)&amp;""))</f>
        <v/>
      </c>
      <c r="D30" s="45">
        <f>IF($A30="","",SUMIFS(Data!$H$2:$H$25001,Data!$B$2:$B$25001,$A30,Data!$A$2:$A$25001,"&gt;="&amp;DATE(Dashboard!$B$2,3,1)&amp;"",Data!$A$2:$A$25001,"&lt;"&amp;DATE(Dashboard!$B$2,3+1,1)&amp;""))</f>
        <v/>
      </c>
      <c r="E30" s="45">
        <f>IF($A30="","",SUMIFS(Data!$H$2:$H$25001,Data!$B$2:$B$25001,$A30,Data!$A$2:$A$25001,"&gt;="&amp;DATE(Dashboard!$B$2,4,1)&amp;"",Data!$A$2:$A$25001,"&lt;"&amp;DATE(Dashboard!$B$2,4+1,1)&amp;""))</f>
        <v/>
      </c>
      <c r="F30" s="45">
        <f>IF($A30="","",SUMIFS(Data!$H$2:$H$25001,Data!$B$2:$B$25001,$A30,Data!$A$2:$A$25001,"&gt;="&amp;DATE(Dashboard!$B$2,5,1)&amp;"",Data!$A$2:$A$25001,"&lt;"&amp;DATE(Dashboard!$B$2,5+1,1)&amp;""))</f>
        <v/>
      </c>
      <c r="G30" s="45">
        <f>IF($A30="","",SUMIFS(Data!$H$2:$H$25001,Data!$B$2:$B$25001,$A30,Data!$A$2:$A$25001,"&gt;="&amp;DATE(Dashboard!$B$2,6,1)&amp;"",Data!$A$2:$A$25001,"&lt;"&amp;DATE(Dashboard!$B$2,6+1,1)&amp;""))</f>
        <v/>
      </c>
      <c r="H30" s="45">
        <f>IF($A30="","",SUMIFS(Data!$H$2:$H$25001,Data!$B$2:$B$25001,$A30,Data!$A$2:$A$25001,"&gt;="&amp;DATE(Dashboard!$B$2,7,1)&amp;"",Data!$A$2:$A$25001,"&lt;"&amp;DATE(Dashboard!$B$2,7+1,1)&amp;""))</f>
        <v/>
      </c>
      <c r="I30" s="45">
        <f>IF($A30="","",SUMIFS(Data!$H$2:$H$25001,Data!$B$2:$B$25001,$A30,Data!$A$2:$A$25001,"&gt;="&amp;DATE(Dashboard!$B$2,8,1)&amp;"",Data!$A$2:$A$25001,"&lt;"&amp;DATE(Dashboard!$B$2,8+1,1)&amp;""))</f>
        <v/>
      </c>
      <c r="J30" s="45">
        <f>IF($A30="","",SUMIFS(Data!$H$2:$H$25001,Data!$B$2:$B$25001,$A30,Data!$A$2:$A$25001,"&gt;="&amp;DATE(Dashboard!$B$2,9,1)&amp;"",Data!$A$2:$A$25001,"&lt;"&amp;DATE(Dashboard!$B$2,9+1,1)&amp;""))</f>
        <v/>
      </c>
      <c r="K30" s="45">
        <f>IF($A30="","",SUMIFS(Data!$H$2:$H$25001,Data!$B$2:$B$25001,$A30,Data!$A$2:$A$25001,"&gt;="&amp;DATE(Dashboard!$B$2,10,1)&amp;"",Data!$A$2:$A$25001,"&lt;"&amp;DATE(Dashboard!$B$2,10+1,1)&amp;""))</f>
        <v/>
      </c>
      <c r="L30" s="45">
        <f>IF($A30="","",SUMIFS(Data!$H$2:$H$25001,Data!$B$2:$B$25001,$A30,Data!$A$2:$A$25001,"&gt;="&amp;DATE(Dashboard!$B$2,11,1)&amp;"",Data!$A$2:$A$25001,"&lt;"&amp;DATE(Dashboard!$B$2,11+1,1)&amp;""))</f>
        <v/>
      </c>
      <c r="M30" s="45">
        <f>IF($A30="","",SUMIFS(Data!$H$2:$H$25001,Data!$B$2:$B$25001,$A30,Data!$A$2:$A$25001,"&gt;="&amp;DATE(Dashboard!$B$2,12,1)&amp;"",Data!$A$2:$A$25001,"&lt;"&amp;DATE(Dashboard!$B$2,12+1,1)&amp;""))</f>
        <v/>
      </c>
      <c r="N30" s="46">
        <f>IF($A30="","",SUM(B30:M30))</f>
        <v/>
      </c>
      <c r="O30" s="45">
        <f>IF($A30="","",SUMIFS(Data!$H$2:$H$25001,Data!$B$2:$B$25001,$A30,Data!$D$2:$D$25001,"Werken",Data!$A$2:$A$25001,"&gt;="&amp;DATE(Dashboard!$B$2,1,1)&amp;"",Data!$A$2:$A$25001,"&lt;"&amp;DATE(Dashboard!$B$2+1,1,1)&amp;""))</f>
        <v/>
      </c>
      <c r="P30" s="45">
        <f>IF($A30="","",SUMIFS(Data!$H$2:$H$25001,Data!$B$2:$B$25001,$A30,Data!$D$2:$D$25001,"Reistijd",Data!$A$2:$A$25001,"&gt;="&amp;DATE(Dashboard!$B$2,1,1)&amp;"",Data!$A$2:$A$25001,"&lt;"&amp;DATE(Dashboard!$B$2+1,1,1)&amp;""))</f>
        <v/>
      </c>
      <c r="Q30" s="55">
        <f>IF(OR($A30="",N30=0),"",O30/N30)</f>
        <v/>
      </c>
    </row>
    <row r="31" ht="15" customHeight="1" s="30">
      <c r="A31" s="49" t="n"/>
      <c r="B31" s="50">
        <f>IF($A31="","",SUMIFS(Data!$H$2:$H$25001,Data!$B$2:$B$25001,$A31,Data!$A$2:$A$25001,"&gt;="&amp;DATE(Dashboard!$B$2,1,1)&amp;"",Data!$A$2:$A$25001,"&lt;"&amp;DATE(Dashboard!$B$2,1+1,1)&amp;""))</f>
        <v/>
      </c>
      <c r="C31" s="50">
        <f>IF($A31="","",SUMIFS(Data!$H$2:$H$25001,Data!$B$2:$B$25001,$A31,Data!$A$2:$A$25001,"&gt;="&amp;DATE(Dashboard!$B$2,2,1)&amp;"",Data!$A$2:$A$25001,"&lt;"&amp;DATE(Dashboard!$B$2,2+1,1)&amp;""))</f>
        <v/>
      </c>
      <c r="D31" s="50">
        <f>IF($A31="","",SUMIFS(Data!$H$2:$H$25001,Data!$B$2:$B$25001,$A31,Data!$A$2:$A$25001,"&gt;="&amp;DATE(Dashboard!$B$2,3,1)&amp;"",Data!$A$2:$A$25001,"&lt;"&amp;DATE(Dashboard!$B$2,3+1,1)&amp;""))</f>
        <v/>
      </c>
      <c r="E31" s="50">
        <f>IF($A31="","",SUMIFS(Data!$H$2:$H$25001,Data!$B$2:$B$25001,$A31,Data!$A$2:$A$25001,"&gt;="&amp;DATE(Dashboard!$B$2,4,1)&amp;"",Data!$A$2:$A$25001,"&lt;"&amp;DATE(Dashboard!$B$2,4+1,1)&amp;""))</f>
        <v/>
      </c>
      <c r="F31" s="50">
        <f>IF($A31="","",SUMIFS(Data!$H$2:$H$25001,Data!$B$2:$B$25001,$A31,Data!$A$2:$A$25001,"&gt;="&amp;DATE(Dashboard!$B$2,5,1)&amp;"",Data!$A$2:$A$25001,"&lt;"&amp;DATE(Dashboard!$B$2,5+1,1)&amp;""))</f>
        <v/>
      </c>
      <c r="G31" s="50">
        <f>IF($A31="","",SUMIFS(Data!$H$2:$H$25001,Data!$B$2:$B$25001,$A31,Data!$A$2:$A$25001,"&gt;="&amp;DATE(Dashboard!$B$2,6,1)&amp;"",Data!$A$2:$A$25001,"&lt;"&amp;DATE(Dashboard!$B$2,6+1,1)&amp;""))</f>
        <v/>
      </c>
      <c r="H31" s="50">
        <f>IF($A31="","",SUMIFS(Data!$H$2:$H$25001,Data!$B$2:$B$25001,$A31,Data!$A$2:$A$25001,"&gt;="&amp;DATE(Dashboard!$B$2,7,1)&amp;"",Data!$A$2:$A$25001,"&lt;"&amp;DATE(Dashboard!$B$2,7+1,1)&amp;""))</f>
        <v/>
      </c>
      <c r="I31" s="50">
        <f>IF($A31="","",SUMIFS(Data!$H$2:$H$25001,Data!$B$2:$B$25001,$A31,Data!$A$2:$A$25001,"&gt;="&amp;DATE(Dashboard!$B$2,8,1)&amp;"",Data!$A$2:$A$25001,"&lt;"&amp;DATE(Dashboard!$B$2,8+1,1)&amp;""))</f>
        <v/>
      </c>
      <c r="J31" s="50">
        <f>IF($A31="","",SUMIFS(Data!$H$2:$H$25001,Data!$B$2:$B$25001,$A31,Data!$A$2:$A$25001,"&gt;="&amp;DATE(Dashboard!$B$2,9,1)&amp;"",Data!$A$2:$A$25001,"&lt;"&amp;DATE(Dashboard!$B$2,9+1,1)&amp;""))</f>
        <v/>
      </c>
      <c r="K31" s="50">
        <f>IF($A31="","",SUMIFS(Data!$H$2:$H$25001,Data!$B$2:$B$25001,$A31,Data!$A$2:$A$25001,"&gt;="&amp;DATE(Dashboard!$B$2,10,1)&amp;"",Data!$A$2:$A$25001,"&lt;"&amp;DATE(Dashboard!$B$2,10+1,1)&amp;""))</f>
        <v/>
      </c>
      <c r="L31" s="50">
        <f>IF($A31="","",SUMIFS(Data!$H$2:$H$25001,Data!$B$2:$B$25001,$A31,Data!$A$2:$A$25001,"&gt;="&amp;DATE(Dashboard!$B$2,11,1)&amp;"",Data!$A$2:$A$25001,"&lt;"&amp;DATE(Dashboard!$B$2,11+1,1)&amp;""))</f>
        <v/>
      </c>
      <c r="M31" s="50">
        <f>IF($A31="","",SUMIFS(Data!$H$2:$H$25001,Data!$B$2:$B$25001,$A31,Data!$A$2:$A$25001,"&gt;="&amp;DATE(Dashboard!$B$2,12,1)&amp;"",Data!$A$2:$A$25001,"&lt;"&amp;DATE(Dashboard!$B$2,12+1,1)&amp;""))</f>
        <v/>
      </c>
      <c r="N31" s="46">
        <f>IF($A31="","",SUM(B31:M31))</f>
        <v/>
      </c>
      <c r="O31" s="45">
        <f>IF($A31="","",SUMIFS(Data!$H$2:$H$25001,Data!$B$2:$B$25001,$A31,Data!$D$2:$D$25001,"Werken",Data!$A$2:$A$25001,"&gt;="&amp;DATE(Dashboard!$B$2,1,1)&amp;"",Data!$A$2:$A$25001,"&lt;"&amp;DATE(Dashboard!$B$2+1,1,1)&amp;""))</f>
        <v/>
      </c>
      <c r="P31" s="45">
        <f>IF($A31="","",SUMIFS(Data!$H$2:$H$25001,Data!$B$2:$B$25001,$A31,Data!$D$2:$D$25001,"Reistijd",Data!$A$2:$A$25001,"&gt;="&amp;DATE(Dashboard!$B$2,1,1)&amp;"",Data!$A$2:$A$25001,"&lt;"&amp;DATE(Dashboard!$B$2+1,1,1)&amp;""))</f>
        <v/>
      </c>
      <c r="Q31" s="55">
        <f>IF(OR($A31="",N31=0),"",O31/N31)</f>
        <v/>
      </c>
    </row>
    <row r="32" ht="15" customHeight="1" s="30">
      <c r="A32" s="39" t="inlineStr">
        <is>
          <t>Totaal</t>
        </is>
      </c>
      <c r="B32" s="53">
        <f>SUM(B7:B31)</f>
        <v/>
      </c>
      <c r="C32" s="53">
        <f>SUM(C7:C31)</f>
        <v/>
      </c>
      <c r="D32" s="53">
        <f>SUM(D7:D31)</f>
        <v/>
      </c>
      <c r="E32" s="53">
        <f>SUM(E7:E31)</f>
        <v/>
      </c>
      <c r="F32" s="53">
        <f>SUM(F7:F31)</f>
        <v/>
      </c>
      <c r="G32" s="53">
        <f>SUM(G7:G31)</f>
        <v/>
      </c>
      <c r="H32" s="53">
        <f>SUM(H7:H31)</f>
        <v/>
      </c>
      <c r="I32" s="53">
        <f>SUM(I7:I31)</f>
        <v/>
      </c>
      <c r="J32" s="53">
        <f>SUM(J7:J31)</f>
        <v/>
      </c>
      <c r="K32" s="53">
        <f>SUM(K7:K31)</f>
        <v/>
      </c>
      <c r="L32" s="53">
        <f>SUM(L7:L31)</f>
        <v/>
      </c>
      <c r="M32" s="53">
        <f>SUM(M7:M31)</f>
        <v/>
      </c>
      <c r="N32" s="53">
        <f>SUM(N7:N31)</f>
        <v/>
      </c>
      <c r="O32" s="53">
        <f>SUM(O7:O31)</f>
        <v/>
      </c>
      <c r="P32" s="53">
        <f>SUM(P7:P31)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O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9" min="1" max="1"/>
    <col width="8" customWidth="1" style="29" min="2" max="14"/>
    <col width="11" customWidth="1" style="29" min="15" max="15"/>
  </cols>
  <sheetData>
    <row r="1" ht="16.15" customHeight="1" s="30">
      <c r="A1" s="47" t="inlineStr">
        <is>
          <t>Uren per segment per maand</t>
        </is>
      </c>
    </row>
    <row r="4" ht="15" customHeight="1" s="30">
      <c r="A4" s="34" t="inlineStr">
        <is>
          <t>Segment</t>
        </is>
      </c>
      <c r="B4" s="34" t="inlineStr">
        <is>
          <t>jan</t>
        </is>
      </c>
      <c r="C4" s="34" t="inlineStr">
        <is>
          <t>feb</t>
        </is>
      </c>
      <c r="D4" s="34" t="inlineStr">
        <is>
          <t>mrt</t>
        </is>
      </c>
      <c r="E4" s="34" t="inlineStr">
        <is>
          <t>apr</t>
        </is>
      </c>
      <c r="F4" s="34" t="inlineStr">
        <is>
          <t>mei</t>
        </is>
      </c>
      <c r="G4" s="34" t="inlineStr">
        <is>
          <t>jun</t>
        </is>
      </c>
      <c r="H4" s="34" t="inlineStr">
        <is>
          <t>jul</t>
        </is>
      </c>
      <c r="I4" s="34" t="inlineStr">
        <is>
          <t>aug</t>
        </is>
      </c>
      <c r="J4" s="34" t="inlineStr">
        <is>
          <t>sep</t>
        </is>
      </c>
      <c r="K4" s="34" t="inlineStr">
        <is>
          <t>okt</t>
        </is>
      </c>
      <c r="L4" s="34" t="inlineStr">
        <is>
          <t>nov</t>
        </is>
      </c>
      <c r="M4" s="34" t="inlineStr">
        <is>
          <t>dec</t>
        </is>
      </c>
      <c r="N4" s="34" t="inlineStr">
        <is>
          <t>Jaar</t>
        </is>
      </c>
      <c r="O4" s="34" t="inlineStr">
        <is>
          <t>% van totaal</t>
        </is>
      </c>
    </row>
    <row r="5" ht="15" customHeight="1" s="30">
      <c r="A5" s="56" t="inlineStr">
        <is>
          <t>Werken</t>
        </is>
      </c>
      <c r="B5" s="45">
        <f>SUMIFS(Data!$H$2:$H$25001,Data!$D$2:$D$25001,"Werken",Data!$A$2:$A$25001,"&gt;="&amp;DATE(Dashboard!$B$2,1,1)&amp;"",Data!$A$2:$A$25001,"&lt;"&amp;DATE(Dashboard!$B$2,1+1,1)&amp;"")</f>
        <v/>
      </c>
      <c r="C5" s="45">
        <f>SUMIFS(Data!$H$2:$H$25001,Data!$D$2:$D$25001,"Werken",Data!$A$2:$A$25001,"&gt;="&amp;DATE(Dashboard!$B$2,2,1)&amp;"",Data!$A$2:$A$25001,"&lt;"&amp;DATE(Dashboard!$B$2,2+1,1)&amp;"")</f>
        <v/>
      </c>
      <c r="D5" s="45">
        <f>SUMIFS(Data!$H$2:$H$25001,Data!$D$2:$D$25001,"Werken",Data!$A$2:$A$25001,"&gt;="&amp;DATE(Dashboard!$B$2,3,1)&amp;"",Data!$A$2:$A$25001,"&lt;"&amp;DATE(Dashboard!$B$2,3+1,1)&amp;"")</f>
        <v/>
      </c>
      <c r="E5" s="45">
        <f>SUMIFS(Data!$H$2:$H$25001,Data!$D$2:$D$25001,"Werken",Data!$A$2:$A$25001,"&gt;="&amp;DATE(Dashboard!$B$2,4,1)&amp;"",Data!$A$2:$A$25001,"&lt;"&amp;DATE(Dashboard!$B$2,4+1,1)&amp;"")</f>
        <v/>
      </c>
      <c r="F5" s="45">
        <f>SUMIFS(Data!$H$2:$H$25001,Data!$D$2:$D$25001,"Werken",Data!$A$2:$A$25001,"&gt;="&amp;DATE(Dashboard!$B$2,5,1)&amp;"",Data!$A$2:$A$25001,"&lt;"&amp;DATE(Dashboard!$B$2,5+1,1)&amp;"")</f>
        <v/>
      </c>
      <c r="G5" s="45">
        <f>SUMIFS(Data!$H$2:$H$25001,Data!$D$2:$D$25001,"Werken",Data!$A$2:$A$25001,"&gt;="&amp;DATE(Dashboard!$B$2,6,1)&amp;"",Data!$A$2:$A$25001,"&lt;"&amp;DATE(Dashboard!$B$2,6+1,1)&amp;"")</f>
        <v/>
      </c>
      <c r="H5" s="45">
        <f>SUMIFS(Data!$H$2:$H$25001,Data!$D$2:$D$25001,"Werken",Data!$A$2:$A$25001,"&gt;="&amp;DATE(Dashboard!$B$2,7,1)&amp;"",Data!$A$2:$A$25001,"&lt;"&amp;DATE(Dashboard!$B$2,7+1,1)&amp;"")</f>
        <v/>
      </c>
      <c r="I5" s="45">
        <f>SUMIFS(Data!$H$2:$H$25001,Data!$D$2:$D$25001,"Werken",Data!$A$2:$A$25001,"&gt;="&amp;DATE(Dashboard!$B$2,8,1)&amp;"",Data!$A$2:$A$25001,"&lt;"&amp;DATE(Dashboard!$B$2,8+1,1)&amp;"")</f>
        <v/>
      </c>
      <c r="J5" s="45">
        <f>SUMIFS(Data!$H$2:$H$25001,Data!$D$2:$D$25001,"Werken",Data!$A$2:$A$25001,"&gt;="&amp;DATE(Dashboard!$B$2,9,1)&amp;"",Data!$A$2:$A$25001,"&lt;"&amp;DATE(Dashboard!$B$2,9+1,1)&amp;"")</f>
        <v/>
      </c>
      <c r="K5" s="45">
        <f>SUMIFS(Data!$H$2:$H$25001,Data!$D$2:$D$25001,"Werken",Data!$A$2:$A$25001,"&gt;="&amp;DATE(Dashboard!$B$2,10,1)&amp;"",Data!$A$2:$A$25001,"&lt;"&amp;DATE(Dashboard!$B$2,10+1,1)&amp;"")</f>
        <v/>
      </c>
      <c r="L5" s="45">
        <f>SUMIFS(Data!$H$2:$H$25001,Data!$D$2:$D$25001,"Werken",Data!$A$2:$A$25001,"&gt;="&amp;DATE(Dashboard!$B$2,11,1)&amp;"",Data!$A$2:$A$25001,"&lt;"&amp;DATE(Dashboard!$B$2,11+1,1)&amp;"")</f>
        <v/>
      </c>
      <c r="M5" s="45">
        <f>SUMIFS(Data!$H$2:$H$25001,Data!$D$2:$D$25001,"Werken",Data!$A$2:$A$25001,"&gt;="&amp;DATE(Dashboard!$B$2,12,1)&amp;"",Data!$A$2:$A$25001,"&lt;"&amp;DATE(Dashboard!$B$2,12+1,1)&amp;"")</f>
        <v/>
      </c>
      <c r="N5" s="46">
        <f>SUM(B5:M5)</f>
        <v/>
      </c>
      <c r="O5" s="55">
        <f>IF(SUM($N$5:$N$12)=0,"",N5/SUM($N$5:$N$12))</f>
        <v/>
      </c>
    </row>
    <row r="6" ht="15" customHeight="1" s="30">
      <c r="A6" s="57" t="inlineStr">
        <is>
          <t>Pauze</t>
        </is>
      </c>
      <c r="B6" s="50">
        <f>SUMIFS(Data!$H$2:$H$25001,Data!$D$2:$D$25001,"Pauze",Data!$A$2:$A$25001,"&gt;="&amp;DATE(Dashboard!$B$2,1,1)&amp;"",Data!$A$2:$A$25001,"&lt;"&amp;DATE(Dashboard!$B$2,1+1,1)&amp;"")</f>
        <v/>
      </c>
      <c r="C6" s="50">
        <f>SUMIFS(Data!$H$2:$H$25001,Data!$D$2:$D$25001,"Pauze",Data!$A$2:$A$25001,"&gt;="&amp;DATE(Dashboard!$B$2,2,1)&amp;"",Data!$A$2:$A$25001,"&lt;"&amp;DATE(Dashboard!$B$2,2+1,1)&amp;"")</f>
        <v/>
      </c>
      <c r="D6" s="50">
        <f>SUMIFS(Data!$H$2:$H$25001,Data!$D$2:$D$25001,"Pauze",Data!$A$2:$A$25001,"&gt;="&amp;DATE(Dashboard!$B$2,3,1)&amp;"",Data!$A$2:$A$25001,"&lt;"&amp;DATE(Dashboard!$B$2,3+1,1)&amp;"")</f>
        <v/>
      </c>
      <c r="E6" s="50">
        <f>SUMIFS(Data!$H$2:$H$25001,Data!$D$2:$D$25001,"Pauze",Data!$A$2:$A$25001,"&gt;="&amp;DATE(Dashboard!$B$2,4,1)&amp;"",Data!$A$2:$A$25001,"&lt;"&amp;DATE(Dashboard!$B$2,4+1,1)&amp;"")</f>
        <v/>
      </c>
      <c r="F6" s="50">
        <f>SUMIFS(Data!$H$2:$H$25001,Data!$D$2:$D$25001,"Pauze",Data!$A$2:$A$25001,"&gt;="&amp;DATE(Dashboard!$B$2,5,1)&amp;"",Data!$A$2:$A$25001,"&lt;"&amp;DATE(Dashboard!$B$2,5+1,1)&amp;"")</f>
        <v/>
      </c>
      <c r="G6" s="50">
        <f>SUMIFS(Data!$H$2:$H$25001,Data!$D$2:$D$25001,"Pauze",Data!$A$2:$A$25001,"&gt;="&amp;DATE(Dashboard!$B$2,6,1)&amp;"",Data!$A$2:$A$25001,"&lt;"&amp;DATE(Dashboard!$B$2,6+1,1)&amp;"")</f>
        <v/>
      </c>
      <c r="H6" s="50">
        <f>SUMIFS(Data!$H$2:$H$25001,Data!$D$2:$D$25001,"Pauze",Data!$A$2:$A$25001,"&gt;="&amp;DATE(Dashboard!$B$2,7,1)&amp;"",Data!$A$2:$A$25001,"&lt;"&amp;DATE(Dashboard!$B$2,7+1,1)&amp;"")</f>
        <v/>
      </c>
      <c r="I6" s="50">
        <f>SUMIFS(Data!$H$2:$H$25001,Data!$D$2:$D$25001,"Pauze",Data!$A$2:$A$25001,"&gt;="&amp;DATE(Dashboard!$B$2,8,1)&amp;"",Data!$A$2:$A$25001,"&lt;"&amp;DATE(Dashboard!$B$2,8+1,1)&amp;"")</f>
        <v/>
      </c>
      <c r="J6" s="50">
        <f>SUMIFS(Data!$H$2:$H$25001,Data!$D$2:$D$25001,"Pauze",Data!$A$2:$A$25001,"&gt;="&amp;DATE(Dashboard!$B$2,9,1)&amp;"",Data!$A$2:$A$25001,"&lt;"&amp;DATE(Dashboard!$B$2,9+1,1)&amp;"")</f>
        <v/>
      </c>
      <c r="K6" s="50">
        <f>SUMIFS(Data!$H$2:$H$25001,Data!$D$2:$D$25001,"Pauze",Data!$A$2:$A$25001,"&gt;="&amp;DATE(Dashboard!$B$2,10,1)&amp;"",Data!$A$2:$A$25001,"&lt;"&amp;DATE(Dashboard!$B$2,10+1,1)&amp;"")</f>
        <v/>
      </c>
      <c r="L6" s="50">
        <f>SUMIFS(Data!$H$2:$H$25001,Data!$D$2:$D$25001,"Pauze",Data!$A$2:$A$25001,"&gt;="&amp;DATE(Dashboard!$B$2,11,1)&amp;"",Data!$A$2:$A$25001,"&lt;"&amp;DATE(Dashboard!$B$2,11+1,1)&amp;"")</f>
        <v/>
      </c>
      <c r="M6" s="50">
        <f>SUMIFS(Data!$H$2:$H$25001,Data!$D$2:$D$25001,"Pauze",Data!$A$2:$A$25001,"&gt;="&amp;DATE(Dashboard!$B$2,12,1)&amp;"",Data!$A$2:$A$25001,"&lt;"&amp;DATE(Dashboard!$B$2,12+1,1)&amp;"")</f>
        <v/>
      </c>
      <c r="N6" s="46">
        <f>SUM(B6:M6)</f>
        <v/>
      </c>
      <c r="O6" s="55">
        <f>IF(SUM($N$5:$N$12)=0,"",N6/SUM($N$5:$N$12))</f>
        <v/>
      </c>
    </row>
    <row r="7" ht="15" customHeight="1" s="30">
      <c r="A7" s="57" t="inlineStr">
        <is>
          <t>Reistijd</t>
        </is>
      </c>
      <c r="B7" s="45">
        <f>SUMIFS(Data!$H$2:$H$25001,Data!$D$2:$D$25001,"Reistijd",Data!$A$2:$A$25001,"&gt;="&amp;DATE(Dashboard!$B$2,1,1)&amp;"",Data!$A$2:$A$25001,"&lt;"&amp;DATE(Dashboard!$B$2,1+1,1)&amp;"")</f>
        <v/>
      </c>
      <c r="C7" s="45">
        <f>SUMIFS(Data!$H$2:$H$25001,Data!$D$2:$D$25001,"Reistijd",Data!$A$2:$A$25001,"&gt;="&amp;DATE(Dashboard!$B$2,2,1)&amp;"",Data!$A$2:$A$25001,"&lt;"&amp;DATE(Dashboard!$B$2,2+1,1)&amp;"")</f>
        <v/>
      </c>
      <c r="D7" s="45">
        <f>SUMIFS(Data!$H$2:$H$25001,Data!$D$2:$D$25001,"Reistijd",Data!$A$2:$A$25001,"&gt;="&amp;DATE(Dashboard!$B$2,3,1)&amp;"",Data!$A$2:$A$25001,"&lt;"&amp;DATE(Dashboard!$B$2,3+1,1)&amp;"")</f>
        <v/>
      </c>
      <c r="E7" s="45">
        <f>SUMIFS(Data!$H$2:$H$25001,Data!$D$2:$D$25001,"Reistijd",Data!$A$2:$A$25001,"&gt;="&amp;DATE(Dashboard!$B$2,4,1)&amp;"",Data!$A$2:$A$25001,"&lt;"&amp;DATE(Dashboard!$B$2,4+1,1)&amp;"")</f>
        <v/>
      </c>
      <c r="F7" s="45">
        <f>SUMIFS(Data!$H$2:$H$25001,Data!$D$2:$D$25001,"Reistijd",Data!$A$2:$A$25001,"&gt;="&amp;DATE(Dashboard!$B$2,5,1)&amp;"",Data!$A$2:$A$25001,"&lt;"&amp;DATE(Dashboard!$B$2,5+1,1)&amp;"")</f>
        <v/>
      </c>
      <c r="G7" s="45">
        <f>SUMIFS(Data!$H$2:$H$25001,Data!$D$2:$D$25001,"Reistijd",Data!$A$2:$A$25001,"&gt;="&amp;DATE(Dashboard!$B$2,6,1)&amp;"",Data!$A$2:$A$25001,"&lt;"&amp;DATE(Dashboard!$B$2,6+1,1)&amp;"")</f>
        <v/>
      </c>
      <c r="H7" s="45">
        <f>SUMIFS(Data!$H$2:$H$25001,Data!$D$2:$D$25001,"Reistijd",Data!$A$2:$A$25001,"&gt;="&amp;DATE(Dashboard!$B$2,7,1)&amp;"",Data!$A$2:$A$25001,"&lt;"&amp;DATE(Dashboard!$B$2,7+1,1)&amp;"")</f>
        <v/>
      </c>
      <c r="I7" s="45">
        <f>SUMIFS(Data!$H$2:$H$25001,Data!$D$2:$D$25001,"Reistijd",Data!$A$2:$A$25001,"&gt;="&amp;DATE(Dashboard!$B$2,8,1)&amp;"",Data!$A$2:$A$25001,"&lt;"&amp;DATE(Dashboard!$B$2,8+1,1)&amp;"")</f>
        <v/>
      </c>
      <c r="J7" s="45">
        <f>SUMIFS(Data!$H$2:$H$25001,Data!$D$2:$D$25001,"Reistijd",Data!$A$2:$A$25001,"&gt;="&amp;DATE(Dashboard!$B$2,9,1)&amp;"",Data!$A$2:$A$25001,"&lt;"&amp;DATE(Dashboard!$B$2,9+1,1)&amp;"")</f>
        <v/>
      </c>
      <c r="K7" s="45">
        <f>SUMIFS(Data!$H$2:$H$25001,Data!$D$2:$D$25001,"Reistijd",Data!$A$2:$A$25001,"&gt;="&amp;DATE(Dashboard!$B$2,10,1)&amp;"",Data!$A$2:$A$25001,"&lt;"&amp;DATE(Dashboard!$B$2,10+1,1)&amp;"")</f>
        <v/>
      </c>
      <c r="L7" s="45">
        <f>SUMIFS(Data!$H$2:$H$25001,Data!$D$2:$D$25001,"Reistijd",Data!$A$2:$A$25001,"&gt;="&amp;DATE(Dashboard!$B$2,11,1)&amp;"",Data!$A$2:$A$25001,"&lt;"&amp;DATE(Dashboard!$B$2,11+1,1)&amp;"")</f>
        <v/>
      </c>
      <c r="M7" s="45">
        <f>SUMIFS(Data!$H$2:$H$25001,Data!$D$2:$D$25001,"Reistijd",Data!$A$2:$A$25001,"&gt;="&amp;DATE(Dashboard!$B$2,12,1)&amp;"",Data!$A$2:$A$25001,"&lt;"&amp;DATE(Dashboard!$B$2,12+1,1)&amp;"")</f>
        <v/>
      </c>
      <c r="N7" s="46">
        <f>SUM(B7:M7)</f>
        <v/>
      </c>
      <c r="O7" s="55">
        <f>IF(SUM($N$5:$N$12)=0,"",N7/SUM($N$5:$N$12))</f>
        <v/>
      </c>
    </row>
    <row r="8" ht="15" customHeight="1" s="30">
      <c r="A8" s="57" t="inlineStr">
        <is>
          <t>Laden</t>
        </is>
      </c>
      <c r="B8" s="50">
        <f>SUMIFS(Data!$H$2:$H$25001,Data!$D$2:$D$25001,"Laden",Data!$A$2:$A$25001,"&gt;="&amp;DATE(Dashboard!$B$2,1,1)&amp;"",Data!$A$2:$A$25001,"&lt;"&amp;DATE(Dashboard!$B$2,1+1,1)&amp;"")</f>
        <v/>
      </c>
      <c r="C8" s="50">
        <f>SUMIFS(Data!$H$2:$H$25001,Data!$D$2:$D$25001,"Laden",Data!$A$2:$A$25001,"&gt;="&amp;DATE(Dashboard!$B$2,2,1)&amp;"",Data!$A$2:$A$25001,"&lt;"&amp;DATE(Dashboard!$B$2,2+1,1)&amp;"")</f>
        <v/>
      </c>
      <c r="D8" s="50">
        <f>SUMIFS(Data!$H$2:$H$25001,Data!$D$2:$D$25001,"Laden",Data!$A$2:$A$25001,"&gt;="&amp;DATE(Dashboard!$B$2,3,1)&amp;"",Data!$A$2:$A$25001,"&lt;"&amp;DATE(Dashboard!$B$2,3+1,1)&amp;"")</f>
        <v/>
      </c>
      <c r="E8" s="50">
        <f>SUMIFS(Data!$H$2:$H$25001,Data!$D$2:$D$25001,"Laden",Data!$A$2:$A$25001,"&gt;="&amp;DATE(Dashboard!$B$2,4,1)&amp;"",Data!$A$2:$A$25001,"&lt;"&amp;DATE(Dashboard!$B$2,4+1,1)&amp;"")</f>
        <v/>
      </c>
      <c r="F8" s="50">
        <f>SUMIFS(Data!$H$2:$H$25001,Data!$D$2:$D$25001,"Laden",Data!$A$2:$A$25001,"&gt;="&amp;DATE(Dashboard!$B$2,5,1)&amp;"",Data!$A$2:$A$25001,"&lt;"&amp;DATE(Dashboard!$B$2,5+1,1)&amp;"")</f>
        <v/>
      </c>
      <c r="G8" s="50">
        <f>SUMIFS(Data!$H$2:$H$25001,Data!$D$2:$D$25001,"Laden",Data!$A$2:$A$25001,"&gt;="&amp;DATE(Dashboard!$B$2,6,1)&amp;"",Data!$A$2:$A$25001,"&lt;"&amp;DATE(Dashboard!$B$2,6+1,1)&amp;"")</f>
        <v/>
      </c>
      <c r="H8" s="50">
        <f>SUMIFS(Data!$H$2:$H$25001,Data!$D$2:$D$25001,"Laden",Data!$A$2:$A$25001,"&gt;="&amp;DATE(Dashboard!$B$2,7,1)&amp;"",Data!$A$2:$A$25001,"&lt;"&amp;DATE(Dashboard!$B$2,7+1,1)&amp;"")</f>
        <v/>
      </c>
      <c r="I8" s="50">
        <f>SUMIFS(Data!$H$2:$H$25001,Data!$D$2:$D$25001,"Laden",Data!$A$2:$A$25001,"&gt;="&amp;DATE(Dashboard!$B$2,8,1)&amp;"",Data!$A$2:$A$25001,"&lt;"&amp;DATE(Dashboard!$B$2,8+1,1)&amp;"")</f>
        <v/>
      </c>
      <c r="J8" s="50">
        <f>SUMIFS(Data!$H$2:$H$25001,Data!$D$2:$D$25001,"Laden",Data!$A$2:$A$25001,"&gt;="&amp;DATE(Dashboard!$B$2,9,1)&amp;"",Data!$A$2:$A$25001,"&lt;"&amp;DATE(Dashboard!$B$2,9+1,1)&amp;"")</f>
        <v/>
      </c>
      <c r="K8" s="50">
        <f>SUMIFS(Data!$H$2:$H$25001,Data!$D$2:$D$25001,"Laden",Data!$A$2:$A$25001,"&gt;="&amp;DATE(Dashboard!$B$2,10,1)&amp;"",Data!$A$2:$A$25001,"&lt;"&amp;DATE(Dashboard!$B$2,10+1,1)&amp;"")</f>
        <v/>
      </c>
      <c r="L8" s="50">
        <f>SUMIFS(Data!$H$2:$H$25001,Data!$D$2:$D$25001,"Laden",Data!$A$2:$A$25001,"&gt;="&amp;DATE(Dashboard!$B$2,11,1)&amp;"",Data!$A$2:$A$25001,"&lt;"&amp;DATE(Dashboard!$B$2,11+1,1)&amp;"")</f>
        <v/>
      </c>
      <c r="M8" s="50">
        <f>SUMIFS(Data!$H$2:$H$25001,Data!$D$2:$D$25001,"Laden",Data!$A$2:$A$25001,"&gt;="&amp;DATE(Dashboard!$B$2,12,1)&amp;"",Data!$A$2:$A$25001,"&lt;"&amp;DATE(Dashboard!$B$2,12+1,1)&amp;"")</f>
        <v/>
      </c>
      <c r="N8" s="46">
        <f>SUM(B8:M8)</f>
        <v/>
      </c>
      <c r="O8" s="55">
        <f>IF(SUM($N$5:$N$12)=0,"",N8/SUM($N$5:$N$12))</f>
        <v/>
      </c>
    </row>
    <row r="9" ht="15" customHeight="1" s="30">
      <c r="A9" s="57" t="inlineStr">
        <is>
          <t>Lossen</t>
        </is>
      </c>
      <c r="B9" s="45">
        <f>SUMIFS(Data!$H$2:$H$25001,Data!$D$2:$D$25001,"Lossen",Data!$A$2:$A$25001,"&gt;="&amp;DATE(Dashboard!$B$2,1,1)&amp;"",Data!$A$2:$A$25001,"&lt;"&amp;DATE(Dashboard!$B$2,1+1,1)&amp;"")</f>
        <v/>
      </c>
      <c r="C9" s="45">
        <f>SUMIFS(Data!$H$2:$H$25001,Data!$D$2:$D$25001,"Lossen",Data!$A$2:$A$25001,"&gt;="&amp;DATE(Dashboard!$B$2,2,1)&amp;"",Data!$A$2:$A$25001,"&lt;"&amp;DATE(Dashboard!$B$2,2+1,1)&amp;"")</f>
        <v/>
      </c>
      <c r="D9" s="45">
        <f>SUMIFS(Data!$H$2:$H$25001,Data!$D$2:$D$25001,"Lossen",Data!$A$2:$A$25001,"&gt;="&amp;DATE(Dashboard!$B$2,3,1)&amp;"",Data!$A$2:$A$25001,"&lt;"&amp;DATE(Dashboard!$B$2,3+1,1)&amp;"")</f>
        <v/>
      </c>
      <c r="E9" s="45">
        <f>SUMIFS(Data!$H$2:$H$25001,Data!$D$2:$D$25001,"Lossen",Data!$A$2:$A$25001,"&gt;="&amp;DATE(Dashboard!$B$2,4,1)&amp;"",Data!$A$2:$A$25001,"&lt;"&amp;DATE(Dashboard!$B$2,4+1,1)&amp;"")</f>
        <v/>
      </c>
      <c r="F9" s="45">
        <f>SUMIFS(Data!$H$2:$H$25001,Data!$D$2:$D$25001,"Lossen",Data!$A$2:$A$25001,"&gt;="&amp;DATE(Dashboard!$B$2,5,1)&amp;"",Data!$A$2:$A$25001,"&lt;"&amp;DATE(Dashboard!$B$2,5+1,1)&amp;"")</f>
        <v/>
      </c>
      <c r="G9" s="45">
        <f>SUMIFS(Data!$H$2:$H$25001,Data!$D$2:$D$25001,"Lossen",Data!$A$2:$A$25001,"&gt;="&amp;DATE(Dashboard!$B$2,6,1)&amp;"",Data!$A$2:$A$25001,"&lt;"&amp;DATE(Dashboard!$B$2,6+1,1)&amp;"")</f>
        <v/>
      </c>
      <c r="H9" s="45">
        <f>SUMIFS(Data!$H$2:$H$25001,Data!$D$2:$D$25001,"Lossen",Data!$A$2:$A$25001,"&gt;="&amp;DATE(Dashboard!$B$2,7,1)&amp;"",Data!$A$2:$A$25001,"&lt;"&amp;DATE(Dashboard!$B$2,7+1,1)&amp;"")</f>
        <v/>
      </c>
      <c r="I9" s="45">
        <f>SUMIFS(Data!$H$2:$H$25001,Data!$D$2:$D$25001,"Lossen",Data!$A$2:$A$25001,"&gt;="&amp;DATE(Dashboard!$B$2,8,1)&amp;"",Data!$A$2:$A$25001,"&lt;"&amp;DATE(Dashboard!$B$2,8+1,1)&amp;"")</f>
        <v/>
      </c>
      <c r="J9" s="45">
        <f>SUMIFS(Data!$H$2:$H$25001,Data!$D$2:$D$25001,"Lossen",Data!$A$2:$A$25001,"&gt;="&amp;DATE(Dashboard!$B$2,9,1)&amp;"",Data!$A$2:$A$25001,"&lt;"&amp;DATE(Dashboard!$B$2,9+1,1)&amp;"")</f>
        <v/>
      </c>
      <c r="K9" s="45">
        <f>SUMIFS(Data!$H$2:$H$25001,Data!$D$2:$D$25001,"Lossen",Data!$A$2:$A$25001,"&gt;="&amp;DATE(Dashboard!$B$2,10,1)&amp;"",Data!$A$2:$A$25001,"&lt;"&amp;DATE(Dashboard!$B$2,10+1,1)&amp;"")</f>
        <v/>
      </c>
      <c r="L9" s="45">
        <f>SUMIFS(Data!$H$2:$H$25001,Data!$D$2:$D$25001,"Lossen",Data!$A$2:$A$25001,"&gt;="&amp;DATE(Dashboard!$B$2,11,1)&amp;"",Data!$A$2:$A$25001,"&lt;"&amp;DATE(Dashboard!$B$2,11+1,1)&amp;"")</f>
        <v/>
      </c>
      <c r="M9" s="45">
        <f>SUMIFS(Data!$H$2:$H$25001,Data!$D$2:$D$25001,"Lossen",Data!$A$2:$A$25001,"&gt;="&amp;DATE(Dashboard!$B$2,12,1)&amp;"",Data!$A$2:$A$25001,"&lt;"&amp;DATE(Dashboard!$B$2,12+1,1)&amp;"")</f>
        <v/>
      </c>
      <c r="N9" s="46">
        <f>SUM(B9:M9)</f>
        <v/>
      </c>
      <c r="O9" s="55">
        <f>IF(SUM($N$5:$N$12)=0,"",N9/SUM($N$5:$N$12))</f>
        <v/>
      </c>
    </row>
    <row r="10" ht="15" customHeight="1" s="30">
      <c r="A10" s="57" t="inlineStr">
        <is>
          <t>Teammeeting</t>
        </is>
      </c>
      <c r="B10" s="50">
        <f>SUMIFS(Data!$H$2:$H$25001,Data!$D$2:$D$25001,"Teammeeting",Data!$A$2:$A$25001,"&gt;="&amp;DATE(Dashboard!$B$2,1,1)&amp;"",Data!$A$2:$A$25001,"&lt;"&amp;DATE(Dashboard!$B$2,1+1,1)&amp;"")</f>
        <v/>
      </c>
      <c r="C10" s="50">
        <f>SUMIFS(Data!$H$2:$H$25001,Data!$D$2:$D$25001,"Teammeeting",Data!$A$2:$A$25001,"&gt;="&amp;DATE(Dashboard!$B$2,2,1)&amp;"",Data!$A$2:$A$25001,"&lt;"&amp;DATE(Dashboard!$B$2,2+1,1)&amp;"")</f>
        <v/>
      </c>
      <c r="D10" s="50">
        <f>SUMIFS(Data!$H$2:$H$25001,Data!$D$2:$D$25001,"Teammeeting",Data!$A$2:$A$25001,"&gt;="&amp;DATE(Dashboard!$B$2,3,1)&amp;"",Data!$A$2:$A$25001,"&lt;"&amp;DATE(Dashboard!$B$2,3+1,1)&amp;"")</f>
        <v/>
      </c>
      <c r="E10" s="50">
        <f>SUMIFS(Data!$H$2:$H$25001,Data!$D$2:$D$25001,"Teammeeting",Data!$A$2:$A$25001,"&gt;="&amp;DATE(Dashboard!$B$2,4,1)&amp;"",Data!$A$2:$A$25001,"&lt;"&amp;DATE(Dashboard!$B$2,4+1,1)&amp;"")</f>
        <v/>
      </c>
      <c r="F10" s="50">
        <f>SUMIFS(Data!$H$2:$H$25001,Data!$D$2:$D$25001,"Teammeeting",Data!$A$2:$A$25001,"&gt;="&amp;DATE(Dashboard!$B$2,5,1)&amp;"",Data!$A$2:$A$25001,"&lt;"&amp;DATE(Dashboard!$B$2,5+1,1)&amp;"")</f>
        <v/>
      </c>
      <c r="G10" s="50">
        <f>SUMIFS(Data!$H$2:$H$25001,Data!$D$2:$D$25001,"Teammeeting",Data!$A$2:$A$25001,"&gt;="&amp;DATE(Dashboard!$B$2,6,1)&amp;"",Data!$A$2:$A$25001,"&lt;"&amp;DATE(Dashboard!$B$2,6+1,1)&amp;"")</f>
        <v/>
      </c>
      <c r="H10" s="50">
        <f>SUMIFS(Data!$H$2:$H$25001,Data!$D$2:$D$25001,"Teammeeting",Data!$A$2:$A$25001,"&gt;="&amp;DATE(Dashboard!$B$2,7,1)&amp;"",Data!$A$2:$A$25001,"&lt;"&amp;DATE(Dashboard!$B$2,7+1,1)&amp;"")</f>
        <v/>
      </c>
      <c r="I10" s="50">
        <f>SUMIFS(Data!$H$2:$H$25001,Data!$D$2:$D$25001,"Teammeeting",Data!$A$2:$A$25001,"&gt;="&amp;DATE(Dashboard!$B$2,8,1)&amp;"",Data!$A$2:$A$25001,"&lt;"&amp;DATE(Dashboard!$B$2,8+1,1)&amp;"")</f>
        <v/>
      </c>
      <c r="J10" s="50">
        <f>SUMIFS(Data!$H$2:$H$25001,Data!$D$2:$D$25001,"Teammeeting",Data!$A$2:$A$25001,"&gt;="&amp;DATE(Dashboard!$B$2,9,1)&amp;"",Data!$A$2:$A$25001,"&lt;"&amp;DATE(Dashboard!$B$2,9+1,1)&amp;"")</f>
        <v/>
      </c>
      <c r="K10" s="50">
        <f>SUMIFS(Data!$H$2:$H$25001,Data!$D$2:$D$25001,"Teammeeting",Data!$A$2:$A$25001,"&gt;="&amp;DATE(Dashboard!$B$2,10,1)&amp;"",Data!$A$2:$A$25001,"&lt;"&amp;DATE(Dashboard!$B$2,10+1,1)&amp;"")</f>
        <v/>
      </c>
      <c r="L10" s="50">
        <f>SUMIFS(Data!$H$2:$H$25001,Data!$D$2:$D$25001,"Teammeeting",Data!$A$2:$A$25001,"&gt;="&amp;DATE(Dashboard!$B$2,11,1)&amp;"",Data!$A$2:$A$25001,"&lt;"&amp;DATE(Dashboard!$B$2,11+1,1)&amp;"")</f>
        <v/>
      </c>
      <c r="M10" s="50">
        <f>SUMIFS(Data!$H$2:$H$25001,Data!$D$2:$D$25001,"Teammeeting",Data!$A$2:$A$25001,"&gt;="&amp;DATE(Dashboard!$B$2,12,1)&amp;"",Data!$A$2:$A$25001,"&lt;"&amp;DATE(Dashboard!$B$2,12+1,1)&amp;"")</f>
        <v/>
      </c>
      <c r="N10" s="46">
        <f>SUM(B10:M10)</f>
        <v/>
      </c>
      <c r="O10" s="55">
        <f>IF(SUM($N$5:$N$12)=0,"",N10/SUM($N$5:$N$12))</f>
        <v/>
      </c>
    </row>
    <row r="11" ht="15" customHeight="1" s="30">
      <c r="A11" s="57" t="inlineStr">
        <is>
          <t>Onderhoud materiaal</t>
        </is>
      </c>
      <c r="B11" s="45">
        <f>SUMIFS(Data!$H$2:$H$25001,Data!$D$2:$D$25001,"Onderhoud materiaal",Data!$A$2:$A$25001,"&gt;="&amp;DATE(Dashboard!$B$2,1,1)&amp;"",Data!$A$2:$A$25001,"&lt;"&amp;DATE(Dashboard!$B$2,1+1,1)&amp;"")</f>
        <v/>
      </c>
      <c r="C11" s="45">
        <f>SUMIFS(Data!$H$2:$H$25001,Data!$D$2:$D$25001,"Onderhoud materiaal",Data!$A$2:$A$25001,"&gt;="&amp;DATE(Dashboard!$B$2,2,1)&amp;"",Data!$A$2:$A$25001,"&lt;"&amp;DATE(Dashboard!$B$2,2+1,1)&amp;"")</f>
        <v/>
      </c>
      <c r="D11" s="45">
        <f>SUMIFS(Data!$H$2:$H$25001,Data!$D$2:$D$25001,"Onderhoud materiaal",Data!$A$2:$A$25001,"&gt;="&amp;DATE(Dashboard!$B$2,3,1)&amp;"",Data!$A$2:$A$25001,"&lt;"&amp;DATE(Dashboard!$B$2,3+1,1)&amp;"")</f>
        <v/>
      </c>
      <c r="E11" s="45">
        <f>SUMIFS(Data!$H$2:$H$25001,Data!$D$2:$D$25001,"Onderhoud materiaal",Data!$A$2:$A$25001,"&gt;="&amp;DATE(Dashboard!$B$2,4,1)&amp;"",Data!$A$2:$A$25001,"&lt;"&amp;DATE(Dashboard!$B$2,4+1,1)&amp;"")</f>
        <v/>
      </c>
      <c r="F11" s="45">
        <f>SUMIFS(Data!$H$2:$H$25001,Data!$D$2:$D$25001,"Onderhoud materiaal",Data!$A$2:$A$25001,"&gt;="&amp;DATE(Dashboard!$B$2,5,1)&amp;"",Data!$A$2:$A$25001,"&lt;"&amp;DATE(Dashboard!$B$2,5+1,1)&amp;"")</f>
        <v/>
      </c>
      <c r="G11" s="45">
        <f>SUMIFS(Data!$H$2:$H$25001,Data!$D$2:$D$25001,"Onderhoud materiaal",Data!$A$2:$A$25001,"&gt;="&amp;DATE(Dashboard!$B$2,6,1)&amp;"",Data!$A$2:$A$25001,"&lt;"&amp;DATE(Dashboard!$B$2,6+1,1)&amp;"")</f>
        <v/>
      </c>
      <c r="H11" s="45">
        <f>SUMIFS(Data!$H$2:$H$25001,Data!$D$2:$D$25001,"Onderhoud materiaal",Data!$A$2:$A$25001,"&gt;="&amp;DATE(Dashboard!$B$2,7,1)&amp;"",Data!$A$2:$A$25001,"&lt;"&amp;DATE(Dashboard!$B$2,7+1,1)&amp;"")</f>
        <v/>
      </c>
      <c r="I11" s="45">
        <f>SUMIFS(Data!$H$2:$H$25001,Data!$D$2:$D$25001,"Onderhoud materiaal",Data!$A$2:$A$25001,"&gt;="&amp;DATE(Dashboard!$B$2,8,1)&amp;"",Data!$A$2:$A$25001,"&lt;"&amp;DATE(Dashboard!$B$2,8+1,1)&amp;"")</f>
        <v/>
      </c>
      <c r="J11" s="45">
        <f>SUMIFS(Data!$H$2:$H$25001,Data!$D$2:$D$25001,"Onderhoud materiaal",Data!$A$2:$A$25001,"&gt;="&amp;DATE(Dashboard!$B$2,9,1)&amp;"",Data!$A$2:$A$25001,"&lt;"&amp;DATE(Dashboard!$B$2,9+1,1)&amp;"")</f>
        <v/>
      </c>
      <c r="K11" s="45">
        <f>SUMIFS(Data!$H$2:$H$25001,Data!$D$2:$D$25001,"Onderhoud materiaal",Data!$A$2:$A$25001,"&gt;="&amp;DATE(Dashboard!$B$2,10,1)&amp;"",Data!$A$2:$A$25001,"&lt;"&amp;DATE(Dashboard!$B$2,10+1,1)&amp;"")</f>
        <v/>
      </c>
      <c r="L11" s="45">
        <f>SUMIFS(Data!$H$2:$H$25001,Data!$D$2:$D$25001,"Onderhoud materiaal",Data!$A$2:$A$25001,"&gt;="&amp;DATE(Dashboard!$B$2,11,1)&amp;"",Data!$A$2:$A$25001,"&lt;"&amp;DATE(Dashboard!$B$2,11+1,1)&amp;"")</f>
        <v/>
      </c>
      <c r="M11" s="45">
        <f>SUMIFS(Data!$H$2:$H$25001,Data!$D$2:$D$25001,"Onderhoud materiaal",Data!$A$2:$A$25001,"&gt;="&amp;DATE(Dashboard!$B$2,12,1)&amp;"",Data!$A$2:$A$25001,"&lt;"&amp;DATE(Dashboard!$B$2,12+1,1)&amp;"")</f>
        <v/>
      </c>
      <c r="N11" s="46">
        <f>SUM(B11:M11)</f>
        <v/>
      </c>
      <c r="O11" s="55">
        <f>IF(SUM($N$5:$N$12)=0,"",N11/SUM($N$5:$N$12))</f>
        <v/>
      </c>
    </row>
    <row r="12" ht="15" customHeight="1" s="30">
      <c r="A12" s="57" t="inlineStr">
        <is>
          <t>Anders</t>
        </is>
      </c>
      <c r="B12" s="50">
        <f>SUMIFS(Data!$H$2:$H$25001,Data!$D$2:$D$25001,"Anders",Data!$A$2:$A$25001,"&gt;="&amp;DATE(Dashboard!$B$2,1,1)&amp;"",Data!$A$2:$A$25001,"&lt;"&amp;DATE(Dashboard!$B$2,1+1,1)&amp;"")</f>
        <v/>
      </c>
      <c r="C12" s="50">
        <f>SUMIFS(Data!$H$2:$H$25001,Data!$D$2:$D$25001,"Anders",Data!$A$2:$A$25001,"&gt;="&amp;DATE(Dashboard!$B$2,2,1)&amp;"",Data!$A$2:$A$25001,"&lt;"&amp;DATE(Dashboard!$B$2,2+1,1)&amp;"")</f>
        <v/>
      </c>
      <c r="D12" s="50">
        <f>SUMIFS(Data!$H$2:$H$25001,Data!$D$2:$D$25001,"Anders",Data!$A$2:$A$25001,"&gt;="&amp;DATE(Dashboard!$B$2,3,1)&amp;"",Data!$A$2:$A$25001,"&lt;"&amp;DATE(Dashboard!$B$2,3+1,1)&amp;"")</f>
        <v/>
      </c>
      <c r="E12" s="50">
        <f>SUMIFS(Data!$H$2:$H$25001,Data!$D$2:$D$25001,"Anders",Data!$A$2:$A$25001,"&gt;="&amp;DATE(Dashboard!$B$2,4,1)&amp;"",Data!$A$2:$A$25001,"&lt;"&amp;DATE(Dashboard!$B$2,4+1,1)&amp;"")</f>
        <v/>
      </c>
      <c r="F12" s="50">
        <f>SUMIFS(Data!$H$2:$H$25001,Data!$D$2:$D$25001,"Anders",Data!$A$2:$A$25001,"&gt;="&amp;DATE(Dashboard!$B$2,5,1)&amp;"",Data!$A$2:$A$25001,"&lt;"&amp;DATE(Dashboard!$B$2,5+1,1)&amp;"")</f>
        <v/>
      </c>
      <c r="G12" s="50">
        <f>SUMIFS(Data!$H$2:$H$25001,Data!$D$2:$D$25001,"Anders",Data!$A$2:$A$25001,"&gt;="&amp;DATE(Dashboard!$B$2,6,1)&amp;"",Data!$A$2:$A$25001,"&lt;"&amp;DATE(Dashboard!$B$2,6+1,1)&amp;"")</f>
        <v/>
      </c>
      <c r="H12" s="50">
        <f>SUMIFS(Data!$H$2:$H$25001,Data!$D$2:$D$25001,"Anders",Data!$A$2:$A$25001,"&gt;="&amp;DATE(Dashboard!$B$2,7,1)&amp;"",Data!$A$2:$A$25001,"&lt;"&amp;DATE(Dashboard!$B$2,7+1,1)&amp;"")</f>
        <v/>
      </c>
      <c r="I12" s="50">
        <f>SUMIFS(Data!$H$2:$H$25001,Data!$D$2:$D$25001,"Anders",Data!$A$2:$A$25001,"&gt;="&amp;DATE(Dashboard!$B$2,8,1)&amp;"",Data!$A$2:$A$25001,"&lt;"&amp;DATE(Dashboard!$B$2,8+1,1)&amp;"")</f>
        <v/>
      </c>
      <c r="J12" s="50">
        <f>SUMIFS(Data!$H$2:$H$25001,Data!$D$2:$D$25001,"Anders",Data!$A$2:$A$25001,"&gt;="&amp;DATE(Dashboard!$B$2,9,1)&amp;"",Data!$A$2:$A$25001,"&lt;"&amp;DATE(Dashboard!$B$2,9+1,1)&amp;"")</f>
        <v/>
      </c>
      <c r="K12" s="50">
        <f>SUMIFS(Data!$H$2:$H$25001,Data!$D$2:$D$25001,"Anders",Data!$A$2:$A$25001,"&gt;="&amp;DATE(Dashboard!$B$2,10,1)&amp;"",Data!$A$2:$A$25001,"&lt;"&amp;DATE(Dashboard!$B$2,10+1,1)&amp;"")</f>
        <v/>
      </c>
      <c r="L12" s="50">
        <f>SUMIFS(Data!$H$2:$H$25001,Data!$D$2:$D$25001,"Anders",Data!$A$2:$A$25001,"&gt;="&amp;DATE(Dashboard!$B$2,11,1)&amp;"",Data!$A$2:$A$25001,"&lt;"&amp;DATE(Dashboard!$B$2,11+1,1)&amp;"")</f>
        <v/>
      </c>
      <c r="M12" s="50">
        <f>SUMIFS(Data!$H$2:$H$25001,Data!$D$2:$D$25001,"Anders",Data!$A$2:$A$25001,"&gt;="&amp;DATE(Dashboard!$B$2,12,1)&amp;"",Data!$A$2:$A$25001,"&lt;"&amp;DATE(Dashboard!$B$2,12+1,1)&amp;"")</f>
        <v/>
      </c>
      <c r="N12" s="46">
        <f>SUM(B12:M12)</f>
        <v/>
      </c>
      <c r="O12" s="55">
        <f>IF(SUM($N$5:$N$12)=0,"",N12/SUM($N$5:$N$12))</f>
        <v/>
      </c>
    </row>
    <row r="13" ht="15" customHeight="1" s="30">
      <c r="A13" s="39" t="inlineStr">
        <is>
          <t>Totaal</t>
        </is>
      </c>
      <c r="B13" s="53">
        <f>SUM(B5:B12)</f>
        <v/>
      </c>
      <c r="C13" s="53">
        <f>SUM(C5:C12)</f>
        <v/>
      </c>
      <c r="D13" s="53">
        <f>SUM(D5:D12)</f>
        <v/>
      </c>
      <c r="E13" s="53">
        <f>SUM(E5:E12)</f>
        <v/>
      </c>
      <c r="F13" s="53">
        <f>SUM(F5:F12)</f>
        <v/>
      </c>
      <c r="G13" s="53">
        <f>SUM(G5:G12)</f>
        <v/>
      </c>
      <c r="H13" s="53">
        <f>SUM(H5:H12)</f>
        <v/>
      </c>
      <c r="I13" s="53">
        <f>SUM(I5:I12)</f>
        <v/>
      </c>
      <c r="J13" s="53">
        <f>SUM(J5:J12)</f>
        <v/>
      </c>
      <c r="K13" s="53">
        <f>SUM(K5:K12)</f>
        <v/>
      </c>
      <c r="L13" s="53">
        <f>SUM(L5:L12)</f>
        <v/>
      </c>
      <c r="M13" s="53">
        <f>SUM(M5:M12)</f>
        <v/>
      </c>
      <c r="N13" s="53">
        <f>SUM(N5:N12)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2026-07-30T00:52:46Z</dcterms:created>
  <dcterms:modified xmlns:dcterms="http://purl.org/dc/terms/" xmlns:xsi="http://www.w3.org/2001/XMLSchema-instance" xsi:type="dcterms:W3CDTF">2026-07-30T01:05:16Z</dcterms:modified>
  <cp:revision>0</cp:revision>
</cp:coreProperties>
</file>